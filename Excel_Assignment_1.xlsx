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Ex2.xml" ContentType="application/vnd.ms-office.chartex+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pivotTables/pivotTable7.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24226"/>
  <mc:AlternateContent xmlns:mc="http://schemas.openxmlformats.org/markup-compatibility/2006">
    <mc:Choice Requires="x15">
      <x15ac:absPath xmlns:x15ac="http://schemas.microsoft.com/office/spreadsheetml/2010/11/ac" url="C:\Users\user1\Desktop\Data_Science\"/>
    </mc:Choice>
  </mc:AlternateContent>
  <xr:revisionPtr revIDLastSave="0" documentId="8_{7CB52F2E-E85A-46ED-B0EB-1D112BD7D3E0}" xr6:coauthVersionLast="47" xr6:coauthVersionMax="47" xr10:uidLastSave="{00000000-0000-0000-0000-000000000000}"/>
  <bookViews>
    <workbookView xWindow="-110" yWindow="-110" windowWidth="19420" windowHeight="11020" xr2:uid="{00000000-000D-0000-FFFF-FFFF00000000}"/>
  </bookViews>
  <sheets>
    <sheet name="Dashboard" sheetId="19" r:id="rId1"/>
    <sheet name="Data" sheetId="1" r:id="rId2"/>
    <sheet name="Brief" sheetId="2" r:id="rId3"/>
    <sheet name="Staging_Table(Part A(1))" sheetId="4" r:id="rId4"/>
    <sheet name="Part A (2&amp;3)" sheetId="5" r:id="rId5"/>
    <sheet name="What if Analysis" sheetId="20" r:id="rId6"/>
    <sheet name="PART B(4)" sheetId="9" r:id="rId7"/>
    <sheet name="PART B(5)" sheetId="10" r:id="rId8"/>
    <sheet name="Revenue per Order" sheetId="12" r:id="rId9"/>
    <sheet name="Orders per Month" sheetId="13" r:id="rId10"/>
    <sheet name="Order_Gross Profit_by_SP" sheetId="14" r:id="rId11"/>
    <sheet name="Part B(7)" sheetId="21" r:id="rId12"/>
    <sheet name="Profit By Region" sheetId="17" r:id="rId13"/>
    <sheet name="Monthly Revenue" sheetId="16" r:id="rId14"/>
    <sheet name="Top 10 SKUs" sheetId="18" r:id="rId15"/>
  </sheets>
  <definedNames>
    <definedName name="_xlnm._FilterDatabase" localSheetId="3" hidden="1">'Staging_Table(Part A(1))'!$A$1:$X$632</definedName>
    <definedName name="_xlchart.v1.0" hidden="1">'Staging_Table(Part A(1))'!$V$1</definedName>
    <definedName name="_xlchart.v1.1" hidden="1">'Staging_Table(Part A(1))'!$V$2:$V$632</definedName>
    <definedName name="_xlchart.v1.2" hidden="1">'Staging_Table(Part A(1))'!$V$1</definedName>
    <definedName name="_xlchart.v1.3" hidden="1">'Staging_Table(Part A(1))'!$V$2:$V$632</definedName>
    <definedName name="Slicer_Channel">#N/A</definedName>
    <definedName name="Slicer_Country">#N/A</definedName>
    <definedName name="Slicer_ProductCategory">#N/A</definedName>
    <definedName name="Slicer_Region">#N/A</definedName>
    <definedName name="Slicer_Salesperson">#N/A</definedName>
  </definedNames>
  <calcPr calcId="191029"/>
  <pivotCaches>
    <pivotCache cacheId="0" r:id="rId16"/>
    <pivotCache cacheId="1" r:id="rId17"/>
  </pivotCaches>
  <extLst>
    <ext xmlns:x14="http://schemas.microsoft.com/office/spreadsheetml/2009/9/main" uri="{BBE1A952-AA13-448e-AADC-164F8A28A991}">
      <x14:slicerCaches>
        <x14:slicerCache r:id="rId18"/>
        <x14:slicerCache r:id="rId19"/>
        <x14:slicerCache r:id="rId20"/>
        <x14:slicerCache r:id="rId21"/>
        <x14:slicerCache r:id="rId2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3" i="20" l="1"/>
  <c r="S2" i="20"/>
  <c r="R2" i="5"/>
  <c r="I633" i="20"/>
  <c r="C4" i="20"/>
  <c r="J3" i="20" s="1"/>
  <c r="C3" i="20"/>
  <c r="H3" i="20" s="1"/>
  <c r="C2" i="20"/>
  <c r="F3" i="20" s="1"/>
  <c r="E633" i="5"/>
  <c r="Q633" i="5"/>
  <c r="U632" i="5"/>
  <c r="U633" i="5"/>
  <c r="T633" i="5"/>
  <c r="R633" i="5"/>
  <c r="D97" i="10"/>
  <c r="D98" i="10"/>
  <c r="D99" i="10"/>
  <c r="D100" i="10"/>
  <c r="D101" i="10"/>
  <c r="D102" i="10"/>
  <c r="D103" i="10"/>
  <c r="D104" i="10"/>
  <c r="D105" i="10"/>
  <c r="D106" i="10"/>
  <c r="D107" i="10"/>
  <c r="D108" i="10"/>
  <c r="D109" i="10"/>
  <c r="D110" i="10"/>
  <c r="D111" i="10"/>
  <c r="D112" i="10"/>
  <c r="D113" i="10"/>
  <c r="D114" i="10"/>
  <c r="D115" i="10"/>
  <c r="D116" i="10"/>
  <c r="D117" i="10"/>
  <c r="D118" i="10"/>
  <c r="D119" i="10"/>
  <c r="D120" i="10"/>
  <c r="D121" i="10"/>
  <c r="D122" i="10"/>
  <c r="D123" i="10"/>
  <c r="D124" i="10"/>
  <c r="D125" i="10"/>
  <c r="D126" i="10"/>
  <c r="D127" i="10"/>
  <c r="D128" i="10"/>
  <c r="D129" i="10"/>
  <c r="D130" i="10"/>
  <c r="D131" i="10"/>
  <c r="D132" i="10"/>
  <c r="D133" i="10"/>
  <c r="D134" i="10"/>
  <c r="D135" i="10"/>
  <c r="D136" i="10"/>
  <c r="D137" i="10"/>
  <c r="D138" i="10"/>
  <c r="D139" i="10"/>
  <c r="D140" i="10"/>
  <c r="D141" i="10"/>
  <c r="D142" i="10"/>
  <c r="D143" i="10"/>
  <c r="D144" i="10"/>
  <c r="D145" i="10"/>
  <c r="D146" i="10"/>
  <c r="D147" i="10"/>
  <c r="D148" i="10"/>
  <c r="D149" i="10"/>
  <c r="D150" i="10"/>
  <c r="D151" i="10"/>
  <c r="D152" i="10"/>
  <c r="D153" i="10"/>
  <c r="D154" i="10"/>
  <c r="D155" i="10"/>
  <c r="D156" i="10"/>
  <c r="D157" i="10"/>
  <c r="D158" i="10"/>
  <c r="D159" i="10"/>
  <c r="D160" i="10"/>
  <c r="D161" i="10"/>
  <c r="D162" i="10"/>
  <c r="D163" i="10"/>
  <c r="D164" i="10"/>
  <c r="D165" i="10"/>
  <c r="D166" i="10"/>
  <c r="D167" i="10"/>
  <c r="D168" i="10"/>
  <c r="D169" i="10"/>
  <c r="D170" i="10"/>
  <c r="D171" i="10"/>
  <c r="D172" i="10"/>
  <c r="D173" i="10"/>
  <c r="D174" i="10"/>
  <c r="D175" i="10"/>
  <c r="D176" i="10"/>
  <c r="D177" i="10"/>
  <c r="D178" i="10"/>
  <c r="D179" i="10"/>
  <c r="D180" i="10"/>
  <c r="D181" i="10"/>
  <c r="D182" i="10"/>
  <c r="D184" i="10"/>
  <c r="D185" i="10"/>
  <c r="D186" i="10"/>
  <c r="D187" i="10"/>
  <c r="D188" i="10"/>
  <c r="D189" i="10"/>
  <c r="D190" i="10"/>
  <c r="D191" i="10"/>
  <c r="D192" i="10"/>
  <c r="D193" i="10"/>
  <c r="D194" i="10"/>
  <c r="D195" i="10"/>
  <c r="D196" i="10"/>
  <c r="D197" i="10"/>
  <c r="D198" i="10"/>
  <c r="D199" i="10"/>
  <c r="D200" i="10"/>
  <c r="D201" i="10"/>
  <c r="D202" i="10"/>
  <c r="D203" i="10"/>
  <c r="D204" i="10"/>
  <c r="D205" i="10"/>
  <c r="D206" i="10"/>
  <c r="D207" i="10"/>
  <c r="D208" i="10"/>
  <c r="D209" i="10"/>
  <c r="D210" i="10"/>
  <c r="D211" i="10"/>
  <c r="D212" i="10"/>
  <c r="D213" i="10"/>
  <c r="D214" i="10"/>
  <c r="D215" i="10"/>
  <c r="D216" i="10"/>
  <c r="D217" i="10"/>
  <c r="D218" i="10"/>
  <c r="D219" i="10"/>
  <c r="D220" i="10"/>
  <c r="D221" i="10"/>
  <c r="D222" i="10"/>
  <c r="D223" i="10"/>
  <c r="D224" i="10"/>
  <c r="D225" i="10"/>
  <c r="D226" i="10"/>
  <c r="D227" i="10"/>
  <c r="D228" i="10"/>
  <c r="D229" i="10"/>
  <c r="D230" i="10"/>
  <c r="D231" i="10"/>
  <c r="D232" i="10"/>
  <c r="D233" i="10"/>
  <c r="D234" i="10"/>
  <c r="D235" i="10"/>
  <c r="D236" i="10"/>
  <c r="D237" i="10"/>
  <c r="D238" i="10"/>
  <c r="D239" i="10"/>
  <c r="D240" i="10"/>
  <c r="D241" i="10"/>
  <c r="D242" i="10"/>
  <c r="D243" i="10"/>
  <c r="D244" i="10"/>
  <c r="D245" i="10"/>
  <c r="D246" i="10"/>
  <c r="D247" i="10"/>
  <c r="D248" i="10"/>
  <c r="D249" i="10"/>
  <c r="D250" i="10"/>
  <c r="D251" i="10"/>
  <c r="D252" i="10"/>
  <c r="D253" i="10"/>
  <c r="D254" i="10"/>
  <c r="D255" i="10"/>
  <c r="D256" i="10"/>
  <c r="D257" i="10"/>
  <c r="D258" i="10"/>
  <c r="D259" i="10"/>
  <c r="D260" i="10"/>
  <c r="D261" i="10"/>
  <c r="D262" i="10"/>
  <c r="D263" i="10"/>
  <c r="D264" i="10"/>
  <c r="D266" i="10"/>
  <c r="D267" i="10"/>
  <c r="D268" i="10"/>
  <c r="D269" i="10"/>
  <c r="D270" i="10"/>
  <c r="D271" i="10"/>
  <c r="D272" i="10"/>
  <c r="D273" i="10"/>
  <c r="D274" i="10"/>
  <c r="D275" i="10"/>
  <c r="D276" i="10"/>
  <c r="D277" i="10"/>
  <c r="D278" i="10"/>
  <c r="D279" i="10"/>
  <c r="D280" i="10"/>
  <c r="D281" i="10"/>
  <c r="D282" i="10"/>
  <c r="D283" i="10"/>
  <c r="D284" i="10"/>
  <c r="D285" i="10"/>
  <c r="D286" i="10"/>
  <c r="D287" i="10"/>
  <c r="D288" i="10"/>
  <c r="D289" i="10"/>
  <c r="D290" i="10"/>
  <c r="D291" i="10"/>
  <c r="D292" i="10"/>
  <c r="D293" i="10"/>
  <c r="D294" i="10"/>
  <c r="D295" i="10"/>
  <c r="D296" i="10"/>
  <c r="D297" i="10"/>
  <c r="D298" i="10"/>
  <c r="D299" i="10"/>
  <c r="D300" i="10"/>
  <c r="D301" i="10"/>
  <c r="D302" i="10"/>
  <c r="D303" i="10"/>
  <c r="D304" i="10"/>
  <c r="D305" i="10"/>
  <c r="D306" i="10"/>
  <c r="D307" i="10"/>
  <c r="D308" i="10"/>
  <c r="D309" i="10"/>
  <c r="D310" i="10"/>
  <c r="D311" i="10"/>
  <c r="D312" i="10"/>
  <c r="D313" i="10"/>
  <c r="D314" i="10"/>
  <c r="D315" i="10"/>
  <c r="D316" i="10"/>
  <c r="D317" i="10"/>
  <c r="D318" i="10"/>
  <c r="D319" i="10"/>
  <c r="D320" i="10"/>
  <c r="D321" i="10"/>
  <c r="D322" i="10"/>
  <c r="D323" i="10"/>
  <c r="D324" i="10"/>
  <c r="D325" i="10"/>
  <c r="D326" i="10"/>
  <c r="D327" i="10"/>
  <c r="D328" i="10"/>
  <c r="D329" i="10"/>
  <c r="D330" i="10"/>
  <c r="D331" i="10"/>
  <c r="D332" i="10"/>
  <c r="D333" i="10"/>
  <c r="D334" i="10"/>
  <c r="D335" i="10"/>
  <c r="D336" i="10"/>
  <c r="D337" i="10"/>
  <c r="D338" i="10"/>
  <c r="D339" i="10"/>
  <c r="D340" i="10"/>
  <c r="D341" i="10"/>
  <c r="D342" i="10"/>
  <c r="D343" i="10"/>
  <c r="D344" i="10"/>
  <c r="D345" i="10"/>
  <c r="D346" i="10"/>
  <c r="D347" i="10"/>
  <c r="D348" i="10"/>
  <c r="D349" i="10"/>
  <c r="D350" i="10"/>
  <c r="D351" i="10"/>
  <c r="D352" i="10"/>
  <c r="D353" i="10"/>
  <c r="D354" i="10"/>
  <c r="D355" i="10"/>
  <c r="D356" i="10"/>
  <c r="D357" i="10"/>
  <c r="D358" i="10"/>
  <c r="D359" i="10"/>
  <c r="D361" i="10"/>
  <c r="D362" i="10"/>
  <c r="D363" i="10"/>
  <c r="D364" i="10"/>
  <c r="D365" i="10"/>
  <c r="D366" i="10"/>
  <c r="D367" i="10"/>
  <c r="D368" i="10"/>
  <c r="D369" i="10"/>
  <c r="D370" i="10"/>
  <c r="D371" i="10"/>
  <c r="D372" i="10"/>
  <c r="D373" i="10"/>
  <c r="D374" i="10"/>
  <c r="D375" i="10"/>
  <c r="D376" i="10"/>
  <c r="D377" i="10"/>
  <c r="D378" i="10"/>
  <c r="D379" i="10"/>
  <c r="D380" i="10"/>
  <c r="D381" i="10"/>
  <c r="D382" i="10"/>
  <c r="D383" i="10"/>
  <c r="D384" i="10"/>
  <c r="D385" i="10"/>
  <c r="D386" i="10"/>
  <c r="D387" i="10"/>
  <c r="D388" i="10"/>
  <c r="D389" i="10"/>
  <c r="D390" i="10"/>
  <c r="D391" i="10"/>
  <c r="D392" i="10"/>
  <c r="D393" i="10"/>
  <c r="D394" i="10"/>
  <c r="D395" i="10"/>
  <c r="D396" i="10"/>
  <c r="D397" i="10"/>
  <c r="D398" i="10"/>
  <c r="D399" i="10"/>
  <c r="D400" i="10"/>
  <c r="D401" i="10"/>
  <c r="D402" i="10"/>
  <c r="D403" i="10"/>
  <c r="D404" i="10"/>
  <c r="D405" i="10"/>
  <c r="D406" i="10"/>
  <c r="D407" i="10"/>
  <c r="D408" i="10"/>
  <c r="D409" i="10"/>
  <c r="D410" i="10"/>
  <c r="D411" i="10"/>
  <c r="D412" i="10"/>
  <c r="D413" i="10"/>
  <c r="D414" i="10"/>
  <c r="D415" i="10"/>
  <c r="D416" i="10"/>
  <c r="D417" i="10"/>
  <c r="D418" i="10"/>
  <c r="D419" i="10"/>
  <c r="D420" i="10"/>
  <c r="D421" i="10"/>
  <c r="D422" i="10"/>
  <c r="D423" i="10"/>
  <c r="D424" i="10"/>
  <c r="D425" i="10"/>
  <c r="D426" i="10"/>
  <c r="D427" i="10"/>
  <c r="D428" i="10"/>
  <c r="D429" i="10"/>
  <c r="D430" i="10"/>
  <c r="D431" i="10"/>
  <c r="D432" i="10"/>
  <c r="D433" i="10"/>
  <c r="D434" i="10"/>
  <c r="D435" i="10"/>
  <c r="D436" i="10"/>
  <c r="D437" i="10"/>
  <c r="D438" i="10"/>
  <c r="D439" i="10"/>
  <c r="D440" i="10"/>
  <c r="D441" i="10"/>
  <c r="D442" i="10"/>
  <c r="D443" i="10"/>
  <c r="D444" i="10"/>
  <c r="D445" i="10"/>
  <c r="D446" i="10"/>
  <c r="D448" i="10"/>
  <c r="D449" i="10"/>
  <c r="D450" i="10"/>
  <c r="D451" i="10"/>
  <c r="D452" i="10"/>
  <c r="D453" i="10"/>
  <c r="D454" i="10"/>
  <c r="D455" i="10"/>
  <c r="D456" i="10"/>
  <c r="D457" i="10"/>
  <c r="D458" i="10"/>
  <c r="D459" i="10"/>
  <c r="D460" i="10"/>
  <c r="D461" i="10"/>
  <c r="D462" i="10"/>
  <c r="D463" i="10"/>
  <c r="D464" i="10"/>
  <c r="D465" i="10"/>
  <c r="D466" i="10"/>
  <c r="D467" i="10"/>
  <c r="D468" i="10"/>
  <c r="D469" i="10"/>
  <c r="D470" i="10"/>
  <c r="D471" i="10"/>
  <c r="D472" i="10"/>
  <c r="D473" i="10"/>
  <c r="D474" i="10"/>
  <c r="D475" i="10"/>
  <c r="D476" i="10"/>
  <c r="D477" i="10"/>
  <c r="D478" i="10"/>
  <c r="D479" i="10"/>
  <c r="D480" i="10"/>
  <c r="D481" i="10"/>
  <c r="D482" i="10"/>
  <c r="D483" i="10"/>
  <c r="D484" i="10"/>
  <c r="D485" i="10"/>
  <c r="D486" i="10"/>
  <c r="D487" i="10"/>
  <c r="D488" i="10"/>
  <c r="D489" i="10"/>
  <c r="D490" i="10"/>
  <c r="D491" i="10"/>
  <c r="D492" i="10"/>
  <c r="D493" i="10"/>
  <c r="D494" i="10"/>
  <c r="D495" i="10"/>
  <c r="D496" i="10"/>
  <c r="D497" i="10"/>
  <c r="D498" i="10"/>
  <c r="D499" i="10"/>
  <c r="D500" i="10"/>
  <c r="D501" i="10"/>
  <c r="D502" i="10"/>
  <c r="D503" i="10"/>
  <c r="D504" i="10"/>
  <c r="D505" i="10"/>
  <c r="D506" i="10"/>
  <c r="D507" i="10"/>
  <c r="D508" i="10"/>
  <c r="D509" i="10"/>
  <c r="D510" i="10"/>
  <c r="D511" i="10"/>
  <c r="D512" i="10"/>
  <c r="D513" i="10"/>
  <c r="D514" i="10"/>
  <c r="D515" i="10"/>
  <c r="D516" i="10"/>
  <c r="D517" i="10"/>
  <c r="D518" i="10"/>
  <c r="D519" i="10"/>
  <c r="D520" i="10"/>
  <c r="D521" i="10"/>
  <c r="D522" i="10"/>
  <c r="D523" i="10"/>
  <c r="D524" i="10"/>
  <c r="D525" i="10"/>
  <c r="D526" i="10"/>
  <c r="D527" i="10"/>
  <c r="D528" i="10"/>
  <c r="D529" i="10"/>
  <c r="D530" i="10"/>
  <c r="D531" i="10"/>
  <c r="D532" i="10"/>
  <c r="D533" i="10"/>
  <c r="D534" i="10"/>
  <c r="D535" i="10"/>
  <c r="D537" i="10"/>
  <c r="D538" i="10"/>
  <c r="D539" i="10"/>
  <c r="D540" i="10"/>
  <c r="D541" i="10"/>
  <c r="D542" i="10"/>
  <c r="D543" i="10"/>
  <c r="D544" i="10"/>
  <c r="D545" i="10"/>
  <c r="D546" i="10"/>
  <c r="D547" i="10"/>
  <c r="D548" i="10"/>
  <c r="D549" i="10"/>
  <c r="D550" i="10"/>
  <c r="D551" i="10"/>
  <c r="D552" i="10"/>
  <c r="D553" i="10"/>
  <c r="D554" i="10"/>
  <c r="D555" i="10"/>
  <c r="D556" i="10"/>
  <c r="D557" i="10"/>
  <c r="D558" i="10"/>
  <c r="D559" i="10"/>
  <c r="D560" i="10"/>
  <c r="D561" i="10"/>
  <c r="D562" i="10"/>
  <c r="D563" i="10"/>
  <c r="D564" i="10"/>
  <c r="D565" i="10"/>
  <c r="D566" i="10"/>
  <c r="D567" i="10"/>
  <c r="D568" i="10"/>
  <c r="D569" i="10"/>
  <c r="D570" i="10"/>
  <c r="D571" i="10"/>
  <c r="D572" i="10"/>
  <c r="D573" i="10"/>
  <c r="D574" i="10"/>
  <c r="D575" i="10"/>
  <c r="D576" i="10"/>
  <c r="D577" i="10"/>
  <c r="D578" i="10"/>
  <c r="D579" i="10"/>
  <c r="D580" i="10"/>
  <c r="D581" i="10"/>
  <c r="D582" i="10"/>
  <c r="D583" i="10"/>
  <c r="D584" i="10"/>
  <c r="D585" i="10"/>
  <c r="D586" i="10"/>
  <c r="D587" i="10"/>
  <c r="D588" i="10"/>
  <c r="D589" i="10"/>
  <c r="D590" i="10"/>
  <c r="D591" i="10"/>
  <c r="D592" i="10"/>
  <c r="D593" i="10"/>
  <c r="D594" i="10"/>
  <c r="D595" i="10"/>
  <c r="D596" i="10"/>
  <c r="D597" i="10"/>
  <c r="D598" i="10"/>
  <c r="D599" i="10"/>
  <c r="D600" i="10"/>
  <c r="D601" i="10"/>
  <c r="D602" i="10"/>
  <c r="D603" i="10"/>
  <c r="D604" i="10"/>
  <c r="D605" i="10"/>
  <c r="D606" i="10"/>
  <c r="D607" i="10"/>
  <c r="D608" i="10"/>
  <c r="D609" i="10"/>
  <c r="D610" i="10"/>
  <c r="D611" i="10"/>
  <c r="D612" i="10"/>
  <c r="D613" i="10"/>
  <c r="D614" i="10"/>
  <c r="D615" i="10"/>
  <c r="D616" i="10"/>
  <c r="D617" i="10"/>
  <c r="D618" i="10"/>
  <c r="D619" i="10"/>
  <c r="D620" i="10"/>
  <c r="D621" i="10"/>
  <c r="D622" i="10"/>
  <c r="D623" i="10"/>
  <c r="D624" i="10"/>
  <c r="D625" i="10"/>
  <c r="D626" i="10"/>
  <c r="D627" i="10"/>
  <c r="D628" i="10"/>
  <c r="D629" i="10"/>
  <c r="D630" i="10"/>
  <c r="D631" i="10"/>
  <c r="D632" i="10"/>
  <c r="D633" i="10"/>
  <c r="D634" i="10"/>
  <c r="D635" i="10"/>
  <c r="D636" i="10"/>
  <c r="D637" i="10"/>
  <c r="D638" i="10"/>
  <c r="D639" i="10"/>
  <c r="D93" i="10"/>
  <c r="D94" i="10"/>
  <c r="D95" i="10"/>
  <c r="D96" i="10"/>
  <c r="D6" i="10"/>
  <c r="D7" i="10"/>
  <c r="D8" i="10"/>
  <c r="D9" i="10"/>
  <c r="D10" i="10"/>
  <c r="D11" i="10"/>
  <c r="D12" i="10"/>
  <c r="D13" i="10"/>
  <c r="D14" i="10"/>
  <c r="D15" i="10"/>
  <c r="D16" i="10"/>
  <c r="D17" i="10"/>
  <c r="D18" i="10"/>
  <c r="D19" i="10"/>
  <c r="D20" i="10"/>
  <c r="D21" i="10"/>
  <c r="D22" i="10"/>
  <c r="D23" i="10"/>
  <c r="D24" i="10"/>
  <c r="D25" i="10"/>
  <c r="D26" i="10"/>
  <c r="D27" i="10"/>
  <c r="D28" i="10"/>
  <c r="D29" i="10"/>
  <c r="D30" i="10"/>
  <c r="D31" i="10"/>
  <c r="D32" i="10"/>
  <c r="D33" i="10"/>
  <c r="D34" i="10"/>
  <c r="D35" i="10"/>
  <c r="D36" i="10"/>
  <c r="D37" i="10"/>
  <c r="D38" i="10"/>
  <c r="D39" i="10"/>
  <c r="D40" i="10"/>
  <c r="D41" i="10"/>
  <c r="D42" i="10"/>
  <c r="D43" i="10"/>
  <c r="D44" i="10"/>
  <c r="D45" i="10"/>
  <c r="D46" i="10"/>
  <c r="D47" i="10"/>
  <c r="D48" i="10"/>
  <c r="D49" i="10"/>
  <c r="D50" i="10"/>
  <c r="D51" i="10"/>
  <c r="D52" i="10"/>
  <c r="D53" i="10"/>
  <c r="D54" i="10"/>
  <c r="D55" i="10"/>
  <c r="D56" i="10"/>
  <c r="D57" i="10"/>
  <c r="D58" i="10"/>
  <c r="D59" i="10"/>
  <c r="D60" i="10"/>
  <c r="D61" i="10"/>
  <c r="D62" i="10"/>
  <c r="D63" i="10"/>
  <c r="D64" i="10"/>
  <c r="D65" i="10"/>
  <c r="D66" i="10"/>
  <c r="D67" i="10"/>
  <c r="D68" i="10"/>
  <c r="D69" i="10"/>
  <c r="D70" i="10"/>
  <c r="D71" i="10"/>
  <c r="D72" i="10"/>
  <c r="D73" i="10"/>
  <c r="D74" i="10"/>
  <c r="D75" i="10"/>
  <c r="D76" i="10"/>
  <c r="D77" i="10"/>
  <c r="D78" i="10"/>
  <c r="D79" i="10"/>
  <c r="D80" i="10"/>
  <c r="D81" i="10"/>
  <c r="D82" i="10"/>
  <c r="D83" i="10"/>
  <c r="D84" i="10"/>
  <c r="D85" i="10"/>
  <c r="D86" i="10"/>
  <c r="D87" i="10"/>
  <c r="D88" i="10"/>
  <c r="D89" i="10"/>
  <c r="D90" i="10"/>
  <c r="D91" i="10"/>
  <c r="D5" i="10"/>
  <c r="AB2" i="5"/>
  <c r="AA2" i="5" a="1"/>
  <c r="AA2" i="5" s="1"/>
  <c r="W20" i="5"/>
  <c r="W32" i="5"/>
  <c r="W42" i="5"/>
  <c r="W64" i="5"/>
  <c r="W96" i="5"/>
  <c r="W127" i="5"/>
  <c r="W200" i="5"/>
  <c r="V2" i="5"/>
  <c r="W2" i="5" s="1"/>
  <c r="V3" i="5"/>
  <c r="W3" i="5" s="1"/>
  <c r="V4" i="5"/>
  <c r="W4" i="5" s="1"/>
  <c r="V5" i="5"/>
  <c r="W5" i="5" s="1"/>
  <c r="V6" i="5"/>
  <c r="W6" i="5" s="1"/>
  <c r="V7" i="5"/>
  <c r="W7" i="5" s="1"/>
  <c r="V8" i="5"/>
  <c r="W8" i="5" s="1"/>
  <c r="AB480" i="5" s="1"/>
  <c r="V9" i="5"/>
  <c r="W9" i="5" s="1"/>
  <c r="V10" i="5"/>
  <c r="W10" i="5" s="1"/>
  <c r="V11" i="5"/>
  <c r="W11" i="5" s="1"/>
  <c r="V12" i="5"/>
  <c r="W12" i="5" s="1"/>
  <c r="V13" i="5"/>
  <c r="W13" i="5" s="1"/>
  <c r="V14" i="5"/>
  <c r="W14" i="5" s="1"/>
  <c r="V15" i="5"/>
  <c r="W15" i="5" s="1"/>
  <c r="V16" i="5"/>
  <c r="W16" i="5" s="1"/>
  <c r="V17" i="5"/>
  <c r="W17" i="5" s="1"/>
  <c r="AJ17" i="5" s="1"/>
  <c r="V18" i="5"/>
  <c r="W18" i="5" s="1"/>
  <c r="V19" i="5"/>
  <c r="W19" i="5" s="1"/>
  <c r="V20" i="5"/>
  <c r="V21" i="5"/>
  <c r="W21" i="5" s="1"/>
  <c r="V22" i="5"/>
  <c r="W22" i="5" s="1"/>
  <c r="V23" i="5"/>
  <c r="W23" i="5" s="1"/>
  <c r="V24" i="5"/>
  <c r="W24" i="5" s="1"/>
  <c r="V25" i="5"/>
  <c r="W25" i="5" s="1"/>
  <c r="V26" i="5"/>
  <c r="W26" i="5" s="1"/>
  <c r="V27" i="5"/>
  <c r="W27" i="5" s="1"/>
  <c r="V28" i="5"/>
  <c r="W28" i="5" s="1"/>
  <c r="V29" i="5"/>
  <c r="W29" i="5" s="1"/>
  <c r="V30" i="5"/>
  <c r="W30" i="5" s="1"/>
  <c r="V31" i="5"/>
  <c r="W31" i="5" s="1"/>
  <c r="V32" i="5"/>
  <c r="V33" i="5"/>
  <c r="W33" i="5" s="1"/>
  <c r="V34" i="5"/>
  <c r="W34" i="5" s="1"/>
  <c r="V35" i="5"/>
  <c r="W35" i="5" s="1"/>
  <c r="V36" i="5"/>
  <c r="W36" i="5" s="1"/>
  <c r="V37" i="5"/>
  <c r="W37" i="5" s="1"/>
  <c r="V38" i="5"/>
  <c r="W38" i="5" s="1"/>
  <c r="V39" i="5"/>
  <c r="W39" i="5" s="1"/>
  <c r="V40" i="5"/>
  <c r="W40" i="5" s="1"/>
  <c r="V41" i="5"/>
  <c r="W41" i="5" s="1"/>
  <c r="V42" i="5"/>
  <c r="V43" i="5"/>
  <c r="W43" i="5" s="1"/>
  <c r="V44" i="5"/>
  <c r="W44" i="5" s="1"/>
  <c r="V45" i="5"/>
  <c r="W45" i="5" s="1"/>
  <c r="V46" i="5"/>
  <c r="W46" i="5" s="1"/>
  <c r="V47" i="5"/>
  <c r="W47" i="5" s="1"/>
  <c r="V48" i="5"/>
  <c r="W48" i="5" s="1"/>
  <c r="V49" i="5"/>
  <c r="W49" i="5" s="1"/>
  <c r="V50" i="5"/>
  <c r="W50" i="5" s="1"/>
  <c r="V51" i="5"/>
  <c r="W51" i="5" s="1"/>
  <c r="V52" i="5"/>
  <c r="W52" i="5" s="1"/>
  <c r="V53" i="5"/>
  <c r="W53" i="5" s="1"/>
  <c r="V54" i="5"/>
  <c r="W54" i="5" s="1"/>
  <c r="V55" i="5"/>
  <c r="W55" i="5" s="1"/>
  <c r="V56" i="5"/>
  <c r="W56" i="5" s="1"/>
  <c r="V57" i="5"/>
  <c r="W57" i="5" s="1"/>
  <c r="V58" i="5"/>
  <c r="W58" i="5" s="1"/>
  <c r="V59" i="5"/>
  <c r="W59" i="5" s="1"/>
  <c r="V60" i="5"/>
  <c r="W60" i="5" s="1"/>
  <c r="V61" i="5"/>
  <c r="W61" i="5" s="1"/>
  <c r="V62" i="5"/>
  <c r="W62" i="5" s="1"/>
  <c r="V63" i="5"/>
  <c r="W63" i="5" s="1"/>
  <c r="V64" i="5"/>
  <c r="V65" i="5"/>
  <c r="W65" i="5" s="1"/>
  <c r="V66" i="5"/>
  <c r="W66" i="5" s="1"/>
  <c r="V67" i="5"/>
  <c r="W67" i="5" s="1"/>
  <c r="V68" i="5"/>
  <c r="W68" i="5" s="1"/>
  <c r="V69" i="5"/>
  <c r="W69" i="5" s="1"/>
  <c r="V70" i="5"/>
  <c r="W70" i="5" s="1"/>
  <c r="V71" i="5"/>
  <c r="W71" i="5" s="1"/>
  <c r="V72" i="5"/>
  <c r="W72" i="5" s="1"/>
  <c r="V73" i="5"/>
  <c r="W73" i="5" s="1"/>
  <c r="V74" i="5"/>
  <c r="W74" i="5" s="1"/>
  <c r="V75" i="5"/>
  <c r="W75" i="5" s="1"/>
  <c r="V76" i="5"/>
  <c r="W76" i="5" s="1"/>
  <c r="V77" i="5"/>
  <c r="W77" i="5" s="1"/>
  <c r="V78" i="5"/>
  <c r="W78" i="5" s="1"/>
  <c r="V79" i="5"/>
  <c r="W79" i="5" s="1"/>
  <c r="V80" i="5"/>
  <c r="W80" i="5" s="1"/>
  <c r="V81" i="5"/>
  <c r="W81" i="5" s="1"/>
  <c r="V82" i="5"/>
  <c r="W82" i="5" s="1"/>
  <c r="V83" i="5"/>
  <c r="W83" i="5" s="1"/>
  <c r="V84" i="5"/>
  <c r="W84" i="5" s="1"/>
  <c r="V85" i="5"/>
  <c r="W85" i="5" s="1"/>
  <c r="V86" i="5"/>
  <c r="W86" i="5" s="1"/>
  <c r="V87" i="5"/>
  <c r="W87" i="5" s="1"/>
  <c r="V88" i="5"/>
  <c r="W88" i="5" s="1"/>
  <c r="V89" i="5"/>
  <c r="W89" i="5" s="1"/>
  <c r="V90" i="5"/>
  <c r="W90" i="5" s="1"/>
  <c r="V91" i="5"/>
  <c r="W91" i="5" s="1"/>
  <c r="V92" i="5"/>
  <c r="W92" i="5" s="1"/>
  <c r="V93" i="5"/>
  <c r="W93" i="5" s="1"/>
  <c r="V94" i="5"/>
  <c r="W94" i="5" s="1"/>
  <c r="V95" i="5"/>
  <c r="W95" i="5" s="1"/>
  <c r="V96" i="5"/>
  <c r="V97" i="5"/>
  <c r="W97" i="5" s="1"/>
  <c r="V98" i="5"/>
  <c r="W98" i="5" s="1"/>
  <c r="V99" i="5"/>
  <c r="W99" i="5" s="1"/>
  <c r="V100" i="5"/>
  <c r="W100" i="5" s="1"/>
  <c r="V101" i="5"/>
  <c r="W101" i="5" s="1"/>
  <c r="V102" i="5"/>
  <c r="W102" i="5" s="1"/>
  <c r="V103" i="5"/>
  <c r="W103" i="5" s="1"/>
  <c r="V104" i="5"/>
  <c r="W104" i="5" s="1"/>
  <c r="V105" i="5"/>
  <c r="W105" i="5" s="1"/>
  <c r="V106" i="5"/>
  <c r="W106" i="5" s="1"/>
  <c r="V107" i="5"/>
  <c r="W107" i="5" s="1"/>
  <c r="V108" i="5"/>
  <c r="W108" i="5" s="1"/>
  <c r="V109" i="5"/>
  <c r="W109" i="5" s="1"/>
  <c r="V110" i="5"/>
  <c r="W110" i="5" s="1"/>
  <c r="V111" i="5"/>
  <c r="W111" i="5" s="1"/>
  <c r="V112" i="5"/>
  <c r="W112" i="5" s="1"/>
  <c r="V113" i="5"/>
  <c r="W113" i="5" s="1"/>
  <c r="V114" i="5"/>
  <c r="W114" i="5" s="1"/>
  <c r="V115" i="5"/>
  <c r="W115" i="5" s="1"/>
  <c r="V116" i="5"/>
  <c r="W116" i="5" s="1"/>
  <c r="V117" i="5"/>
  <c r="W117" i="5" s="1"/>
  <c r="V118" i="5"/>
  <c r="W118" i="5" s="1"/>
  <c r="V119" i="5"/>
  <c r="W119" i="5" s="1"/>
  <c r="V120" i="5"/>
  <c r="W120" i="5" s="1"/>
  <c r="V121" i="5"/>
  <c r="W121" i="5" s="1"/>
  <c r="V122" i="5"/>
  <c r="W122" i="5" s="1"/>
  <c r="V123" i="5"/>
  <c r="W123" i="5" s="1"/>
  <c r="V124" i="5"/>
  <c r="W124" i="5" s="1"/>
  <c r="V125" i="5"/>
  <c r="W125" i="5" s="1"/>
  <c r="V126" i="5"/>
  <c r="W126" i="5" s="1"/>
  <c r="V127" i="5"/>
  <c r="V128" i="5"/>
  <c r="W128" i="5" s="1"/>
  <c r="V129" i="5"/>
  <c r="W129" i="5" s="1"/>
  <c r="V130" i="5"/>
  <c r="W130" i="5" s="1"/>
  <c r="V131" i="5"/>
  <c r="W131" i="5" s="1"/>
  <c r="V132" i="5"/>
  <c r="W132" i="5" s="1"/>
  <c r="V133" i="5"/>
  <c r="W133" i="5" s="1"/>
  <c r="V134" i="5"/>
  <c r="W134" i="5" s="1"/>
  <c r="V135" i="5"/>
  <c r="W135" i="5" s="1"/>
  <c r="V136" i="5"/>
  <c r="W136" i="5" s="1"/>
  <c r="V137" i="5"/>
  <c r="W137" i="5" s="1"/>
  <c r="V138" i="5"/>
  <c r="W138" i="5" s="1"/>
  <c r="V139" i="5"/>
  <c r="W139" i="5" s="1"/>
  <c r="V140" i="5"/>
  <c r="W140" i="5" s="1"/>
  <c r="V141" i="5"/>
  <c r="W141" i="5" s="1"/>
  <c r="V142" i="5"/>
  <c r="W142" i="5" s="1"/>
  <c r="V143" i="5"/>
  <c r="W143" i="5" s="1"/>
  <c r="V144" i="5"/>
  <c r="W144" i="5" s="1"/>
  <c r="V145" i="5"/>
  <c r="W145" i="5" s="1"/>
  <c r="V146" i="5"/>
  <c r="W146" i="5" s="1"/>
  <c r="V147" i="5"/>
  <c r="W147" i="5" s="1"/>
  <c r="V148" i="5"/>
  <c r="W148" i="5" s="1"/>
  <c r="V149" i="5"/>
  <c r="W149" i="5" s="1"/>
  <c r="V150" i="5"/>
  <c r="W150" i="5" s="1"/>
  <c r="V151" i="5"/>
  <c r="W151" i="5" s="1"/>
  <c r="V152" i="5"/>
  <c r="W152" i="5" s="1"/>
  <c r="V153" i="5"/>
  <c r="W153" i="5" s="1"/>
  <c r="V154" i="5"/>
  <c r="W154" i="5" s="1"/>
  <c r="V155" i="5"/>
  <c r="W155" i="5" s="1"/>
  <c r="V156" i="5"/>
  <c r="W156" i="5" s="1"/>
  <c r="V157" i="5"/>
  <c r="W157" i="5" s="1"/>
  <c r="V158" i="5"/>
  <c r="W158" i="5" s="1"/>
  <c r="V159" i="5"/>
  <c r="W159" i="5" s="1"/>
  <c r="V160" i="5"/>
  <c r="W160" i="5" s="1"/>
  <c r="V161" i="5"/>
  <c r="W161" i="5" s="1"/>
  <c r="V162" i="5"/>
  <c r="W162" i="5" s="1"/>
  <c r="V163" i="5"/>
  <c r="W163" i="5" s="1"/>
  <c r="V164" i="5"/>
  <c r="W164" i="5" s="1"/>
  <c r="V165" i="5"/>
  <c r="W165" i="5" s="1"/>
  <c r="V166" i="5"/>
  <c r="W166" i="5" s="1"/>
  <c r="V167" i="5"/>
  <c r="W167" i="5" s="1"/>
  <c r="V168" i="5"/>
  <c r="W168" i="5" s="1"/>
  <c r="V169" i="5"/>
  <c r="W169" i="5" s="1"/>
  <c r="V170" i="5"/>
  <c r="W170" i="5" s="1"/>
  <c r="V171" i="5"/>
  <c r="W171" i="5" s="1"/>
  <c r="V172" i="5"/>
  <c r="W172" i="5" s="1"/>
  <c r="V173" i="5"/>
  <c r="W173" i="5" s="1"/>
  <c r="V174" i="5"/>
  <c r="W174" i="5" s="1"/>
  <c r="V175" i="5"/>
  <c r="W175" i="5" s="1"/>
  <c r="V176" i="5"/>
  <c r="W176" i="5" s="1"/>
  <c r="V177" i="5"/>
  <c r="W177" i="5" s="1"/>
  <c r="V178" i="5"/>
  <c r="W178" i="5" s="1"/>
  <c r="V179" i="5"/>
  <c r="W179" i="5" s="1"/>
  <c r="V180" i="5"/>
  <c r="W180" i="5" s="1"/>
  <c r="V181" i="5"/>
  <c r="W181" i="5" s="1"/>
  <c r="V182" i="5"/>
  <c r="W182" i="5" s="1"/>
  <c r="V183" i="5"/>
  <c r="W183" i="5" s="1"/>
  <c r="V184" i="5"/>
  <c r="W184" i="5" s="1"/>
  <c r="V185" i="5"/>
  <c r="W185" i="5" s="1"/>
  <c r="V186" i="5"/>
  <c r="W186" i="5" s="1"/>
  <c r="V187" i="5"/>
  <c r="W187" i="5" s="1"/>
  <c r="V188" i="5"/>
  <c r="W188" i="5" s="1"/>
  <c r="V189" i="5"/>
  <c r="W189" i="5" s="1"/>
  <c r="V190" i="5"/>
  <c r="W190" i="5" s="1"/>
  <c r="V191" i="5"/>
  <c r="W191" i="5" s="1"/>
  <c r="V192" i="5"/>
  <c r="W192" i="5" s="1"/>
  <c r="V193" i="5"/>
  <c r="W193" i="5" s="1"/>
  <c r="V194" i="5"/>
  <c r="W194" i="5" s="1"/>
  <c r="V195" i="5"/>
  <c r="W195" i="5" s="1"/>
  <c r="V196" i="5"/>
  <c r="W196" i="5" s="1"/>
  <c r="V197" i="5"/>
  <c r="W197" i="5" s="1"/>
  <c r="V198" i="5"/>
  <c r="W198" i="5" s="1"/>
  <c r="V199" i="5"/>
  <c r="W199" i="5" s="1"/>
  <c r="V200" i="5"/>
  <c r="V201" i="5"/>
  <c r="W201" i="5" s="1"/>
  <c r="V202" i="5"/>
  <c r="W202" i="5" s="1"/>
  <c r="V203" i="5"/>
  <c r="W203" i="5" s="1"/>
  <c r="V204" i="5"/>
  <c r="W204" i="5" s="1"/>
  <c r="V205" i="5"/>
  <c r="W205" i="5" s="1"/>
  <c r="V206" i="5"/>
  <c r="W206" i="5" s="1"/>
  <c r="V207" i="5"/>
  <c r="W207" i="5" s="1"/>
  <c r="V208" i="5"/>
  <c r="W208" i="5" s="1"/>
  <c r="V209" i="5"/>
  <c r="W209" i="5" s="1"/>
  <c r="V210" i="5"/>
  <c r="W210" i="5" s="1"/>
  <c r="V211" i="5"/>
  <c r="W211" i="5" s="1"/>
  <c r="V212" i="5"/>
  <c r="W212" i="5" s="1"/>
  <c r="V213" i="5"/>
  <c r="W213" i="5" s="1"/>
  <c r="V214" i="5"/>
  <c r="W214" i="5" s="1"/>
  <c r="V215" i="5"/>
  <c r="W215" i="5" s="1"/>
  <c r="V216" i="5"/>
  <c r="W216" i="5" s="1"/>
  <c r="V217" i="5"/>
  <c r="W217" i="5" s="1"/>
  <c r="V218" i="5"/>
  <c r="W218" i="5" s="1"/>
  <c r="V219" i="5"/>
  <c r="W219" i="5" s="1"/>
  <c r="V220" i="5"/>
  <c r="W220" i="5" s="1"/>
  <c r="V221" i="5"/>
  <c r="W221" i="5" s="1"/>
  <c r="V222" i="5"/>
  <c r="W222" i="5" s="1"/>
  <c r="V223" i="5"/>
  <c r="W223" i="5" s="1"/>
  <c r="V224" i="5"/>
  <c r="W224" i="5" s="1"/>
  <c r="V225" i="5"/>
  <c r="W225" i="5" s="1"/>
  <c r="V226" i="5"/>
  <c r="W226" i="5" s="1"/>
  <c r="V227" i="5"/>
  <c r="W227" i="5" s="1"/>
  <c r="V228" i="5"/>
  <c r="W228" i="5" s="1"/>
  <c r="V229" i="5"/>
  <c r="W229" i="5" s="1"/>
  <c r="V230" i="5"/>
  <c r="W230" i="5" s="1"/>
  <c r="V231" i="5"/>
  <c r="W231" i="5" s="1"/>
  <c r="V232" i="5"/>
  <c r="W232" i="5" s="1"/>
  <c r="V233" i="5"/>
  <c r="W233" i="5" s="1"/>
  <c r="V234" i="5"/>
  <c r="W234" i="5" s="1"/>
  <c r="V235" i="5"/>
  <c r="W235" i="5" s="1"/>
  <c r="V236" i="5"/>
  <c r="W236" i="5" s="1"/>
  <c r="V237" i="5"/>
  <c r="W237" i="5" s="1"/>
  <c r="V238" i="5"/>
  <c r="W238" i="5" s="1"/>
  <c r="V239" i="5"/>
  <c r="W239" i="5" s="1"/>
  <c r="V240" i="5"/>
  <c r="W240" i="5" s="1"/>
  <c r="V241" i="5"/>
  <c r="W241" i="5" s="1"/>
  <c r="V242" i="5"/>
  <c r="W242" i="5" s="1"/>
  <c r="V243" i="5"/>
  <c r="W243" i="5" s="1"/>
  <c r="V244" i="5"/>
  <c r="W244" i="5" s="1"/>
  <c r="V245" i="5"/>
  <c r="W245" i="5" s="1"/>
  <c r="V246" i="5"/>
  <c r="W246" i="5" s="1"/>
  <c r="V247" i="5"/>
  <c r="W247" i="5" s="1"/>
  <c r="V248" i="5"/>
  <c r="W248" i="5" s="1"/>
  <c r="V249" i="5"/>
  <c r="W249" i="5" s="1"/>
  <c r="V250" i="5"/>
  <c r="W250" i="5" s="1"/>
  <c r="V251" i="5"/>
  <c r="W251" i="5" s="1"/>
  <c r="V252" i="5"/>
  <c r="W252" i="5" s="1"/>
  <c r="V253" i="5"/>
  <c r="W253" i="5" s="1"/>
  <c r="V254" i="5"/>
  <c r="W254" i="5" s="1"/>
  <c r="V255" i="5"/>
  <c r="W255" i="5" s="1"/>
  <c r="V256" i="5"/>
  <c r="W256" i="5" s="1"/>
  <c r="V257" i="5"/>
  <c r="W257" i="5" s="1"/>
  <c r="V258" i="5"/>
  <c r="W258" i="5" s="1"/>
  <c r="V259" i="5"/>
  <c r="W259" i="5" s="1"/>
  <c r="V260" i="5"/>
  <c r="W260" i="5" s="1"/>
  <c r="V261" i="5"/>
  <c r="W261" i="5" s="1"/>
  <c r="V262" i="5"/>
  <c r="W262" i="5" s="1"/>
  <c r="V263" i="5"/>
  <c r="W263" i="5" s="1"/>
  <c r="V264" i="5"/>
  <c r="W264" i="5" s="1"/>
  <c r="V265" i="5"/>
  <c r="W265" i="5" s="1"/>
  <c r="V266" i="5"/>
  <c r="W266" i="5" s="1"/>
  <c r="V267" i="5"/>
  <c r="W267" i="5" s="1"/>
  <c r="V268" i="5"/>
  <c r="W268" i="5" s="1"/>
  <c r="V269" i="5"/>
  <c r="W269" i="5" s="1"/>
  <c r="V270" i="5"/>
  <c r="W270" i="5" s="1"/>
  <c r="V271" i="5"/>
  <c r="W271" i="5" s="1"/>
  <c r="V272" i="5"/>
  <c r="W272" i="5" s="1"/>
  <c r="V273" i="5"/>
  <c r="W273" i="5" s="1"/>
  <c r="V274" i="5"/>
  <c r="W274" i="5" s="1"/>
  <c r="V275" i="5"/>
  <c r="W275" i="5" s="1"/>
  <c r="V276" i="5"/>
  <c r="W276" i="5" s="1"/>
  <c r="V277" i="5"/>
  <c r="W277" i="5" s="1"/>
  <c r="V278" i="5"/>
  <c r="W278" i="5" s="1"/>
  <c r="V279" i="5"/>
  <c r="W279" i="5" s="1"/>
  <c r="V280" i="5"/>
  <c r="W280" i="5" s="1"/>
  <c r="V281" i="5"/>
  <c r="W281" i="5" s="1"/>
  <c r="V282" i="5"/>
  <c r="W282" i="5" s="1"/>
  <c r="V283" i="5"/>
  <c r="W283" i="5" s="1"/>
  <c r="V284" i="5"/>
  <c r="W284" i="5" s="1"/>
  <c r="V285" i="5"/>
  <c r="W285" i="5" s="1"/>
  <c r="V286" i="5"/>
  <c r="W286" i="5" s="1"/>
  <c r="V287" i="5"/>
  <c r="W287" i="5" s="1"/>
  <c r="V288" i="5"/>
  <c r="W288" i="5" s="1"/>
  <c r="V289" i="5"/>
  <c r="W289" i="5" s="1"/>
  <c r="V290" i="5"/>
  <c r="W290" i="5" s="1"/>
  <c r="V291" i="5"/>
  <c r="W291" i="5" s="1"/>
  <c r="V292" i="5"/>
  <c r="W292" i="5" s="1"/>
  <c r="V293" i="5"/>
  <c r="W293" i="5" s="1"/>
  <c r="V294" i="5"/>
  <c r="W294" i="5" s="1"/>
  <c r="V295" i="5"/>
  <c r="W295" i="5" s="1"/>
  <c r="V296" i="5"/>
  <c r="W296" i="5" s="1"/>
  <c r="V297" i="5"/>
  <c r="W297" i="5" s="1"/>
  <c r="V298" i="5"/>
  <c r="W298" i="5" s="1"/>
  <c r="V299" i="5"/>
  <c r="W299" i="5" s="1"/>
  <c r="V300" i="5"/>
  <c r="W300" i="5" s="1"/>
  <c r="V301" i="5"/>
  <c r="W301" i="5" s="1"/>
  <c r="V302" i="5"/>
  <c r="W302" i="5" s="1"/>
  <c r="V303" i="5"/>
  <c r="W303" i="5" s="1"/>
  <c r="V304" i="5"/>
  <c r="W304" i="5" s="1"/>
  <c r="V305" i="5"/>
  <c r="W305" i="5" s="1"/>
  <c r="V306" i="5"/>
  <c r="W306" i="5" s="1"/>
  <c r="V307" i="5"/>
  <c r="W307" i="5" s="1"/>
  <c r="V308" i="5"/>
  <c r="W308" i="5" s="1"/>
  <c r="V309" i="5"/>
  <c r="W309" i="5" s="1"/>
  <c r="V310" i="5"/>
  <c r="W310" i="5" s="1"/>
  <c r="V311" i="5"/>
  <c r="W311" i="5" s="1"/>
  <c r="V312" i="5"/>
  <c r="W312" i="5" s="1"/>
  <c r="V313" i="5"/>
  <c r="W313" i="5" s="1"/>
  <c r="V314" i="5"/>
  <c r="W314" i="5" s="1"/>
  <c r="V315" i="5"/>
  <c r="W315" i="5" s="1"/>
  <c r="V316" i="5"/>
  <c r="W316" i="5" s="1"/>
  <c r="V317" i="5"/>
  <c r="W317" i="5" s="1"/>
  <c r="V318" i="5"/>
  <c r="W318" i="5" s="1"/>
  <c r="V319" i="5"/>
  <c r="W319" i="5" s="1"/>
  <c r="V320" i="5"/>
  <c r="W320" i="5" s="1"/>
  <c r="V321" i="5"/>
  <c r="W321" i="5" s="1"/>
  <c r="V322" i="5"/>
  <c r="W322" i="5" s="1"/>
  <c r="V323" i="5"/>
  <c r="W323" i="5" s="1"/>
  <c r="V324" i="5"/>
  <c r="W324" i="5" s="1"/>
  <c r="V325" i="5"/>
  <c r="W325" i="5" s="1"/>
  <c r="V326" i="5"/>
  <c r="W326" i="5" s="1"/>
  <c r="V327" i="5"/>
  <c r="W327" i="5" s="1"/>
  <c r="V328" i="5"/>
  <c r="W328" i="5" s="1"/>
  <c r="V329" i="5"/>
  <c r="W329" i="5" s="1"/>
  <c r="V330" i="5"/>
  <c r="W330" i="5" s="1"/>
  <c r="V331" i="5"/>
  <c r="W331" i="5" s="1"/>
  <c r="V332" i="5"/>
  <c r="W332" i="5" s="1"/>
  <c r="V333" i="5"/>
  <c r="W333" i="5" s="1"/>
  <c r="V334" i="5"/>
  <c r="W334" i="5" s="1"/>
  <c r="V335" i="5"/>
  <c r="W335" i="5" s="1"/>
  <c r="V336" i="5"/>
  <c r="W336" i="5" s="1"/>
  <c r="V337" i="5"/>
  <c r="W337" i="5" s="1"/>
  <c r="V338" i="5"/>
  <c r="W338" i="5" s="1"/>
  <c r="V339" i="5"/>
  <c r="W339" i="5" s="1"/>
  <c r="V340" i="5"/>
  <c r="W340" i="5" s="1"/>
  <c r="V341" i="5"/>
  <c r="W341" i="5" s="1"/>
  <c r="V342" i="5"/>
  <c r="W342" i="5" s="1"/>
  <c r="V343" i="5"/>
  <c r="W343" i="5" s="1"/>
  <c r="V344" i="5"/>
  <c r="W344" i="5" s="1"/>
  <c r="V345" i="5"/>
  <c r="W345" i="5" s="1"/>
  <c r="V346" i="5"/>
  <c r="W346" i="5" s="1"/>
  <c r="V347" i="5"/>
  <c r="W347" i="5" s="1"/>
  <c r="V348" i="5"/>
  <c r="W348" i="5" s="1"/>
  <c r="V349" i="5"/>
  <c r="W349" i="5" s="1"/>
  <c r="V350" i="5"/>
  <c r="W350" i="5" s="1"/>
  <c r="V351" i="5"/>
  <c r="W351" i="5" s="1"/>
  <c r="V352" i="5"/>
  <c r="W352" i="5" s="1"/>
  <c r="V353" i="5"/>
  <c r="W353" i="5" s="1"/>
  <c r="V354" i="5"/>
  <c r="W354" i="5" s="1"/>
  <c r="V355" i="5"/>
  <c r="W355" i="5" s="1"/>
  <c r="V356" i="5"/>
  <c r="W356" i="5" s="1"/>
  <c r="V357" i="5"/>
  <c r="W357" i="5" s="1"/>
  <c r="V358" i="5"/>
  <c r="W358" i="5" s="1"/>
  <c r="V359" i="5"/>
  <c r="W359" i="5" s="1"/>
  <c r="V360" i="5"/>
  <c r="W360" i="5" s="1"/>
  <c r="V361" i="5"/>
  <c r="W361" i="5" s="1"/>
  <c r="V362" i="5"/>
  <c r="W362" i="5" s="1"/>
  <c r="V363" i="5"/>
  <c r="W363" i="5" s="1"/>
  <c r="V364" i="5"/>
  <c r="W364" i="5" s="1"/>
  <c r="V365" i="5"/>
  <c r="W365" i="5" s="1"/>
  <c r="V366" i="5"/>
  <c r="W366" i="5" s="1"/>
  <c r="V367" i="5"/>
  <c r="W367" i="5" s="1"/>
  <c r="V368" i="5"/>
  <c r="W368" i="5" s="1"/>
  <c r="V369" i="5"/>
  <c r="W369" i="5" s="1"/>
  <c r="V370" i="5"/>
  <c r="W370" i="5" s="1"/>
  <c r="V371" i="5"/>
  <c r="W371" i="5" s="1"/>
  <c r="V372" i="5"/>
  <c r="W372" i="5" s="1"/>
  <c r="V373" i="5"/>
  <c r="W373" i="5" s="1"/>
  <c r="V374" i="5"/>
  <c r="W374" i="5" s="1"/>
  <c r="V375" i="5"/>
  <c r="W375" i="5" s="1"/>
  <c r="V376" i="5"/>
  <c r="W376" i="5" s="1"/>
  <c r="V377" i="5"/>
  <c r="W377" i="5" s="1"/>
  <c r="V378" i="5"/>
  <c r="W378" i="5" s="1"/>
  <c r="V379" i="5"/>
  <c r="W379" i="5" s="1"/>
  <c r="V380" i="5"/>
  <c r="W380" i="5" s="1"/>
  <c r="V381" i="5"/>
  <c r="W381" i="5" s="1"/>
  <c r="V382" i="5"/>
  <c r="W382" i="5" s="1"/>
  <c r="V383" i="5"/>
  <c r="W383" i="5" s="1"/>
  <c r="V384" i="5"/>
  <c r="W384" i="5" s="1"/>
  <c r="V385" i="5"/>
  <c r="W385" i="5" s="1"/>
  <c r="V386" i="5"/>
  <c r="W386" i="5" s="1"/>
  <c r="V387" i="5"/>
  <c r="W387" i="5" s="1"/>
  <c r="V388" i="5"/>
  <c r="W388" i="5" s="1"/>
  <c r="V389" i="5"/>
  <c r="W389" i="5" s="1"/>
  <c r="V390" i="5"/>
  <c r="W390" i="5" s="1"/>
  <c r="V391" i="5"/>
  <c r="W391" i="5" s="1"/>
  <c r="V392" i="5"/>
  <c r="W392" i="5" s="1"/>
  <c r="V393" i="5"/>
  <c r="W393" i="5" s="1"/>
  <c r="V394" i="5"/>
  <c r="W394" i="5" s="1"/>
  <c r="V395" i="5"/>
  <c r="W395" i="5" s="1"/>
  <c r="V396" i="5"/>
  <c r="W396" i="5" s="1"/>
  <c r="V397" i="5"/>
  <c r="W397" i="5" s="1"/>
  <c r="V398" i="5"/>
  <c r="W398" i="5" s="1"/>
  <c r="V399" i="5"/>
  <c r="W399" i="5" s="1"/>
  <c r="V400" i="5"/>
  <c r="W400" i="5" s="1"/>
  <c r="V401" i="5"/>
  <c r="W401" i="5" s="1"/>
  <c r="V402" i="5"/>
  <c r="W402" i="5" s="1"/>
  <c r="V403" i="5"/>
  <c r="W403" i="5" s="1"/>
  <c r="V404" i="5"/>
  <c r="W404" i="5" s="1"/>
  <c r="V405" i="5"/>
  <c r="W405" i="5" s="1"/>
  <c r="V406" i="5"/>
  <c r="W406" i="5" s="1"/>
  <c r="V407" i="5"/>
  <c r="W407" i="5" s="1"/>
  <c r="V408" i="5"/>
  <c r="W408" i="5" s="1"/>
  <c r="V409" i="5"/>
  <c r="W409" i="5" s="1"/>
  <c r="V410" i="5"/>
  <c r="W410" i="5" s="1"/>
  <c r="V411" i="5"/>
  <c r="W411" i="5" s="1"/>
  <c r="V412" i="5"/>
  <c r="W412" i="5" s="1"/>
  <c r="V413" i="5"/>
  <c r="W413" i="5" s="1"/>
  <c r="V414" i="5"/>
  <c r="W414" i="5" s="1"/>
  <c r="V415" i="5"/>
  <c r="W415" i="5" s="1"/>
  <c r="V416" i="5"/>
  <c r="W416" i="5" s="1"/>
  <c r="V417" i="5"/>
  <c r="W417" i="5" s="1"/>
  <c r="V418" i="5"/>
  <c r="W418" i="5" s="1"/>
  <c r="V419" i="5"/>
  <c r="W419" i="5" s="1"/>
  <c r="V420" i="5"/>
  <c r="W420" i="5" s="1"/>
  <c r="V421" i="5"/>
  <c r="W421" i="5" s="1"/>
  <c r="V422" i="5"/>
  <c r="W422" i="5" s="1"/>
  <c r="V423" i="5"/>
  <c r="W423" i="5" s="1"/>
  <c r="V424" i="5"/>
  <c r="W424" i="5" s="1"/>
  <c r="V425" i="5"/>
  <c r="W425" i="5" s="1"/>
  <c r="V426" i="5"/>
  <c r="W426" i="5" s="1"/>
  <c r="V427" i="5"/>
  <c r="W427" i="5" s="1"/>
  <c r="V428" i="5"/>
  <c r="W428" i="5" s="1"/>
  <c r="V429" i="5"/>
  <c r="W429" i="5" s="1"/>
  <c r="V430" i="5"/>
  <c r="W430" i="5" s="1"/>
  <c r="V431" i="5"/>
  <c r="W431" i="5" s="1"/>
  <c r="V432" i="5"/>
  <c r="W432" i="5" s="1"/>
  <c r="V433" i="5"/>
  <c r="W433" i="5" s="1"/>
  <c r="V434" i="5"/>
  <c r="W434" i="5" s="1"/>
  <c r="V435" i="5"/>
  <c r="W435" i="5" s="1"/>
  <c r="V436" i="5"/>
  <c r="W436" i="5" s="1"/>
  <c r="V437" i="5"/>
  <c r="W437" i="5" s="1"/>
  <c r="V438" i="5"/>
  <c r="W438" i="5" s="1"/>
  <c r="V439" i="5"/>
  <c r="W439" i="5" s="1"/>
  <c r="V440" i="5"/>
  <c r="W440" i="5" s="1"/>
  <c r="V441" i="5"/>
  <c r="W441" i="5" s="1"/>
  <c r="V442" i="5"/>
  <c r="W442" i="5" s="1"/>
  <c r="V443" i="5"/>
  <c r="W443" i="5" s="1"/>
  <c r="V444" i="5"/>
  <c r="W444" i="5" s="1"/>
  <c r="V445" i="5"/>
  <c r="W445" i="5" s="1"/>
  <c r="V446" i="5"/>
  <c r="W446" i="5" s="1"/>
  <c r="V447" i="5"/>
  <c r="W447" i="5" s="1"/>
  <c r="V448" i="5"/>
  <c r="W448" i="5" s="1"/>
  <c r="V449" i="5"/>
  <c r="W449" i="5" s="1"/>
  <c r="V450" i="5"/>
  <c r="W450" i="5" s="1"/>
  <c r="V451" i="5"/>
  <c r="W451" i="5" s="1"/>
  <c r="V452" i="5"/>
  <c r="W452" i="5" s="1"/>
  <c r="V453" i="5"/>
  <c r="W453" i="5" s="1"/>
  <c r="V454" i="5"/>
  <c r="W454" i="5" s="1"/>
  <c r="V455" i="5"/>
  <c r="W455" i="5" s="1"/>
  <c r="V456" i="5"/>
  <c r="W456" i="5" s="1"/>
  <c r="V457" i="5"/>
  <c r="W457" i="5" s="1"/>
  <c r="V458" i="5"/>
  <c r="W458" i="5" s="1"/>
  <c r="V459" i="5"/>
  <c r="W459" i="5" s="1"/>
  <c r="V460" i="5"/>
  <c r="W460" i="5" s="1"/>
  <c r="V461" i="5"/>
  <c r="W461" i="5" s="1"/>
  <c r="V462" i="5"/>
  <c r="W462" i="5" s="1"/>
  <c r="V463" i="5"/>
  <c r="W463" i="5" s="1"/>
  <c r="V464" i="5"/>
  <c r="W464" i="5" s="1"/>
  <c r="V465" i="5"/>
  <c r="W465" i="5" s="1"/>
  <c r="V466" i="5"/>
  <c r="W466" i="5" s="1"/>
  <c r="V467" i="5"/>
  <c r="W467" i="5" s="1"/>
  <c r="V468" i="5"/>
  <c r="W468" i="5" s="1"/>
  <c r="V469" i="5"/>
  <c r="W469" i="5" s="1"/>
  <c r="V470" i="5"/>
  <c r="W470" i="5" s="1"/>
  <c r="V471" i="5"/>
  <c r="W471" i="5" s="1"/>
  <c r="V472" i="5"/>
  <c r="W472" i="5" s="1"/>
  <c r="V473" i="5"/>
  <c r="W473" i="5" s="1"/>
  <c r="V474" i="5"/>
  <c r="W474" i="5" s="1"/>
  <c r="V475" i="5"/>
  <c r="W475" i="5" s="1"/>
  <c r="V476" i="5"/>
  <c r="W476" i="5" s="1"/>
  <c r="V477" i="5"/>
  <c r="W477" i="5" s="1"/>
  <c r="V478" i="5"/>
  <c r="W478" i="5" s="1"/>
  <c r="V479" i="5"/>
  <c r="W479" i="5" s="1"/>
  <c r="V480" i="5"/>
  <c r="W480" i="5" s="1"/>
  <c r="V481" i="5"/>
  <c r="W481" i="5" s="1"/>
  <c r="V482" i="5"/>
  <c r="W482" i="5" s="1"/>
  <c r="V483" i="5"/>
  <c r="W483" i="5" s="1"/>
  <c r="V484" i="5"/>
  <c r="W484" i="5" s="1"/>
  <c r="V485" i="5"/>
  <c r="W485" i="5" s="1"/>
  <c r="V486" i="5"/>
  <c r="W486" i="5" s="1"/>
  <c r="V487" i="5"/>
  <c r="W487" i="5" s="1"/>
  <c r="V488" i="5"/>
  <c r="W488" i="5" s="1"/>
  <c r="V489" i="5"/>
  <c r="W489" i="5" s="1"/>
  <c r="V490" i="5"/>
  <c r="W490" i="5" s="1"/>
  <c r="V491" i="5"/>
  <c r="W491" i="5" s="1"/>
  <c r="V492" i="5"/>
  <c r="W492" i="5" s="1"/>
  <c r="V493" i="5"/>
  <c r="W493" i="5" s="1"/>
  <c r="V494" i="5"/>
  <c r="W494" i="5" s="1"/>
  <c r="V495" i="5"/>
  <c r="W495" i="5" s="1"/>
  <c r="V496" i="5"/>
  <c r="W496" i="5" s="1"/>
  <c r="V497" i="5"/>
  <c r="W497" i="5" s="1"/>
  <c r="V498" i="5"/>
  <c r="W498" i="5" s="1"/>
  <c r="V499" i="5"/>
  <c r="W499" i="5" s="1"/>
  <c r="V500" i="5"/>
  <c r="W500" i="5" s="1"/>
  <c r="V501" i="5"/>
  <c r="W501" i="5" s="1"/>
  <c r="V502" i="5"/>
  <c r="W502" i="5" s="1"/>
  <c r="V503" i="5"/>
  <c r="W503" i="5" s="1"/>
  <c r="V504" i="5"/>
  <c r="W504" i="5" s="1"/>
  <c r="V505" i="5"/>
  <c r="W505" i="5" s="1"/>
  <c r="V506" i="5"/>
  <c r="W506" i="5" s="1"/>
  <c r="V507" i="5"/>
  <c r="W507" i="5" s="1"/>
  <c r="V508" i="5"/>
  <c r="W508" i="5" s="1"/>
  <c r="V509" i="5"/>
  <c r="W509" i="5" s="1"/>
  <c r="V510" i="5"/>
  <c r="W510" i="5" s="1"/>
  <c r="V511" i="5"/>
  <c r="W511" i="5" s="1"/>
  <c r="V512" i="5"/>
  <c r="W512" i="5" s="1"/>
  <c r="V513" i="5"/>
  <c r="W513" i="5" s="1"/>
  <c r="V514" i="5"/>
  <c r="W514" i="5" s="1"/>
  <c r="V515" i="5"/>
  <c r="W515" i="5" s="1"/>
  <c r="V516" i="5"/>
  <c r="W516" i="5" s="1"/>
  <c r="V517" i="5"/>
  <c r="W517" i="5" s="1"/>
  <c r="V518" i="5"/>
  <c r="W518" i="5" s="1"/>
  <c r="V519" i="5"/>
  <c r="W519" i="5" s="1"/>
  <c r="V520" i="5"/>
  <c r="W520" i="5" s="1"/>
  <c r="V521" i="5"/>
  <c r="W521" i="5" s="1"/>
  <c r="V522" i="5"/>
  <c r="W522" i="5" s="1"/>
  <c r="V523" i="5"/>
  <c r="W523" i="5" s="1"/>
  <c r="V524" i="5"/>
  <c r="W524" i="5" s="1"/>
  <c r="V525" i="5"/>
  <c r="W525" i="5" s="1"/>
  <c r="V526" i="5"/>
  <c r="W526" i="5" s="1"/>
  <c r="V527" i="5"/>
  <c r="W527" i="5" s="1"/>
  <c r="V528" i="5"/>
  <c r="W528" i="5" s="1"/>
  <c r="V529" i="5"/>
  <c r="W529" i="5" s="1"/>
  <c r="V530" i="5"/>
  <c r="W530" i="5" s="1"/>
  <c r="V531" i="5"/>
  <c r="W531" i="5" s="1"/>
  <c r="V532" i="5"/>
  <c r="W532" i="5" s="1"/>
  <c r="V533" i="5"/>
  <c r="W533" i="5" s="1"/>
  <c r="V534" i="5"/>
  <c r="W534" i="5" s="1"/>
  <c r="V535" i="5"/>
  <c r="W535" i="5" s="1"/>
  <c r="V536" i="5"/>
  <c r="W536" i="5" s="1"/>
  <c r="V537" i="5"/>
  <c r="W537" i="5" s="1"/>
  <c r="V538" i="5"/>
  <c r="W538" i="5" s="1"/>
  <c r="V539" i="5"/>
  <c r="W539" i="5" s="1"/>
  <c r="V540" i="5"/>
  <c r="W540" i="5" s="1"/>
  <c r="V541" i="5"/>
  <c r="W541" i="5" s="1"/>
  <c r="V542" i="5"/>
  <c r="W542" i="5" s="1"/>
  <c r="V543" i="5"/>
  <c r="W543" i="5" s="1"/>
  <c r="V544" i="5"/>
  <c r="W544" i="5" s="1"/>
  <c r="V545" i="5"/>
  <c r="W545" i="5" s="1"/>
  <c r="V546" i="5"/>
  <c r="W546" i="5" s="1"/>
  <c r="V547" i="5"/>
  <c r="W547" i="5" s="1"/>
  <c r="V548" i="5"/>
  <c r="W548" i="5" s="1"/>
  <c r="V549" i="5"/>
  <c r="W549" i="5" s="1"/>
  <c r="V550" i="5"/>
  <c r="W550" i="5" s="1"/>
  <c r="V551" i="5"/>
  <c r="W551" i="5" s="1"/>
  <c r="V552" i="5"/>
  <c r="W552" i="5" s="1"/>
  <c r="V553" i="5"/>
  <c r="W553" i="5" s="1"/>
  <c r="V554" i="5"/>
  <c r="W554" i="5" s="1"/>
  <c r="V555" i="5"/>
  <c r="W555" i="5" s="1"/>
  <c r="V556" i="5"/>
  <c r="W556" i="5" s="1"/>
  <c r="V557" i="5"/>
  <c r="W557" i="5" s="1"/>
  <c r="V558" i="5"/>
  <c r="W558" i="5" s="1"/>
  <c r="V559" i="5"/>
  <c r="W559" i="5" s="1"/>
  <c r="V560" i="5"/>
  <c r="W560" i="5" s="1"/>
  <c r="V561" i="5"/>
  <c r="W561" i="5" s="1"/>
  <c r="V562" i="5"/>
  <c r="W562" i="5" s="1"/>
  <c r="V563" i="5"/>
  <c r="W563" i="5" s="1"/>
  <c r="V564" i="5"/>
  <c r="W564" i="5" s="1"/>
  <c r="V565" i="5"/>
  <c r="W565" i="5" s="1"/>
  <c r="V566" i="5"/>
  <c r="W566" i="5" s="1"/>
  <c r="V567" i="5"/>
  <c r="W567" i="5" s="1"/>
  <c r="V568" i="5"/>
  <c r="W568" i="5" s="1"/>
  <c r="V569" i="5"/>
  <c r="W569" i="5" s="1"/>
  <c r="V570" i="5"/>
  <c r="W570" i="5" s="1"/>
  <c r="V571" i="5"/>
  <c r="W571" i="5" s="1"/>
  <c r="V572" i="5"/>
  <c r="W572" i="5" s="1"/>
  <c r="V573" i="5"/>
  <c r="W573" i="5" s="1"/>
  <c r="V574" i="5"/>
  <c r="W574" i="5" s="1"/>
  <c r="V575" i="5"/>
  <c r="W575" i="5" s="1"/>
  <c r="V576" i="5"/>
  <c r="W576" i="5" s="1"/>
  <c r="V577" i="5"/>
  <c r="W577" i="5" s="1"/>
  <c r="V578" i="5"/>
  <c r="W578" i="5" s="1"/>
  <c r="V579" i="5"/>
  <c r="W579" i="5" s="1"/>
  <c r="V580" i="5"/>
  <c r="W580" i="5" s="1"/>
  <c r="V581" i="5"/>
  <c r="W581" i="5" s="1"/>
  <c r="V582" i="5"/>
  <c r="W582" i="5" s="1"/>
  <c r="V583" i="5"/>
  <c r="W583" i="5" s="1"/>
  <c r="V584" i="5"/>
  <c r="W584" i="5" s="1"/>
  <c r="V585" i="5"/>
  <c r="W585" i="5" s="1"/>
  <c r="V586" i="5"/>
  <c r="W586" i="5" s="1"/>
  <c r="V587" i="5"/>
  <c r="W587" i="5" s="1"/>
  <c r="V588" i="5"/>
  <c r="W588" i="5" s="1"/>
  <c r="V589" i="5"/>
  <c r="W589" i="5" s="1"/>
  <c r="V590" i="5"/>
  <c r="W590" i="5" s="1"/>
  <c r="V591" i="5"/>
  <c r="W591" i="5" s="1"/>
  <c r="V592" i="5"/>
  <c r="W592" i="5" s="1"/>
  <c r="V593" i="5"/>
  <c r="W593" i="5" s="1"/>
  <c r="V594" i="5"/>
  <c r="W594" i="5" s="1"/>
  <c r="V595" i="5"/>
  <c r="W595" i="5" s="1"/>
  <c r="V596" i="5"/>
  <c r="W596" i="5" s="1"/>
  <c r="V597" i="5"/>
  <c r="W597" i="5" s="1"/>
  <c r="V598" i="5"/>
  <c r="W598" i="5" s="1"/>
  <c r="V599" i="5"/>
  <c r="W599" i="5" s="1"/>
  <c r="V600" i="5"/>
  <c r="W600" i="5" s="1"/>
  <c r="V601" i="5"/>
  <c r="W601" i="5" s="1"/>
  <c r="V602" i="5"/>
  <c r="W602" i="5" s="1"/>
  <c r="V603" i="5"/>
  <c r="W603" i="5" s="1"/>
  <c r="V604" i="5"/>
  <c r="W604" i="5" s="1"/>
  <c r="V605" i="5"/>
  <c r="W605" i="5" s="1"/>
  <c r="V606" i="5"/>
  <c r="W606" i="5" s="1"/>
  <c r="V607" i="5"/>
  <c r="W607" i="5" s="1"/>
  <c r="V608" i="5"/>
  <c r="W608" i="5" s="1"/>
  <c r="V609" i="5"/>
  <c r="W609" i="5" s="1"/>
  <c r="V610" i="5"/>
  <c r="W610" i="5" s="1"/>
  <c r="V611" i="5"/>
  <c r="W611" i="5" s="1"/>
  <c r="V612" i="5"/>
  <c r="W612" i="5" s="1"/>
  <c r="V613" i="5"/>
  <c r="W613" i="5" s="1"/>
  <c r="V614" i="5"/>
  <c r="W614" i="5" s="1"/>
  <c r="V615" i="5"/>
  <c r="W615" i="5" s="1"/>
  <c r="V616" i="5"/>
  <c r="W616" i="5" s="1"/>
  <c r="V617" i="5"/>
  <c r="W617" i="5" s="1"/>
  <c r="V618" i="5"/>
  <c r="W618" i="5" s="1"/>
  <c r="V619" i="5"/>
  <c r="W619" i="5" s="1"/>
  <c r="V620" i="5"/>
  <c r="W620" i="5" s="1"/>
  <c r="V621" i="5"/>
  <c r="W621" i="5" s="1"/>
  <c r="V622" i="5"/>
  <c r="W622" i="5" s="1"/>
  <c r="V623" i="5"/>
  <c r="W623" i="5" s="1"/>
  <c r="V624" i="5"/>
  <c r="W624" i="5" s="1"/>
  <c r="V625" i="5"/>
  <c r="W625" i="5" s="1"/>
  <c r="V626" i="5"/>
  <c r="W626" i="5" s="1"/>
  <c r="V627" i="5"/>
  <c r="W627" i="5" s="1"/>
  <c r="V628" i="5"/>
  <c r="W628" i="5" s="1"/>
  <c r="V629" i="5"/>
  <c r="W629" i="5" s="1"/>
  <c r="V630" i="5"/>
  <c r="W630" i="5" s="1"/>
  <c r="V631" i="5"/>
  <c r="W631" i="5" s="1"/>
  <c r="V632" i="5"/>
  <c r="W632" i="5" s="1"/>
  <c r="AF2" i="5"/>
  <c r="AF3" i="5"/>
  <c r="Z3" i="5"/>
  <c r="Z4" i="5"/>
  <c r="Z5" i="5"/>
  <c r="Z6" i="5"/>
  <c r="Z7" i="5"/>
  <c r="Z8" i="5"/>
  <c r="Z9" i="5"/>
  <c r="Z10" i="5"/>
  <c r="Z11" i="5"/>
  <c r="Z12" i="5"/>
  <c r="Z13" i="5"/>
  <c r="Z14" i="5"/>
  <c r="Z15" i="5"/>
  <c r="Z16" i="5"/>
  <c r="Z17" i="5"/>
  <c r="Z18" i="5"/>
  <c r="Z19" i="5"/>
  <c r="Z20" i="5"/>
  <c r="Z21" i="5"/>
  <c r="Z22" i="5"/>
  <c r="Z23" i="5"/>
  <c r="Z24" i="5"/>
  <c r="Z25" i="5"/>
  <c r="Z26" i="5"/>
  <c r="Z27" i="5"/>
  <c r="Z28" i="5"/>
  <c r="Z29" i="5"/>
  <c r="Z30" i="5"/>
  <c r="Z31" i="5"/>
  <c r="Z32" i="5"/>
  <c r="Z33" i="5"/>
  <c r="Z34" i="5"/>
  <c r="Z35" i="5"/>
  <c r="Z36" i="5"/>
  <c r="Z37" i="5"/>
  <c r="Z38" i="5"/>
  <c r="Z39" i="5"/>
  <c r="Z40" i="5"/>
  <c r="Z41" i="5"/>
  <c r="Z42" i="5"/>
  <c r="Z43" i="5"/>
  <c r="Z44" i="5"/>
  <c r="Z45" i="5"/>
  <c r="Z46" i="5"/>
  <c r="Z47" i="5"/>
  <c r="Z48" i="5"/>
  <c r="Z49" i="5"/>
  <c r="Z50" i="5"/>
  <c r="Z51" i="5"/>
  <c r="Z52" i="5"/>
  <c r="Z53" i="5"/>
  <c r="Z54" i="5"/>
  <c r="Z55" i="5"/>
  <c r="Z56" i="5"/>
  <c r="Z57" i="5"/>
  <c r="Z58" i="5"/>
  <c r="Z59" i="5"/>
  <c r="Z60" i="5"/>
  <c r="Z61" i="5"/>
  <c r="Z62" i="5"/>
  <c r="Z63" i="5"/>
  <c r="Z64" i="5"/>
  <c r="Z65" i="5"/>
  <c r="Z66" i="5"/>
  <c r="Z67" i="5"/>
  <c r="Z68" i="5"/>
  <c r="Z69" i="5"/>
  <c r="Z70" i="5"/>
  <c r="Z71" i="5"/>
  <c r="Z72" i="5"/>
  <c r="Z73" i="5"/>
  <c r="Z74" i="5"/>
  <c r="Z75" i="5"/>
  <c r="Z76" i="5"/>
  <c r="Z77" i="5"/>
  <c r="Z78" i="5"/>
  <c r="Z79" i="5"/>
  <c r="Z80" i="5"/>
  <c r="Z81" i="5"/>
  <c r="Z82" i="5"/>
  <c r="Z83" i="5"/>
  <c r="Z84" i="5"/>
  <c r="Z85" i="5"/>
  <c r="Z86" i="5"/>
  <c r="Z87" i="5"/>
  <c r="Z88" i="5"/>
  <c r="Z89" i="5"/>
  <c r="Z90" i="5"/>
  <c r="Z91" i="5"/>
  <c r="Z92" i="5"/>
  <c r="Z93" i="5"/>
  <c r="Z94" i="5"/>
  <c r="Z95" i="5"/>
  <c r="Z96" i="5"/>
  <c r="Z97" i="5"/>
  <c r="Z98" i="5"/>
  <c r="Z99" i="5"/>
  <c r="Z100" i="5"/>
  <c r="Z101" i="5"/>
  <c r="Z102" i="5"/>
  <c r="Z103" i="5"/>
  <c r="Z104" i="5"/>
  <c r="Z105" i="5"/>
  <c r="Z106" i="5"/>
  <c r="Z107" i="5"/>
  <c r="Z108" i="5"/>
  <c r="Z109" i="5"/>
  <c r="Z110" i="5"/>
  <c r="Z111" i="5"/>
  <c r="Z112" i="5"/>
  <c r="Z113" i="5"/>
  <c r="Z114" i="5"/>
  <c r="Z115" i="5"/>
  <c r="Z116" i="5"/>
  <c r="Z117" i="5"/>
  <c r="Z118" i="5"/>
  <c r="Z119" i="5"/>
  <c r="Z120" i="5"/>
  <c r="Z121" i="5"/>
  <c r="Z122" i="5"/>
  <c r="Z123" i="5"/>
  <c r="Z124" i="5"/>
  <c r="Z125" i="5"/>
  <c r="Z126" i="5"/>
  <c r="Z127" i="5"/>
  <c r="Z128" i="5"/>
  <c r="Z129" i="5"/>
  <c r="Z130" i="5"/>
  <c r="Z131" i="5"/>
  <c r="Z132" i="5"/>
  <c r="Z133" i="5"/>
  <c r="Z134" i="5"/>
  <c r="Z135" i="5"/>
  <c r="Z136" i="5"/>
  <c r="Z137" i="5"/>
  <c r="Z138" i="5"/>
  <c r="Z139" i="5"/>
  <c r="Z140" i="5"/>
  <c r="Z141" i="5"/>
  <c r="Z142" i="5"/>
  <c r="Z143" i="5"/>
  <c r="Z144" i="5"/>
  <c r="Z145" i="5"/>
  <c r="Z146" i="5"/>
  <c r="Z147" i="5"/>
  <c r="Z148" i="5"/>
  <c r="Z149" i="5"/>
  <c r="Z150" i="5"/>
  <c r="Z151" i="5"/>
  <c r="Z152" i="5"/>
  <c r="Z153" i="5"/>
  <c r="Z154" i="5"/>
  <c r="Z155" i="5"/>
  <c r="Z156" i="5"/>
  <c r="Z157" i="5"/>
  <c r="Z158" i="5"/>
  <c r="Z159" i="5"/>
  <c r="Z160" i="5"/>
  <c r="Z161" i="5"/>
  <c r="Z162" i="5"/>
  <c r="Z163" i="5"/>
  <c r="Z164" i="5"/>
  <c r="Z165" i="5"/>
  <c r="Z166" i="5"/>
  <c r="Z167" i="5"/>
  <c r="Z168" i="5"/>
  <c r="Z169" i="5"/>
  <c r="Z170" i="5"/>
  <c r="Z171" i="5"/>
  <c r="Z172" i="5"/>
  <c r="Z173" i="5"/>
  <c r="Z174" i="5"/>
  <c r="Z175" i="5"/>
  <c r="Z176" i="5"/>
  <c r="Z177" i="5"/>
  <c r="Z178" i="5"/>
  <c r="Z179" i="5"/>
  <c r="Z180" i="5"/>
  <c r="Z181" i="5"/>
  <c r="Z182" i="5"/>
  <c r="Z183" i="5"/>
  <c r="Z184" i="5"/>
  <c r="Z185" i="5"/>
  <c r="Z186" i="5"/>
  <c r="Z187" i="5"/>
  <c r="Z188" i="5"/>
  <c r="Z189" i="5"/>
  <c r="Z190" i="5"/>
  <c r="Z191" i="5"/>
  <c r="Z192" i="5"/>
  <c r="Z193" i="5"/>
  <c r="Z194" i="5"/>
  <c r="Z195" i="5"/>
  <c r="Z196" i="5"/>
  <c r="Z197" i="5"/>
  <c r="Z198" i="5"/>
  <c r="Z199" i="5"/>
  <c r="Z200" i="5"/>
  <c r="Z201" i="5"/>
  <c r="Z202" i="5"/>
  <c r="Z203" i="5"/>
  <c r="Z204" i="5"/>
  <c r="Z205" i="5"/>
  <c r="Z206" i="5"/>
  <c r="Z207" i="5"/>
  <c r="Z208" i="5"/>
  <c r="Z209" i="5"/>
  <c r="Z210" i="5"/>
  <c r="Z211" i="5"/>
  <c r="Z212" i="5"/>
  <c r="Z213" i="5"/>
  <c r="Z214" i="5"/>
  <c r="Z215" i="5"/>
  <c r="Z216" i="5"/>
  <c r="Z217" i="5"/>
  <c r="Z218" i="5"/>
  <c r="Z219" i="5"/>
  <c r="Z220" i="5"/>
  <c r="Z221" i="5"/>
  <c r="Z222" i="5"/>
  <c r="Z223" i="5"/>
  <c r="Z224" i="5"/>
  <c r="Z225" i="5"/>
  <c r="Z226" i="5"/>
  <c r="Z227" i="5"/>
  <c r="Z228" i="5"/>
  <c r="Z229" i="5"/>
  <c r="Z230" i="5"/>
  <c r="Z231" i="5"/>
  <c r="Z232" i="5"/>
  <c r="Z233" i="5"/>
  <c r="Z234" i="5"/>
  <c r="Z235" i="5"/>
  <c r="Z236" i="5"/>
  <c r="Z237" i="5"/>
  <c r="Z238" i="5"/>
  <c r="Z239" i="5"/>
  <c r="Z240" i="5"/>
  <c r="Z241" i="5"/>
  <c r="Z242" i="5"/>
  <c r="Z243" i="5"/>
  <c r="Z244" i="5"/>
  <c r="Z245" i="5"/>
  <c r="Z246" i="5"/>
  <c r="Z247" i="5"/>
  <c r="Z248" i="5"/>
  <c r="Z249" i="5"/>
  <c r="Z250" i="5"/>
  <c r="Z251" i="5"/>
  <c r="Z252" i="5"/>
  <c r="Z253" i="5"/>
  <c r="Z254" i="5"/>
  <c r="Z255" i="5"/>
  <c r="Z256" i="5"/>
  <c r="Z257" i="5"/>
  <c r="Z258" i="5"/>
  <c r="Z259" i="5"/>
  <c r="Z260" i="5"/>
  <c r="Z261" i="5"/>
  <c r="Z262" i="5"/>
  <c r="Z263" i="5"/>
  <c r="Z264" i="5"/>
  <c r="Z265" i="5"/>
  <c r="Z266" i="5"/>
  <c r="Z267" i="5"/>
  <c r="Z268" i="5"/>
  <c r="Z269" i="5"/>
  <c r="Z270" i="5"/>
  <c r="Z271" i="5"/>
  <c r="Z272" i="5"/>
  <c r="Z273" i="5"/>
  <c r="Z274" i="5"/>
  <c r="Z275" i="5"/>
  <c r="Z276" i="5"/>
  <c r="Z277" i="5"/>
  <c r="Z278" i="5"/>
  <c r="Z279" i="5"/>
  <c r="Z280" i="5"/>
  <c r="Z281" i="5"/>
  <c r="Z282" i="5"/>
  <c r="Z283" i="5"/>
  <c r="Z284" i="5"/>
  <c r="Z285" i="5"/>
  <c r="Z286" i="5"/>
  <c r="Z287" i="5"/>
  <c r="Z288" i="5"/>
  <c r="Z289" i="5"/>
  <c r="Z290" i="5"/>
  <c r="Z291" i="5"/>
  <c r="Z292" i="5"/>
  <c r="Z293" i="5"/>
  <c r="Z294" i="5"/>
  <c r="Z295" i="5"/>
  <c r="Z296" i="5"/>
  <c r="Z297" i="5"/>
  <c r="Z298" i="5"/>
  <c r="Z299" i="5"/>
  <c r="Z300" i="5"/>
  <c r="Z301" i="5"/>
  <c r="Z302" i="5"/>
  <c r="Z303" i="5"/>
  <c r="Z304" i="5"/>
  <c r="Z305" i="5"/>
  <c r="Z306" i="5"/>
  <c r="Z307" i="5"/>
  <c r="Z308" i="5"/>
  <c r="Z309" i="5"/>
  <c r="Z310" i="5"/>
  <c r="Z311" i="5"/>
  <c r="Z312" i="5"/>
  <c r="Z313" i="5"/>
  <c r="Z314" i="5"/>
  <c r="Z315" i="5"/>
  <c r="Z316" i="5"/>
  <c r="Z317" i="5"/>
  <c r="Z318" i="5"/>
  <c r="Z319" i="5"/>
  <c r="Z320" i="5"/>
  <c r="Z321" i="5"/>
  <c r="Z322" i="5"/>
  <c r="Z323" i="5"/>
  <c r="Z324" i="5"/>
  <c r="Z325" i="5"/>
  <c r="Z326" i="5"/>
  <c r="Z327" i="5"/>
  <c r="Z328" i="5"/>
  <c r="Z329" i="5"/>
  <c r="Z330" i="5"/>
  <c r="Z331" i="5"/>
  <c r="Z332" i="5"/>
  <c r="Z333" i="5"/>
  <c r="Z334" i="5"/>
  <c r="Z335" i="5"/>
  <c r="Z336" i="5"/>
  <c r="Z337" i="5"/>
  <c r="Z338" i="5"/>
  <c r="Z339" i="5"/>
  <c r="Z340" i="5"/>
  <c r="Z341" i="5"/>
  <c r="Z342" i="5"/>
  <c r="Z343" i="5"/>
  <c r="Z344" i="5"/>
  <c r="Z345" i="5"/>
  <c r="Z346" i="5"/>
  <c r="Z347" i="5"/>
  <c r="Z348" i="5"/>
  <c r="Z349" i="5"/>
  <c r="Z350" i="5"/>
  <c r="Z351" i="5"/>
  <c r="Z352" i="5"/>
  <c r="Z353" i="5"/>
  <c r="Z354" i="5"/>
  <c r="Z355" i="5"/>
  <c r="Z356" i="5"/>
  <c r="Z357" i="5"/>
  <c r="Z358" i="5"/>
  <c r="Z359" i="5"/>
  <c r="Z360" i="5"/>
  <c r="Z361" i="5"/>
  <c r="Z362" i="5"/>
  <c r="Z363" i="5"/>
  <c r="Z364" i="5"/>
  <c r="Z365" i="5"/>
  <c r="Z366" i="5"/>
  <c r="Z367" i="5"/>
  <c r="Z368" i="5"/>
  <c r="Z369" i="5"/>
  <c r="Z370" i="5"/>
  <c r="Z371" i="5"/>
  <c r="Z372" i="5"/>
  <c r="Z373" i="5"/>
  <c r="Z374" i="5"/>
  <c r="Z375" i="5"/>
  <c r="Z376" i="5"/>
  <c r="Z377" i="5"/>
  <c r="Z378" i="5"/>
  <c r="Z379" i="5"/>
  <c r="Z380" i="5"/>
  <c r="Z381" i="5"/>
  <c r="Z382" i="5"/>
  <c r="Z383" i="5"/>
  <c r="Z384" i="5"/>
  <c r="Z385" i="5"/>
  <c r="Z386" i="5"/>
  <c r="Z387" i="5"/>
  <c r="Z388" i="5"/>
  <c r="Z389" i="5"/>
  <c r="Z390" i="5"/>
  <c r="Z391" i="5"/>
  <c r="Z392" i="5"/>
  <c r="Z393" i="5"/>
  <c r="Z394" i="5"/>
  <c r="Z395" i="5"/>
  <c r="Z396" i="5"/>
  <c r="Z397" i="5"/>
  <c r="Z398" i="5"/>
  <c r="Z399" i="5"/>
  <c r="Z400" i="5"/>
  <c r="Z401" i="5"/>
  <c r="Z402" i="5"/>
  <c r="Z403" i="5"/>
  <c r="Z404" i="5"/>
  <c r="Z405" i="5"/>
  <c r="Z406" i="5"/>
  <c r="Z407" i="5"/>
  <c r="Z408" i="5"/>
  <c r="Z409" i="5"/>
  <c r="Z410" i="5"/>
  <c r="Z411" i="5"/>
  <c r="Z412" i="5"/>
  <c r="Z413" i="5"/>
  <c r="Z414" i="5"/>
  <c r="Z415" i="5"/>
  <c r="Z416" i="5"/>
  <c r="Z417" i="5"/>
  <c r="Z418" i="5"/>
  <c r="Z419" i="5"/>
  <c r="Z420" i="5"/>
  <c r="Z421" i="5"/>
  <c r="Z422" i="5"/>
  <c r="Z423" i="5"/>
  <c r="Z424" i="5"/>
  <c r="Z425" i="5"/>
  <c r="Z426" i="5"/>
  <c r="Z427" i="5"/>
  <c r="Z428" i="5"/>
  <c r="Z429" i="5"/>
  <c r="Z430" i="5"/>
  <c r="Z431" i="5"/>
  <c r="Z432" i="5"/>
  <c r="Z433" i="5"/>
  <c r="Z434" i="5"/>
  <c r="Z435" i="5"/>
  <c r="Z436" i="5"/>
  <c r="Z437" i="5"/>
  <c r="Z438" i="5"/>
  <c r="Z439" i="5"/>
  <c r="Z440" i="5"/>
  <c r="Z441" i="5"/>
  <c r="Z442" i="5"/>
  <c r="Z443" i="5"/>
  <c r="Z444" i="5"/>
  <c r="Z445" i="5"/>
  <c r="Z446" i="5"/>
  <c r="Z447" i="5"/>
  <c r="Z448" i="5"/>
  <c r="Z449" i="5"/>
  <c r="Z450" i="5"/>
  <c r="Z451" i="5"/>
  <c r="Z452" i="5"/>
  <c r="Z453" i="5"/>
  <c r="Z454" i="5"/>
  <c r="Z455" i="5"/>
  <c r="Z456" i="5"/>
  <c r="Z457" i="5"/>
  <c r="Z458" i="5"/>
  <c r="Z459" i="5"/>
  <c r="Z460" i="5"/>
  <c r="Z461" i="5"/>
  <c r="Z462" i="5"/>
  <c r="Z463" i="5"/>
  <c r="Z464" i="5"/>
  <c r="Z465" i="5"/>
  <c r="Z466" i="5"/>
  <c r="Z467" i="5"/>
  <c r="Z468" i="5"/>
  <c r="Z469" i="5"/>
  <c r="Z470" i="5"/>
  <c r="Z471" i="5"/>
  <c r="Z472" i="5"/>
  <c r="Z473" i="5"/>
  <c r="Z474" i="5"/>
  <c r="Z475" i="5"/>
  <c r="Z476" i="5"/>
  <c r="Z477" i="5"/>
  <c r="Z478" i="5"/>
  <c r="Z479" i="5"/>
  <c r="Z480" i="5"/>
  <c r="Z481" i="5"/>
  <c r="Z482" i="5"/>
  <c r="Z483" i="5"/>
  <c r="Z484" i="5"/>
  <c r="Z485" i="5"/>
  <c r="Z486" i="5"/>
  <c r="Z487" i="5"/>
  <c r="Z488" i="5"/>
  <c r="Z489" i="5"/>
  <c r="Z490" i="5"/>
  <c r="Z491" i="5"/>
  <c r="Z492" i="5"/>
  <c r="Z493" i="5"/>
  <c r="Z494" i="5"/>
  <c r="Z495" i="5"/>
  <c r="Z496" i="5"/>
  <c r="Z497" i="5"/>
  <c r="Z498" i="5"/>
  <c r="Z499" i="5"/>
  <c r="Z500" i="5"/>
  <c r="Z501" i="5"/>
  <c r="Z502" i="5"/>
  <c r="Z503" i="5"/>
  <c r="Z504" i="5"/>
  <c r="Z505" i="5"/>
  <c r="Z506" i="5"/>
  <c r="Z507" i="5"/>
  <c r="Z508" i="5"/>
  <c r="Z509" i="5"/>
  <c r="Z510" i="5"/>
  <c r="Z511" i="5"/>
  <c r="Z512" i="5"/>
  <c r="Z513" i="5"/>
  <c r="Z514" i="5"/>
  <c r="Z515" i="5"/>
  <c r="Z516" i="5"/>
  <c r="Z517" i="5"/>
  <c r="Z518" i="5"/>
  <c r="Z519" i="5"/>
  <c r="Z520" i="5"/>
  <c r="Z521" i="5"/>
  <c r="Z522" i="5"/>
  <c r="Z523" i="5"/>
  <c r="Z524" i="5"/>
  <c r="Z525" i="5"/>
  <c r="Z526" i="5"/>
  <c r="Z527" i="5"/>
  <c r="Z528" i="5"/>
  <c r="Z529" i="5"/>
  <c r="Z530" i="5"/>
  <c r="Z531" i="5"/>
  <c r="Z532" i="5"/>
  <c r="Z533" i="5"/>
  <c r="Z534" i="5"/>
  <c r="Z535" i="5"/>
  <c r="Z536" i="5"/>
  <c r="Z537" i="5"/>
  <c r="Z538" i="5"/>
  <c r="Z539" i="5"/>
  <c r="Z540" i="5"/>
  <c r="Z541" i="5"/>
  <c r="Z542" i="5"/>
  <c r="Z543" i="5"/>
  <c r="Z544" i="5"/>
  <c r="Z545" i="5"/>
  <c r="Z546" i="5"/>
  <c r="Z547" i="5"/>
  <c r="Z548" i="5"/>
  <c r="Z549" i="5"/>
  <c r="Z550" i="5"/>
  <c r="Z551" i="5"/>
  <c r="Z552" i="5"/>
  <c r="Z553" i="5"/>
  <c r="Z554" i="5"/>
  <c r="Z555" i="5"/>
  <c r="Z556" i="5"/>
  <c r="Z557" i="5"/>
  <c r="Z558" i="5"/>
  <c r="Z559" i="5"/>
  <c r="Z560" i="5"/>
  <c r="Z561" i="5"/>
  <c r="Z562" i="5"/>
  <c r="Z563" i="5"/>
  <c r="Z564" i="5"/>
  <c r="Z565" i="5"/>
  <c r="Z566" i="5"/>
  <c r="Z567" i="5"/>
  <c r="Z568" i="5"/>
  <c r="Z569" i="5"/>
  <c r="Z570" i="5"/>
  <c r="Z571" i="5"/>
  <c r="Z572" i="5"/>
  <c r="Z573" i="5"/>
  <c r="Z574" i="5"/>
  <c r="Z575" i="5"/>
  <c r="Z576" i="5"/>
  <c r="Z577" i="5"/>
  <c r="Z578" i="5"/>
  <c r="Z579" i="5"/>
  <c r="Z580" i="5"/>
  <c r="Z581" i="5"/>
  <c r="Z582" i="5"/>
  <c r="Z583" i="5"/>
  <c r="Z584" i="5"/>
  <c r="Z585" i="5"/>
  <c r="Z586" i="5"/>
  <c r="Z587" i="5"/>
  <c r="Z588" i="5"/>
  <c r="Z589" i="5"/>
  <c r="Z590" i="5"/>
  <c r="Z591" i="5"/>
  <c r="Z592" i="5"/>
  <c r="Z593" i="5"/>
  <c r="Z594" i="5"/>
  <c r="Z595" i="5"/>
  <c r="Z596" i="5"/>
  <c r="Z597" i="5"/>
  <c r="Z598" i="5"/>
  <c r="Z599" i="5"/>
  <c r="Z600" i="5"/>
  <c r="Z601" i="5"/>
  <c r="Z602" i="5"/>
  <c r="Z603" i="5"/>
  <c r="Z604" i="5"/>
  <c r="Z605" i="5"/>
  <c r="Z606" i="5"/>
  <c r="Z607" i="5"/>
  <c r="Z608" i="5"/>
  <c r="Z609" i="5"/>
  <c r="Z610" i="5"/>
  <c r="Z611" i="5"/>
  <c r="Z612" i="5"/>
  <c r="Z613" i="5"/>
  <c r="Z614" i="5"/>
  <c r="Z615" i="5"/>
  <c r="Z616" i="5"/>
  <c r="Z617" i="5"/>
  <c r="Z618" i="5"/>
  <c r="Z619" i="5"/>
  <c r="Z620" i="5"/>
  <c r="Z621" i="5"/>
  <c r="Z622" i="5"/>
  <c r="Z623" i="5"/>
  <c r="Z624" i="5"/>
  <c r="Z625" i="5"/>
  <c r="Z626" i="5"/>
  <c r="Z627" i="5"/>
  <c r="Z628" i="5"/>
  <c r="Z629" i="5"/>
  <c r="Z630" i="5"/>
  <c r="Z631" i="5"/>
  <c r="Z632" i="5"/>
  <c r="Z2" i="5"/>
  <c r="Y3" i="5"/>
  <c r="Y4" i="5"/>
  <c r="Y5" i="5"/>
  <c r="Y6" i="5"/>
  <c r="Y7" i="5"/>
  <c r="Y8" i="5"/>
  <c r="Y9" i="5"/>
  <c r="Y10" i="5"/>
  <c r="Y11" i="5"/>
  <c r="Y12" i="5"/>
  <c r="Y13" i="5"/>
  <c r="Y14" i="5"/>
  <c r="Y15" i="5"/>
  <c r="Y16" i="5"/>
  <c r="Y17" i="5"/>
  <c r="Y18" i="5"/>
  <c r="Y19" i="5"/>
  <c r="Y20" i="5"/>
  <c r="Y21" i="5"/>
  <c r="Y22" i="5"/>
  <c r="Y23" i="5"/>
  <c r="Y24" i="5"/>
  <c r="Y25" i="5"/>
  <c r="Y26" i="5"/>
  <c r="Y27" i="5"/>
  <c r="Y28" i="5"/>
  <c r="Y29" i="5"/>
  <c r="Y30" i="5"/>
  <c r="Y31" i="5"/>
  <c r="Y32" i="5"/>
  <c r="Y33" i="5"/>
  <c r="Y34" i="5"/>
  <c r="Y35" i="5"/>
  <c r="Y36" i="5"/>
  <c r="Y37" i="5"/>
  <c r="Y38" i="5"/>
  <c r="Y39" i="5"/>
  <c r="Y40" i="5"/>
  <c r="Y41" i="5"/>
  <c r="Y42" i="5"/>
  <c r="Y43" i="5"/>
  <c r="Y44" i="5"/>
  <c r="Y45" i="5"/>
  <c r="Y46" i="5"/>
  <c r="Y47" i="5"/>
  <c r="Y48" i="5"/>
  <c r="Y49" i="5"/>
  <c r="Y50" i="5"/>
  <c r="Y51" i="5"/>
  <c r="Y52" i="5"/>
  <c r="Y53" i="5"/>
  <c r="Y54" i="5"/>
  <c r="Y55" i="5"/>
  <c r="Y56" i="5"/>
  <c r="Y57" i="5"/>
  <c r="Y58" i="5"/>
  <c r="Y59" i="5"/>
  <c r="Y60" i="5"/>
  <c r="Y61" i="5"/>
  <c r="Y62" i="5"/>
  <c r="Y63" i="5"/>
  <c r="Y64" i="5"/>
  <c r="Y65" i="5"/>
  <c r="Y66" i="5"/>
  <c r="Y67" i="5"/>
  <c r="Y68" i="5"/>
  <c r="Y69" i="5"/>
  <c r="Y70" i="5"/>
  <c r="Y71" i="5"/>
  <c r="Y72" i="5"/>
  <c r="Y73" i="5"/>
  <c r="Y74" i="5"/>
  <c r="Y75" i="5"/>
  <c r="Y76" i="5"/>
  <c r="Y77" i="5"/>
  <c r="Y78" i="5"/>
  <c r="Y79" i="5"/>
  <c r="Y80" i="5"/>
  <c r="Y81" i="5"/>
  <c r="Y82" i="5"/>
  <c r="Y83" i="5"/>
  <c r="Y84" i="5"/>
  <c r="Y85" i="5"/>
  <c r="Y86" i="5"/>
  <c r="Y87" i="5"/>
  <c r="Y88" i="5"/>
  <c r="Y89" i="5"/>
  <c r="Y90" i="5"/>
  <c r="Y91" i="5"/>
  <c r="Y92" i="5"/>
  <c r="Y93" i="5"/>
  <c r="Y94" i="5"/>
  <c r="Y95" i="5"/>
  <c r="Y96" i="5"/>
  <c r="Y97" i="5"/>
  <c r="Y98" i="5"/>
  <c r="Y99" i="5"/>
  <c r="Y100" i="5"/>
  <c r="Y101" i="5"/>
  <c r="Y102" i="5"/>
  <c r="Y103" i="5"/>
  <c r="Y104" i="5"/>
  <c r="Y105" i="5"/>
  <c r="Y106" i="5"/>
  <c r="Y107" i="5"/>
  <c r="Y108" i="5"/>
  <c r="Y109" i="5"/>
  <c r="Y110" i="5"/>
  <c r="Y111" i="5"/>
  <c r="Y112" i="5"/>
  <c r="Y113" i="5"/>
  <c r="Y114" i="5"/>
  <c r="Y115" i="5"/>
  <c r="Y116" i="5"/>
  <c r="Y117" i="5"/>
  <c r="Y118" i="5"/>
  <c r="Y119" i="5"/>
  <c r="Y120" i="5"/>
  <c r="Y121" i="5"/>
  <c r="Y122" i="5"/>
  <c r="Y123" i="5"/>
  <c r="Y124" i="5"/>
  <c r="Y125" i="5"/>
  <c r="Y126" i="5"/>
  <c r="Y127" i="5"/>
  <c r="Y128" i="5"/>
  <c r="Y129" i="5"/>
  <c r="Y130" i="5"/>
  <c r="Y131" i="5"/>
  <c r="Y132" i="5"/>
  <c r="Y133" i="5"/>
  <c r="Y134" i="5"/>
  <c r="Y135" i="5"/>
  <c r="Y136" i="5"/>
  <c r="Y137" i="5"/>
  <c r="Y138" i="5"/>
  <c r="Y139" i="5"/>
  <c r="Y140" i="5"/>
  <c r="Y141" i="5"/>
  <c r="Y142" i="5"/>
  <c r="Y143" i="5"/>
  <c r="Y144" i="5"/>
  <c r="Y145" i="5"/>
  <c r="Y146" i="5"/>
  <c r="Y147" i="5"/>
  <c r="Y148" i="5"/>
  <c r="Y149" i="5"/>
  <c r="Y150" i="5"/>
  <c r="Y151" i="5"/>
  <c r="Y152" i="5"/>
  <c r="Y153" i="5"/>
  <c r="Y154" i="5"/>
  <c r="Y155" i="5"/>
  <c r="Y156" i="5"/>
  <c r="Y157" i="5"/>
  <c r="Y158" i="5"/>
  <c r="Y159" i="5"/>
  <c r="Y160" i="5"/>
  <c r="Y161" i="5"/>
  <c r="Y162" i="5"/>
  <c r="Y163" i="5"/>
  <c r="Y164" i="5"/>
  <c r="Y165" i="5"/>
  <c r="Y166" i="5"/>
  <c r="Y167" i="5"/>
  <c r="Y168" i="5"/>
  <c r="Y169" i="5"/>
  <c r="Y170" i="5"/>
  <c r="Y171" i="5"/>
  <c r="Y172" i="5"/>
  <c r="Y173" i="5"/>
  <c r="Y174" i="5"/>
  <c r="Y175" i="5"/>
  <c r="Y176" i="5"/>
  <c r="Y177" i="5"/>
  <c r="Y178" i="5"/>
  <c r="Y179" i="5"/>
  <c r="Y180" i="5"/>
  <c r="Y181" i="5"/>
  <c r="Y182" i="5"/>
  <c r="Y183" i="5"/>
  <c r="Y184" i="5"/>
  <c r="Y185" i="5"/>
  <c r="Y186" i="5"/>
  <c r="Y187" i="5"/>
  <c r="Y188" i="5"/>
  <c r="Y189" i="5"/>
  <c r="Y190" i="5"/>
  <c r="Y191" i="5"/>
  <c r="Y192" i="5"/>
  <c r="Y193" i="5"/>
  <c r="Y194" i="5"/>
  <c r="Y195" i="5"/>
  <c r="Y196" i="5"/>
  <c r="Y197" i="5"/>
  <c r="Y198" i="5"/>
  <c r="Y199" i="5"/>
  <c r="Y200" i="5"/>
  <c r="Y201" i="5"/>
  <c r="Y202" i="5"/>
  <c r="Y203" i="5"/>
  <c r="Y204" i="5"/>
  <c r="Y205" i="5"/>
  <c r="Y206" i="5"/>
  <c r="Y207" i="5"/>
  <c r="Y208" i="5"/>
  <c r="Y209" i="5"/>
  <c r="Y210" i="5"/>
  <c r="Y211" i="5"/>
  <c r="Y212" i="5"/>
  <c r="Y213" i="5"/>
  <c r="Y214" i="5"/>
  <c r="Y215" i="5"/>
  <c r="Y216" i="5"/>
  <c r="Y217" i="5"/>
  <c r="Y218" i="5"/>
  <c r="Y219" i="5"/>
  <c r="Y220" i="5"/>
  <c r="Y221" i="5"/>
  <c r="Y222" i="5"/>
  <c r="Y223" i="5"/>
  <c r="Y224" i="5"/>
  <c r="Y225" i="5"/>
  <c r="Y226" i="5"/>
  <c r="Y227" i="5"/>
  <c r="Y228" i="5"/>
  <c r="Y229" i="5"/>
  <c r="Y230" i="5"/>
  <c r="Y231" i="5"/>
  <c r="Y232" i="5"/>
  <c r="Y233" i="5"/>
  <c r="Y234" i="5"/>
  <c r="Y235" i="5"/>
  <c r="Y236" i="5"/>
  <c r="Y237" i="5"/>
  <c r="Y238" i="5"/>
  <c r="Y239" i="5"/>
  <c r="Y240" i="5"/>
  <c r="Y241" i="5"/>
  <c r="Y242" i="5"/>
  <c r="Y243" i="5"/>
  <c r="Y244" i="5"/>
  <c r="Y245" i="5"/>
  <c r="Y246" i="5"/>
  <c r="Y247" i="5"/>
  <c r="Y248" i="5"/>
  <c r="Y249" i="5"/>
  <c r="Y250" i="5"/>
  <c r="Y251" i="5"/>
  <c r="Y252" i="5"/>
  <c r="Y253" i="5"/>
  <c r="Y254" i="5"/>
  <c r="Y255" i="5"/>
  <c r="Y256" i="5"/>
  <c r="Y257" i="5"/>
  <c r="Y258" i="5"/>
  <c r="Y259" i="5"/>
  <c r="Y260" i="5"/>
  <c r="Y261" i="5"/>
  <c r="Y262" i="5"/>
  <c r="Y263" i="5"/>
  <c r="Y264" i="5"/>
  <c r="Y265" i="5"/>
  <c r="Y266" i="5"/>
  <c r="Y267" i="5"/>
  <c r="Y268" i="5"/>
  <c r="Y269" i="5"/>
  <c r="Y270" i="5"/>
  <c r="Y271" i="5"/>
  <c r="Y272" i="5"/>
  <c r="Y273" i="5"/>
  <c r="Y274" i="5"/>
  <c r="Y275" i="5"/>
  <c r="Y276" i="5"/>
  <c r="Y277" i="5"/>
  <c r="Y278" i="5"/>
  <c r="Y279" i="5"/>
  <c r="Y280" i="5"/>
  <c r="Y281" i="5"/>
  <c r="Y282" i="5"/>
  <c r="Y283" i="5"/>
  <c r="Y284" i="5"/>
  <c r="Y285" i="5"/>
  <c r="Y286" i="5"/>
  <c r="Y287" i="5"/>
  <c r="Y288" i="5"/>
  <c r="Y289" i="5"/>
  <c r="Y290" i="5"/>
  <c r="Y291" i="5"/>
  <c r="Y292" i="5"/>
  <c r="Y293" i="5"/>
  <c r="Y294" i="5"/>
  <c r="Y295" i="5"/>
  <c r="Y296" i="5"/>
  <c r="Y297" i="5"/>
  <c r="Y298" i="5"/>
  <c r="Y299" i="5"/>
  <c r="Y300" i="5"/>
  <c r="Y301" i="5"/>
  <c r="Y302" i="5"/>
  <c r="Y303" i="5"/>
  <c r="Y304" i="5"/>
  <c r="Y305" i="5"/>
  <c r="Y306" i="5"/>
  <c r="Y307" i="5"/>
  <c r="Y308" i="5"/>
  <c r="Y309" i="5"/>
  <c r="Y310" i="5"/>
  <c r="Y311" i="5"/>
  <c r="Y312" i="5"/>
  <c r="Y313" i="5"/>
  <c r="Y314" i="5"/>
  <c r="Y315" i="5"/>
  <c r="Y316" i="5"/>
  <c r="Y317" i="5"/>
  <c r="Y318" i="5"/>
  <c r="Y319" i="5"/>
  <c r="Y320" i="5"/>
  <c r="Y321" i="5"/>
  <c r="Y322" i="5"/>
  <c r="Y323" i="5"/>
  <c r="Y324" i="5"/>
  <c r="Y325" i="5"/>
  <c r="Y326" i="5"/>
  <c r="Y327" i="5"/>
  <c r="Y328" i="5"/>
  <c r="Y329" i="5"/>
  <c r="Y330" i="5"/>
  <c r="Y331" i="5"/>
  <c r="Y332" i="5"/>
  <c r="Y333" i="5"/>
  <c r="Y334" i="5"/>
  <c r="Y335" i="5"/>
  <c r="Y336" i="5"/>
  <c r="Y337" i="5"/>
  <c r="Y338" i="5"/>
  <c r="Y339" i="5"/>
  <c r="Y340" i="5"/>
  <c r="Y341" i="5"/>
  <c r="Y342" i="5"/>
  <c r="Y343" i="5"/>
  <c r="Y344" i="5"/>
  <c r="Y345" i="5"/>
  <c r="Y346" i="5"/>
  <c r="Y347" i="5"/>
  <c r="Y348" i="5"/>
  <c r="Y349" i="5"/>
  <c r="Y350" i="5"/>
  <c r="Y351" i="5"/>
  <c r="Y352" i="5"/>
  <c r="Y353" i="5"/>
  <c r="Y354" i="5"/>
  <c r="Y355" i="5"/>
  <c r="Y356" i="5"/>
  <c r="Y357" i="5"/>
  <c r="Y358" i="5"/>
  <c r="Y359" i="5"/>
  <c r="Y360" i="5"/>
  <c r="Y361" i="5"/>
  <c r="Y362" i="5"/>
  <c r="Y363" i="5"/>
  <c r="Y364" i="5"/>
  <c r="Y365" i="5"/>
  <c r="Y366" i="5"/>
  <c r="Y367" i="5"/>
  <c r="Y368" i="5"/>
  <c r="Y369" i="5"/>
  <c r="Y370" i="5"/>
  <c r="Y371" i="5"/>
  <c r="Y372" i="5"/>
  <c r="Y373" i="5"/>
  <c r="Y374" i="5"/>
  <c r="Y375" i="5"/>
  <c r="Y376" i="5"/>
  <c r="Y377" i="5"/>
  <c r="Y378" i="5"/>
  <c r="Y379" i="5"/>
  <c r="Y380" i="5"/>
  <c r="Y381" i="5"/>
  <c r="Y382" i="5"/>
  <c r="Y383" i="5"/>
  <c r="Y384" i="5"/>
  <c r="Y385" i="5"/>
  <c r="Y386" i="5"/>
  <c r="Y387" i="5"/>
  <c r="Y388" i="5"/>
  <c r="Y389" i="5"/>
  <c r="Y390" i="5"/>
  <c r="Y391" i="5"/>
  <c r="Y392" i="5"/>
  <c r="Y393" i="5"/>
  <c r="Y394" i="5"/>
  <c r="Y395" i="5"/>
  <c r="Y396" i="5"/>
  <c r="Y397" i="5"/>
  <c r="Y398" i="5"/>
  <c r="Y399" i="5"/>
  <c r="Y400" i="5"/>
  <c r="Y401" i="5"/>
  <c r="Y402" i="5"/>
  <c r="Y403" i="5"/>
  <c r="Y404" i="5"/>
  <c r="Y405" i="5"/>
  <c r="Y406" i="5"/>
  <c r="Y407" i="5"/>
  <c r="Y408" i="5"/>
  <c r="Y409" i="5"/>
  <c r="Y410" i="5"/>
  <c r="Y411" i="5"/>
  <c r="Y412" i="5"/>
  <c r="Y413" i="5"/>
  <c r="Y414" i="5"/>
  <c r="Y415" i="5"/>
  <c r="Y416" i="5"/>
  <c r="Y417" i="5"/>
  <c r="Y418" i="5"/>
  <c r="Y419" i="5"/>
  <c r="Y420" i="5"/>
  <c r="Y421" i="5"/>
  <c r="Y422" i="5"/>
  <c r="Y423" i="5"/>
  <c r="Y424" i="5"/>
  <c r="Y425" i="5"/>
  <c r="Y426" i="5"/>
  <c r="Y427" i="5"/>
  <c r="Y428" i="5"/>
  <c r="Y429" i="5"/>
  <c r="Y430" i="5"/>
  <c r="Y431" i="5"/>
  <c r="Y432" i="5"/>
  <c r="Y433" i="5"/>
  <c r="Y434" i="5"/>
  <c r="Y435" i="5"/>
  <c r="Y436" i="5"/>
  <c r="Y437" i="5"/>
  <c r="Y438" i="5"/>
  <c r="Y439" i="5"/>
  <c r="Y440" i="5"/>
  <c r="Y441" i="5"/>
  <c r="Y442" i="5"/>
  <c r="Y443" i="5"/>
  <c r="Y444" i="5"/>
  <c r="Y445" i="5"/>
  <c r="Y446" i="5"/>
  <c r="Y447" i="5"/>
  <c r="Y448" i="5"/>
  <c r="Y449" i="5"/>
  <c r="Y450" i="5"/>
  <c r="Y451" i="5"/>
  <c r="Y452" i="5"/>
  <c r="Y453" i="5"/>
  <c r="Y454" i="5"/>
  <c r="Y455" i="5"/>
  <c r="Y456" i="5"/>
  <c r="Y457" i="5"/>
  <c r="Y458" i="5"/>
  <c r="Y459" i="5"/>
  <c r="Y460" i="5"/>
  <c r="Y461" i="5"/>
  <c r="Y462" i="5"/>
  <c r="Y463" i="5"/>
  <c r="Y464" i="5"/>
  <c r="Y465" i="5"/>
  <c r="Y466" i="5"/>
  <c r="Y467" i="5"/>
  <c r="Y468" i="5"/>
  <c r="Y469" i="5"/>
  <c r="Y470" i="5"/>
  <c r="Y471" i="5"/>
  <c r="Y472" i="5"/>
  <c r="Y473" i="5"/>
  <c r="Y474" i="5"/>
  <c r="Y475" i="5"/>
  <c r="Y476" i="5"/>
  <c r="Y477" i="5"/>
  <c r="Y478" i="5"/>
  <c r="Y479" i="5"/>
  <c r="Y480" i="5"/>
  <c r="Y481" i="5"/>
  <c r="Y482" i="5"/>
  <c r="Y483" i="5"/>
  <c r="Y484" i="5"/>
  <c r="Y485" i="5"/>
  <c r="Y486" i="5"/>
  <c r="Y487" i="5"/>
  <c r="Y488" i="5"/>
  <c r="Y489" i="5"/>
  <c r="Y490" i="5"/>
  <c r="Y491" i="5"/>
  <c r="Y492" i="5"/>
  <c r="Y493" i="5"/>
  <c r="Y494" i="5"/>
  <c r="Y495" i="5"/>
  <c r="Y496" i="5"/>
  <c r="Y497" i="5"/>
  <c r="Y498" i="5"/>
  <c r="Y499" i="5"/>
  <c r="Y500" i="5"/>
  <c r="Y501" i="5"/>
  <c r="Y502" i="5"/>
  <c r="Y503" i="5"/>
  <c r="Y504" i="5"/>
  <c r="Y505" i="5"/>
  <c r="Y506" i="5"/>
  <c r="Y507" i="5"/>
  <c r="Y508" i="5"/>
  <c r="Y509" i="5"/>
  <c r="Y510" i="5"/>
  <c r="Y511" i="5"/>
  <c r="Y512" i="5"/>
  <c r="Y513" i="5"/>
  <c r="Y514" i="5"/>
  <c r="Y515" i="5"/>
  <c r="Y516" i="5"/>
  <c r="Y517" i="5"/>
  <c r="Y518" i="5"/>
  <c r="Y519" i="5"/>
  <c r="Y520" i="5"/>
  <c r="Y521" i="5"/>
  <c r="Y522" i="5"/>
  <c r="Y523" i="5"/>
  <c r="Y524" i="5"/>
  <c r="Y525" i="5"/>
  <c r="Y526" i="5"/>
  <c r="Y527" i="5"/>
  <c r="Y528" i="5"/>
  <c r="Y529" i="5"/>
  <c r="Y530" i="5"/>
  <c r="Y531" i="5"/>
  <c r="Y532" i="5"/>
  <c r="Y533" i="5"/>
  <c r="Y534" i="5"/>
  <c r="Y535" i="5"/>
  <c r="Y536" i="5"/>
  <c r="Y537" i="5"/>
  <c r="Y538" i="5"/>
  <c r="Y539" i="5"/>
  <c r="Y540" i="5"/>
  <c r="Y541" i="5"/>
  <c r="Y542" i="5"/>
  <c r="Y543" i="5"/>
  <c r="Y544" i="5"/>
  <c r="Y545" i="5"/>
  <c r="Y546" i="5"/>
  <c r="Y547" i="5"/>
  <c r="Y548" i="5"/>
  <c r="Y549" i="5"/>
  <c r="Y550" i="5"/>
  <c r="Y551" i="5"/>
  <c r="Y552" i="5"/>
  <c r="Y553" i="5"/>
  <c r="Y554" i="5"/>
  <c r="Y555" i="5"/>
  <c r="Y556" i="5"/>
  <c r="Y557" i="5"/>
  <c r="Y558" i="5"/>
  <c r="Y559" i="5"/>
  <c r="Y560" i="5"/>
  <c r="Y561" i="5"/>
  <c r="Y562" i="5"/>
  <c r="Y563" i="5"/>
  <c r="Y564" i="5"/>
  <c r="Y565" i="5"/>
  <c r="Y566" i="5"/>
  <c r="Y567" i="5"/>
  <c r="Y568" i="5"/>
  <c r="Y569" i="5"/>
  <c r="Y570" i="5"/>
  <c r="Y571" i="5"/>
  <c r="Y572" i="5"/>
  <c r="Y573" i="5"/>
  <c r="Y574" i="5"/>
  <c r="Y575" i="5"/>
  <c r="Y576" i="5"/>
  <c r="Y577" i="5"/>
  <c r="Y578" i="5"/>
  <c r="Y579" i="5"/>
  <c r="Y580" i="5"/>
  <c r="Y581" i="5"/>
  <c r="Y582" i="5"/>
  <c r="Y583" i="5"/>
  <c r="Y584" i="5"/>
  <c r="Y585" i="5"/>
  <c r="Y586" i="5"/>
  <c r="Y587" i="5"/>
  <c r="Y588" i="5"/>
  <c r="Y589" i="5"/>
  <c r="Y590" i="5"/>
  <c r="Y591" i="5"/>
  <c r="Y592" i="5"/>
  <c r="Y593" i="5"/>
  <c r="Y594" i="5"/>
  <c r="Y595" i="5"/>
  <c r="Y596" i="5"/>
  <c r="Y597" i="5"/>
  <c r="Y598" i="5"/>
  <c r="Y599" i="5"/>
  <c r="Y600" i="5"/>
  <c r="Y601" i="5"/>
  <c r="Y602" i="5"/>
  <c r="Y603" i="5"/>
  <c r="Y604" i="5"/>
  <c r="Y605" i="5"/>
  <c r="Y606" i="5"/>
  <c r="Y607" i="5"/>
  <c r="Y608" i="5"/>
  <c r="Y609" i="5"/>
  <c r="Y610" i="5"/>
  <c r="Y611" i="5"/>
  <c r="Y612" i="5"/>
  <c r="Y613" i="5"/>
  <c r="Y614" i="5"/>
  <c r="Y615" i="5"/>
  <c r="Y616" i="5"/>
  <c r="Y617" i="5"/>
  <c r="Y618" i="5"/>
  <c r="Y619" i="5"/>
  <c r="Y620" i="5"/>
  <c r="Y621" i="5"/>
  <c r="Y622" i="5"/>
  <c r="Y623" i="5"/>
  <c r="Y624" i="5"/>
  <c r="Y625" i="5"/>
  <c r="Y626" i="5"/>
  <c r="Y627" i="5"/>
  <c r="Y628" i="5"/>
  <c r="Y629" i="5"/>
  <c r="Y630" i="5"/>
  <c r="Y631" i="5"/>
  <c r="Y632" i="5"/>
  <c r="Y2" i="5"/>
  <c r="X3" i="5"/>
  <c r="X4" i="5"/>
  <c r="X5" i="5"/>
  <c r="X6" i="5"/>
  <c r="X7" i="5"/>
  <c r="X8" i="5"/>
  <c r="X9" i="5"/>
  <c r="X10" i="5"/>
  <c r="X11" i="5"/>
  <c r="X12" i="5"/>
  <c r="X13" i="5"/>
  <c r="X14" i="5"/>
  <c r="X15" i="5"/>
  <c r="X16" i="5"/>
  <c r="X17" i="5"/>
  <c r="X18" i="5"/>
  <c r="X19" i="5"/>
  <c r="X20" i="5"/>
  <c r="X21" i="5"/>
  <c r="X22" i="5"/>
  <c r="X23" i="5"/>
  <c r="X24" i="5"/>
  <c r="X25" i="5"/>
  <c r="X26" i="5"/>
  <c r="X27" i="5"/>
  <c r="X28" i="5"/>
  <c r="X29" i="5"/>
  <c r="X30" i="5"/>
  <c r="X31" i="5"/>
  <c r="X32" i="5"/>
  <c r="X33" i="5"/>
  <c r="X34" i="5"/>
  <c r="X35" i="5"/>
  <c r="X36" i="5"/>
  <c r="X37" i="5"/>
  <c r="X38" i="5"/>
  <c r="X39" i="5"/>
  <c r="X40" i="5"/>
  <c r="X41" i="5"/>
  <c r="X42" i="5"/>
  <c r="X43" i="5"/>
  <c r="X44" i="5"/>
  <c r="X45" i="5"/>
  <c r="X46" i="5"/>
  <c r="X47" i="5"/>
  <c r="X48" i="5"/>
  <c r="X49" i="5"/>
  <c r="X50" i="5"/>
  <c r="X51" i="5"/>
  <c r="X52" i="5"/>
  <c r="X53" i="5"/>
  <c r="X54" i="5"/>
  <c r="X55" i="5"/>
  <c r="X56" i="5"/>
  <c r="X57" i="5"/>
  <c r="X58" i="5"/>
  <c r="X59" i="5"/>
  <c r="X60" i="5"/>
  <c r="X61" i="5"/>
  <c r="X62" i="5"/>
  <c r="X63" i="5"/>
  <c r="X64" i="5"/>
  <c r="X65" i="5"/>
  <c r="X66" i="5"/>
  <c r="X67" i="5"/>
  <c r="X68" i="5"/>
  <c r="X69" i="5"/>
  <c r="X70" i="5"/>
  <c r="X71" i="5"/>
  <c r="X72" i="5"/>
  <c r="X73" i="5"/>
  <c r="X74" i="5"/>
  <c r="X75" i="5"/>
  <c r="X76" i="5"/>
  <c r="X77" i="5"/>
  <c r="X78" i="5"/>
  <c r="X79" i="5"/>
  <c r="X80" i="5"/>
  <c r="X81" i="5"/>
  <c r="X82" i="5"/>
  <c r="X83" i="5"/>
  <c r="X84" i="5"/>
  <c r="X85" i="5"/>
  <c r="X86" i="5"/>
  <c r="X87" i="5"/>
  <c r="X88" i="5"/>
  <c r="X89" i="5"/>
  <c r="X90" i="5"/>
  <c r="X91" i="5"/>
  <c r="X92" i="5"/>
  <c r="X93" i="5"/>
  <c r="X94" i="5"/>
  <c r="X95" i="5"/>
  <c r="X96" i="5"/>
  <c r="X97" i="5"/>
  <c r="X98" i="5"/>
  <c r="X99" i="5"/>
  <c r="X100" i="5"/>
  <c r="X101" i="5"/>
  <c r="X102" i="5"/>
  <c r="X103" i="5"/>
  <c r="X104" i="5"/>
  <c r="X105" i="5"/>
  <c r="X106" i="5"/>
  <c r="X107" i="5"/>
  <c r="X108" i="5"/>
  <c r="X109" i="5"/>
  <c r="X110" i="5"/>
  <c r="X111" i="5"/>
  <c r="X112" i="5"/>
  <c r="X113" i="5"/>
  <c r="X114" i="5"/>
  <c r="X115" i="5"/>
  <c r="X116" i="5"/>
  <c r="X117" i="5"/>
  <c r="X118" i="5"/>
  <c r="X119" i="5"/>
  <c r="X120" i="5"/>
  <c r="X121" i="5"/>
  <c r="X122" i="5"/>
  <c r="X123" i="5"/>
  <c r="X124" i="5"/>
  <c r="X125" i="5"/>
  <c r="X126" i="5"/>
  <c r="X127" i="5"/>
  <c r="X128" i="5"/>
  <c r="X129" i="5"/>
  <c r="X130" i="5"/>
  <c r="X131" i="5"/>
  <c r="X132" i="5"/>
  <c r="X133" i="5"/>
  <c r="X134" i="5"/>
  <c r="X135" i="5"/>
  <c r="X136" i="5"/>
  <c r="X137" i="5"/>
  <c r="X138" i="5"/>
  <c r="X139" i="5"/>
  <c r="X140" i="5"/>
  <c r="X141" i="5"/>
  <c r="X142" i="5"/>
  <c r="X143" i="5"/>
  <c r="X144" i="5"/>
  <c r="X145" i="5"/>
  <c r="X146" i="5"/>
  <c r="X147" i="5"/>
  <c r="X148" i="5"/>
  <c r="X149" i="5"/>
  <c r="X150" i="5"/>
  <c r="X151" i="5"/>
  <c r="X152" i="5"/>
  <c r="X153" i="5"/>
  <c r="X154" i="5"/>
  <c r="X155" i="5"/>
  <c r="X156" i="5"/>
  <c r="X157" i="5"/>
  <c r="X158" i="5"/>
  <c r="X159" i="5"/>
  <c r="X160" i="5"/>
  <c r="X161" i="5"/>
  <c r="X162" i="5"/>
  <c r="X163" i="5"/>
  <c r="X164" i="5"/>
  <c r="X165" i="5"/>
  <c r="X166" i="5"/>
  <c r="X167" i="5"/>
  <c r="X168" i="5"/>
  <c r="X169" i="5"/>
  <c r="X170" i="5"/>
  <c r="X171" i="5"/>
  <c r="X172" i="5"/>
  <c r="X173" i="5"/>
  <c r="X174" i="5"/>
  <c r="X175" i="5"/>
  <c r="X176" i="5"/>
  <c r="X177" i="5"/>
  <c r="X178" i="5"/>
  <c r="X179" i="5"/>
  <c r="X180" i="5"/>
  <c r="X181" i="5"/>
  <c r="X182" i="5"/>
  <c r="X183" i="5"/>
  <c r="X184" i="5"/>
  <c r="X185" i="5"/>
  <c r="X186" i="5"/>
  <c r="X187" i="5"/>
  <c r="X188" i="5"/>
  <c r="X189" i="5"/>
  <c r="X190" i="5"/>
  <c r="X191" i="5"/>
  <c r="X192" i="5"/>
  <c r="X193" i="5"/>
  <c r="X194" i="5"/>
  <c r="X195" i="5"/>
  <c r="X196" i="5"/>
  <c r="X197" i="5"/>
  <c r="X198" i="5"/>
  <c r="X199" i="5"/>
  <c r="X200" i="5"/>
  <c r="X201" i="5"/>
  <c r="X202" i="5"/>
  <c r="X203" i="5"/>
  <c r="X204" i="5"/>
  <c r="X205" i="5"/>
  <c r="X206" i="5"/>
  <c r="X207" i="5"/>
  <c r="X208" i="5"/>
  <c r="X209" i="5"/>
  <c r="X210" i="5"/>
  <c r="X211" i="5"/>
  <c r="X212" i="5"/>
  <c r="X213" i="5"/>
  <c r="X214" i="5"/>
  <c r="X215" i="5"/>
  <c r="X216" i="5"/>
  <c r="X217" i="5"/>
  <c r="X218" i="5"/>
  <c r="X219" i="5"/>
  <c r="X220" i="5"/>
  <c r="X221" i="5"/>
  <c r="X222" i="5"/>
  <c r="X223" i="5"/>
  <c r="X224" i="5"/>
  <c r="X225" i="5"/>
  <c r="X226" i="5"/>
  <c r="X227" i="5"/>
  <c r="X228" i="5"/>
  <c r="X229" i="5"/>
  <c r="X230" i="5"/>
  <c r="X231" i="5"/>
  <c r="X232" i="5"/>
  <c r="X233" i="5"/>
  <c r="X234" i="5"/>
  <c r="X235" i="5"/>
  <c r="X236" i="5"/>
  <c r="X237" i="5"/>
  <c r="X238" i="5"/>
  <c r="X239" i="5"/>
  <c r="X240" i="5"/>
  <c r="X241" i="5"/>
  <c r="X242" i="5"/>
  <c r="X243" i="5"/>
  <c r="X244" i="5"/>
  <c r="X245" i="5"/>
  <c r="X246" i="5"/>
  <c r="X247" i="5"/>
  <c r="X248" i="5"/>
  <c r="X249" i="5"/>
  <c r="X250" i="5"/>
  <c r="X251" i="5"/>
  <c r="X252" i="5"/>
  <c r="X253" i="5"/>
  <c r="X254" i="5"/>
  <c r="X255" i="5"/>
  <c r="X256" i="5"/>
  <c r="X257" i="5"/>
  <c r="X258" i="5"/>
  <c r="X259" i="5"/>
  <c r="X260" i="5"/>
  <c r="X261" i="5"/>
  <c r="X262" i="5"/>
  <c r="X263" i="5"/>
  <c r="X264" i="5"/>
  <c r="X265" i="5"/>
  <c r="X266" i="5"/>
  <c r="X267" i="5"/>
  <c r="X268" i="5"/>
  <c r="X269" i="5"/>
  <c r="X270" i="5"/>
  <c r="X271" i="5"/>
  <c r="X272" i="5"/>
  <c r="X273" i="5"/>
  <c r="X274" i="5"/>
  <c r="X275" i="5"/>
  <c r="X276" i="5"/>
  <c r="X277" i="5"/>
  <c r="X278" i="5"/>
  <c r="X279" i="5"/>
  <c r="X280" i="5"/>
  <c r="X281" i="5"/>
  <c r="X282" i="5"/>
  <c r="X283" i="5"/>
  <c r="X284" i="5"/>
  <c r="X285" i="5"/>
  <c r="X286" i="5"/>
  <c r="X287" i="5"/>
  <c r="X288" i="5"/>
  <c r="X289" i="5"/>
  <c r="X290" i="5"/>
  <c r="X291" i="5"/>
  <c r="X292" i="5"/>
  <c r="X293" i="5"/>
  <c r="X294" i="5"/>
  <c r="X295" i="5"/>
  <c r="X296" i="5"/>
  <c r="X297" i="5"/>
  <c r="X298" i="5"/>
  <c r="X299" i="5"/>
  <c r="X300" i="5"/>
  <c r="X301" i="5"/>
  <c r="X302" i="5"/>
  <c r="X303" i="5"/>
  <c r="X304" i="5"/>
  <c r="X305" i="5"/>
  <c r="X306" i="5"/>
  <c r="X307" i="5"/>
  <c r="X308" i="5"/>
  <c r="X309" i="5"/>
  <c r="X310" i="5"/>
  <c r="X311" i="5"/>
  <c r="X312" i="5"/>
  <c r="X313" i="5"/>
  <c r="X314" i="5"/>
  <c r="X315" i="5"/>
  <c r="X316" i="5"/>
  <c r="X317" i="5"/>
  <c r="X318" i="5"/>
  <c r="X319" i="5"/>
  <c r="X320" i="5"/>
  <c r="X321" i="5"/>
  <c r="X322" i="5"/>
  <c r="X323" i="5"/>
  <c r="X324" i="5"/>
  <c r="X325" i="5"/>
  <c r="X326" i="5"/>
  <c r="X327" i="5"/>
  <c r="X328" i="5"/>
  <c r="X329" i="5"/>
  <c r="X330" i="5"/>
  <c r="X331" i="5"/>
  <c r="X332" i="5"/>
  <c r="X333" i="5"/>
  <c r="X334" i="5"/>
  <c r="X335" i="5"/>
  <c r="X336" i="5"/>
  <c r="X337" i="5"/>
  <c r="X338" i="5"/>
  <c r="X339" i="5"/>
  <c r="X340" i="5"/>
  <c r="X341" i="5"/>
  <c r="X342" i="5"/>
  <c r="X343" i="5"/>
  <c r="X344" i="5"/>
  <c r="X345" i="5"/>
  <c r="X346" i="5"/>
  <c r="X347" i="5"/>
  <c r="X348" i="5"/>
  <c r="X349" i="5"/>
  <c r="X350" i="5"/>
  <c r="X351" i="5"/>
  <c r="X352" i="5"/>
  <c r="X353" i="5"/>
  <c r="X354" i="5"/>
  <c r="X355" i="5"/>
  <c r="X356" i="5"/>
  <c r="X357" i="5"/>
  <c r="X358" i="5"/>
  <c r="X359" i="5"/>
  <c r="X360" i="5"/>
  <c r="X361" i="5"/>
  <c r="X362" i="5"/>
  <c r="X363" i="5"/>
  <c r="X364" i="5"/>
  <c r="X365" i="5"/>
  <c r="X366" i="5"/>
  <c r="X367" i="5"/>
  <c r="X368" i="5"/>
  <c r="X369" i="5"/>
  <c r="X370" i="5"/>
  <c r="X371" i="5"/>
  <c r="X372" i="5"/>
  <c r="X373" i="5"/>
  <c r="X374" i="5"/>
  <c r="X375" i="5"/>
  <c r="X376" i="5"/>
  <c r="X377" i="5"/>
  <c r="X378" i="5"/>
  <c r="X379" i="5"/>
  <c r="X380" i="5"/>
  <c r="X381" i="5"/>
  <c r="X382" i="5"/>
  <c r="X383" i="5"/>
  <c r="X384" i="5"/>
  <c r="X385" i="5"/>
  <c r="X386" i="5"/>
  <c r="X387" i="5"/>
  <c r="X388" i="5"/>
  <c r="X389" i="5"/>
  <c r="X390" i="5"/>
  <c r="X391" i="5"/>
  <c r="X392" i="5"/>
  <c r="X393" i="5"/>
  <c r="X394" i="5"/>
  <c r="X395" i="5"/>
  <c r="X396" i="5"/>
  <c r="X397" i="5"/>
  <c r="X398" i="5"/>
  <c r="X399" i="5"/>
  <c r="X400" i="5"/>
  <c r="X401" i="5"/>
  <c r="X402" i="5"/>
  <c r="X403" i="5"/>
  <c r="X404" i="5"/>
  <c r="X405" i="5"/>
  <c r="X406" i="5"/>
  <c r="X407" i="5"/>
  <c r="X408" i="5"/>
  <c r="X409" i="5"/>
  <c r="X410" i="5"/>
  <c r="X411" i="5"/>
  <c r="X412" i="5"/>
  <c r="X413" i="5"/>
  <c r="X414" i="5"/>
  <c r="X415" i="5"/>
  <c r="X416" i="5"/>
  <c r="X417" i="5"/>
  <c r="X418" i="5"/>
  <c r="X419" i="5"/>
  <c r="X420" i="5"/>
  <c r="X421" i="5"/>
  <c r="X422" i="5"/>
  <c r="X423" i="5"/>
  <c r="X424" i="5"/>
  <c r="X425" i="5"/>
  <c r="X426" i="5"/>
  <c r="X427" i="5"/>
  <c r="X428" i="5"/>
  <c r="X429" i="5"/>
  <c r="X430" i="5"/>
  <c r="X431" i="5"/>
  <c r="X432" i="5"/>
  <c r="X433" i="5"/>
  <c r="X434" i="5"/>
  <c r="X435" i="5"/>
  <c r="X436" i="5"/>
  <c r="X437" i="5"/>
  <c r="X438" i="5"/>
  <c r="X439" i="5"/>
  <c r="X440" i="5"/>
  <c r="X441" i="5"/>
  <c r="X442" i="5"/>
  <c r="X443" i="5"/>
  <c r="X444" i="5"/>
  <c r="X445" i="5"/>
  <c r="X446" i="5"/>
  <c r="X447" i="5"/>
  <c r="X448" i="5"/>
  <c r="X449" i="5"/>
  <c r="X450" i="5"/>
  <c r="X451" i="5"/>
  <c r="X452" i="5"/>
  <c r="X453" i="5"/>
  <c r="X454" i="5"/>
  <c r="X455" i="5"/>
  <c r="X456" i="5"/>
  <c r="X457" i="5"/>
  <c r="X458" i="5"/>
  <c r="X459" i="5"/>
  <c r="X460" i="5"/>
  <c r="X461" i="5"/>
  <c r="X462" i="5"/>
  <c r="X463" i="5"/>
  <c r="X464" i="5"/>
  <c r="X465" i="5"/>
  <c r="X466" i="5"/>
  <c r="X467" i="5"/>
  <c r="X468" i="5"/>
  <c r="X469" i="5"/>
  <c r="X470" i="5"/>
  <c r="X471" i="5"/>
  <c r="X472" i="5"/>
  <c r="X473" i="5"/>
  <c r="X474" i="5"/>
  <c r="X475" i="5"/>
  <c r="X476" i="5"/>
  <c r="X477" i="5"/>
  <c r="X478" i="5"/>
  <c r="X479" i="5"/>
  <c r="X480" i="5"/>
  <c r="X481" i="5"/>
  <c r="X482" i="5"/>
  <c r="X483" i="5"/>
  <c r="X484" i="5"/>
  <c r="X485" i="5"/>
  <c r="X486" i="5"/>
  <c r="X487" i="5"/>
  <c r="X488" i="5"/>
  <c r="X489" i="5"/>
  <c r="X490" i="5"/>
  <c r="X491" i="5"/>
  <c r="X492" i="5"/>
  <c r="X493" i="5"/>
  <c r="X494" i="5"/>
  <c r="X495" i="5"/>
  <c r="X496" i="5"/>
  <c r="X497" i="5"/>
  <c r="X498" i="5"/>
  <c r="X499" i="5"/>
  <c r="X500" i="5"/>
  <c r="X501" i="5"/>
  <c r="X502" i="5"/>
  <c r="X503" i="5"/>
  <c r="X504" i="5"/>
  <c r="X505" i="5"/>
  <c r="X506" i="5"/>
  <c r="X507" i="5"/>
  <c r="X508" i="5"/>
  <c r="X509" i="5"/>
  <c r="X510" i="5"/>
  <c r="X511" i="5"/>
  <c r="X512" i="5"/>
  <c r="X513" i="5"/>
  <c r="X514" i="5"/>
  <c r="X515" i="5"/>
  <c r="X516" i="5"/>
  <c r="X517" i="5"/>
  <c r="X518" i="5"/>
  <c r="X519" i="5"/>
  <c r="X520" i="5"/>
  <c r="X521" i="5"/>
  <c r="X522" i="5"/>
  <c r="X523" i="5"/>
  <c r="X524" i="5"/>
  <c r="X525" i="5"/>
  <c r="X526" i="5"/>
  <c r="X527" i="5"/>
  <c r="X528" i="5"/>
  <c r="X529" i="5"/>
  <c r="X530" i="5"/>
  <c r="X531" i="5"/>
  <c r="X532" i="5"/>
  <c r="X533" i="5"/>
  <c r="X534" i="5"/>
  <c r="X535" i="5"/>
  <c r="X536" i="5"/>
  <c r="X537" i="5"/>
  <c r="X538" i="5"/>
  <c r="X539" i="5"/>
  <c r="X540" i="5"/>
  <c r="X541" i="5"/>
  <c r="X542" i="5"/>
  <c r="X543" i="5"/>
  <c r="X544" i="5"/>
  <c r="X545" i="5"/>
  <c r="X546" i="5"/>
  <c r="X547" i="5"/>
  <c r="X548" i="5"/>
  <c r="X549" i="5"/>
  <c r="X550" i="5"/>
  <c r="X551" i="5"/>
  <c r="X552" i="5"/>
  <c r="X553" i="5"/>
  <c r="X554" i="5"/>
  <c r="X555" i="5"/>
  <c r="X556" i="5"/>
  <c r="X557" i="5"/>
  <c r="X558" i="5"/>
  <c r="X559" i="5"/>
  <c r="X560" i="5"/>
  <c r="X561" i="5"/>
  <c r="X562" i="5"/>
  <c r="X563" i="5"/>
  <c r="X564" i="5"/>
  <c r="X565" i="5"/>
  <c r="X566" i="5"/>
  <c r="X567" i="5"/>
  <c r="X568" i="5"/>
  <c r="X569" i="5"/>
  <c r="X570" i="5"/>
  <c r="X571" i="5"/>
  <c r="X572" i="5"/>
  <c r="X573" i="5"/>
  <c r="X574" i="5"/>
  <c r="X575" i="5"/>
  <c r="X576" i="5"/>
  <c r="X577" i="5"/>
  <c r="X578" i="5"/>
  <c r="X579" i="5"/>
  <c r="X580" i="5"/>
  <c r="X581" i="5"/>
  <c r="X582" i="5"/>
  <c r="X583" i="5"/>
  <c r="X584" i="5"/>
  <c r="X585" i="5"/>
  <c r="X586" i="5"/>
  <c r="X587" i="5"/>
  <c r="X588" i="5"/>
  <c r="X589" i="5"/>
  <c r="X590" i="5"/>
  <c r="X591" i="5"/>
  <c r="X592" i="5"/>
  <c r="X593" i="5"/>
  <c r="X594" i="5"/>
  <c r="X595" i="5"/>
  <c r="X596" i="5"/>
  <c r="X597" i="5"/>
  <c r="X598" i="5"/>
  <c r="X599" i="5"/>
  <c r="X600" i="5"/>
  <c r="X601" i="5"/>
  <c r="X602" i="5"/>
  <c r="X603" i="5"/>
  <c r="X604" i="5"/>
  <c r="X605" i="5"/>
  <c r="X606" i="5"/>
  <c r="X607" i="5"/>
  <c r="X608" i="5"/>
  <c r="X609" i="5"/>
  <c r="X610" i="5"/>
  <c r="X611" i="5"/>
  <c r="X612" i="5"/>
  <c r="X613" i="5"/>
  <c r="X614" i="5"/>
  <c r="X615" i="5"/>
  <c r="X616" i="5"/>
  <c r="X617" i="5"/>
  <c r="X618" i="5"/>
  <c r="X619" i="5"/>
  <c r="X620" i="5"/>
  <c r="X621" i="5"/>
  <c r="X622" i="5"/>
  <c r="X623" i="5"/>
  <c r="X624" i="5"/>
  <c r="X625" i="5"/>
  <c r="X626" i="5"/>
  <c r="X627" i="5"/>
  <c r="X628" i="5"/>
  <c r="X629" i="5"/>
  <c r="X630" i="5"/>
  <c r="X631" i="5"/>
  <c r="X632" i="5"/>
  <c r="X2" i="5"/>
  <c r="R194" i="5"/>
  <c r="R186" i="5"/>
  <c r="R178" i="5"/>
  <c r="R170" i="5"/>
  <c r="R162" i="5"/>
  <c r="R154" i="5"/>
  <c r="R146" i="5"/>
  <c r="R138" i="5"/>
  <c r="R130" i="5"/>
  <c r="R122" i="5"/>
  <c r="R114" i="5"/>
  <c r="R106" i="5"/>
  <c r="R98" i="5"/>
  <c r="R90" i="5"/>
  <c r="R82" i="5"/>
  <c r="R74" i="5"/>
  <c r="R66" i="5"/>
  <c r="R58" i="5"/>
  <c r="R50" i="5"/>
  <c r="R42" i="5"/>
  <c r="R34" i="5"/>
  <c r="R26" i="5"/>
  <c r="R18" i="5"/>
  <c r="R10" i="5"/>
  <c r="U3" i="4"/>
  <c r="U4" i="4"/>
  <c r="U5" i="4"/>
  <c r="U6" i="4"/>
  <c r="U7" i="4"/>
  <c r="U8" i="4"/>
  <c r="U9" i="4"/>
  <c r="U10" i="4"/>
  <c r="U11" i="4"/>
  <c r="U12" i="4"/>
  <c r="U13" i="4"/>
  <c r="U14" i="4"/>
  <c r="U15" i="4"/>
  <c r="U16" i="4"/>
  <c r="U17" i="4"/>
  <c r="U18" i="4"/>
  <c r="U19" i="4"/>
  <c r="U20" i="4"/>
  <c r="U21" i="4"/>
  <c r="U22" i="4"/>
  <c r="U23" i="4"/>
  <c r="U24" i="4"/>
  <c r="U25" i="4"/>
  <c r="U26" i="4"/>
  <c r="U27" i="4"/>
  <c r="U28" i="4"/>
  <c r="U29" i="4"/>
  <c r="U30" i="4"/>
  <c r="U31" i="4"/>
  <c r="U32" i="4"/>
  <c r="U33" i="4"/>
  <c r="U34" i="4"/>
  <c r="U35" i="4"/>
  <c r="U36" i="4"/>
  <c r="U37" i="4"/>
  <c r="U38" i="4"/>
  <c r="U39" i="4"/>
  <c r="U40" i="4"/>
  <c r="U41" i="4"/>
  <c r="U42" i="4"/>
  <c r="U43" i="4"/>
  <c r="U44" i="4"/>
  <c r="U45" i="4"/>
  <c r="U46" i="4"/>
  <c r="U47" i="4"/>
  <c r="U48" i="4"/>
  <c r="U49" i="4"/>
  <c r="U50" i="4"/>
  <c r="U51" i="4"/>
  <c r="U52" i="4"/>
  <c r="U53" i="4"/>
  <c r="U54" i="4"/>
  <c r="U55" i="4"/>
  <c r="U56" i="4"/>
  <c r="U57" i="4"/>
  <c r="U58" i="4"/>
  <c r="U59" i="4"/>
  <c r="U60" i="4"/>
  <c r="U61" i="4"/>
  <c r="U62" i="4"/>
  <c r="U63" i="4"/>
  <c r="U64" i="4"/>
  <c r="U65" i="4"/>
  <c r="U66" i="4"/>
  <c r="U67" i="4"/>
  <c r="U68" i="4"/>
  <c r="U69" i="4"/>
  <c r="U70" i="4"/>
  <c r="U71" i="4"/>
  <c r="U72" i="4"/>
  <c r="U73" i="4"/>
  <c r="U74" i="4"/>
  <c r="U75" i="4"/>
  <c r="U76" i="4"/>
  <c r="U77" i="4"/>
  <c r="U78" i="4"/>
  <c r="U79" i="4"/>
  <c r="U80" i="4"/>
  <c r="U81" i="4"/>
  <c r="U82" i="4"/>
  <c r="U83" i="4"/>
  <c r="U84" i="4"/>
  <c r="U85" i="4"/>
  <c r="U86" i="4"/>
  <c r="U87" i="4"/>
  <c r="U88" i="4"/>
  <c r="U89" i="4"/>
  <c r="U90" i="4"/>
  <c r="U91" i="4"/>
  <c r="U92" i="4"/>
  <c r="U93" i="4"/>
  <c r="U94" i="4"/>
  <c r="U95" i="4"/>
  <c r="U96" i="4"/>
  <c r="U97" i="4"/>
  <c r="U98" i="4"/>
  <c r="U99" i="4"/>
  <c r="U100" i="4"/>
  <c r="U101" i="4"/>
  <c r="U102" i="4"/>
  <c r="U103" i="4"/>
  <c r="U104" i="4"/>
  <c r="U105" i="4"/>
  <c r="U106" i="4"/>
  <c r="U107" i="4"/>
  <c r="U108" i="4"/>
  <c r="U109" i="4"/>
  <c r="U110" i="4"/>
  <c r="U111" i="4"/>
  <c r="U112" i="4"/>
  <c r="U113" i="4"/>
  <c r="U114" i="4"/>
  <c r="U115" i="4"/>
  <c r="U116" i="4"/>
  <c r="U117" i="4"/>
  <c r="U118" i="4"/>
  <c r="U119" i="4"/>
  <c r="U120" i="4"/>
  <c r="U121" i="4"/>
  <c r="U122" i="4"/>
  <c r="U123" i="4"/>
  <c r="U124" i="4"/>
  <c r="U125" i="4"/>
  <c r="U126" i="4"/>
  <c r="U127" i="4"/>
  <c r="U128" i="4"/>
  <c r="U129" i="4"/>
  <c r="U130" i="4"/>
  <c r="U131" i="4"/>
  <c r="U132" i="4"/>
  <c r="U133" i="4"/>
  <c r="U134" i="4"/>
  <c r="U135" i="4"/>
  <c r="U136" i="4"/>
  <c r="U137" i="4"/>
  <c r="U138" i="4"/>
  <c r="U139" i="4"/>
  <c r="U140" i="4"/>
  <c r="U141" i="4"/>
  <c r="U142" i="4"/>
  <c r="U143" i="4"/>
  <c r="U144" i="4"/>
  <c r="U145" i="4"/>
  <c r="U146" i="4"/>
  <c r="U147" i="4"/>
  <c r="U148" i="4"/>
  <c r="U149" i="4"/>
  <c r="U150" i="4"/>
  <c r="U151" i="4"/>
  <c r="U152" i="4"/>
  <c r="U153" i="4"/>
  <c r="U154" i="4"/>
  <c r="U155" i="4"/>
  <c r="U156" i="4"/>
  <c r="U157" i="4"/>
  <c r="U158" i="4"/>
  <c r="U159" i="4"/>
  <c r="U160" i="4"/>
  <c r="U161" i="4"/>
  <c r="U162" i="4"/>
  <c r="U163" i="4"/>
  <c r="U164" i="4"/>
  <c r="U165" i="4"/>
  <c r="U166" i="4"/>
  <c r="U167" i="4"/>
  <c r="U168" i="4"/>
  <c r="U169" i="4"/>
  <c r="U170" i="4"/>
  <c r="U171" i="4"/>
  <c r="U172" i="4"/>
  <c r="U173" i="4"/>
  <c r="U174" i="4"/>
  <c r="U175" i="4"/>
  <c r="U176" i="4"/>
  <c r="U177" i="4"/>
  <c r="U178" i="4"/>
  <c r="U179" i="4"/>
  <c r="U180" i="4"/>
  <c r="U181" i="4"/>
  <c r="U182" i="4"/>
  <c r="U183" i="4"/>
  <c r="U184" i="4"/>
  <c r="U185" i="4"/>
  <c r="U186" i="4"/>
  <c r="U187" i="4"/>
  <c r="U188" i="4"/>
  <c r="U189" i="4"/>
  <c r="U190" i="4"/>
  <c r="U191" i="4"/>
  <c r="U192" i="4"/>
  <c r="U193" i="4"/>
  <c r="U194" i="4"/>
  <c r="U195" i="4"/>
  <c r="U196" i="4"/>
  <c r="U197" i="4"/>
  <c r="U198" i="4"/>
  <c r="U199" i="4"/>
  <c r="U200" i="4"/>
  <c r="U201" i="4"/>
  <c r="U202" i="4"/>
  <c r="U203" i="4"/>
  <c r="U204" i="4"/>
  <c r="U205" i="4"/>
  <c r="U206" i="4"/>
  <c r="U207" i="4"/>
  <c r="U208" i="4"/>
  <c r="U209" i="4"/>
  <c r="U210" i="4"/>
  <c r="U211" i="4"/>
  <c r="U212" i="4"/>
  <c r="U213" i="4"/>
  <c r="U214" i="4"/>
  <c r="U215" i="4"/>
  <c r="U216" i="4"/>
  <c r="U217" i="4"/>
  <c r="U218" i="4"/>
  <c r="U219" i="4"/>
  <c r="U220" i="4"/>
  <c r="U221" i="4"/>
  <c r="U222" i="4"/>
  <c r="U223" i="4"/>
  <c r="U224" i="4"/>
  <c r="U225" i="4"/>
  <c r="U226" i="4"/>
  <c r="U227" i="4"/>
  <c r="U228" i="4"/>
  <c r="U229" i="4"/>
  <c r="U230" i="4"/>
  <c r="U231" i="4"/>
  <c r="U232" i="4"/>
  <c r="U233" i="4"/>
  <c r="U234" i="4"/>
  <c r="U235" i="4"/>
  <c r="U236" i="4"/>
  <c r="U237" i="4"/>
  <c r="U238" i="4"/>
  <c r="U239" i="4"/>
  <c r="U240" i="4"/>
  <c r="U241" i="4"/>
  <c r="U242" i="4"/>
  <c r="U243" i="4"/>
  <c r="U244" i="4"/>
  <c r="U245" i="4"/>
  <c r="U246" i="4"/>
  <c r="U247" i="4"/>
  <c r="U248" i="4"/>
  <c r="U249" i="4"/>
  <c r="U250" i="4"/>
  <c r="U251" i="4"/>
  <c r="U252" i="4"/>
  <c r="U253" i="4"/>
  <c r="U254" i="4"/>
  <c r="U255" i="4"/>
  <c r="U256" i="4"/>
  <c r="U257" i="4"/>
  <c r="U258" i="4"/>
  <c r="U259" i="4"/>
  <c r="U260" i="4"/>
  <c r="U261" i="4"/>
  <c r="U262" i="4"/>
  <c r="U263" i="4"/>
  <c r="U264" i="4"/>
  <c r="U265" i="4"/>
  <c r="U266" i="4"/>
  <c r="U267" i="4"/>
  <c r="U268" i="4"/>
  <c r="U269" i="4"/>
  <c r="U270" i="4"/>
  <c r="U271" i="4"/>
  <c r="U272" i="4"/>
  <c r="U273" i="4"/>
  <c r="U274" i="4"/>
  <c r="U275" i="4"/>
  <c r="U276" i="4"/>
  <c r="U277" i="4"/>
  <c r="U278" i="4"/>
  <c r="U279" i="4"/>
  <c r="U280" i="4"/>
  <c r="U281" i="4"/>
  <c r="U282" i="4"/>
  <c r="U283" i="4"/>
  <c r="U284" i="4"/>
  <c r="U285" i="4"/>
  <c r="U286" i="4"/>
  <c r="U287" i="4"/>
  <c r="U288" i="4"/>
  <c r="U289" i="4"/>
  <c r="U290" i="4"/>
  <c r="U291" i="4"/>
  <c r="U292" i="4"/>
  <c r="U293" i="4"/>
  <c r="U294" i="4"/>
  <c r="U295" i="4"/>
  <c r="U296" i="4"/>
  <c r="U297" i="4"/>
  <c r="U298" i="4"/>
  <c r="U299" i="4"/>
  <c r="U300" i="4"/>
  <c r="U301" i="4"/>
  <c r="U302" i="4"/>
  <c r="U303" i="4"/>
  <c r="U304" i="4"/>
  <c r="U305" i="4"/>
  <c r="U306" i="4"/>
  <c r="U307" i="4"/>
  <c r="U308" i="4"/>
  <c r="U309" i="4"/>
  <c r="U310" i="4"/>
  <c r="U311" i="4"/>
  <c r="U312" i="4"/>
  <c r="U313" i="4"/>
  <c r="U314" i="4"/>
  <c r="U315" i="4"/>
  <c r="U316" i="4"/>
  <c r="U317" i="4"/>
  <c r="U318" i="4"/>
  <c r="U319" i="4"/>
  <c r="U320" i="4"/>
  <c r="U321" i="4"/>
  <c r="U322" i="4"/>
  <c r="U323" i="4"/>
  <c r="U324" i="4"/>
  <c r="U325" i="4"/>
  <c r="U326" i="4"/>
  <c r="U327" i="4"/>
  <c r="U328" i="4"/>
  <c r="U329" i="4"/>
  <c r="U330" i="4"/>
  <c r="U331" i="4"/>
  <c r="U332" i="4"/>
  <c r="U333" i="4"/>
  <c r="U334" i="4"/>
  <c r="U335" i="4"/>
  <c r="U336" i="4"/>
  <c r="U337" i="4"/>
  <c r="U338" i="4"/>
  <c r="U339" i="4"/>
  <c r="U340" i="4"/>
  <c r="U341" i="4"/>
  <c r="U342" i="4"/>
  <c r="U343" i="4"/>
  <c r="U344" i="4"/>
  <c r="U345" i="4"/>
  <c r="U346" i="4"/>
  <c r="U347" i="4"/>
  <c r="U348" i="4"/>
  <c r="U349" i="4"/>
  <c r="U350" i="4"/>
  <c r="U351" i="4"/>
  <c r="U352" i="4"/>
  <c r="U353" i="4"/>
  <c r="U354" i="4"/>
  <c r="U355" i="4"/>
  <c r="U356" i="4"/>
  <c r="U357" i="4"/>
  <c r="U358" i="4"/>
  <c r="U359" i="4"/>
  <c r="U360" i="4"/>
  <c r="U361" i="4"/>
  <c r="U362" i="4"/>
  <c r="U363" i="4"/>
  <c r="U364" i="4"/>
  <c r="U365" i="4"/>
  <c r="U366" i="4"/>
  <c r="U367" i="4"/>
  <c r="U368" i="4"/>
  <c r="U369" i="4"/>
  <c r="U370" i="4"/>
  <c r="U371" i="4"/>
  <c r="U372" i="4"/>
  <c r="U373" i="4"/>
  <c r="U374" i="4"/>
  <c r="U375" i="4"/>
  <c r="U376" i="4"/>
  <c r="U377" i="4"/>
  <c r="U378" i="4"/>
  <c r="U379" i="4"/>
  <c r="U380" i="4"/>
  <c r="U381" i="4"/>
  <c r="U382" i="4"/>
  <c r="U383" i="4"/>
  <c r="U384" i="4"/>
  <c r="U385" i="4"/>
  <c r="U386" i="4"/>
  <c r="U387" i="4"/>
  <c r="U388" i="4"/>
  <c r="U389" i="4"/>
  <c r="U390" i="4"/>
  <c r="U391" i="4"/>
  <c r="U392" i="4"/>
  <c r="U393" i="4"/>
  <c r="U394" i="4"/>
  <c r="U395" i="4"/>
  <c r="U396" i="4"/>
  <c r="U397" i="4"/>
  <c r="U398" i="4"/>
  <c r="U399" i="4"/>
  <c r="U400" i="4"/>
  <c r="U401" i="4"/>
  <c r="U402" i="4"/>
  <c r="U403" i="4"/>
  <c r="U404" i="4"/>
  <c r="U405" i="4"/>
  <c r="U406" i="4"/>
  <c r="U407" i="4"/>
  <c r="U408" i="4"/>
  <c r="U409" i="4"/>
  <c r="U410" i="4"/>
  <c r="U411" i="4"/>
  <c r="U412" i="4"/>
  <c r="U413" i="4"/>
  <c r="U414" i="4"/>
  <c r="U415" i="4"/>
  <c r="U416" i="4"/>
  <c r="U417" i="4"/>
  <c r="U418" i="4"/>
  <c r="U419" i="4"/>
  <c r="U420" i="4"/>
  <c r="U421" i="4"/>
  <c r="U422" i="4"/>
  <c r="U423" i="4"/>
  <c r="U424" i="4"/>
  <c r="U425" i="4"/>
  <c r="U426" i="4"/>
  <c r="U427" i="4"/>
  <c r="U428" i="4"/>
  <c r="U429" i="4"/>
  <c r="U430" i="4"/>
  <c r="U431" i="4"/>
  <c r="U432" i="4"/>
  <c r="U433" i="4"/>
  <c r="U434" i="4"/>
  <c r="U435" i="4"/>
  <c r="U436" i="4"/>
  <c r="U437" i="4"/>
  <c r="U438" i="4"/>
  <c r="U439" i="4"/>
  <c r="U440" i="4"/>
  <c r="U441" i="4"/>
  <c r="U442" i="4"/>
  <c r="U443" i="4"/>
  <c r="U444" i="4"/>
  <c r="U445" i="4"/>
  <c r="U446" i="4"/>
  <c r="U447" i="4"/>
  <c r="U448" i="4"/>
  <c r="U449" i="4"/>
  <c r="U450" i="4"/>
  <c r="U451" i="4"/>
  <c r="U452" i="4"/>
  <c r="U453" i="4"/>
  <c r="U454" i="4"/>
  <c r="U455" i="4"/>
  <c r="U456" i="4"/>
  <c r="U457" i="4"/>
  <c r="U458" i="4"/>
  <c r="U459" i="4"/>
  <c r="U460" i="4"/>
  <c r="U461" i="4"/>
  <c r="U462" i="4"/>
  <c r="U463" i="4"/>
  <c r="U464" i="4"/>
  <c r="U465" i="4"/>
  <c r="U466" i="4"/>
  <c r="U467" i="4"/>
  <c r="U468" i="4"/>
  <c r="U469" i="4"/>
  <c r="U470" i="4"/>
  <c r="U471" i="4"/>
  <c r="U472" i="4"/>
  <c r="U473" i="4"/>
  <c r="U474" i="4"/>
  <c r="U475" i="4"/>
  <c r="U476" i="4"/>
  <c r="U477" i="4"/>
  <c r="U478" i="4"/>
  <c r="U479" i="4"/>
  <c r="U480" i="4"/>
  <c r="U481" i="4"/>
  <c r="U482" i="4"/>
  <c r="U483" i="4"/>
  <c r="U484" i="4"/>
  <c r="U485" i="4"/>
  <c r="U486" i="4"/>
  <c r="U487" i="4"/>
  <c r="U488" i="4"/>
  <c r="U489" i="4"/>
  <c r="U490" i="4"/>
  <c r="U491" i="4"/>
  <c r="U492" i="4"/>
  <c r="U493" i="4"/>
  <c r="U494" i="4"/>
  <c r="U495" i="4"/>
  <c r="U496" i="4"/>
  <c r="U497" i="4"/>
  <c r="U498" i="4"/>
  <c r="U499" i="4"/>
  <c r="U500" i="4"/>
  <c r="U501" i="4"/>
  <c r="U502" i="4"/>
  <c r="U503" i="4"/>
  <c r="U504" i="4"/>
  <c r="U505" i="4"/>
  <c r="U506" i="4"/>
  <c r="U507" i="4"/>
  <c r="U508" i="4"/>
  <c r="U509" i="4"/>
  <c r="U510" i="4"/>
  <c r="U511" i="4"/>
  <c r="U512" i="4"/>
  <c r="U513" i="4"/>
  <c r="U514" i="4"/>
  <c r="U515" i="4"/>
  <c r="U516" i="4"/>
  <c r="U517" i="4"/>
  <c r="U518" i="4"/>
  <c r="U519" i="4"/>
  <c r="U520" i="4"/>
  <c r="U521" i="4"/>
  <c r="U522" i="4"/>
  <c r="U523" i="4"/>
  <c r="U524" i="4"/>
  <c r="U525" i="4"/>
  <c r="U526" i="4"/>
  <c r="U527" i="4"/>
  <c r="U528" i="4"/>
  <c r="U529" i="4"/>
  <c r="U530" i="4"/>
  <c r="U531" i="4"/>
  <c r="U532" i="4"/>
  <c r="U533" i="4"/>
  <c r="U534" i="4"/>
  <c r="U535" i="4"/>
  <c r="U536" i="4"/>
  <c r="U537" i="4"/>
  <c r="U538" i="4"/>
  <c r="U539" i="4"/>
  <c r="U540" i="4"/>
  <c r="U541" i="4"/>
  <c r="U542" i="4"/>
  <c r="U543" i="4"/>
  <c r="U544" i="4"/>
  <c r="U545" i="4"/>
  <c r="U546" i="4"/>
  <c r="U547" i="4"/>
  <c r="U548" i="4"/>
  <c r="U549" i="4"/>
  <c r="U550" i="4"/>
  <c r="U551" i="4"/>
  <c r="U552" i="4"/>
  <c r="U553" i="4"/>
  <c r="U554" i="4"/>
  <c r="U555" i="4"/>
  <c r="U556" i="4"/>
  <c r="U557" i="4"/>
  <c r="U558" i="4"/>
  <c r="U559" i="4"/>
  <c r="U560" i="4"/>
  <c r="U561" i="4"/>
  <c r="U562" i="4"/>
  <c r="U563" i="4"/>
  <c r="U564" i="4"/>
  <c r="U565" i="4"/>
  <c r="U566" i="4"/>
  <c r="U567" i="4"/>
  <c r="U568" i="4"/>
  <c r="U569" i="4"/>
  <c r="U570" i="4"/>
  <c r="U571" i="4"/>
  <c r="U572" i="4"/>
  <c r="U573" i="4"/>
  <c r="U574" i="4"/>
  <c r="U575" i="4"/>
  <c r="U576" i="4"/>
  <c r="U577" i="4"/>
  <c r="U578" i="4"/>
  <c r="U579" i="4"/>
  <c r="U580" i="4"/>
  <c r="U581" i="4"/>
  <c r="U582" i="4"/>
  <c r="U583" i="4"/>
  <c r="U584" i="4"/>
  <c r="U585" i="4"/>
  <c r="U586" i="4"/>
  <c r="U587" i="4"/>
  <c r="U588" i="4"/>
  <c r="U589" i="4"/>
  <c r="U590" i="4"/>
  <c r="U591" i="4"/>
  <c r="U592" i="4"/>
  <c r="U593" i="4"/>
  <c r="U594" i="4"/>
  <c r="U595" i="4"/>
  <c r="U596" i="4"/>
  <c r="U597" i="4"/>
  <c r="U598" i="4"/>
  <c r="U599" i="4"/>
  <c r="U600" i="4"/>
  <c r="U601" i="4"/>
  <c r="U602" i="4"/>
  <c r="U603" i="4"/>
  <c r="U604" i="4"/>
  <c r="U605" i="4"/>
  <c r="U606" i="4"/>
  <c r="U607" i="4"/>
  <c r="U608" i="4"/>
  <c r="U609" i="4"/>
  <c r="U610" i="4"/>
  <c r="U611" i="4"/>
  <c r="U612" i="4"/>
  <c r="U613" i="4"/>
  <c r="U614" i="4"/>
  <c r="U615" i="4"/>
  <c r="U616" i="4"/>
  <c r="U617" i="4"/>
  <c r="U618" i="4"/>
  <c r="U619" i="4"/>
  <c r="U620" i="4"/>
  <c r="U621" i="4"/>
  <c r="U622" i="4"/>
  <c r="U623" i="4"/>
  <c r="U624" i="4"/>
  <c r="U625" i="4"/>
  <c r="U626" i="4"/>
  <c r="U627" i="4"/>
  <c r="U628" i="4"/>
  <c r="U629" i="4"/>
  <c r="U630" i="4"/>
  <c r="U631" i="4"/>
  <c r="U632" i="4"/>
  <c r="U2" i="4"/>
  <c r="S29" i="5"/>
  <c r="S3" i="5"/>
  <c r="S4" i="5"/>
  <c r="S5" i="5"/>
  <c r="S6" i="5"/>
  <c r="S7" i="5"/>
  <c r="S8" i="5"/>
  <c r="S9" i="5"/>
  <c r="S10" i="5"/>
  <c r="S11" i="5"/>
  <c r="S12" i="5"/>
  <c r="S13" i="5"/>
  <c r="S14" i="5"/>
  <c r="S15" i="5"/>
  <c r="S16" i="5"/>
  <c r="S17" i="5"/>
  <c r="S18" i="5"/>
  <c r="S19" i="5"/>
  <c r="S20" i="5"/>
  <c r="S21" i="5"/>
  <c r="S22" i="5"/>
  <c r="S23" i="5"/>
  <c r="S24" i="5"/>
  <c r="S25" i="5"/>
  <c r="S26" i="5"/>
  <c r="S27" i="5"/>
  <c r="S28"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21" i="5"/>
  <c r="S122" i="5"/>
  <c r="S123" i="5"/>
  <c r="S124" i="5"/>
  <c r="S125" i="5"/>
  <c r="S126" i="5"/>
  <c r="S127" i="5"/>
  <c r="S128" i="5"/>
  <c r="S129" i="5"/>
  <c r="S130" i="5"/>
  <c r="S131" i="5"/>
  <c r="S132" i="5"/>
  <c r="S133" i="5"/>
  <c r="S134" i="5"/>
  <c r="S135" i="5"/>
  <c r="S136" i="5"/>
  <c r="S137" i="5"/>
  <c r="S138" i="5"/>
  <c r="S139" i="5"/>
  <c r="S140" i="5"/>
  <c r="S141" i="5"/>
  <c r="S142" i="5"/>
  <c r="S143" i="5"/>
  <c r="S144" i="5"/>
  <c r="S145" i="5"/>
  <c r="S146" i="5"/>
  <c r="S147" i="5"/>
  <c r="S148" i="5"/>
  <c r="S149" i="5"/>
  <c r="S150" i="5"/>
  <c r="S151" i="5"/>
  <c r="S152" i="5"/>
  <c r="S153" i="5"/>
  <c r="S154" i="5"/>
  <c r="S155" i="5"/>
  <c r="S156" i="5"/>
  <c r="S157" i="5"/>
  <c r="S158" i="5"/>
  <c r="S159" i="5"/>
  <c r="S160" i="5"/>
  <c r="S161" i="5"/>
  <c r="S162" i="5"/>
  <c r="S163" i="5"/>
  <c r="S164" i="5"/>
  <c r="S165" i="5"/>
  <c r="S166" i="5"/>
  <c r="S167" i="5"/>
  <c r="S168" i="5"/>
  <c r="S169" i="5"/>
  <c r="S170" i="5"/>
  <c r="S171" i="5"/>
  <c r="S172" i="5"/>
  <c r="S173" i="5"/>
  <c r="S174" i="5"/>
  <c r="S175" i="5"/>
  <c r="S176" i="5"/>
  <c r="S177" i="5"/>
  <c r="S178" i="5"/>
  <c r="S179" i="5"/>
  <c r="S180" i="5"/>
  <c r="S181" i="5"/>
  <c r="S182" i="5"/>
  <c r="S183" i="5"/>
  <c r="S184" i="5"/>
  <c r="S185" i="5"/>
  <c r="S186" i="5"/>
  <c r="S187" i="5"/>
  <c r="S188" i="5"/>
  <c r="S189" i="5"/>
  <c r="S190" i="5"/>
  <c r="S191" i="5"/>
  <c r="S192" i="5"/>
  <c r="S193" i="5"/>
  <c r="S194" i="5"/>
  <c r="S195" i="5"/>
  <c r="S196" i="5"/>
  <c r="S197" i="5"/>
  <c r="S198" i="5"/>
  <c r="S199" i="5"/>
  <c r="S200" i="5"/>
  <c r="S201" i="5"/>
  <c r="S202" i="5"/>
  <c r="S203" i="5"/>
  <c r="S204" i="5"/>
  <c r="S205" i="5"/>
  <c r="S206" i="5"/>
  <c r="S207" i="5"/>
  <c r="S208" i="5"/>
  <c r="S209" i="5"/>
  <c r="S210" i="5"/>
  <c r="S211" i="5"/>
  <c r="S212" i="5"/>
  <c r="S213" i="5"/>
  <c r="S214" i="5"/>
  <c r="S215" i="5"/>
  <c r="S216" i="5"/>
  <c r="S217" i="5"/>
  <c r="S218" i="5"/>
  <c r="S219" i="5"/>
  <c r="S220" i="5"/>
  <c r="S221" i="5"/>
  <c r="S222" i="5"/>
  <c r="S223" i="5"/>
  <c r="S224" i="5"/>
  <c r="S225" i="5"/>
  <c r="S226" i="5"/>
  <c r="S227" i="5"/>
  <c r="S228" i="5"/>
  <c r="S229" i="5"/>
  <c r="S230" i="5"/>
  <c r="S231" i="5"/>
  <c r="S232" i="5"/>
  <c r="S233" i="5"/>
  <c r="S234" i="5"/>
  <c r="S235" i="5"/>
  <c r="S236" i="5"/>
  <c r="S237" i="5"/>
  <c r="S238" i="5"/>
  <c r="S239" i="5"/>
  <c r="S240" i="5"/>
  <c r="S241" i="5"/>
  <c r="S242" i="5"/>
  <c r="S243" i="5"/>
  <c r="S244" i="5"/>
  <c r="S245" i="5"/>
  <c r="S246" i="5"/>
  <c r="S247" i="5"/>
  <c r="S248" i="5"/>
  <c r="S249" i="5"/>
  <c r="S250" i="5"/>
  <c r="S251" i="5"/>
  <c r="S252" i="5"/>
  <c r="S253" i="5"/>
  <c r="S254" i="5"/>
  <c r="S255" i="5"/>
  <c r="S256" i="5"/>
  <c r="S257" i="5"/>
  <c r="S258" i="5"/>
  <c r="S259" i="5"/>
  <c r="S260" i="5"/>
  <c r="S261" i="5"/>
  <c r="S262" i="5"/>
  <c r="S263" i="5"/>
  <c r="S264" i="5"/>
  <c r="S265" i="5"/>
  <c r="S266" i="5"/>
  <c r="S267" i="5"/>
  <c r="S268" i="5"/>
  <c r="S269" i="5"/>
  <c r="S270" i="5"/>
  <c r="S271" i="5"/>
  <c r="S272" i="5"/>
  <c r="S273" i="5"/>
  <c r="S274" i="5"/>
  <c r="S275" i="5"/>
  <c r="S276" i="5"/>
  <c r="S277" i="5"/>
  <c r="S278" i="5"/>
  <c r="S279" i="5"/>
  <c r="S280" i="5"/>
  <c r="S281" i="5"/>
  <c r="S282" i="5"/>
  <c r="S283" i="5"/>
  <c r="S284" i="5"/>
  <c r="S285" i="5"/>
  <c r="S286" i="5"/>
  <c r="S287" i="5"/>
  <c r="S288" i="5"/>
  <c r="S289" i="5"/>
  <c r="S290" i="5"/>
  <c r="S291" i="5"/>
  <c r="S292" i="5"/>
  <c r="S293" i="5"/>
  <c r="S294" i="5"/>
  <c r="S295" i="5"/>
  <c r="S296" i="5"/>
  <c r="S297" i="5"/>
  <c r="S298" i="5"/>
  <c r="S299" i="5"/>
  <c r="S300" i="5"/>
  <c r="S301" i="5"/>
  <c r="S302" i="5"/>
  <c r="S303" i="5"/>
  <c r="S304" i="5"/>
  <c r="S305" i="5"/>
  <c r="S306" i="5"/>
  <c r="S307" i="5"/>
  <c r="S308" i="5"/>
  <c r="S309" i="5"/>
  <c r="S310" i="5"/>
  <c r="S311" i="5"/>
  <c r="S312" i="5"/>
  <c r="S313" i="5"/>
  <c r="S314" i="5"/>
  <c r="S315" i="5"/>
  <c r="S316" i="5"/>
  <c r="S317" i="5"/>
  <c r="S318" i="5"/>
  <c r="S319" i="5"/>
  <c r="S320" i="5"/>
  <c r="S321" i="5"/>
  <c r="S322" i="5"/>
  <c r="S323" i="5"/>
  <c r="S324" i="5"/>
  <c r="S325" i="5"/>
  <c r="S326" i="5"/>
  <c r="S327" i="5"/>
  <c r="S328" i="5"/>
  <c r="S329" i="5"/>
  <c r="S330" i="5"/>
  <c r="S331" i="5"/>
  <c r="S332" i="5"/>
  <c r="S333" i="5"/>
  <c r="S334" i="5"/>
  <c r="S335" i="5"/>
  <c r="S336" i="5"/>
  <c r="S337" i="5"/>
  <c r="S338" i="5"/>
  <c r="S339" i="5"/>
  <c r="S340" i="5"/>
  <c r="S341" i="5"/>
  <c r="S342" i="5"/>
  <c r="S343" i="5"/>
  <c r="S344" i="5"/>
  <c r="S345" i="5"/>
  <c r="S346" i="5"/>
  <c r="S347" i="5"/>
  <c r="S348" i="5"/>
  <c r="S349" i="5"/>
  <c r="S350" i="5"/>
  <c r="S351" i="5"/>
  <c r="S352" i="5"/>
  <c r="S353" i="5"/>
  <c r="S354" i="5"/>
  <c r="S355" i="5"/>
  <c r="S356" i="5"/>
  <c r="S357" i="5"/>
  <c r="S358" i="5"/>
  <c r="S359" i="5"/>
  <c r="S360" i="5"/>
  <c r="S361" i="5"/>
  <c r="S362" i="5"/>
  <c r="S363" i="5"/>
  <c r="S364" i="5"/>
  <c r="S365" i="5"/>
  <c r="S366" i="5"/>
  <c r="S367" i="5"/>
  <c r="S368" i="5"/>
  <c r="S369" i="5"/>
  <c r="S370" i="5"/>
  <c r="S371" i="5"/>
  <c r="S372" i="5"/>
  <c r="S373" i="5"/>
  <c r="S374" i="5"/>
  <c r="S375" i="5"/>
  <c r="S376" i="5"/>
  <c r="S377" i="5"/>
  <c r="S378" i="5"/>
  <c r="S379" i="5"/>
  <c r="S380" i="5"/>
  <c r="S381" i="5"/>
  <c r="S382" i="5"/>
  <c r="S383" i="5"/>
  <c r="S384" i="5"/>
  <c r="S385" i="5"/>
  <c r="S386" i="5"/>
  <c r="S387" i="5"/>
  <c r="S388" i="5"/>
  <c r="S389" i="5"/>
  <c r="S390" i="5"/>
  <c r="S391" i="5"/>
  <c r="S392" i="5"/>
  <c r="S393" i="5"/>
  <c r="S394" i="5"/>
  <c r="S395" i="5"/>
  <c r="S396" i="5"/>
  <c r="S397" i="5"/>
  <c r="S398" i="5"/>
  <c r="S399" i="5"/>
  <c r="S400" i="5"/>
  <c r="S401" i="5"/>
  <c r="S402" i="5"/>
  <c r="S403" i="5"/>
  <c r="S404" i="5"/>
  <c r="S405" i="5"/>
  <c r="S406" i="5"/>
  <c r="S407" i="5"/>
  <c r="S408" i="5"/>
  <c r="S409" i="5"/>
  <c r="S410" i="5"/>
  <c r="S411" i="5"/>
  <c r="S412" i="5"/>
  <c r="S413" i="5"/>
  <c r="S414" i="5"/>
  <c r="S415" i="5"/>
  <c r="S416" i="5"/>
  <c r="S417" i="5"/>
  <c r="S418" i="5"/>
  <c r="S419" i="5"/>
  <c r="S420" i="5"/>
  <c r="S421" i="5"/>
  <c r="S422" i="5"/>
  <c r="S423" i="5"/>
  <c r="S424" i="5"/>
  <c r="S425" i="5"/>
  <c r="S426" i="5"/>
  <c r="S427" i="5"/>
  <c r="S428" i="5"/>
  <c r="S429" i="5"/>
  <c r="S430" i="5"/>
  <c r="S431" i="5"/>
  <c r="S432" i="5"/>
  <c r="S433" i="5"/>
  <c r="S434" i="5"/>
  <c r="S435" i="5"/>
  <c r="S436" i="5"/>
  <c r="S437" i="5"/>
  <c r="S438" i="5"/>
  <c r="S439" i="5"/>
  <c r="S440" i="5"/>
  <c r="S441" i="5"/>
  <c r="S442" i="5"/>
  <c r="S443" i="5"/>
  <c r="S444" i="5"/>
  <c r="S445" i="5"/>
  <c r="S446" i="5"/>
  <c r="S447" i="5"/>
  <c r="S448" i="5"/>
  <c r="S449" i="5"/>
  <c r="S450" i="5"/>
  <c r="S451" i="5"/>
  <c r="S452" i="5"/>
  <c r="S453" i="5"/>
  <c r="S454" i="5"/>
  <c r="S455" i="5"/>
  <c r="S456" i="5"/>
  <c r="S457" i="5"/>
  <c r="S458" i="5"/>
  <c r="S459" i="5"/>
  <c r="S460" i="5"/>
  <c r="S461" i="5"/>
  <c r="S462" i="5"/>
  <c r="S463" i="5"/>
  <c r="S464" i="5"/>
  <c r="S465" i="5"/>
  <c r="S466" i="5"/>
  <c r="S467" i="5"/>
  <c r="S468" i="5"/>
  <c r="S469" i="5"/>
  <c r="S470" i="5"/>
  <c r="S471" i="5"/>
  <c r="S472" i="5"/>
  <c r="S473" i="5"/>
  <c r="S474" i="5"/>
  <c r="S475" i="5"/>
  <c r="S476" i="5"/>
  <c r="S477" i="5"/>
  <c r="S478" i="5"/>
  <c r="S479" i="5"/>
  <c r="S480" i="5"/>
  <c r="S481" i="5"/>
  <c r="S482" i="5"/>
  <c r="S483" i="5"/>
  <c r="S484" i="5"/>
  <c r="S485" i="5"/>
  <c r="S486" i="5"/>
  <c r="S487" i="5"/>
  <c r="S488" i="5"/>
  <c r="S489" i="5"/>
  <c r="S490" i="5"/>
  <c r="S491" i="5"/>
  <c r="S492" i="5"/>
  <c r="S493" i="5"/>
  <c r="S494" i="5"/>
  <c r="S495" i="5"/>
  <c r="S496" i="5"/>
  <c r="S497" i="5"/>
  <c r="S498" i="5"/>
  <c r="S499" i="5"/>
  <c r="S500" i="5"/>
  <c r="S501" i="5"/>
  <c r="S502" i="5"/>
  <c r="S503" i="5"/>
  <c r="S504" i="5"/>
  <c r="S505" i="5"/>
  <c r="S506" i="5"/>
  <c r="S507" i="5"/>
  <c r="S508" i="5"/>
  <c r="S509" i="5"/>
  <c r="S510" i="5"/>
  <c r="S511" i="5"/>
  <c r="S512" i="5"/>
  <c r="S513" i="5"/>
  <c r="S514" i="5"/>
  <c r="S515" i="5"/>
  <c r="S516" i="5"/>
  <c r="S517" i="5"/>
  <c r="S518" i="5"/>
  <c r="S519" i="5"/>
  <c r="S520" i="5"/>
  <c r="S521" i="5"/>
  <c r="S522" i="5"/>
  <c r="S523" i="5"/>
  <c r="S524" i="5"/>
  <c r="S525" i="5"/>
  <c r="S526" i="5"/>
  <c r="S527" i="5"/>
  <c r="S528" i="5"/>
  <c r="S529" i="5"/>
  <c r="S530" i="5"/>
  <c r="S531" i="5"/>
  <c r="S532" i="5"/>
  <c r="S533" i="5"/>
  <c r="S534" i="5"/>
  <c r="S535" i="5"/>
  <c r="S536" i="5"/>
  <c r="S537" i="5"/>
  <c r="S538" i="5"/>
  <c r="S539" i="5"/>
  <c r="S540" i="5"/>
  <c r="S541" i="5"/>
  <c r="S542" i="5"/>
  <c r="S543" i="5"/>
  <c r="S544" i="5"/>
  <c r="S545" i="5"/>
  <c r="S546" i="5"/>
  <c r="S547" i="5"/>
  <c r="S548" i="5"/>
  <c r="S549" i="5"/>
  <c r="S550" i="5"/>
  <c r="S551" i="5"/>
  <c r="S552" i="5"/>
  <c r="S553" i="5"/>
  <c r="S554" i="5"/>
  <c r="S555" i="5"/>
  <c r="S556" i="5"/>
  <c r="S557" i="5"/>
  <c r="S558" i="5"/>
  <c r="S559" i="5"/>
  <c r="S560" i="5"/>
  <c r="S561" i="5"/>
  <c r="S562" i="5"/>
  <c r="S563" i="5"/>
  <c r="S564" i="5"/>
  <c r="S565" i="5"/>
  <c r="S566" i="5"/>
  <c r="S567" i="5"/>
  <c r="S568" i="5"/>
  <c r="S569" i="5"/>
  <c r="S570" i="5"/>
  <c r="S571" i="5"/>
  <c r="S572" i="5"/>
  <c r="S573" i="5"/>
  <c r="S574" i="5"/>
  <c r="S575" i="5"/>
  <c r="S576" i="5"/>
  <c r="S577" i="5"/>
  <c r="S578" i="5"/>
  <c r="S579" i="5"/>
  <c r="S580" i="5"/>
  <c r="S581" i="5"/>
  <c r="S582" i="5"/>
  <c r="S583" i="5"/>
  <c r="S584" i="5"/>
  <c r="S585" i="5"/>
  <c r="S586" i="5"/>
  <c r="S587" i="5"/>
  <c r="S588" i="5"/>
  <c r="S589" i="5"/>
  <c r="S590" i="5"/>
  <c r="S591" i="5"/>
  <c r="S592" i="5"/>
  <c r="S593" i="5"/>
  <c r="S594" i="5"/>
  <c r="S595" i="5"/>
  <c r="S596" i="5"/>
  <c r="S597" i="5"/>
  <c r="S598" i="5"/>
  <c r="S599" i="5"/>
  <c r="S600" i="5"/>
  <c r="S601" i="5"/>
  <c r="S602" i="5"/>
  <c r="S603" i="5"/>
  <c r="S604" i="5"/>
  <c r="S605" i="5"/>
  <c r="S606" i="5"/>
  <c r="S607" i="5"/>
  <c r="S608" i="5"/>
  <c r="S609" i="5"/>
  <c r="S610" i="5"/>
  <c r="S611" i="5"/>
  <c r="S612" i="5"/>
  <c r="S613" i="5"/>
  <c r="S614" i="5"/>
  <c r="S615" i="5"/>
  <c r="S616" i="5"/>
  <c r="S617" i="5"/>
  <c r="S618" i="5"/>
  <c r="S619" i="5"/>
  <c r="S620" i="5"/>
  <c r="S621" i="5"/>
  <c r="S622" i="5"/>
  <c r="S623" i="5"/>
  <c r="S624" i="5"/>
  <c r="S625" i="5"/>
  <c r="S626" i="5"/>
  <c r="S627" i="5"/>
  <c r="S628" i="5"/>
  <c r="S629" i="5"/>
  <c r="S630" i="5"/>
  <c r="S631" i="5"/>
  <c r="S632" i="5"/>
  <c r="S2" i="5"/>
  <c r="R3" i="5"/>
  <c r="R4" i="5"/>
  <c r="R5" i="5"/>
  <c r="R6" i="5"/>
  <c r="R7" i="5"/>
  <c r="R8" i="5"/>
  <c r="R9" i="5"/>
  <c r="R11" i="5"/>
  <c r="R12" i="5"/>
  <c r="R13" i="5"/>
  <c r="R14" i="5"/>
  <c r="R15" i="5"/>
  <c r="R16" i="5"/>
  <c r="R17" i="5"/>
  <c r="R19" i="5"/>
  <c r="R20" i="5"/>
  <c r="R21" i="5"/>
  <c r="R22" i="5"/>
  <c r="R23" i="5"/>
  <c r="R24" i="5"/>
  <c r="R25" i="5"/>
  <c r="R27" i="5"/>
  <c r="R28" i="5"/>
  <c r="R29" i="5"/>
  <c r="R30" i="5"/>
  <c r="R31" i="5"/>
  <c r="R32" i="5"/>
  <c r="R33" i="5"/>
  <c r="R35" i="5"/>
  <c r="R36" i="5"/>
  <c r="R37" i="5"/>
  <c r="R38" i="5"/>
  <c r="R39" i="5"/>
  <c r="R40" i="5"/>
  <c r="R41" i="5"/>
  <c r="R43" i="5"/>
  <c r="R44" i="5"/>
  <c r="R45" i="5"/>
  <c r="R46" i="5"/>
  <c r="R47" i="5"/>
  <c r="R48" i="5"/>
  <c r="R49" i="5"/>
  <c r="R51" i="5"/>
  <c r="R52" i="5"/>
  <c r="R53" i="5"/>
  <c r="R54" i="5"/>
  <c r="R55" i="5"/>
  <c r="R56" i="5"/>
  <c r="R57" i="5"/>
  <c r="R59" i="5"/>
  <c r="R60" i="5"/>
  <c r="R61" i="5"/>
  <c r="R62" i="5"/>
  <c r="R63" i="5"/>
  <c r="R64" i="5"/>
  <c r="R65" i="5"/>
  <c r="T65" i="5" s="1"/>
  <c r="R67" i="5"/>
  <c r="R68" i="5"/>
  <c r="R69" i="5"/>
  <c r="R70" i="5"/>
  <c r="R71" i="5"/>
  <c r="R72" i="5"/>
  <c r="R73" i="5"/>
  <c r="R75" i="5"/>
  <c r="R76" i="5"/>
  <c r="R77" i="5"/>
  <c r="R78" i="5"/>
  <c r="R79" i="5"/>
  <c r="R80" i="5"/>
  <c r="R81" i="5"/>
  <c r="R83" i="5"/>
  <c r="R84" i="5"/>
  <c r="R85" i="5"/>
  <c r="R86" i="5"/>
  <c r="R87" i="5"/>
  <c r="R88" i="5"/>
  <c r="R89" i="5"/>
  <c r="R91" i="5"/>
  <c r="R92" i="5"/>
  <c r="R93" i="5"/>
  <c r="R94" i="5"/>
  <c r="R95" i="5"/>
  <c r="R96" i="5"/>
  <c r="R97" i="5"/>
  <c r="R99" i="5"/>
  <c r="R100" i="5"/>
  <c r="R101" i="5"/>
  <c r="R102" i="5"/>
  <c r="R103" i="5"/>
  <c r="R104" i="5"/>
  <c r="R105" i="5"/>
  <c r="R107" i="5"/>
  <c r="R108" i="5"/>
  <c r="R109" i="5"/>
  <c r="R110" i="5"/>
  <c r="R111" i="5"/>
  <c r="R112" i="5"/>
  <c r="R113" i="5"/>
  <c r="R115" i="5"/>
  <c r="R116" i="5"/>
  <c r="R117" i="5"/>
  <c r="R118" i="5"/>
  <c r="R119" i="5"/>
  <c r="R120" i="5"/>
  <c r="R121" i="5"/>
  <c r="R123" i="5"/>
  <c r="R124" i="5"/>
  <c r="R125" i="5"/>
  <c r="R126" i="5"/>
  <c r="R127" i="5"/>
  <c r="R128" i="5"/>
  <c r="R129" i="5"/>
  <c r="T129" i="5" s="1"/>
  <c r="R131" i="5"/>
  <c r="R132" i="5"/>
  <c r="R133" i="5"/>
  <c r="R134" i="5"/>
  <c r="R135" i="5"/>
  <c r="R136" i="5"/>
  <c r="R137" i="5"/>
  <c r="R139" i="5"/>
  <c r="R140" i="5"/>
  <c r="R141" i="5"/>
  <c r="R142" i="5"/>
  <c r="R143" i="5"/>
  <c r="R144" i="5"/>
  <c r="R145" i="5"/>
  <c r="R147" i="5"/>
  <c r="R148" i="5"/>
  <c r="R149" i="5"/>
  <c r="R150" i="5"/>
  <c r="R151" i="5"/>
  <c r="R152" i="5"/>
  <c r="R153" i="5"/>
  <c r="R155" i="5"/>
  <c r="R156" i="5"/>
  <c r="R157" i="5"/>
  <c r="R158" i="5"/>
  <c r="R159" i="5"/>
  <c r="R160" i="5"/>
  <c r="R161" i="5"/>
  <c r="R163" i="5"/>
  <c r="R164" i="5"/>
  <c r="R165" i="5"/>
  <c r="R166" i="5"/>
  <c r="R167" i="5"/>
  <c r="R168" i="5"/>
  <c r="R169" i="5"/>
  <c r="R171" i="5"/>
  <c r="R172" i="5"/>
  <c r="R173" i="5"/>
  <c r="R174" i="5"/>
  <c r="R175" i="5"/>
  <c r="R176" i="5"/>
  <c r="R177" i="5"/>
  <c r="R179" i="5"/>
  <c r="R180" i="5"/>
  <c r="R181" i="5"/>
  <c r="R182" i="5"/>
  <c r="R183" i="5"/>
  <c r="R184" i="5"/>
  <c r="R185" i="5"/>
  <c r="R187" i="5"/>
  <c r="R188" i="5"/>
  <c r="R189" i="5"/>
  <c r="R190" i="5"/>
  <c r="R191" i="5"/>
  <c r="R192" i="5"/>
  <c r="R193" i="5"/>
  <c r="T193" i="5" s="1"/>
  <c r="R195" i="5"/>
  <c r="R196" i="5"/>
  <c r="R197" i="5"/>
  <c r="R198" i="5"/>
  <c r="R199" i="5"/>
  <c r="R200" i="5"/>
  <c r="R201" i="5"/>
  <c r="R202" i="5"/>
  <c r="R203" i="5"/>
  <c r="R204" i="5"/>
  <c r="R205" i="5"/>
  <c r="R206" i="5"/>
  <c r="R207" i="5"/>
  <c r="R208" i="5"/>
  <c r="R209" i="5"/>
  <c r="R210" i="5"/>
  <c r="R211" i="5"/>
  <c r="R212" i="5"/>
  <c r="R213" i="5"/>
  <c r="R214" i="5"/>
  <c r="R215" i="5"/>
  <c r="R216" i="5"/>
  <c r="R217" i="5"/>
  <c r="R218" i="5"/>
  <c r="R219" i="5"/>
  <c r="R220" i="5"/>
  <c r="R221" i="5"/>
  <c r="R222" i="5"/>
  <c r="R223" i="5"/>
  <c r="R224" i="5"/>
  <c r="R225" i="5"/>
  <c r="R226" i="5"/>
  <c r="R227" i="5"/>
  <c r="R228" i="5"/>
  <c r="R229" i="5"/>
  <c r="R230" i="5"/>
  <c r="R231" i="5"/>
  <c r="R232" i="5"/>
  <c r="R233" i="5"/>
  <c r="R234" i="5"/>
  <c r="R235" i="5"/>
  <c r="R236" i="5"/>
  <c r="R237" i="5"/>
  <c r="R238" i="5"/>
  <c r="R239" i="5"/>
  <c r="R240" i="5"/>
  <c r="R241" i="5"/>
  <c r="R242" i="5"/>
  <c r="R243" i="5"/>
  <c r="R244" i="5"/>
  <c r="R245" i="5"/>
  <c r="R246" i="5"/>
  <c r="R247" i="5"/>
  <c r="R248" i="5"/>
  <c r="R249" i="5"/>
  <c r="R250" i="5"/>
  <c r="R251" i="5"/>
  <c r="R252" i="5"/>
  <c r="R253" i="5"/>
  <c r="R254" i="5"/>
  <c r="R255" i="5"/>
  <c r="R256" i="5"/>
  <c r="R257" i="5"/>
  <c r="R258" i="5"/>
  <c r="R259" i="5"/>
  <c r="R260" i="5"/>
  <c r="R261" i="5"/>
  <c r="R262" i="5"/>
  <c r="R263" i="5"/>
  <c r="R264" i="5"/>
  <c r="R265" i="5"/>
  <c r="R266" i="5"/>
  <c r="R267" i="5"/>
  <c r="R268" i="5"/>
  <c r="R269" i="5"/>
  <c r="R270" i="5"/>
  <c r="R271" i="5"/>
  <c r="R272" i="5"/>
  <c r="R273" i="5"/>
  <c r="R274" i="5"/>
  <c r="R275" i="5"/>
  <c r="R276" i="5"/>
  <c r="R277" i="5"/>
  <c r="R278" i="5"/>
  <c r="R279" i="5"/>
  <c r="R280" i="5"/>
  <c r="R281" i="5"/>
  <c r="R282" i="5"/>
  <c r="R283" i="5"/>
  <c r="R284" i="5"/>
  <c r="R285" i="5"/>
  <c r="R286" i="5"/>
  <c r="R287" i="5"/>
  <c r="R288" i="5"/>
  <c r="R289" i="5"/>
  <c r="R290" i="5"/>
  <c r="R291" i="5"/>
  <c r="R292" i="5"/>
  <c r="R293" i="5"/>
  <c r="R294" i="5"/>
  <c r="R295" i="5"/>
  <c r="R296" i="5"/>
  <c r="R297" i="5"/>
  <c r="R298" i="5"/>
  <c r="R299" i="5"/>
  <c r="R300" i="5"/>
  <c r="R301" i="5"/>
  <c r="R302" i="5"/>
  <c r="R303" i="5"/>
  <c r="R304" i="5"/>
  <c r="R305" i="5"/>
  <c r="R306" i="5"/>
  <c r="R307" i="5"/>
  <c r="R308" i="5"/>
  <c r="R309" i="5"/>
  <c r="R310" i="5"/>
  <c r="R311" i="5"/>
  <c r="R312" i="5"/>
  <c r="R313" i="5"/>
  <c r="R314" i="5"/>
  <c r="R315" i="5"/>
  <c r="R316" i="5"/>
  <c r="R317" i="5"/>
  <c r="R318" i="5"/>
  <c r="R319" i="5"/>
  <c r="R320" i="5"/>
  <c r="R321" i="5"/>
  <c r="R322" i="5"/>
  <c r="R323" i="5"/>
  <c r="R324" i="5"/>
  <c r="R325" i="5"/>
  <c r="R326" i="5"/>
  <c r="R327" i="5"/>
  <c r="R328" i="5"/>
  <c r="R329" i="5"/>
  <c r="R330" i="5"/>
  <c r="R331" i="5"/>
  <c r="R332" i="5"/>
  <c r="R333" i="5"/>
  <c r="R334" i="5"/>
  <c r="R335" i="5"/>
  <c r="R336" i="5"/>
  <c r="R337" i="5"/>
  <c r="R338" i="5"/>
  <c r="R339" i="5"/>
  <c r="R340" i="5"/>
  <c r="R341" i="5"/>
  <c r="R342" i="5"/>
  <c r="R343" i="5"/>
  <c r="R344" i="5"/>
  <c r="R345" i="5"/>
  <c r="R346" i="5"/>
  <c r="R347" i="5"/>
  <c r="R348" i="5"/>
  <c r="R349" i="5"/>
  <c r="R350" i="5"/>
  <c r="R351" i="5"/>
  <c r="R352" i="5"/>
  <c r="R353" i="5"/>
  <c r="R354" i="5"/>
  <c r="R355" i="5"/>
  <c r="R356" i="5"/>
  <c r="R357" i="5"/>
  <c r="R358" i="5"/>
  <c r="R359" i="5"/>
  <c r="R360" i="5"/>
  <c r="R361" i="5"/>
  <c r="R362" i="5"/>
  <c r="R363" i="5"/>
  <c r="R364" i="5"/>
  <c r="R365" i="5"/>
  <c r="R366" i="5"/>
  <c r="R367" i="5"/>
  <c r="R368" i="5"/>
  <c r="R369" i="5"/>
  <c r="R370" i="5"/>
  <c r="R371" i="5"/>
  <c r="R372" i="5"/>
  <c r="R373" i="5"/>
  <c r="R374" i="5"/>
  <c r="R375" i="5"/>
  <c r="R376" i="5"/>
  <c r="R377" i="5"/>
  <c r="R378" i="5"/>
  <c r="R379" i="5"/>
  <c r="R380" i="5"/>
  <c r="R381" i="5"/>
  <c r="R382" i="5"/>
  <c r="R383" i="5"/>
  <c r="R384" i="5"/>
  <c r="R385" i="5"/>
  <c r="R386" i="5"/>
  <c r="R387" i="5"/>
  <c r="R388" i="5"/>
  <c r="R389" i="5"/>
  <c r="R390" i="5"/>
  <c r="R391" i="5"/>
  <c r="R392" i="5"/>
  <c r="R393" i="5"/>
  <c r="R394" i="5"/>
  <c r="R395" i="5"/>
  <c r="R396" i="5"/>
  <c r="R397" i="5"/>
  <c r="R398" i="5"/>
  <c r="R399" i="5"/>
  <c r="R400" i="5"/>
  <c r="R401" i="5"/>
  <c r="R402" i="5"/>
  <c r="R403" i="5"/>
  <c r="R404" i="5"/>
  <c r="R405" i="5"/>
  <c r="R406" i="5"/>
  <c r="R407" i="5"/>
  <c r="R408" i="5"/>
  <c r="R409" i="5"/>
  <c r="R410" i="5"/>
  <c r="R411" i="5"/>
  <c r="R412" i="5"/>
  <c r="R413" i="5"/>
  <c r="R414" i="5"/>
  <c r="R415" i="5"/>
  <c r="R416" i="5"/>
  <c r="R417" i="5"/>
  <c r="R418" i="5"/>
  <c r="R419" i="5"/>
  <c r="R420" i="5"/>
  <c r="R421" i="5"/>
  <c r="R422" i="5"/>
  <c r="R423" i="5"/>
  <c r="R424" i="5"/>
  <c r="R425" i="5"/>
  <c r="R426" i="5"/>
  <c r="R427" i="5"/>
  <c r="R428" i="5"/>
  <c r="R429" i="5"/>
  <c r="R430" i="5"/>
  <c r="R431" i="5"/>
  <c r="R432" i="5"/>
  <c r="R433" i="5"/>
  <c r="R434" i="5"/>
  <c r="R435" i="5"/>
  <c r="R436" i="5"/>
  <c r="R437" i="5"/>
  <c r="R438" i="5"/>
  <c r="R439" i="5"/>
  <c r="R440" i="5"/>
  <c r="R441" i="5"/>
  <c r="R442" i="5"/>
  <c r="R443" i="5"/>
  <c r="R444" i="5"/>
  <c r="R445" i="5"/>
  <c r="R446" i="5"/>
  <c r="R447" i="5"/>
  <c r="R448" i="5"/>
  <c r="R449" i="5"/>
  <c r="R450" i="5"/>
  <c r="R451" i="5"/>
  <c r="R452" i="5"/>
  <c r="R453" i="5"/>
  <c r="R454" i="5"/>
  <c r="R455" i="5"/>
  <c r="R456" i="5"/>
  <c r="R457" i="5"/>
  <c r="R458" i="5"/>
  <c r="R459" i="5"/>
  <c r="R460" i="5"/>
  <c r="R461" i="5"/>
  <c r="R462" i="5"/>
  <c r="R463" i="5"/>
  <c r="R464" i="5"/>
  <c r="R465" i="5"/>
  <c r="R466" i="5"/>
  <c r="R467" i="5"/>
  <c r="R468" i="5"/>
  <c r="R469" i="5"/>
  <c r="R470" i="5"/>
  <c r="R471" i="5"/>
  <c r="R472" i="5"/>
  <c r="R473" i="5"/>
  <c r="R474" i="5"/>
  <c r="R475" i="5"/>
  <c r="R476" i="5"/>
  <c r="R477" i="5"/>
  <c r="R478" i="5"/>
  <c r="R479" i="5"/>
  <c r="R480" i="5"/>
  <c r="R481" i="5"/>
  <c r="R482" i="5"/>
  <c r="R483" i="5"/>
  <c r="R484" i="5"/>
  <c r="R485" i="5"/>
  <c r="R486" i="5"/>
  <c r="R487" i="5"/>
  <c r="R488" i="5"/>
  <c r="R489" i="5"/>
  <c r="R490" i="5"/>
  <c r="R491" i="5"/>
  <c r="R492" i="5"/>
  <c r="R493" i="5"/>
  <c r="R494" i="5"/>
  <c r="R495" i="5"/>
  <c r="R496" i="5"/>
  <c r="R497" i="5"/>
  <c r="R498" i="5"/>
  <c r="R499" i="5"/>
  <c r="R500" i="5"/>
  <c r="R501" i="5"/>
  <c r="R502" i="5"/>
  <c r="R503" i="5"/>
  <c r="R504" i="5"/>
  <c r="R505" i="5"/>
  <c r="R506" i="5"/>
  <c r="R507" i="5"/>
  <c r="R508" i="5"/>
  <c r="R509" i="5"/>
  <c r="R510" i="5"/>
  <c r="R511" i="5"/>
  <c r="R512" i="5"/>
  <c r="R513" i="5"/>
  <c r="R514" i="5"/>
  <c r="R515" i="5"/>
  <c r="R516" i="5"/>
  <c r="R517" i="5"/>
  <c r="R518" i="5"/>
  <c r="R519" i="5"/>
  <c r="R520" i="5"/>
  <c r="R521" i="5"/>
  <c r="R522" i="5"/>
  <c r="R523" i="5"/>
  <c r="R524" i="5"/>
  <c r="R525" i="5"/>
  <c r="R526" i="5"/>
  <c r="R527" i="5"/>
  <c r="R528" i="5"/>
  <c r="R529" i="5"/>
  <c r="R530" i="5"/>
  <c r="R531" i="5"/>
  <c r="R532" i="5"/>
  <c r="R533" i="5"/>
  <c r="R534" i="5"/>
  <c r="R535" i="5"/>
  <c r="R536" i="5"/>
  <c r="R537" i="5"/>
  <c r="R538" i="5"/>
  <c r="R539" i="5"/>
  <c r="R540" i="5"/>
  <c r="R541" i="5"/>
  <c r="R542" i="5"/>
  <c r="R543" i="5"/>
  <c r="R544" i="5"/>
  <c r="R545" i="5"/>
  <c r="R546" i="5"/>
  <c r="R547" i="5"/>
  <c r="R548" i="5"/>
  <c r="R549" i="5"/>
  <c r="R550" i="5"/>
  <c r="R551" i="5"/>
  <c r="R552" i="5"/>
  <c r="R553" i="5"/>
  <c r="R554" i="5"/>
  <c r="R555" i="5"/>
  <c r="R556" i="5"/>
  <c r="R557" i="5"/>
  <c r="R558" i="5"/>
  <c r="R559" i="5"/>
  <c r="R560" i="5"/>
  <c r="R561" i="5"/>
  <c r="R562" i="5"/>
  <c r="R563" i="5"/>
  <c r="R564" i="5"/>
  <c r="R565" i="5"/>
  <c r="R566" i="5"/>
  <c r="R567" i="5"/>
  <c r="R568" i="5"/>
  <c r="R569" i="5"/>
  <c r="R570" i="5"/>
  <c r="R571" i="5"/>
  <c r="R572" i="5"/>
  <c r="R573" i="5"/>
  <c r="R574" i="5"/>
  <c r="R575" i="5"/>
  <c r="R576" i="5"/>
  <c r="R577" i="5"/>
  <c r="R578" i="5"/>
  <c r="R579" i="5"/>
  <c r="R580" i="5"/>
  <c r="R581" i="5"/>
  <c r="R582" i="5"/>
  <c r="R583" i="5"/>
  <c r="R584" i="5"/>
  <c r="R585" i="5"/>
  <c r="R586" i="5"/>
  <c r="R587" i="5"/>
  <c r="R588" i="5"/>
  <c r="R589" i="5"/>
  <c r="R590" i="5"/>
  <c r="R591" i="5"/>
  <c r="R592" i="5"/>
  <c r="R593" i="5"/>
  <c r="R594" i="5"/>
  <c r="R595" i="5"/>
  <c r="R596" i="5"/>
  <c r="R597" i="5"/>
  <c r="R598" i="5"/>
  <c r="R599" i="5"/>
  <c r="R600" i="5"/>
  <c r="R601" i="5"/>
  <c r="R602" i="5"/>
  <c r="R603" i="5"/>
  <c r="R604" i="5"/>
  <c r="R605" i="5"/>
  <c r="R606" i="5"/>
  <c r="R607" i="5"/>
  <c r="R608" i="5"/>
  <c r="R609" i="5"/>
  <c r="R610" i="5"/>
  <c r="R611" i="5"/>
  <c r="R612" i="5"/>
  <c r="R613" i="5"/>
  <c r="R614" i="5"/>
  <c r="R615" i="5"/>
  <c r="R616" i="5"/>
  <c r="R617" i="5"/>
  <c r="R618" i="5"/>
  <c r="R619" i="5"/>
  <c r="R620" i="5"/>
  <c r="R621" i="5"/>
  <c r="R622" i="5"/>
  <c r="R623" i="5"/>
  <c r="R624" i="5"/>
  <c r="R625" i="5"/>
  <c r="R626" i="5"/>
  <c r="R627" i="5"/>
  <c r="R628" i="5"/>
  <c r="R629" i="5"/>
  <c r="R630" i="5"/>
  <c r="R631" i="5"/>
  <c r="R632" i="5"/>
  <c r="E2"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B632" i="5"/>
  <c r="B631" i="5"/>
  <c r="B630" i="5"/>
  <c r="B629" i="5"/>
  <c r="B628" i="5"/>
  <c r="B627" i="5"/>
  <c r="B626" i="5"/>
  <c r="B625" i="5"/>
  <c r="B624" i="5"/>
  <c r="B623" i="5"/>
  <c r="B622" i="5"/>
  <c r="B621" i="5"/>
  <c r="B620" i="5"/>
  <c r="B619" i="5"/>
  <c r="B618" i="5"/>
  <c r="B617" i="5"/>
  <c r="B616" i="5"/>
  <c r="B615" i="5"/>
  <c r="B614" i="5"/>
  <c r="B613" i="5"/>
  <c r="B612" i="5"/>
  <c r="B611" i="5"/>
  <c r="B610" i="5"/>
  <c r="B609" i="5"/>
  <c r="B608" i="5"/>
  <c r="B607" i="5"/>
  <c r="B606" i="5"/>
  <c r="B605" i="5"/>
  <c r="B604" i="5"/>
  <c r="B603" i="5"/>
  <c r="B602" i="5"/>
  <c r="B601" i="5"/>
  <c r="B600" i="5"/>
  <c r="B599" i="5"/>
  <c r="B598" i="5"/>
  <c r="B597" i="5"/>
  <c r="B596" i="5"/>
  <c r="B595" i="5"/>
  <c r="B594" i="5"/>
  <c r="B593" i="5"/>
  <c r="B592" i="5"/>
  <c r="B591" i="5"/>
  <c r="B590" i="5"/>
  <c r="B589" i="5"/>
  <c r="B588" i="5"/>
  <c r="B587" i="5"/>
  <c r="B586" i="5"/>
  <c r="B585" i="5"/>
  <c r="B584" i="5"/>
  <c r="B583" i="5"/>
  <c r="B582" i="5"/>
  <c r="B581" i="5"/>
  <c r="B580" i="5"/>
  <c r="B579" i="5"/>
  <c r="B578" i="5"/>
  <c r="B577" i="5"/>
  <c r="B576" i="5"/>
  <c r="B575" i="5"/>
  <c r="B574" i="5"/>
  <c r="B573" i="5"/>
  <c r="B572" i="5"/>
  <c r="B571" i="5"/>
  <c r="B570" i="5"/>
  <c r="B569" i="5"/>
  <c r="B568" i="5"/>
  <c r="B567" i="5"/>
  <c r="B566" i="5"/>
  <c r="B565" i="5"/>
  <c r="B564" i="5"/>
  <c r="B563" i="5"/>
  <c r="B562" i="5"/>
  <c r="B561" i="5"/>
  <c r="B560" i="5"/>
  <c r="B559" i="5"/>
  <c r="B558" i="5"/>
  <c r="B557" i="5"/>
  <c r="B556" i="5"/>
  <c r="B555" i="5"/>
  <c r="B554" i="5"/>
  <c r="B553" i="5"/>
  <c r="B552" i="5"/>
  <c r="B551" i="5"/>
  <c r="B550" i="5"/>
  <c r="B549" i="5"/>
  <c r="B548" i="5"/>
  <c r="B547" i="5"/>
  <c r="B546" i="5"/>
  <c r="B545" i="5"/>
  <c r="B544" i="5"/>
  <c r="B543" i="5"/>
  <c r="B542" i="5"/>
  <c r="B541" i="5"/>
  <c r="B540" i="5"/>
  <c r="B539" i="5"/>
  <c r="B538" i="5"/>
  <c r="B537" i="5"/>
  <c r="B536" i="5"/>
  <c r="B535" i="5"/>
  <c r="B534" i="5"/>
  <c r="B533" i="5"/>
  <c r="B532" i="5"/>
  <c r="B531" i="5"/>
  <c r="B530" i="5"/>
  <c r="B529" i="5"/>
  <c r="B528" i="5"/>
  <c r="B527" i="5"/>
  <c r="B526" i="5"/>
  <c r="B525" i="5"/>
  <c r="B524" i="5"/>
  <c r="B523" i="5"/>
  <c r="B522" i="5"/>
  <c r="B521" i="5"/>
  <c r="B520" i="5"/>
  <c r="B519" i="5"/>
  <c r="B518" i="5"/>
  <c r="B517" i="5"/>
  <c r="B516" i="5"/>
  <c r="B515" i="5"/>
  <c r="B514" i="5"/>
  <c r="B513" i="5"/>
  <c r="B512" i="5"/>
  <c r="B511" i="5"/>
  <c r="B510" i="5"/>
  <c r="B509" i="5"/>
  <c r="B508" i="5"/>
  <c r="B507" i="5"/>
  <c r="B506" i="5"/>
  <c r="B505" i="5"/>
  <c r="B504" i="5"/>
  <c r="B503" i="5"/>
  <c r="B502" i="5"/>
  <c r="B501" i="5"/>
  <c r="B500" i="5"/>
  <c r="B499" i="5"/>
  <c r="B498" i="5"/>
  <c r="B497" i="5"/>
  <c r="B496" i="5"/>
  <c r="B495" i="5"/>
  <c r="B494" i="5"/>
  <c r="B493" i="5"/>
  <c r="B492" i="5"/>
  <c r="B491" i="5"/>
  <c r="B490" i="5"/>
  <c r="B489" i="5"/>
  <c r="B488" i="5"/>
  <c r="B487" i="5"/>
  <c r="B486" i="5"/>
  <c r="B485" i="5"/>
  <c r="B484" i="5"/>
  <c r="B483" i="5"/>
  <c r="B482" i="5"/>
  <c r="B481" i="5"/>
  <c r="B480" i="5"/>
  <c r="B479" i="5"/>
  <c r="B478" i="5"/>
  <c r="B477" i="5"/>
  <c r="B476" i="5"/>
  <c r="B475" i="5"/>
  <c r="B474" i="5"/>
  <c r="B473" i="5"/>
  <c r="B472" i="5"/>
  <c r="B471" i="5"/>
  <c r="B470" i="5"/>
  <c r="B469" i="5"/>
  <c r="B468" i="5"/>
  <c r="B467" i="5"/>
  <c r="B466" i="5"/>
  <c r="B465" i="5"/>
  <c r="B464" i="5"/>
  <c r="B463" i="5"/>
  <c r="B462" i="5"/>
  <c r="B461" i="5"/>
  <c r="B460" i="5"/>
  <c r="B459" i="5"/>
  <c r="B458" i="5"/>
  <c r="B457" i="5"/>
  <c r="B456" i="5"/>
  <c r="B455" i="5"/>
  <c r="B454" i="5"/>
  <c r="B453" i="5"/>
  <c r="B452" i="5"/>
  <c r="B451" i="5"/>
  <c r="B450" i="5"/>
  <c r="B449" i="5"/>
  <c r="B448" i="5"/>
  <c r="B447" i="5"/>
  <c r="B446" i="5"/>
  <c r="B445" i="5"/>
  <c r="B444" i="5"/>
  <c r="B443" i="5"/>
  <c r="B442" i="5"/>
  <c r="B441" i="5"/>
  <c r="B440" i="5"/>
  <c r="B439" i="5"/>
  <c r="B438" i="5"/>
  <c r="B437" i="5"/>
  <c r="B436" i="5"/>
  <c r="B435" i="5"/>
  <c r="B434" i="5"/>
  <c r="B433" i="5"/>
  <c r="B432" i="5"/>
  <c r="B431" i="5"/>
  <c r="B430" i="5"/>
  <c r="B429" i="5"/>
  <c r="B428" i="5"/>
  <c r="B427" i="5"/>
  <c r="B426" i="5"/>
  <c r="B425" i="5"/>
  <c r="B424" i="5"/>
  <c r="B423" i="5"/>
  <c r="B422" i="5"/>
  <c r="B421" i="5"/>
  <c r="B420" i="5"/>
  <c r="B419" i="5"/>
  <c r="B418" i="5"/>
  <c r="B417" i="5"/>
  <c r="B416" i="5"/>
  <c r="B415" i="5"/>
  <c r="B414" i="5"/>
  <c r="B413" i="5"/>
  <c r="B412" i="5"/>
  <c r="B411" i="5"/>
  <c r="B410" i="5"/>
  <c r="B409" i="5"/>
  <c r="B408" i="5"/>
  <c r="B407" i="5"/>
  <c r="B406" i="5"/>
  <c r="B405" i="5"/>
  <c r="B404" i="5"/>
  <c r="B403" i="5"/>
  <c r="B402" i="5"/>
  <c r="B401" i="5"/>
  <c r="B400" i="5"/>
  <c r="B399" i="5"/>
  <c r="B398" i="5"/>
  <c r="B397" i="5"/>
  <c r="B396" i="5"/>
  <c r="B395" i="5"/>
  <c r="B394" i="5"/>
  <c r="B393" i="5"/>
  <c r="B392" i="5"/>
  <c r="B391" i="5"/>
  <c r="B390" i="5"/>
  <c r="B389" i="5"/>
  <c r="B388" i="5"/>
  <c r="B387" i="5"/>
  <c r="B386" i="5"/>
  <c r="B385" i="5"/>
  <c r="B384" i="5"/>
  <c r="B383" i="5"/>
  <c r="B382" i="5"/>
  <c r="B381" i="5"/>
  <c r="B380" i="5"/>
  <c r="B379" i="5"/>
  <c r="B378" i="5"/>
  <c r="B377" i="5"/>
  <c r="B376" i="5"/>
  <c r="B375" i="5"/>
  <c r="B374" i="5"/>
  <c r="B373" i="5"/>
  <c r="B372" i="5"/>
  <c r="B371" i="5"/>
  <c r="B370" i="5"/>
  <c r="B369" i="5"/>
  <c r="B368" i="5"/>
  <c r="B367" i="5"/>
  <c r="B366" i="5"/>
  <c r="B365" i="5"/>
  <c r="B364" i="5"/>
  <c r="B363" i="5"/>
  <c r="B362" i="5"/>
  <c r="B361" i="5"/>
  <c r="B360" i="5"/>
  <c r="B359" i="5"/>
  <c r="B358" i="5"/>
  <c r="B357" i="5"/>
  <c r="B356" i="5"/>
  <c r="B355" i="5"/>
  <c r="B354" i="5"/>
  <c r="B353" i="5"/>
  <c r="B352" i="5"/>
  <c r="B351" i="5"/>
  <c r="B350" i="5"/>
  <c r="B349" i="5"/>
  <c r="B348" i="5"/>
  <c r="B347" i="5"/>
  <c r="B346" i="5"/>
  <c r="B345" i="5"/>
  <c r="B344" i="5"/>
  <c r="B343" i="5"/>
  <c r="B342" i="5"/>
  <c r="B341" i="5"/>
  <c r="B340" i="5"/>
  <c r="B339" i="5"/>
  <c r="B338" i="5"/>
  <c r="B337" i="5"/>
  <c r="B336" i="5"/>
  <c r="B335" i="5"/>
  <c r="B334" i="5"/>
  <c r="B333" i="5"/>
  <c r="B332" i="5"/>
  <c r="B331" i="5"/>
  <c r="B330" i="5"/>
  <c r="B329" i="5"/>
  <c r="B328" i="5"/>
  <c r="B327" i="5"/>
  <c r="B326" i="5"/>
  <c r="B325" i="5"/>
  <c r="B324" i="5"/>
  <c r="B323" i="5"/>
  <c r="B322" i="5"/>
  <c r="B321" i="5"/>
  <c r="B320" i="5"/>
  <c r="B319" i="5"/>
  <c r="B318" i="5"/>
  <c r="B317" i="5"/>
  <c r="B316" i="5"/>
  <c r="B315" i="5"/>
  <c r="B314" i="5"/>
  <c r="B313" i="5"/>
  <c r="B312" i="5"/>
  <c r="B311" i="5"/>
  <c r="B310" i="5"/>
  <c r="B309" i="5"/>
  <c r="B308" i="5"/>
  <c r="B307" i="5"/>
  <c r="B306" i="5"/>
  <c r="B305" i="5"/>
  <c r="B304" i="5"/>
  <c r="B303" i="5"/>
  <c r="B302" i="5"/>
  <c r="B301" i="5"/>
  <c r="B300" i="5"/>
  <c r="B299" i="5"/>
  <c r="B298" i="5"/>
  <c r="B297" i="5"/>
  <c r="B296" i="5"/>
  <c r="B295" i="5"/>
  <c r="B294" i="5"/>
  <c r="B293" i="5"/>
  <c r="B292" i="5"/>
  <c r="B291" i="5"/>
  <c r="B290" i="5"/>
  <c r="B289" i="5"/>
  <c r="B288" i="5"/>
  <c r="B287" i="5"/>
  <c r="B286" i="5"/>
  <c r="B285" i="5"/>
  <c r="B284" i="5"/>
  <c r="B283" i="5"/>
  <c r="B282" i="5"/>
  <c r="B281" i="5"/>
  <c r="B280" i="5"/>
  <c r="B279" i="5"/>
  <c r="B278" i="5"/>
  <c r="B277" i="5"/>
  <c r="B276" i="5"/>
  <c r="B275" i="5"/>
  <c r="B274" i="5"/>
  <c r="B273" i="5"/>
  <c r="B272" i="5"/>
  <c r="B271" i="5"/>
  <c r="B270" i="5"/>
  <c r="B269" i="5"/>
  <c r="B268" i="5"/>
  <c r="B267" i="5"/>
  <c r="B266" i="5"/>
  <c r="B265" i="5"/>
  <c r="B264" i="5"/>
  <c r="B263" i="5"/>
  <c r="B262" i="5"/>
  <c r="B261" i="5"/>
  <c r="B260" i="5"/>
  <c r="B259" i="5"/>
  <c r="B258" i="5"/>
  <c r="B257" i="5"/>
  <c r="B256" i="5"/>
  <c r="B255" i="5"/>
  <c r="B254" i="5"/>
  <c r="B253" i="5"/>
  <c r="B252" i="5"/>
  <c r="B251" i="5"/>
  <c r="B250" i="5"/>
  <c r="B249" i="5"/>
  <c r="B248" i="5"/>
  <c r="B247" i="5"/>
  <c r="B246" i="5"/>
  <c r="B245" i="5"/>
  <c r="B244" i="5"/>
  <c r="B243" i="5"/>
  <c r="B242" i="5"/>
  <c r="B241" i="5"/>
  <c r="B240" i="5"/>
  <c r="B239" i="5"/>
  <c r="B238" i="5"/>
  <c r="B237" i="5"/>
  <c r="B236" i="5"/>
  <c r="B235" i="5"/>
  <c r="B234" i="5"/>
  <c r="B233" i="5"/>
  <c r="B232" i="5"/>
  <c r="B231" i="5"/>
  <c r="B230" i="5"/>
  <c r="B229" i="5"/>
  <c r="B228" i="5"/>
  <c r="B227" i="5"/>
  <c r="B226" i="5"/>
  <c r="B225" i="5"/>
  <c r="B224" i="5"/>
  <c r="B223" i="5"/>
  <c r="B222" i="5"/>
  <c r="B221" i="5"/>
  <c r="B220" i="5"/>
  <c r="B219" i="5"/>
  <c r="B218" i="5"/>
  <c r="B217" i="5"/>
  <c r="B216" i="5"/>
  <c r="B215" i="5"/>
  <c r="B214" i="5"/>
  <c r="B213" i="5"/>
  <c r="B212" i="5"/>
  <c r="B211" i="5"/>
  <c r="B210" i="5"/>
  <c r="B209" i="5"/>
  <c r="B208" i="5"/>
  <c r="B207" i="5"/>
  <c r="B206" i="5"/>
  <c r="B205" i="5"/>
  <c r="B204" i="5"/>
  <c r="B203" i="5"/>
  <c r="B202" i="5"/>
  <c r="B201" i="5"/>
  <c r="B200" i="5"/>
  <c r="B199" i="5"/>
  <c r="B198" i="5"/>
  <c r="B197" i="5"/>
  <c r="B196" i="5"/>
  <c r="B195" i="5"/>
  <c r="B194" i="5"/>
  <c r="B193" i="5"/>
  <c r="B192" i="5"/>
  <c r="B191" i="5"/>
  <c r="B190" i="5"/>
  <c r="B189" i="5"/>
  <c r="B188" i="5"/>
  <c r="B187" i="5"/>
  <c r="B186" i="5"/>
  <c r="B185" i="5"/>
  <c r="B184" i="5"/>
  <c r="B183" i="5"/>
  <c r="B182" i="5"/>
  <c r="B181" i="5"/>
  <c r="B180" i="5"/>
  <c r="B179" i="5"/>
  <c r="B178" i="5"/>
  <c r="B177" i="5"/>
  <c r="B176" i="5"/>
  <c r="B175" i="5"/>
  <c r="B174" i="5"/>
  <c r="B173" i="5"/>
  <c r="B172" i="5"/>
  <c r="B171" i="5"/>
  <c r="B170" i="5"/>
  <c r="B169" i="5"/>
  <c r="B168" i="5"/>
  <c r="B167" i="5"/>
  <c r="B166" i="5"/>
  <c r="B165" i="5"/>
  <c r="B164" i="5"/>
  <c r="B163" i="5"/>
  <c r="B162" i="5"/>
  <c r="B161" i="5"/>
  <c r="B160" i="5"/>
  <c r="B159" i="5"/>
  <c r="B158" i="5"/>
  <c r="B157" i="5"/>
  <c r="B156" i="5"/>
  <c r="B155" i="5"/>
  <c r="B154" i="5"/>
  <c r="B153" i="5"/>
  <c r="B152" i="5"/>
  <c r="B151" i="5"/>
  <c r="B150" i="5"/>
  <c r="B149" i="5"/>
  <c r="B148" i="5"/>
  <c r="B147" i="5"/>
  <c r="B146" i="5"/>
  <c r="B145" i="5"/>
  <c r="B144" i="5"/>
  <c r="B143" i="5"/>
  <c r="B142" i="5"/>
  <c r="B141" i="5"/>
  <c r="B140" i="5"/>
  <c r="B139" i="5"/>
  <c r="B138" i="5"/>
  <c r="B137" i="5"/>
  <c r="B136" i="5"/>
  <c r="B135" i="5"/>
  <c r="B134" i="5"/>
  <c r="B133" i="5"/>
  <c r="B132" i="5"/>
  <c r="B131" i="5"/>
  <c r="B130" i="5"/>
  <c r="B129" i="5"/>
  <c r="B128" i="5"/>
  <c r="B127" i="5"/>
  <c r="B126" i="5"/>
  <c r="B125" i="5"/>
  <c r="B124" i="5"/>
  <c r="B123" i="5"/>
  <c r="B122" i="5"/>
  <c r="B121" i="5"/>
  <c r="B120" i="5"/>
  <c r="B119" i="5"/>
  <c r="B118" i="5"/>
  <c r="B117" i="5"/>
  <c r="B116" i="5"/>
  <c r="B115" i="5"/>
  <c r="B114" i="5"/>
  <c r="B113" i="5"/>
  <c r="B112" i="5"/>
  <c r="B111" i="5"/>
  <c r="B110" i="5"/>
  <c r="B109" i="5"/>
  <c r="B108" i="5"/>
  <c r="B107" i="5"/>
  <c r="B106" i="5"/>
  <c r="B105" i="5"/>
  <c r="B104" i="5"/>
  <c r="B103" i="5"/>
  <c r="B102" i="5"/>
  <c r="B101" i="5"/>
  <c r="B100" i="5"/>
  <c r="B99" i="5"/>
  <c r="B98" i="5"/>
  <c r="B97" i="5"/>
  <c r="B96" i="5"/>
  <c r="B95" i="5"/>
  <c r="B94" i="5"/>
  <c r="B93" i="5"/>
  <c r="B92" i="5"/>
  <c r="B91" i="5"/>
  <c r="B90" i="5"/>
  <c r="B89" i="5"/>
  <c r="B88" i="5"/>
  <c r="B87" i="5"/>
  <c r="B86" i="5"/>
  <c r="B85" i="5"/>
  <c r="B84" i="5"/>
  <c r="B83" i="5"/>
  <c r="B82" i="5"/>
  <c r="B81" i="5"/>
  <c r="B80" i="5"/>
  <c r="B79" i="5"/>
  <c r="B78" i="5"/>
  <c r="B77" i="5"/>
  <c r="B76" i="5"/>
  <c r="B75" i="5"/>
  <c r="B74" i="5"/>
  <c r="B73" i="5"/>
  <c r="B72" i="5"/>
  <c r="B71" i="5"/>
  <c r="B70" i="5"/>
  <c r="B69" i="5"/>
  <c r="B68" i="5"/>
  <c r="B67" i="5"/>
  <c r="B66" i="5"/>
  <c r="B65" i="5"/>
  <c r="B64" i="5"/>
  <c r="B63" i="5"/>
  <c r="B62" i="5"/>
  <c r="B61" i="5"/>
  <c r="B60" i="5"/>
  <c r="B59" i="5"/>
  <c r="B58" i="5"/>
  <c r="B57" i="5"/>
  <c r="B56" i="5"/>
  <c r="B55" i="5"/>
  <c r="B54" i="5"/>
  <c r="B53" i="5"/>
  <c r="B52" i="5"/>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B13" i="5"/>
  <c r="B12" i="5"/>
  <c r="B11" i="5"/>
  <c r="B10" i="5"/>
  <c r="B9" i="5"/>
  <c r="B8" i="5"/>
  <c r="B7" i="5"/>
  <c r="B6" i="5"/>
  <c r="B5" i="5"/>
  <c r="B4" i="5"/>
  <c r="B3" i="5"/>
  <c r="B2" i="5"/>
  <c r="F2" i="4"/>
  <c r="G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E2" i="4"/>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399" i="4"/>
  <c r="F400" i="4"/>
  <c r="F401" i="4"/>
  <c r="F402" i="4"/>
  <c r="F403" i="4"/>
  <c r="F404" i="4"/>
  <c r="F405" i="4"/>
  <c r="F406" i="4"/>
  <c r="F407" i="4"/>
  <c r="F408" i="4"/>
  <c r="F409" i="4"/>
  <c r="F410" i="4"/>
  <c r="F411" i="4"/>
  <c r="F412" i="4"/>
  <c r="F413" i="4"/>
  <c r="F414" i="4"/>
  <c r="F415" i="4"/>
  <c r="F416" i="4"/>
  <c r="F417" i="4"/>
  <c r="F418" i="4"/>
  <c r="F419" i="4"/>
  <c r="F420" i="4"/>
  <c r="F421" i="4"/>
  <c r="F422" i="4"/>
  <c r="F423" i="4"/>
  <c r="F424" i="4"/>
  <c r="F425" i="4"/>
  <c r="F426" i="4"/>
  <c r="F427" i="4"/>
  <c r="F428" i="4"/>
  <c r="F429" i="4"/>
  <c r="F430" i="4"/>
  <c r="F431" i="4"/>
  <c r="F432" i="4"/>
  <c r="F433" i="4"/>
  <c r="F434" i="4"/>
  <c r="F435" i="4"/>
  <c r="F436" i="4"/>
  <c r="F437" i="4"/>
  <c r="F438" i="4"/>
  <c r="F439" i="4"/>
  <c r="F440" i="4"/>
  <c r="F441" i="4"/>
  <c r="F442" i="4"/>
  <c r="F443" i="4"/>
  <c r="F444" i="4"/>
  <c r="F445" i="4"/>
  <c r="F446" i="4"/>
  <c r="F447" i="4"/>
  <c r="F448" i="4"/>
  <c r="F449" i="4"/>
  <c r="F450" i="4"/>
  <c r="F451" i="4"/>
  <c r="F452" i="4"/>
  <c r="F453" i="4"/>
  <c r="F454" i="4"/>
  <c r="F455" i="4"/>
  <c r="F456" i="4"/>
  <c r="F457" i="4"/>
  <c r="F458" i="4"/>
  <c r="F459" i="4"/>
  <c r="F460" i="4"/>
  <c r="F461" i="4"/>
  <c r="F462" i="4"/>
  <c r="F463" i="4"/>
  <c r="F464" i="4"/>
  <c r="F465" i="4"/>
  <c r="F466" i="4"/>
  <c r="F467" i="4"/>
  <c r="F468" i="4"/>
  <c r="F469" i="4"/>
  <c r="F470" i="4"/>
  <c r="F471" i="4"/>
  <c r="F472" i="4"/>
  <c r="F473" i="4"/>
  <c r="F474" i="4"/>
  <c r="F475" i="4"/>
  <c r="F476" i="4"/>
  <c r="F477" i="4"/>
  <c r="F478" i="4"/>
  <c r="F479" i="4"/>
  <c r="F480" i="4"/>
  <c r="F481" i="4"/>
  <c r="F482" i="4"/>
  <c r="F483" i="4"/>
  <c r="F484" i="4"/>
  <c r="F485" i="4"/>
  <c r="F486" i="4"/>
  <c r="F487" i="4"/>
  <c r="F488" i="4"/>
  <c r="F489" i="4"/>
  <c r="F490" i="4"/>
  <c r="F491" i="4"/>
  <c r="F492" i="4"/>
  <c r="F493" i="4"/>
  <c r="F494" i="4"/>
  <c r="F495" i="4"/>
  <c r="F496" i="4"/>
  <c r="F497" i="4"/>
  <c r="F498" i="4"/>
  <c r="F499" i="4"/>
  <c r="F500" i="4"/>
  <c r="F501" i="4"/>
  <c r="F502" i="4"/>
  <c r="F503" i="4"/>
  <c r="F504" i="4"/>
  <c r="F505" i="4"/>
  <c r="F506" i="4"/>
  <c r="F507" i="4"/>
  <c r="F508" i="4"/>
  <c r="F509" i="4"/>
  <c r="F510" i="4"/>
  <c r="F511" i="4"/>
  <c r="F512" i="4"/>
  <c r="F513" i="4"/>
  <c r="F514" i="4"/>
  <c r="F515" i="4"/>
  <c r="F516" i="4"/>
  <c r="F517" i="4"/>
  <c r="F518" i="4"/>
  <c r="F519" i="4"/>
  <c r="F520" i="4"/>
  <c r="F521" i="4"/>
  <c r="F522" i="4"/>
  <c r="F523" i="4"/>
  <c r="F524" i="4"/>
  <c r="F525" i="4"/>
  <c r="F526" i="4"/>
  <c r="F527" i="4"/>
  <c r="F528" i="4"/>
  <c r="F529" i="4"/>
  <c r="F530" i="4"/>
  <c r="F531" i="4"/>
  <c r="F532" i="4"/>
  <c r="F533" i="4"/>
  <c r="F534" i="4"/>
  <c r="F535" i="4"/>
  <c r="F536" i="4"/>
  <c r="F537" i="4"/>
  <c r="F538" i="4"/>
  <c r="F539" i="4"/>
  <c r="F540" i="4"/>
  <c r="F541" i="4"/>
  <c r="F542" i="4"/>
  <c r="F543" i="4"/>
  <c r="F544" i="4"/>
  <c r="F545" i="4"/>
  <c r="F546" i="4"/>
  <c r="F547" i="4"/>
  <c r="F548" i="4"/>
  <c r="F549" i="4"/>
  <c r="F550" i="4"/>
  <c r="F551" i="4"/>
  <c r="F552" i="4"/>
  <c r="F553" i="4"/>
  <c r="F554" i="4"/>
  <c r="F555" i="4"/>
  <c r="F556" i="4"/>
  <c r="F557" i="4"/>
  <c r="F558" i="4"/>
  <c r="F559" i="4"/>
  <c r="F560" i="4"/>
  <c r="F561" i="4"/>
  <c r="F562" i="4"/>
  <c r="F563" i="4"/>
  <c r="F564" i="4"/>
  <c r="F565" i="4"/>
  <c r="F566" i="4"/>
  <c r="F567" i="4"/>
  <c r="F568" i="4"/>
  <c r="F569" i="4"/>
  <c r="F570" i="4"/>
  <c r="F571" i="4"/>
  <c r="F572" i="4"/>
  <c r="F573" i="4"/>
  <c r="F574" i="4"/>
  <c r="F575" i="4"/>
  <c r="F576" i="4"/>
  <c r="F577" i="4"/>
  <c r="F578" i="4"/>
  <c r="F579" i="4"/>
  <c r="F580" i="4"/>
  <c r="F581" i="4"/>
  <c r="F582" i="4"/>
  <c r="F583" i="4"/>
  <c r="F584" i="4"/>
  <c r="F585" i="4"/>
  <c r="F586" i="4"/>
  <c r="F587" i="4"/>
  <c r="F588" i="4"/>
  <c r="F589" i="4"/>
  <c r="F590" i="4"/>
  <c r="F591" i="4"/>
  <c r="F592" i="4"/>
  <c r="F593" i="4"/>
  <c r="F594" i="4"/>
  <c r="F595" i="4"/>
  <c r="F596" i="4"/>
  <c r="F597" i="4"/>
  <c r="F598" i="4"/>
  <c r="F599" i="4"/>
  <c r="F600" i="4"/>
  <c r="F601" i="4"/>
  <c r="F602" i="4"/>
  <c r="F603" i="4"/>
  <c r="F604" i="4"/>
  <c r="F605" i="4"/>
  <c r="F606" i="4"/>
  <c r="F607" i="4"/>
  <c r="F608" i="4"/>
  <c r="F609" i="4"/>
  <c r="F610" i="4"/>
  <c r="F611" i="4"/>
  <c r="F612" i="4"/>
  <c r="F613" i="4"/>
  <c r="F614" i="4"/>
  <c r="F615" i="4"/>
  <c r="F616" i="4"/>
  <c r="F617" i="4"/>
  <c r="F618" i="4"/>
  <c r="F619" i="4"/>
  <c r="F620" i="4"/>
  <c r="F621" i="4"/>
  <c r="F622" i="4"/>
  <c r="F623" i="4"/>
  <c r="F624" i="4"/>
  <c r="F625" i="4"/>
  <c r="F626" i="4"/>
  <c r="F627" i="4"/>
  <c r="F628" i="4"/>
  <c r="F629" i="4"/>
  <c r="F630" i="4"/>
  <c r="F631" i="4"/>
  <c r="F632" i="4"/>
  <c r="W3" i="4"/>
  <c r="W4" i="4"/>
  <c r="W5" i="4"/>
  <c r="W6" i="4"/>
  <c r="W7" i="4"/>
  <c r="W8" i="4"/>
  <c r="W9" i="4"/>
  <c r="W10" i="4"/>
  <c r="W11" i="4"/>
  <c r="W12" i="4"/>
  <c r="W13" i="4"/>
  <c r="W14" i="4"/>
  <c r="W15" i="4"/>
  <c r="W16" i="4"/>
  <c r="W17" i="4"/>
  <c r="W18" i="4"/>
  <c r="W19" i="4"/>
  <c r="W20" i="4"/>
  <c r="W21" i="4"/>
  <c r="W22" i="4"/>
  <c r="W23" i="4"/>
  <c r="W24" i="4"/>
  <c r="W25" i="4"/>
  <c r="W26" i="4"/>
  <c r="W27" i="4"/>
  <c r="W28" i="4"/>
  <c r="W29" i="4"/>
  <c r="W30" i="4"/>
  <c r="W31" i="4"/>
  <c r="W32" i="4"/>
  <c r="W33" i="4"/>
  <c r="W34" i="4"/>
  <c r="W35" i="4"/>
  <c r="W36" i="4"/>
  <c r="W37" i="4"/>
  <c r="W38" i="4"/>
  <c r="W39" i="4"/>
  <c r="W40" i="4"/>
  <c r="W41" i="4"/>
  <c r="W42" i="4"/>
  <c r="W43" i="4"/>
  <c r="W44" i="4"/>
  <c r="W45" i="4"/>
  <c r="W46" i="4"/>
  <c r="W47" i="4"/>
  <c r="W48" i="4"/>
  <c r="W49" i="4"/>
  <c r="W50" i="4"/>
  <c r="W51" i="4"/>
  <c r="W52" i="4"/>
  <c r="W53" i="4"/>
  <c r="W54" i="4"/>
  <c r="W55" i="4"/>
  <c r="W56" i="4"/>
  <c r="W57" i="4"/>
  <c r="W58" i="4"/>
  <c r="W59" i="4"/>
  <c r="W60" i="4"/>
  <c r="W61" i="4"/>
  <c r="W62" i="4"/>
  <c r="W63" i="4"/>
  <c r="W64" i="4"/>
  <c r="W65" i="4"/>
  <c r="W66" i="4"/>
  <c r="W67" i="4"/>
  <c r="W68" i="4"/>
  <c r="W69" i="4"/>
  <c r="W70" i="4"/>
  <c r="W71" i="4"/>
  <c r="W72" i="4"/>
  <c r="W73" i="4"/>
  <c r="W74" i="4"/>
  <c r="W75" i="4"/>
  <c r="W76" i="4"/>
  <c r="W77" i="4"/>
  <c r="W78" i="4"/>
  <c r="W79" i="4"/>
  <c r="W80" i="4"/>
  <c r="W81" i="4"/>
  <c r="W82" i="4"/>
  <c r="W83" i="4"/>
  <c r="W84" i="4"/>
  <c r="W85" i="4"/>
  <c r="W86" i="4"/>
  <c r="W87" i="4"/>
  <c r="W88" i="4"/>
  <c r="W89" i="4"/>
  <c r="W90" i="4"/>
  <c r="W91" i="4"/>
  <c r="W92" i="4"/>
  <c r="W93" i="4"/>
  <c r="W94" i="4"/>
  <c r="W95" i="4"/>
  <c r="W96" i="4"/>
  <c r="W97" i="4"/>
  <c r="W98" i="4"/>
  <c r="W99" i="4"/>
  <c r="W100" i="4"/>
  <c r="W101" i="4"/>
  <c r="W102" i="4"/>
  <c r="W103" i="4"/>
  <c r="W104" i="4"/>
  <c r="W105" i="4"/>
  <c r="W106" i="4"/>
  <c r="W107" i="4"/>
  <c r="W108" i="4"/>
  <c r="W109" i="4"/>
  <c r="W110" i="4"/>
  <c r="W111" i="4"/>
  <c r="W112" i="4"/>
  <c r="W113" i="4"/>
  <c r="W114" i="4"/>
  <c r="W115" i="4"/>
  <c r="W116" i="4"/>
  <c r="W117" i="4"/>
  <c r="W118" i="4"/>
  <c r="W119" i="4"/>
  <c r="W120" i="4"/>
  <c r="W121" i="4"/>
  <c r="W122" i="4"/>
  <c r="W123" i="4"/>
  <c r="W124" i="4"/>
  <c r="W125" i="4"/>
  <c r="W126" i="4"/>
  <c r="W127" i="4"/>
  <c r="W128" i="4"/>
  <c r="W129" i="4"/>
  <c r="W130" i="4"/>
  <c r="W131" i="4"/>
  <c r="W132" i="4"/>
  <c r="W133" i="4"/>
  <c r="W134" i="4"/>
  <c r="W135" i="4"/>
  <c r="W136" i="4"/>
  <c r="W137" i="4"/>
  <c r="W138" i="4"/>
  <c r="W139" i="4"/>
  <c r="W140" i="4"/>
  <c r="W141" i="4"/>
  <c r="W142" i="4"/>
  <c r="W143" i="4"/>
  <c r="W144" i="4"/>
  <c r="W145" i="4"/>
  <c r="W146" i="4"/>
  <c r="W147" i="4"/>
  <c r="W148" i="4"/>
  <c r="W149" i="4"/>
  <c r="W150" i="4"/>
  <c r="W151" i="4"/>
  <c r="W152" i="4"/>
  <c r="W153" i="4"/>
  <c r="W154" i="4"/>
  <c r="W155" i="4"/>
  <c r="W156" i="4"/>
  <c r="W157" i="4"/>
  <c r="W158" i="4"/>
  <c r="W159" i="4"/>
  <c r="W160" i="4"/>
  <c r="W161" i="4"/>
  <c r="W162" i="4"/>
  <c r="W163" i="4"/>
  <c r="W164" i="4"/>
  <c r="W165" i="4"/>
  <c r="W166" i="4"/>
  <c r="W167" i="4"/>
  <c r="W168" i="4"/>
  <c r="W169" i="4"/>
  <c r="W170" i="4"/>
  <c r="W171" i="4"/>
  <c r="W172" i="4"/>
  <c r="W173" i="4"/>
  <c r="W174" i="4"/>
  <c r="W175" i="4"/>
  <c r="W176" i="4"/>
  <c r="W177" i="4"/>
  <c r="W178" i="4"/>
  <c r="W179" i="4"/>
  <c r="W180" i="4"/>
  <c r="W181" i="4"/>
  <c r="W182" i="4"/>
  <c r="W183" i="4"/>
  <c r="W184" i="4"/>
  <c r="W185" i="4"/>
  <c r="W186" i="4"/>
  <c r="W187" i="4"/>
  <c r="W188" i="4"/>
  <c r="W189" i="4"/>
  <c r="W190" i="4"/>
  <c r="W191" i="4"/>
  <c r="W192" i="4"/>
  <c r="W193" i="4"/>
  <c r="W194" i="4"/>
  <c r="W195" i="4"/>
  <c r="W196" i="4"/>
  <c r="W197" i="4"/>
  <c r="W198" i="4"/>
  <c r="W199" i="4"/>
  <c r="W200" i="4"/>
  <c r="W201" i="4"/>
  <c r="W202" i="4"/>
  <c r="W203" i="4"/>
  <c r="W204" i="4"/>
  <c r="W205" i="4"/>
  <c r="W206" i="4"/>
  <c r="W207" i="4"/>
  <c r="W208" i="4"/>
  <c r="W209" i="4"/>
  <c r="W210" i="4"/>
  <c r="W211" i="4"/>
  <c r="W212" i="4"/>
  <c r="W213" i="4"/>
  <c r="W214" i="4"/>
  <c r="W215" i="4"/>
  <c r="W216" i="4"/>
  <c r="W217" i="4"/>
  <c r="W218" i="4"/>
  <c r="W219" i="4"/>
  <c r="W220" i="4"/>
  <c r="W221" i="4"/>
  <c r="W222" i="4"/>
  <c r="W223" i="4"/>
  <c r="W224" i="4"/>
  <c r="W225" i="4"/>
  <c r="W226" i="4"/>
  <c r="W227" i="4"/>
  <c r="W228" i="4"/>
  <c r="W229" i="4"/>
  <c r="W230" i="4"/>
  <c r="W231" i="4"/>
  <c r="W232" i="4"/>
  <c r="W233" i="4"/>
  <c r="W234" i="4"/>
  <c r="W235" i="4"/>
  <c r="W236" i="4"/>
  <c r="W237" i="4"/>
  <c r="W238" i="4"/>
  <c r="W239" i="4"/>
  <c r="W240" i="4"/>
  <c r="W241" i="4"/>
  <c r="W242" i="4"/>
  <c r="W243" i="4"/>
  <c r="W244" i="4"/>
  <c r="W245" i="4"/>
  <c r="W246" i="4"/>
  <c r="W247" i="4"/>
  <c r="W248" i="4"/>
  <c r="W249" i="4"/>
  <c r="W250" i="4"/>
  <c r="W251" i="4"/>
  <c r="W252" i="4"/>
  <c r="W253" i="4"/>
  <c r="W254" i="4"/>
  <c r="W255" i="4"/>
  <c r="W256" i="4"/>
  <c r="W257" i="4"/>
  <c r="W258" i="4"/>
  <c r="W259" i="4"/>
  <c r="W260" i="4"/>
  <c r="W261" i="4"/>
  <c r="W262" i="4"/>
  <c r="W263" i="4"/>
  <c r="W264" i="4"/>
  <c r="W265" i="4"/>
  <c r="W266" i="4"/>
  <c r="W267" i="4"/>
  <c r="W268" i="4"/>
  <c r="W269" i="4"/>
  <c r="W270" i="4"/>
  <c r="W271" i="4"/>
  <c r="W272" i="4"/>
  <c r="W273" i="4"/>
  <c r="W274" i="4"/>
  <c r="W275" i="4"/>
  <c r="W276" i="4"/>
  <c r="W277" i="4"/>
  <c r="W278" i="4"/>
  <c r="W279" i="4"/>
  <c r="W280" i="4"/>
  <c r="W281" i="4"/>
  <c r="W282" i="4"/>
  <c r="W283" i="4"/>
  <c r="W284" i="4"/>
  <c r="W285" i="4"/>
  <c r="W286" i="4"/>
  <c r="W287" i="4"/>
  <c r="W288" i="4"/>
  <c r="W289" i="4"/>
  <c r="W290" i="4"/>
  <c r="W291" i="4"/>
  <c r="W292" i="4"/>
  <c r="W293" i="4"/>
  <c r="W294" i="4"/>
  <c r="W295" i="4"/>
  <c r="W296" i="4"/>
  <c r="W297" i="4"/>
  <c r="W298" i="4"/>
  <c r="W299" i="4"/>
  <c r="W300" i="4"/>
  <c r="W301" i="4"/>
  <c r="W302" i="4"/>
  <c r="W303" i="4"/>
  <c r="W304" i="4"/>
  <c r="W305" i="4"/>
  <c r="W306" i="4"/>
  <c r="W307" i="4"/>
  <c r="W308" i="4"/>
  <c r="W309" i="4"/>
  <c r="W310" i="4"/>
  <c r="W311" i="4"/>
  <c r="W312" i="4"/>
  <c r="W313" i="4"/>
  <c r="W314" i="4"/>
  <c r="W315" i="4"/>
  <c r="W316" i="4"/>
  <c r="W317" i="4"/>
  <c r="W318" i="4"/>
  <c r="W319" i="4"/>
  <c r="W320" i="4"/>
  <c r="W321" i="4"/>
  <c r="W322" i="4"/>
  <c r="W323" i="4"/>
  <c r="W324" i="4"/>
  <c r="W325" i="4"/>
  <c r="W326" i="4"/>
  <c r="W327" i="4"/>
  <c r="W328" i="4"/>
  <c r="W329" i="4"/>
  <c r="W330" i="4"/>
  <c r="W331" i="4"/>
  <c r="W332" i="4"/>
  <c r="W333" i="4"/>
  <c r="W334" i="4"/>
  <c r="W335" i="4"/>
  <c r="W336" i="4"/>
  <c r="W337" i="4"/>
  <c r="W338" i="4"/>
  <c r="W339" i="4"/>
  <c r="W340" i="4"/>
  <c r="W341" i="4"/>
  <c r="W342" i="4"/>
  <c r="W343" i="4"/>
  <c r="W344" i="4"/>
  <c r="W345" i="4"/>
  <c r="W346" i="4"/>
  <c r="W347" i="4"/>
  <c r="W348" i="4"/>
  <c r="W349" i="4"/>
  <c r="W350" i="4"/>
  <c r="W351" i="4"/>
  <c r="W352" i="4"/>
  <c r="W353" i="4"/>
  <c r="W354" i="4"/>
  <c r="W355" i="4"/>
  <c r="W356" i="4"/>
  <c r="W357" i="4"/>
  <c r="W358" i="4"/>
  <c r="W359" i="4"/>
  <c r="W360" i="4"/>
  <c r="W361" i="4"/>
  <c r="W362" i="4"/>
  <c r="W363" i="4"/>
  <c r="W364" i="4"/>
  <c r="W365" i="4"/>
  <c r="W366" i="4"/>
  <c r="W367" i="4"/>
  <c r="W368" i="4"/>
  <c r="W369" i="4"/>
  <c r="W370" i="4"/>
  <c r="W371" i="4"/>
  <c r="W372" i="4"/>
  <c r="W373" i="4"/>
  <c r="W374" i="4"/>
  <c r="W375" i="4"/>
  <c r="W376" i="4"/>
  <c r="W377" i="4"/>
  <c r="W378" i="4"/>
  <c r="W379" i="4"/>
  <c r="W380" i="4"/>
  <c r="W381" i="4"/>
  <c r="W382" i="4"/>
  <c r="W383" i="4"/>
  <c r="W384" i="4"/>
  <c r="W385" i="4"/>
  <c r="W386" i="4"/>
  <c r="W387" i="4"/>
  <c r="W388" i="4"/>
  <c r="W389" i="4"/>
  <c r="W390" i="4"/>
  <c r="W391" i="4"/>
  <c r="W392" i="4"/>
  <c r="W393" i="4"/>
  <c r="W394" i="4"/>
  <c r="W395" i="4"/>
  <c r="W396" i="4"/>
  <c r="W397" i="4"/>
  <c r="W398" i="4"/>
  <c r="W399" i="4"/>
  <c r="W400" i="4"/>
  <c r="W401" i="4"/>
  <c r="W402" i="4"/>
  <c r="W403" i="4"/>
  <c r="W404" i="4"/>
  <c r="W405" i="4"/>
  <c r="W406" i="4"/>
  <c r="W407" i="4"/>
  <c r="W408" i="4"/>
  <c r="W409" i="4"/>
  <c r="W410" i="4"/>
  <c r="W411" i="4"/>
  <c r="W412" i="4"/>
  <c r="W413" i="4"/>
  <c r="W414" i="4"/>
  <c r="W415" i="4"/>
  <c r="W416" i="4"/>
  <c r="W417" i="4"/>
  <c r="W418" i="4"/>
  <c r="W419" i="4"/>
  <c r="W420" i="4"/>
  <c r="W421" i="4"/>
  <c r="W422" i="4"/>
  <c r="W423" i="4"/>
  <c r="W424" i="4"/>
  <c r="W425" i="4"/>
  <c r="W426" i="4"/>
  <c r="W427" i="4"/>
  <c r="W428" i="4"/>
  <c r="W429" i="4"/>
  <c r="W430" i="4"/>
  <c r="W431" i="4"/>
  <c r="W432" i="4"/>
  <c r="W433" i="4"/>
  <c r="W434" i="4"/>
  <c r="W435" i="4"/>
  <c r="W436" i="4"/>
  <c r="W437" i="4"/>
  <c r="W438" i="4"/>
  <c r="W439" i="4"/>
  <c r="W440" i="4"/>
  <c r="W441" i="4"/>
  <c r="W442" i="4"/>
  <c r="W443" i="4"/>
  <c r="W444" i="4"/>
  <c r="W445" i="4"/>
  <c r="W446" i="4"/>
  <c r="W447" i="4"/>
  <c r="W448" i="4"/>
  <c r="W449" i="4"/>
  <c r="W450" i="4"/>
  <c r="W451" i="4"/>
  <c r="W452" i="4"/>
  <c r="W453" i="4"/>
  <c r="W454" i="4"/>
  <c r="W455" i="4"/>
  <c r="W456" i="4"/>
  <c r="W457" i="4"/>
  <c r="W458" i="4"/>
  <c r="W459" i="4"/>
  <c r="W460" i="4"/>
  <c r="W461" i="4"/>
  <c r="W462" i="4"/>
  <c r="W463" i="4"/>
  <c r="W464" i="4"/>
  <c r="W465" i="4"/>
  <c r="W466" i="4"/>
  <c r="W467" i="4"/>
  <c r="W468" i="4"/>
  <c r="W469" i="4"/>
  <c r="W470" i="4"/>
  <c r="W471" i="4"/>
  <c r="W472" i="4"/>
  <c r="W473" i="4"/>
  <c r="W474" i="4"/>
  <c r="W475" i="4"/>
  <c r="W476" i="4"/>
  <c r="W477" i="4"/>
  <c r="W478" i="4"/>
  <c r="W479" i="4"/>
  <c r="W480" i="4"/>
  <c r="W481" i="4"/>
  <c r="W482" i="4"/>
  <c r="W483" i="4"/>
  <c r="W484" i="4"/>
  <c r="W485" i="4"/>
  <c r="W486" i="4"/>
  <c r="W487" i="4"/>
  <c r="W488" i="4"/>
  <c r="W489" i="4"/>
  <c r="W490" i="4"/>
  <c r="W491" i="4"/>
  <c r="W492" i="4"/>
  <c r="W493" i="4"/>
  <c r="W494" i="4"/>
  <c r="W495" i="4"/>
  <c r="W496" i="4"/>
  <c r="W497" i="4"/>
  <c r="W498" i="4"/>
  <c r="W499" i="4"/>
  <c r="W500" i="4"/>
  <c r="W501" i="4"/>
  <c r="W502" i="4"/>
  <c r="W503" i="4"/>
  <c r="W504" i="4"/>
  <c r="W505" i="4"/>
  <c r="W506" i="4"/>
  <c r="W507" i="4"/>
  <c r="W508" i="4"/>
  <c r="W509" i="4"/>
  <c r="W510" i="4"/>
  <c r="W511" i="4"/>
  <c r="W512" i="4"/>
  <c r="W513" i="4"/>
  <c r="W514" i="4"/>
  <c r="W515" i="4"/>
  <c r="W516" i="4"/>
  <c r="W517" i="4"/>
  <c r="W518" i="4"/>
  <c r="W519" i="4"/>
  <c r="W520" i="4"/>
  <c r="W521" i="4"/>
  <c r="W522" i="4"/>
  <c r="W523" i="4"/>
  <c r="W524" i="4"/>
  <c r="W525" i="4"/>
  <c r="W526" i="4"/>
  <c r="W527" i="4"/>
  <c r="W528" i="4"/>
  <c r="W529" i="4"/>
  <c r="W530" i="4"/>
  <c r="W531" i="4"/>
  <c r="W532" i="4"/>
  <c r="W533" i="4"/>
  <c r="W534" i="4"/>
  <c r="W535" i="4"/>
  <c r="W536" i="4"/>
  <c r="W537" i="4"/>
  <c r="W538" i="4"/>
  <c r="W539" i="4"/>
  <c r="W540" i="4"/>
  <c r="W541" i="4"/>
  <c r="W542" i="4"/>
  <c r="W543" i="4"/>
  <c r="W544" i="4"/>
  <c r="W545" i="4"/>
  <c r="W546" i="4"/>
  <c r="W547" i="4"/>
  <c r="W548" i="4"/>
  <c r="W549" i="4"/>
  <c r="W550" i="4"/>
  <c r="W551" i="4"/>
  <c r="W552" i="4"/>
  <c r="W553" i="4"/>
  <c r="W554" i="4"/>
  <c r="W555" i="4"/>
  <c r="W556" i="4"/>
  <c r="W557" i="4"/>
  <c r="W558" i="4"/>
  <c r="W559" i="4"/>
  <c r="W560" i="4"/>
  <c r="W561" i="4"/>
  <c r="W562" i="4"/>
  <c r="W563" i="4"/>
  <c r="W564" i="4"/>
  <c r="W565" i="4"/>
  <c r="W566" i="4"/>
  <c r="W567" i="4"/>
  <c r="W568" i="4"/>
  <c r="W569" i="4"/>
  <c r="W570" i="4"/>
  <c r="W571" i="4"/>
  <c r="W572" i="4"/>
  <c r="W573" i="4"/>
  <c r="W574" i="4"/>
  <c r="W575" i="4"/>
  <c r="W576" i="4"/>
  <c r="W577" i="4"/>
  <c r="W578" i="4"/>
  <c r="W579" i="4"/>
  <c r="W580" i="4"/>
  <c r="W581" i="4"/>
  <c r="W582" i="4"/>
  <c r="W583" i="4"/>
  <c r="W584" i="4"/>
  <c r="W585" i="4"/>
  <c r="W586" i="4"/>
  <c r="W587" i="4"/>
  <c r="W588" i="4"/>
  <c r="W589" i="4"/>
  <c r="W590" i="4"/>
  <c r="W591" i="4"/>
  <c r="W592" i="4"/>
  <c r="W593" i="4"/>
  <c r="W594" i="4"/>
  <c r="W595" i="4"/>
  <c r="W596" i="4"/>
  <c r="W597" i="4"/>
  <c r="W598" i="4"/>
  <c r="W599" i="4"/>
  <c r="W600" i="4"/>
  <c r="W601" i="4"/>
  <c r="W602" i="4"/>
  <c r="W603" i="4"/>
  <c r="W604" i="4"/>
  <c r="W605" i="4"/>
  <c r="W606" i="4"/>
  <c r="W607" i="4"/>
  <c r="W608" i="4"/>
  <c r="W609" i="4"/>
  <c r="W610" i="4"/>
  <c r="W611" i="4"/>
  <c r="W612" i="4"/>
  <c r="W613" i="4"/>
  <c r="W614" i="4"/>
  <c r="W615" i="4"/>
  <c r="W616" i="4"/>
  <c r="W617" i="4"/>
  <c r="W618" i="4"/>
  <c r="W619" i="4"/>
  <c r="W620" i="4"/>
  <c r="W621" i="4"/>
  <c r="W622" i="4"/>
  <c r="W623" i="4"/>
  <c r="W624" i="4"/>
  <c r="W625" i="4"/>
  <c r="W626" i="4"/>
  <c r="W627" i="4"/>
  <c r="W628" i="4"/>
  <c r="W629" i="4"/>
  <c r="W630" i="4"/>
  <c r="W631" i="4"/>
  <c r="W632" i="4"/>
  <c r="W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80" i="4"/>
  <c r="B481" i="4"/>
  <c r="B482" i="4"/>
  <c r="B483" i="4"/>
  <c r="B484" i="4"/>
  <c r="B485" i="4"/>
  <c r="B486" i="4"/>
  <c r="B487" i="4"/>
  <c r="B488" i="4"/>
  <c r="B489" i="4"/>
  <c r="B490" i="4"/>
  <c r="B491" i="4"/>
  <c r="B492" i="4"/>
  <c r="B493" i="4"/>
  <c r="B494" i="4"/>
  <c r="B495" i="4"/>
  <c r="B496" i="4"/>
  <c r="B497" i="4"/>
  <c r="B498" i="4"/>
  <c r="B499" i="4"/>
  <c r="B500" i="4"/>
  <c r="B501" i="4"/>
  <c r="B502" i="4"/>
  <c r="B503" i="4"/>
  <c r="B504" i="4"/>
  <c r="B505" i="4"/>
  <c r="B506" i="4"/>
  <c r="B507" i="4"/>
  <c r="B508" i="4"/>
  <c r="B509" i="4"/>
  <c r="B510" i="4"/>
  <c r="B511" i="4"/>
  <c r="B512" i="4"/>
  <c r="B513" i="4"/>
  <c r="B514" i="4"/>
  <c r="B515" i="4"/>
  <c r="B516" i="4"/>
  <c r="B517" i="4"/>
  <c r="B518" i="4"/>
  <c r="B519" i="4"/>
  <c r="B520" i="4"/>
  <c r="B521" i="4"/>
  <c r="B522" i="4"/>
  <c r="B523" i="4"/>
  <c r="B524" i="4"/>
  <c r="B525" i="4"/>
  <c r="B526" i="4"/>
  <c r="B527" i="4"/>
  <c r="B528" i="4"/>
  <c r="B529" i="4"/>
  <c r="B530" i="4"/>
  <c r="B531" i="4"/>
  <c r="B532" i="4"/>
  <c r="B533" i="4"/>
  <c r="B534" i="4"/>
  <c r="B535" i="4"/>
  <c r="B536" i="4"/>
  <c r="B537" i="4"/>
  <c r="B538" i="4"/>
  <c r="B539" i="4"/>
  <c r="B540" i="4"/>
  <c r="B541" i="4"/>
  <c r="B542" i="4"/>
  <c r="B543" i="4"/>
  <c r="B544" i="4"/>
  <c r="B545" i="4"/>
  <c r="B546" i="4"/>
  <c r="B547" i="4"/>
  <c r="B548" i="4"/>
  <c r="B549" i="4"/>
  <c r="B550" i="4"/>
  <c r="B551" i="4"/>
  <c r="B552" i="4"/>
  <c r="B553" i="4"/>
  <c r="B554" i="4"/>
  <c r="B555" i="4"/>
  <c r="B556" i="4"/>
  <c r="B557" i="4"/>
  <c r="B558" i="4"/>
  <c r="B559" i="4"/>
  <c r="B560" i="4"/>
  <c r="B561" i="4"/>
  <c r="B562" i="4"/>
  <c r="B563" i="4"/>
  <c r="B564" i="4"/>
  <c r="B565" i="4"/>
  <c r="B566" i="4"/>
  <c r="B567" i="4"/>
  <c r="B568" i="4"/>
  <c r="B569" i="4"/>
  <c r="B570" i="4"/>
  <c r="B571" i="4"/>
  <c r="B572" i="4"/>
  <c r="B573" i="4"/>
  <c r="B574" i="4"/>
  <c r="B575" i="4"/>
  <c r="B576" i="4"/>
  <c r="B577" i="4"/>
  <c r="B578" i="4"/>
  <c r="B579" i="4"/>
  <c r="B580" i="4"/>
  <c r="B581" i="4"/>
  <c r="B582" i="4"/>
  <c r="B583" i="4"/>
  <c r="B584" i="4"/>
  <c r="B585" i="4"/>
  <c r="B586" i="4"/>
  <c r="B587" i="4"/>
  <c r="B588" i="4"/>
  <c r="B589" i="4"/>
  <c r="B590" i="4"/>
  <c r="B591" i="4"/>
  <c r="B592" i="4"/>
  <c r="B593" i="4"/>
  <c r="B594" i="4"/>
  <c r="B595" i="4"/>
  <c r="B596" i="4"/>
  <c r="B597" i="4"/>
  <c r="B598" i="4"/>
  <c r="B599" i="4"/>
  <c r="B600" i="4"/>
  <c r="B601" i="4"/>
  <c r="B602" i="4"/>
  <c r="B603" i="4"/>
  <c r="B604" i="4"/>
  <c r="B605" i="4"/>
  <c r="B606" i="4"/>
  <c r="B607" i="4"/>
  <c r="B608" i="4"/>
  <c r="B609" i="4"/>
  <c r="B610" i="4"/>
  <c r="B611" i="4"/>
  <c r="B612" i="4"/>
  <c r="B613" i="4"/>
  <c r="B614" i="4"/>
  <c r="B615" i="4"/>
  <c r="B616" i="4"/>
  <c r="B617" i="4"/>
  <c r="B618" i="4"/>
  <c r="B619" i="4"/>
  <c r="B620" i="4"/>
  <c r="B621" i="4"/>
  <c r="B622" i="4"/>
  <c r="B623" i="4"/>
  <c r="B624" i="4"/>
  <c r="B625" i="4"/>
  <c r="B626" i="4"/>
  <c r="B627" i="4"/>
  <c r="B628" i="4"/>
  <c r="B629" i="4"/>
  <c r="B630" i="4"/>
  <c r="B631" i="4"/>
  <c r="B632" i="4"/>
  <c r="B2" i="4"/>
  <c r="F2" i="20" l="1"/>
  <c r="L3" i="20"/>
  <c r="J193" i="20"/>
  <c r="J578" i="20"/>
  <c r="J506" i="20"/>
  <c r="J399" i="20"/>
  <c r="J321" i="20"/>
  <c r="J72" i="20"/>
  <c r="J621" i="20"/>
  <c r="J607" i="20"/>
  <c r="J592" i="20"/>
  <c r="J577" i="20"/>
  <c r="J565" i="20"/>
  <c r="J550" i="20"/>
  <c r="J535" i="20"/>
  <c r="J521" i="20"/>
  <c r="J504" i="20"/>
  <c r="J487" i="20"/>
  <c r="J471" i="20"/>
  <c r="J454" i="20"/>
  <c r="J434" i="20"/>
  <c r="J416" i="20"/>
  <c r="J393" i="20"/>
  <c r="J369" i="20"/>
  <c r="J343" i="20"/>
  <c r="J319" i="20"/>
  <c r="J290" i="20"/>
  <c r="J265" i="20"/>
  <c r="J241" i="20"/>
  <c r="J215" i="20"/>
  <c r="J186" i="20"/>
  <c r="J153" i="20"/>
  <c r="J112" i="20"/>
  <c r="J66" i="20"/>
  <c r="J536" i="20"/>
  <c r="J472" i="20"/>
  <c r="J370" i="20"/>
  <c r="J295" i="20"/>
  <c r="J242" i="20"/>
  <c r="J632" i="20"/>
  <c r="J618" i="20"/>
  <c r="J606" i="20"/>
  <c r="J590" i="20"/>
  <c r="J576" i="20"/>
  <c r="J562" i="20"/>
  <c r="J546" i="20"/>
  <c r="J534" i="20"/>
  <c r="J520" i="20"/>
  <c r="J502" i="20"/>
  <c r="J486" i="20"/>
  <c r="J470" i="20"/>
  <c r="J449" i="20"/>
  <c r="J433" i="20"/>
  <c r="J415" i="20"/>
  <c r="J391" i="20"/>
  <c r="J367" i="20"/>
  <c r="J338" i="20"/>
  <c r="J313" i="20"/>
  <c r="J289" i="20"/>
  <c r="J263" i="20"/>
  <c r="J239" i="20"/>
  <c r="J210" i="20"/>
  <c r="J184" i="20"/>
  <c r="J152" i="20"/>
  <c r="J106" i="20"/>
  <c r="J56" i="20"/>
  <c r="J631" i="20"/>
  <c r="J617" i="20"/>
  <c r="J602" i="20"/>
  <c r="J589" i="20"/>
  <c r="J575" i="20"/>
  <c r="J560" i="20"/>
  <c r="J545" i="20"/>
  <c r="J533" i="20"/>
  <c r="J518" i="20"/>
  <c r="J498" i="20"/>
  <c r="J482" i="20"/>
  <c r="J465" i="20"/>
  <c r="J448" i="20"/>
  <c r="J432" i="20"/>
  <c r="J409" i="20"/>
  <c r="J386" i="20"/>
  <c r="J361" i="20"/>
  <c r="J337" i="20"/>
  <c r="J311" i="20"/>
  <c r="J287" i="20"/>
  <c r="J258" i="20"/>
  <c r="J233" i="20"/>
  <c r="J209" i="20"/>
  <c r="J177" i="20"/>
  <c r="J138" i="20"/>
  <c r="J97" i="20"/>
  <c r="J49" i="20"/>
  <c r="J608" i="20"/>
  <c r="J552" i="20"/>
  <c r="J438" i="20"/>
  <c r="J154" i="20"/>
  <c r="J630" i="20"/>
  <c r="J616" i="20"/>
  <c r="J600" i="20"/>
  <c r="J586" i="20"/>
  <c r="J574" i="20"/>
  <c r="J558" i="20"/>
  <c r="J544" i="20"/>
  <c r="J530" i="20"/>
  <c r="J513" i="20"/>
  <c r="J497" i="20"/>
  <c r="J481" i="20"/>
  <c r="J463" i="20"/>
  <c r="J447" i="20"/>
  <c r="J431" i="20"/>
  <c r="J407" i="20"/>
  <c r="J385" i="20"/>
  <c r="J359" i="20"/>
  <c r="J335" i="20"/>
  <c r="J306" i="20"/>
  <c r="J281" i="20"/>
  <c r="J257" i="20"/>
  <c r="J231" i="20"/>
  <c r="J207" i="20"/>
  <c r="J176" i="20"/>
  <c r="J136" i="20"/>
  <c r="J90" i="20"/>
  <c r="J48" i="20"/>
  <c r="J622" i="20"/>
  <c r="J488" i="20"/>
  <c r="J113" i="20"/>
  <c r="J629" i="20"/>
  <c r="J614" i="20"/>
  <c r="J599" i="20"/>
  <c r="J585" i="20"/>
  <c r="J570" i="20"/>
  <c r="J557" i="20"/>
  <c r="J543" i="20"/>
  <c r="J528" i="20"/>
  <c r="J512" i="20"/>
  <c r="J496" i="20"/>
  <c r="J479" i="20"/>
  <c r="J462" i="20"/>
  <c r="J446" i="20"/>
  <c r="J425" i="20"/>
  <c r="J402" i="20"/>
  <c r="J383" i="20"/>
  <c r="J354" i="20"/>
  <c r="J329" i="20"/>
  <c r="J305" i="20"/>
  <c r="J279" i="20"/>
  <c r="J255" i="20"/>
  <c r="J226" i="20"/>
  <c r="J201" i="20"/>
  <c r="J170" i="20"/>
  <c r="J130" i="20"/>
  <c r="J89" i="20"/>
  <c r="J33" i="20"/>
  <c r="J594" i="20"/>
  <c r="J522" i="20"/>
  <c r="J456" i="20"/>
  <c r="J345" i="20"/>
  <c r="J271" i="20"/>
  <c r="J626" i="20"/>
  <c r="J610" i="20"/>
  <c r="J598" i="20"/>
  <c r="J584" i="20"/>
  <c r="J568" i="20"/>
  <c r="J554" i="20"/>
  <c r="J542" i="20"/>
  <c r="J526" i="20"/>
  <c r="J511" i="20"/>
  <c r="J495" i="20"/>
  <c r="J474" i="20"/>
  <c r="J458" i="20"/>
  <c r="J442" i="20"/>
  <c r="J423" i="20"/>
  <c r="J401" i="20"/>
  <c r="J377" i="20"/>
  <c r="J353" i="20"/>
  <c r="J327" i="20"/>
  <c r="J303" i="20"/>
  <c r="J274" i="20"/>
  <c r="J249" i="20"/>
  <c r="J225" i="20"/>
  <c r="J199" i="20"/>
  <c r="J168" i="20"/>
  <c r="J129" i="20"/>
  <c r="J88" i="20"/>
  <c r="J26" i="20"/>
  <c r="J566" i="20"/>
  <c r="J417" i="20"/>
  <c r="J217" i="20"/>
  <c r="J624" i="20"/>
  <c r="J609" i="20"/>
  <c r="J597" i="20"/>
  <c r="J582" i="20"/>
  <c r="J567" i="20"/>
  <c r="J553" i="20"/>
  <c r="J538" i="20"/>
  <c r="J525" i="20"/>
  <c r="J510" i="20"/>
  <c r="J490" i="20"/>
  <c r="J473" i="20"/>
  <c r="J457" i="20"/>
  <c r="J440" i="20"/>
  <c r="J418" i="20"/>
  <c r="J400" i="20"/>
  <c r="J375" i="20"/>
  <c r="J351" i="20"/>
  <c r="J322" i="20"/>
  <c r="J297" i="20"/>
  <c r="J273" i="20"/>
  <c r="J247" i="20"/>
  <c r="J223" i="20"/>
  <c r="J194" i="20"/>
  <c r="J161" i="20"/>
  <c r="J120" i="20"/>
  <c r="J74" i="20"/>
  <c r="J10" i="20"/>
  <c r="J25" i="20"/>
  <c r="J65" i="20"/>
  <c r="J42" i="20"/>
  <c r="J24" i="20"/>
  <c r="J384" i="20"/>
  <c r="J368" i="20"/>
  <c r="J352" i="20"/>
  <c r="J336" i="20"/>
  <c r="J320" i="20"/>
  <c r="J304" i="20"/>
  <c r="J288" i="20"/>
  <c r="J272" i="20"/>
  <c r="J256" i="20"/>
  <c r="J240" i="20"/>
  <c r="J224" i="20"/>
  <c r="J208" i="20"/>
  <c r="J192" i="20"/>
  <c r="J169" i="20"/>
  <c r="J146" i="20"/>
  <c r="J128" i="20"/>
  <c r="J105" i="20"/>
  <c r="J82" i="20"/>
  <c r="J64" i="20"/>
  <c r="J41" i="20"/>
  <c r="J18" i="20"/>
  <c r="J145" i="20"/>
  <c r="J122" i="20"/>
  <c r="J104" i="20"/>
  <c r="J81" i="20"/>
  <c r="J58" i="20"/>
  <c r="J40" i="20"/>
  <c r="J17" i="20"/>
  <c r="J625" i="20"/>
  <c r="J615" i="20"/>
  <c r="J605" i="20"/>
  <c r="J593" i="20"/>
  <c r="J583" i="20"/>
  <c r="J573" i="20"/>
  <c r="J561" i="20"/>
  <c r="J551" i="20"/>
  <c r="J541" i="20"/>
  <c r="J529" i="20"/>
  <c r="J519" i="20"/>
  <c r="J505" i="20"/>
  <c r="J494" i="20"/>
  <c r="J480" i="20"/>
  <c r="J466" i="20"/>
  <c r="J455" i="20"/>
  <c r="J441" i="20"/>
  <c r="J426" i="20"/>
  <c r="J410" i="20"/>
  <c r="J394" i="20"/>
  <c r="J378" i="20"/>
  <c r="J362" i="20"/>
  <c r="J346" i="20"/>
  <c r="J330" i="20"/>
  <c r="J314" i="20"/>
  <c r="J298" i="20"/>
  <c r="J282" i="20"/>
  <c r="J266" i="20"/>
  <c r="J250" i="20"/>
  <c r="J234" i="20"/>
  <c r="J218" i="20"/>
  <c r="J202" i="20"/>
  <c r="J185" i="20"/>
  <c r="J162" i="20"/>
  <c r="J144" i="20"/>
  <c r="J121" i="20"/>
  <c r="J98" i="20"/>
  <c r="J80" i="20"/>
  <c r="J57" i="20"/>
  <c r="J34" i="20"/>
  <c r="J16" i="20"/>
  <c r="J2" i="20"/>
  <c r="J623" i="20"/>
  <c r="J613" i="20"/>
  <c r="J601" i="20"/>
  <c r="J591" i="20"/>
  <c r="J581" i="20"/>
  <c r="J569" i="20"/>
  <c r="J559" i="20"/>
  <c r="J549" i="20"/>
  <c r="J537" i="20"/>
  <c r="J527" i="20"/>
  <c r="J514" i="20"/>
  <c r="J503" i="20"/>
  <c r="J489" i="20"/>
  <c r="J478" i="20"/>
  <c r="J464" i="20"/>
  <c r="J450" i="20"/>
  <c r="J439" i="20"/>
  <c r="J424" i="20"/>
  <c r="J408" i="20"/>
  <c r="J392" i="20"/>
  <c r="J376" i="20"/>
  <c r="J360" i="20"/>
  <c r="J344" i="20"/>
  <c r="J328" i="20"/>
  <c r="J312" i="20"/>
  <c r="J296" i="20"/>
  <c r="J280" i="20"/>
  <c r="J264" i="20"/>
  <c r="J248" i="20"/>
  <c r="J232" i="20"/>
  <c r="J216" i="20"/>
  <c r="J200" i="20"/>
  <c r="J178" i="20"/>
  <c r="J160" i="20"/>
  <c r="J137" i="20"/>
  <c r="J114" i="20"/>
  <c r="J96" i="20"/>
  <c r="J73" i="20"/>
  <c r="J50" i="20"/>
  <c r="J32" i="20"/>
  <c r="J9" i="20"/>
  <c r="J8" i="20"/>
  <c r="J191" i="20"/>
  <c r="J183" i="20"/>
  <c r="J175" i="20"/>
  <c r="J167" i="20"/>
  <c r="J159" i="20"/>
  <c r="J151" i="20"/>
  <c r="J143" i="20"/>
  <c r="J135" i="20"/>
  <c r="J127" i="20"/>
  <c r="J119" i="20"/>
  <c r="J111" i="20"/>
  <c r="J103" i="20"/>
  <c r="J95" i="20"/>
  <c r="J87" i="20"/>
  <c r="J79" i="20"/>
  <c r="J71" i="20"/>
  <c r="J63" i="20"/>
  <c r="J55" i="20"/>
  <c r="J47" i="20"/>
  <c r="J39" i="20"/>
  <c r="J31" i="20"/>
  <c r="J23" i="20"/>
  <c r="J15" i="20"/>
  <c r="J7" i="20"/>
  <c r="J430" i="20"/>
  <c r="J422" i="20"/>
  <c r="J414" i="20"/>
  <c r="J406" i="20"/>
  <c r="J398" i="20"/>
  <c r="J390" i="20"/>
  <c r="J382" i="20"/>
  <c r="J374" i="20"/>
  <c r="J366" i="20"/>
  <c r="J358" i="20"/>
  <c r="J350" i="20"/>
  <c r="J342" i="20"/>
  <c r="J334" i="20"/>
  <c r="J326" i="20"/>
  <c r="J318" i="20"/>
  <c r="J310" i="20"/>
  <c r="J302" i="20"/>
  <c r="J294" i="20"/>
  <c r="J286" i="20"/>
  <c r="J278" i="20"/>
  <c r="J270" i="20"/>
  <c r="J262" i="20"/>
  <c r="J254" i="20"/>
  <c r="J246" i="20"/>
  <c r="J238" i="20"/>
  <c r="J230" i="20"/>
  <c r="J222" i="20"/>
  <c r="J214" i="20"/>
  <c r="J206" i="20"/>
  <c r="J198" i="20"/>
  <c r="J190" i="20"/>
  <c r="J182" i="20"/>
  <c r="J174" i="20"/>
  <c r="J166" i="20"/>
  <c r="J158" i="20"/>
  <c r="J150" i="20"/>
  <c r="J142" i="20"/>
  <c r="J134" i="20"/>
  <c r="J126" i="20"/>
  <c r="J118" i="20"/>
  <c r="J110" i="20"/>
  <c r="J102" i="20"/>
  <c r="J94" i="20"/>
  <c r="J86" i="20"/>
  <c r="J78" i="20"/>
  <c r="J70" i="20"/>
  <c r="J62" i="20"/>
  <c r="J54" i="20"/>
  <c r="J46" i="20"/>
  <c r="J38" i="20"/>
  <c r="J30" i="20"/>
  <c r="J22" i="20"/>
  <c r="J14" i="20"/>
  <c r="J6" i="20"/>
  <c r="J517" i="20"/>
  <c r="J509" i="20"/>
  <c r="J501" i="20"/>
  <c r="J493" i="20"/>
  <c r="J485" i="20"/>
  <c r="J477" i="20"/>
  <c r="J469" i="20"/>
  <c r="J461" i="20"/>
  <c r="J453" i="20"/>
  <c r="J445" i="20"/>
  <c r="J437" i="20"/>
  <c r="J429" i="20"/>
  <c r="J421" i="20"/>
  <c r="J413" i="20"/>
  <c r="J405" i="20"/>
  <c r="J397" i="20"/>
  <c r="J389" i="20"/>
  <c r="J381" i="20"/>
  <c r="J373" i="20"/>
  <c r="J365" i="20"/>
  <c r="J357" i="20"/>
  <c r="J349" i="20"/>
  <c r="J341" i="20"/>
  <c r="J333" i="20"/>
  <c r="J325" i="20"/>
  <c r="J317" i="20"/>
  <c r="J309" i="20"/>
  <c r="J301" i="20"/>
  <c r="J293" i="20"/>
  <c r="J285" i="20"/>
  <c r="J277" i="20"/>
  <c r="J269" i="20"/>
  <c r="J261" i="20"/>
  <c r="J253" i="20"/>
  <c r="J245" i="20"/>
  <c r="J237" i="20"/>
  <c r="J229" i="20"/>
  <c r="J221" i="20"/>
  <c r="J213" i="20"/>
  <c r="J205" i="20"/>
  <c r="J197" i="20"/>
  <c r="J189" i="20"/>
  <c r="J181" i="20"/>
  <c r="J173" i="20"/>
  <c r="J165" i="20"/>
  <c r="J157" i="20"/>
  <c r="J149" i="20"/>
  <c r="J141" i="20"/>
  <c r="J133" i="20"/>
  <c r="J125" i="20"/>
  <c r="J117" i="20"/>
  <c r="J109" i="20"/>
  <c r="J101" i="20"/>
  <c r="J93" i="20"/>
  <c r="J85" i="20"/>
  <c r="J77" i="20"/>
  <c r="J69" i="20"/>
  <c r="J61" i="20"/>
  <c r="J53" i="20"/>
  <c r="J45" i="20"/>
  <c r="J37" i="20"/>
  <c r="J29" i="20"/>
  <c r="J21" i="20"/>
  <c r="J13" i="20"/>
  <c r="J5" i="20"/>
  <c r="J628" i="20"/>
  <c r="J620" i="20"/>
  <c r="J612" i="20"/>
  <c r="J604" i="20"/>
  <c r="J596" i="20"/>
  <c r="J588" i="20"/>
  <c r="J580" i="20"/>
  <c r="J572" i="20"/>
  <c r="J564" i="20"/>
  <c r="J556" i="20"/>
  <c r="J548" i="20"/>
  <c r="J540" i="20"/>
  <c r="J532" i="20"/>
  <c r="J524" i="20"/>
  <c r="J516" i="20"/>
  <c r="J508" i="20"/>
  <c r="J500" i="20"/>
  <c r="J492" i="20"/>
  <c r="J484" i="20"/>
  <c r="J476" i="20"/>
  <c r="J468" i="20"/>
  <c r="J460" i="20"/>
  <c r="J452" i="20"/>
  <c r="J444" i="20"/>
  <c r="J436" i="20"/>
  <c r="J428" i="20"/>
  <c r="J420" i="20"/>
  <c r="J412" i="20"/>
  <c r="J404" i="20"/>
  <c r="J396" i="20"/>
  <c r="J388" i="20"/>
  <c r="J380" i="20"/>
  <c r="J372" i="20"/>
  <c r="J364" i="20"/>
  <c r="J356" i="20"/>
  <c r="J348" i="20"/>
  <c r="J340" i="20"/>
  <c r="J332" i="20"/>
  <c r="J324" i="20"/>
  <c r="J316" i="20"/>
  <c r="J308" i="20"/>
  <c r="J300" i="20"/>
  <c r="J292" i="20"/>
  <c r="J284" i="20"/>
  <c r="J276" i="20"/>
  <c r="J268" i="20"/>
  <c r="J260" i="20"/>
  <c r="J252" i="20"/>
  <c r="J244" i="20"/>
  <c r="J236" i="20"/>
  <c r="J228" i="20"/>
  <c r="J220" i="20"/>
  <c r="J212" i="20"/>
  <c r="J204" i="20"/>
  <c r="J196" i="20"/>
  <c r="J188" i="20"/>
  <c r="J180" i="20"/>
  <c r="J172" i="20"/>
  <c r="J164" i="20"/>
  <c r="J156" i="20"/>
  <c r="J148" i="20"/>
  <c r="J140" i="20"/>
  <c r="J132" i="20"/>
  <c r="J124" i="20"/>
  <c r="J116" i="20"/>
  <c r="J108" i="20"/>
  <c r="J100" i="20"/>
  <c r="J92" i="20"/>
  <c r="J84" i="20"/>
  <c r="J76" i="20"/>
  <c r="J68" i="20"/>
  <c r="J60" i="20"/>
  <c r="J52" i="20"/>
  <c r="J44" i="20"/>
  <c r="J36" i="20"/>
  <c r="J28" i="20"/>
  <c r="J20" i="20"/>
  <c r="J12" i="20"/>
  <c r="J4" i="20"/>
  <c r="J627" i="20"/>
  <c r="J619" i="20"/>
  <c r="J611" i="20"/>
  <c r="J603" i="20"/>
  <c r="J595" i="20"/>
  <c r="J587" i="20"/>
  <c r="J579" i="20"/>
  <c r="J571" i="20"/>
  <c r="J563" i="20"/>
  <c r="J555" i="20"/>
  <c r="J547" i="20"/>
  <c r="J539" i="20"/>
  <c r="J531" i="20"/>
  <c r="J523" i="20"/>
  <c r="J515" i="20"/>
  <c r="J507" i="20"/>
  <c r="J499" i="20"/>
  <c r="J491" i="20"/>
  <c r="J483" i="20"/>
  <c r="J475" i="20"/>
  <c r="J467" i="20"/>
  <c r="J459" i="20"/>
  <c r="J451" i="20"/>
  <c r="J443" i="20"/>
  <c r="J435" i="20"/>
  <c r="J427" i="20"/>
  <c r="J419" i="20"/>
  <c r="J411" i="20"/>
  <c r="J403" i="20"/>
  <c r="J395" i="20"/>
  <c r="J387" i="20"/>
  <c r="J379" i="20"/>
  <c r="J371" i="20"/>
  <c r="J363" i="20"/>
  <c r="J355" i="20"/>
  <c r="J347" i="20"/>
  <c r="J339" i="20"/>
  <c r="J331" i="20"/>
  <c r="J323" i="20"/>
  <c r="J315" i="20"/>
  <c r="J307" i="20"/>
  <c r="J299" i="20"/>
  <c r="J291" i="20"/>
  <c r="J283" i="20"/>
  <c r="J275" i="20"/>
  <c r="J267" i="20"/>
  <c r="J259" i="20"/>
  <c r="J251" i="20"/>
  <c r="J243" i="20"/>
  <c r="J235" i="20"/>
  <c r="J227" i="20"/>
  <c r="J219" i="20"/>
  <c r="J211" i="20"/>
  <c r="J203" i="20"/>
  <c r="J195" i="20"/>
  <c r="J187" i="20"/>
  <c r="J179" i="20"/>
  <c r="J171" i="20"/>
  <c r="J163" i="20"/>
  <c r="J155" i="20"/>
  <c r="J147" i="20"/>
  <c r="J139" i="20"/>
  <c r="J131" i="20"/>
  <c r="J123" i="20"/>
  <c r="J115" i="20"/>
  <c r="J107" i="20"/>
  <c r="J99" i="20"/>
  <c r="J91" i="20"/>
  <c r="J83" i="20"/>
  <c r="J75" i="20"/>
  <c r="J67" i="20"/>
  <c r="J59" i="20"/>
  <c r="J51" i="20"/>
  <c r="J43" i="20"/>
  <c r="J35" i="20"/>
  <c r="J27" i="20"/>
  <c r="J19" i="20"/>
  <c r="J11" i="20"/>
  <c r="H584" i="20"/>
  <c r="H481" i="20"/>
  <c r="H364" i="20"/>
  <c r="H596" i="20"/>
  <c r="H502" i="20"/>
  <c r="H366" i="20"/>
  <c r="H631" i="20"/>
  <c r="H583" i="20"/>
  <c r="H466" i="20"/>
  <c r="H344" i="20"/>
  <c r="H628" i="20"/>
  <c r="H568" i="20"/>
  <c r="H446" i="20"/>
  <c r="H300" i="20"/>
  <c r="H621" i="20"/>
  <c r="H552" i="20"/>
  <c r="H444" i="20"/>
  <c r="H249" i="20"/>
  <c r="H618" i="20"/>
  <c r="H534" i="20"/>
  <c r="H428" i="20"/>
  <c r="H224" i="20"/>
  <c r="H613" i="20"/>
  <c r="H520" i="20"/>
  <c r="H404" i="20"/>
  <c r="H198" i="20"/>
  <c r="H602" i="20"/>
  <c r="H514" i="20"/>
  <c r="H382" i="20"/>
  <c r="H172" i="20"/>
  <c r="H612" i="20"/>
  <c r="H567" i="20"/>
  <c r="H500" i="20"/>
  <c r="H422" i="20"/>
  <c r="H342" i="20"/>
  <c r="H146" i="20"/>
  <c r="H605" i="20"/>
  <c r="H553" i="20"/>
  <c r="H482" i="20"/>
  <c r="H406" i="20"/>
  <c r="H320" i="20"/>
  <c r="H113" i="20"/>
  <c r="H76" i="20"/>
  <c r="H629" i="20"/>
  <c r="H600" i="20"/>
  <c r="H535" i="20"/>
  <c r="H468" i="20"/>
  <c r="H384" i="20"/>
  <c r="H274" i="20"/>
  <c r="H46" i="20"/>
  <c r="H326" i="20"/>
  <c r="H302" i="20"/>
  <c r="H276" i="20"/>
  <c r="H250" i="20"/>
  <c r="H225" i="20"/>
  <c r="H200" i="20"/>
  <c r="H174" i="20"/>
  <c r="H148" i="20"/>
  <c r="H114" i="20"/>
  <c r="H84" i="20"/>
  <c r="H49" i="20"/>
  <c r="H623" i="20"/>
  <c r="H610" i="20"/>
  <c r="H594" i="20"/>
  <c r="H582" i="20"/>
  <c r="H566" i="20"/>
  <c r="H546" i="20"/>
  <c r="H532" i="20"/>
  <c r="H513" i="20"/>
  <c r="H498" i="20"/>
  <c r="H480" i="20"/>
  <c r="H460" i="20"/>
  <c r="H442" i="20"/>
  <c r="H420" i="20"/>
  <c r="H402" i="20"/>
  <c r="H380" i="20"/>
  <c r="H358" i="20"/>
  <c r="H340" i="20"/>
  <c r="H318" i="20"/>
  <c r="H294" i="20"/>
  <c r="H268" i="20"/>
  <c r="H242" i="20"/>
  <c r="H217" i="20"/>
  <c r="H192" i="20"/>
  <c r="H166" i="20"/>
  <c r="H140" i="20"/>
  <c r="H110" i="20"/>
  <c r="H74" i="20"/>
  <c r="H38" i="20"/>
  <c r="H622" i="20"/>
  <c r="H609" i="20"/>
  <c r="H593" i="20"/>
  <c r="H577" i="20"/>
  <c r="H564" i="20"/>
  <c r="H545" i="20"/>
  <c r="H530" i="20"/>
  <c r="H512" i="20"/>
  <c r="H494" i="20"/>
  <c r="H479" i="20"/>
  <c r="H458" i="20"/>
  <c r="H441" i="20"/>
  <c r="H418" i="20"/>
  <c r="H396" i="20"/>
  <c r="H378" i="20"/>
  <c r="H356" i="20"/>
  <c r="H338" i="20"/>
  <c r="H316" i="20"/>
  <c r="H292" i="20"/>
  <c r="H266" i="20"/>
  <c r="H241" i="20"/>
  <c r="H216" i="20"/>
  <c r="H190" i="20"/>
  <c r="H164" i="20"/>
  <c r="H138" i="20"/>
  <c r="H102" i="20"/>
  <c r="H72" i="20"/>
  <c r="H34" i="20"/>
  <c r="H592" i="20"/>
  <c r="H576" i="20"/>
  <c r="H562" i="20"/>
  <c r="H544" i="20"/>
  <c r="H526" i="20"/>
  <c r="H511" i="20"/>
  <c r="H492" i="20"/>
  <c r="H478" i="20"/>
  <c r="H457" i="20"/>
  <c r="H434" i="20"/>
  <c r="H417" i="20"/>
  <c r="H394" i="20"/>
  <c r="H377" i="20"/>
  <c r="H354" i="20"/>
  <c r="H332" i="20"/>
  <c r="H314" i="20"/>
  <c r="H289" i="20"/>
  <c r="H264" i="20"/>
  <c r="H238" i="20"/>
  <c r="H212" i="20"/>
  <c r="H186" i="20"/>
  <c r="H161" i="20"/>
  <c r="H136" i="20"/>
  <c r="H100" i="20"/>
  <c r="H64" i="20"/>
  <c r="H32" i="20"/>
  <c r="H632" i="20"/>
  <c r="H620" i="20"/>
  <c r="H604" i="20"/>
  <c r="H591" i="20"/>
  <c r="H575" i="20"/>
  <c r="H558" i="20"/>
  <c r="H543" i="20"/>
  <c r="H524" i="20"/>
  <c r="H510" i="20"/>
  <c r="H490" i="20"/>
  <c r="H472" i="20"/>
  <c r="H456" i="20"/>
  <c r="H433" i="20"/>
  <c r="H416" i="20"/>
  <c r="H393" i="20"/>
  <c r="H370" i="20"/>
  <c r="H353" i="20"/>
  <c r="H330" i="20"/>
  <c r="H313" i="20"/>
  <c r="H288" i="20"/>
  <c r="H262" i="20"/>
  <c r="H236" i="20"/>
  <c r="H210" i="20"/>
  <c r="H185" i="20"/>
  <c r="H160" i="20"/>
  <c r="H128" i="20"/>
  <c r="H97" i="20"/>
  <c r="H62" i="20"/>
  <c r="H22" i="20"/>
  <c r="H586" i="20"/>
  <c r="H574" i="20"/>
  <c r="H556" i="20"/>
  <c r="H542" i="20"/>
  <c r="H522" i="20"/>
  <c r="H504" i="20"/>
  <c r="H489" i="20"/>
  <c r="H471" i="20"/>
  <c r="H454" i="20"/>
  <c r="H432" i="20"/>
  <c r="H409" i="20"/>
  <c r="H392" i="20"/>
  <c r="H369" i="20"/>
  <c r="H352" i="20"/>
  <c r="H329" i="20"/>
  <c r="H306" i="20"/>
  <c r="H281" i="20"/>
  <c r="H256" i="20"/>
  <c r="H230" i="20"/>
  <c r="H204" i="20"/>
  <c r="H178" i="20"/>
  <c r="H153" i="20"/>
  <c r="H126" i="20"/>
  <c r="H89" i="20"/>
  <c r="H58" i="20"/>
  <c r="H18" i="20"/>
  <c r="H630" i="20"/>
  <c r="H614" i="20"/>
  <c r="H601" i="20"/>
  <c r="H585" i="20"/>
  <c r="H573" i="20"/>
  <c r="H554" i="20"/>
  <c r="H536" i="20"/>
  <c r="H521" i="20"/>
  <c r="H503" i="20"/>
  <c r="H488" i="20"/>
  <c r="H470" i="20"/>
  <c r="H448" i="20"/>
  <c r="H430" i="20"/>
  <c r="H408" i="20"/>
  <c r="H390" i="20"/>
  <c r="H368" i="20"/>
  <c r="H345" i="20"/>
  <c r="H328" i="20"/>
  <c r="H305" i="20"/>
  <c r="H280" i="20"/>
  <c r="H254" i="20"/>
  <c r="H228" i="20"/>
  <c r="H202" i="20"/>
  <c r="H177" i="20"/>
  <c r="H152" i="20"/>
  <c r="H122" i="20"/>
  <c r="H88" i="20"/>
  <c r="H50" i="20"/>
  <c r="H16" i="20"/>
  <c r="H304" i="20"/>
  <c r="H290" i="20"/>
  <c r="H278" i="20"/>
  <c r="H265" i="20"/>
  <c r="H252" i="20"/>
  <c r="H240" i="20"/>
  <c r="H226" i="20"/>
  <c r="H214" i="20"/>
  <c r="H201" i="20"/>
  <c r="H188" i="20"/>
  <c r="H176" i="20"/>
  <c r="H162" i="20"/>
  <c r="H150" i="20"/>
  <c r="H137" i="20"/>
  <c r="H124" i="20"/>
  <c r="H112" i="20"/>
  <c r="H98" i="20"/>
  <c r="H86" i="20"/>
  <c r="H73" i="20"/>
  <c r="H60" i="20"/>
  <c r="H48" i="20"/>
  <c r="H33" i="20"/>
  <c r="H17" i="20"/>
  <c r="H134" i="20"/>
  <c r="H121" i="20"/>
  <c r="H108" i="20"/>
  <c r="H96" i="20"/>
  <c r="H82" i="20"/>
  <c r="H70" i="20"/>
  <c r="H57" i="20"/>
  <c r="H44" i="20"/>
  <c r="H30" i="20"/>
  <c r="H14" i="20"/>
  <c r="H626" i="20"/>
  <c r="H617" i="20"/>
  <c r="H608" i="20"/>
  <c r="H599" i="20"/>
  <c r="H590" i="20"/>
  <c r="H581" i="20"/>
  <c r="H572" i="20"/>
  <c r="H561" i="20"/>
  <c r="H551" i="20"/>
  <c r="H540" i="20"/>
  <c r="H529" i="20"/>
  <c r="H519" i="20"/>
  <c r="H508" i="20"/>
  <c r="H497" i="20"/>
  <c r="H487" i="20"/>
  <c r="H476" i="20"/>
  <c r="H465" i="20"/>
  <c r="H452" i="20"/>
  <c r="H440" i="20"/>
  <c r="H426" i="20"/>
  <c r="H414" i="20"/>
  <c r="H401" i="20"/>
  <c r="H388" i="20"/>
  <c r="H376" i="20"/>
  <c r="H362" i="20"/>
  <c r="H350" i="20"/>
  <c r="H337" i="20"/>
  <c r="H324" i="20"/>
  <c r="H312" i="20"/>
  <c r="H298" i="20"/>
  <c r="H286" i="20"/>
  <c r="H273" i="20"/>
  <c r="H260" i="20"/>
  <c r="H248" i="20"/>
  <c r="H234" i="20"/>
  <c r="H222" i="20"/>
  <c r="H209" i="20"/>
  <c r="H196" i="20"/>
  <c r="H184" i="20"/>
  <c r="H170" i="20"/>
  <c r="H158" i="20"/>
  <c r="H145" i="20"/>
  <c r="H132" i="20"/>
  <c r="H120" i="20"/>
  <c r="H106" i="20"/>
  <c r="H94" i="20"/>
  <c r="H81" i="20"/>
  <c r="H68" i="20"/>
  <c r="H56" i="20"/>
  <c r="H42" i="20"/>
  <c r="H26" i="20"/>
  <c r="H10" i="20"/>
  <c r="H625" i="20"/>
  <c r="H616" i="20"/>
  <c r="H607" i="20"/>
  <c r="H598" i="20"/>
  <c r="H589" i="20"/>
  <c r="H580" i="20"/>
  <c r="H570" i="20"/>
  <c r="H560" i="20"/>
  <c r="H550" i="20"/>
  <c r="H538" i="20"/>
  <c r="H528" i="20"/>
  <c r="H518" i="20"/>
  <c r="H506" i="20"/>
  <c r="H496" i="20"/>
  <c r="H486" i="20"/>
  <c r="H474" i="20"/>
  <c r="H464" i="20"/>
  <c r="H450" i="20"/>
  <c r="H438" i="20"/>
  <c r="H425" i="20"/>
  <c r="H412" i="20"/>
  <c r="H400" i="20"/>
  <c r="H386" i="20"/>
  <c r="H374" i="20"/>
  <c r="H361" i="20"/>
  <c r="H348" i="20"/>
  <c r="H336" i="20"/>
  <c r="H322" i="20"/>
  <c r="H310" i="20"/>
  <c r="H297" i="20"/>
  <c r="H284" i="20"/>
  <c r="H272" i="20"/>
  <c r="H258" i="20"/>
  <c r="H246" i="20"/>
  <c r="H233" i="20"/>
  <c r="H220" i="20"/>
  <c r="H208" i="20"/>
  <c r="H194" i="20"/>
  <c r="H182" i="20"/>
  <c r="H169" i="20"/>
  <c r="H156" i="20"/>
  <c r="H144" i="20"/>
  <c r="H130" i="20"/>
  <c r="H118" i="20"/>
  <c r="H105" i="20"/>
  <c r="H92" i="20"/>
  <c r="H80" i="20"/>
  <c r="H66" i="20"/>
  <c r="H54" i="20"/>
  <c r="H41" i="20"/>
  <c r="H25" i="20"/>
  <c r="H9" i="20"/>
  <c r="H2" i="20"/>
  <c r="H624" i="20"/>
  <c r="H615" i="20"/>
  <c r="H606" i="20"/>
  <c r="H597" i="20"/>
  <c r="H588" i="20"/>
  <c r="H578" i="20"/>
  <c r="H569" i="20"/>
  <c r="H559" i="20"/>
  <c r="H548" i="20"/>
  <c r="H537" i="20"/>
  <c r="H527" i="20"/>
  <c r="H516" i="20"/>
  <c r="H505" i="20"/>
  <c r="H495" i="20"/>
  <c r="H484" i="20"/>
  <c r="H473" i="20"/>
  <c r="H462" i="20"/>
  <c r="H449" i="20"/>
  <c r="H436" i="20"/>
  <c r="H424" i="20"/>
  <c r="H410" i="20"/>
  <c r="H398" i="20"/>
  <c r="H385" i="20"/>
  <c r="H372" i="20"/>
  <c r="H360" i="20"/>
  <c r="H346" i="20"/>
  <c r="H334" i="20"/>
  <c r="H321" i="20"/>
  <c r="H308" i="20"/>
  <c r="H296" i="20"/>
  <c r="H282" i="20"/>
  <c r="H270" i="20"/>
  <c r="H257" i="20"/>
  <c r="H244" i="20"/>
  <c r="H232" i="20"/>
  <c r="H218" i="20"/>
  <c r="H206" i="20"/>
  <c r="H193" i="20"/>
  <c r="H180" i="20"/>
  <c r="H168" i="20"/>
  <c r="H154" i="20"/>
  <c r="H142" i="20"/>
  <c r="H129" i="20"/>
  <c r="H116" i="20"/>
  <c r="H104" i="20"/>
  <c r="H90" i="20"/>
  <c r="H78" i="20"/>
  <c r="H65" i="20"/>
  <c r="H52" i="20"/>
  <c r="H40" i="20"/>
  <c r="H24" i="20"/>
  <c r="H6" i="20"/>
  <c r="H8" i="20"/>
  <c r="H463" i="20"/>
  <c r="H455" i="20"/>
  <c r="H447" i="20"/>
  <c r="H439" i="20"/>
  <c r="H431" i="20"/>
  <c r="H423" i="20"/>
  <c r="H415" i="20"/>
  <c r="H407" i="20"/>
  <c r="H399" i="20"/>
  <c r="H391" i="20"/>
  <c r="H383" i="20"/>
  <c r="H375" i="20"/>
  <c r="H367" i="20"/>
  <c r="H359" i="20"/>
  <c r="H351" i="20"/>
  <c r="H343" i="20"/>
  <c r="H335" i="20"/>
  <c r="H327" i="20"/>
  <c r="H319" i="20"/>
  <c r="H311" i="20"/>
  <c r="H303" i="20"/>
  <c r="H295" i="20"/>
  <c r="H287" i="20"/>
  <c r="H279" i="20"/>
  <c r="H271" i="20"/>
  <c r="H263" i="20"/>
  <c r="H255" i="20"/>
  <c r="H247" i="20"/>
  <c r="H239" i="20"/>
  <c r="H231" i="20"/>
  <c r="H223" i="20"/>
  <c r="H215" i="20"/>
  <c r="H207" i="20"/>
  <c r="H199" i="20"/>
  <c r="H191" i="20"/>
  <c r="H183" i="20"/>
  <c r="H175" i="20"/>
  <c r="H167" i="20"/>
  <c r="H159" i="20"/>
  <c r="H151" i="20"/>
  <c r="H143" i="20"/>
  <c r="H135" i="20"/>
  <c r="H127" i="20"/>
  <c r="H119" i="20"/>
  <c r="H111" i="20"/>
  <c r="H103" i="20"/>
  <c r="H95" i="20"/>
  <c r="H87" i="20"/>
  <c r="H79" i="20"/>
  <c r="H71" i="20"/>
  <c r="H63" i="20"/>
  <c r="H55" i="20"/>
  <c r="H47" i="20"/>
  <c r="H39" i="20"/>
  <c r="H31" i="20"/>
  <c r="H23" i="20"/>
  <c r="H15" i="20"/>
  <c r="H7" i="20"/>
  <c r="H565" i="20"/>
  <c r="H557" i="20"/>
  <c r="H549" i="20"/>
  <c r="H541" i="20"/>
  <c r="H533" i="20"/>
  <c r="H525" i="20"/>
  <c r="H517" i="20"/>
  <c r="H509" i="20"/>
  <c r="H501" i="20"/>
  <c r="H493" i="20"/>
  <c r="H485" i="20"/>
  <c r="H477" i="20"/>
  <c r="H469" i="20"/>
  <c r="H461" i="20"/>
  <c r="H453" i="20"/>
  <c r="H445" i="20"/>
  <c r="H437" i="20"/>
  <c r="H429" i="20"/>
  <c r="H421" i="20"/>
  <c r="H413" i="20"/>
  <c r="H405" i="20"/>
  <c r="H397" i="20"/>
  <c r="H389" i="20"/>
  <c r="H381" i="20"/>
  <c r="H373" i="20"/>
  <c r="H365" i="20"/>
  <c r="H357" i="20"/>
  <c r="H349" i="20"/>
  <c r="H341" i="20"/>
  <c r="H333" i="20"/>
  <c r="H325" i="20"/>
  <c r="H317" i="20"/>
  <c r="H309" i="20"/>
  <c r="H301" i="20"/>
  <c r="H293" i="20"/>
  <c r="H285" i="20"/>
  <c r="H277" i="20"/>
  <c r="H269" i="20"/>
  <c r="H261" i="20"/>
  <c r="H253" i="20"/>
  <c r="H245" i="20"/>
  <c r="H237" i="20"/>
  <c r="H229" i="20"/>
  <c r="H221" i="20"/>
  <c r="H213" i="20"/>
  <c r="H205" i="20"/>
  <c r="H197" i="20"/>
  <c r="H189" i="20"/>
  <c r="H181" i="20"/>
  <c r="H173" i="20"/>
  <c r="H165" i="20"/>
  <c r="H157" i="20"/>
  <c r="H149" i="20"/>
  <c r="H141" i="20"/>
  <c r="H133" i="20"/>
  <c r="H125" i="20"/>
  <c r="H117" i="20"/>
  <c r="H109" i="20"/>
  <c r="H101" i="20"/>
  <c r="H93" i="20"/>
  <c r="H85" i="20"/>
  <c r="H77" i="20"/>
  <c r="H69" i="20"/>
  <c r="H61" i="20"/>
  <c r="H53" i="20"/>
  <c r="H45" i="20"/>
  <c r="H37" i="20"/>
  <c r="H29" i="20"/>
  <c r="H21" i="20"/>
  <c r="H13" i="20"/>
  <c r="H5" i="20"/>
  <c r="H36" i="20"/>
  <c r="H28" i="20"/>
  <c r="H20" i="20"/>
  <c r="H12" i="20"/>
  <c r="H4" i="20"/>
  <c r="H627" i="20"/>
  <c r="H619" i="20"/>
  <c r="H611" i="20"/>
  <c r="H603" i="20"/>
  <c r="H595" i="20"/>
  <c r="H587" i="20"/>
  <c r="H579" i="20"/>
  <c r="H571" i="20"/>
  <c r="H563" i="20"/>
  <c r="H555" i="20"/>
  <c r="H547" i="20"/>
  <c r="H539" i="20"/>
  <c r="H531" i="20"/>
  <c r="H523" i="20"/>
  <c r="H515" i="20"/>
  <c r="H507" i="20"/>
  <c r="H499" i="20"/>
  <c r="H491" i="20"/>
  <c r="H483" i="20"/>
  <c r="H475" i="20"/>
  <c r="H467" i="20"/>
  <c r="H459" i="20"/>
  <c r="H451" i="20"/>
  <c r="H443" i="20"/>
  <c r="H435" i="20"/>
  <c r="H427" i="20"/>
  <c r="H419" i="20"/>
  <c r="H411" i="20"/>
  <c r="H403" i="20"/>
  <c r="H395" i="20"/>
  <c r="H387" i="20"/>
  <c r="H379" i="20"/>
  <c r="H371" i="20"/>
  <c r="H363" i="20"/>
  <c r="H355" i="20"/>
  <c r="H347" i="20"/>
  <c r="H339" i="20"/>
  <c r="H331" i="20"/>
  <c r="H323" i="20"/>
  <c r="H315" i="20"/>
  <c r="H307" i="20"/>
  <c r="H299" i="20"/>
  <c r="H291" i="20"/>
  <c r="H283" i="20"/>
  <c r="H275" i="20"/>
  <c r="H267" i="20"/>
  <c r="H259" i="20"/>
  <c r="H251" i="20"/>
  <c r="H243" i="20"/>
  <c r="H235" i="20"/>
  <c r="H227" i="20"/>
  <c r="H219" i="20"/>
  <c r="H211" i="20"/>
  <c r="H203" i="20"/>
  <c r="H195" i="20"/>
  <c r="H187" i="20"/>
  <c r="H179" i="20"/>
  <c r="H171" i="20"/>
  <c r="H163" i="20"/>
  <c r="H155" i="20"/>
  <c r="H147" i="20"/>
  <c r="H139" i="20"/>
  <c r="H131" i="20"/>
  <c r="H123" i="20"/>
  <c r="H115" i="20"/>
  <c r="H107" i="20"/>
  <c r="H99" i="20"/>
  <c r="H91" i="20"/>
  <c r="H83" i="20"/>
  <c r="H75" i="20"/>
  <c r="H67" i="20"/>
  <c r="H59" i="20"/>
  <c r="H51" i="20"/>
  <c r="H43" i="20"/>
  <c r="H35" i="20"/>
  <c r="H27" i="20"/>
  <c r="H19" i="20"/>
  <c r="H11" i="20"/>
  <c r="F506" i="20"/>
  <c r="F481" i="20"/>
  <c r="F449" i="20"/>
  <c r="F417" i="20"/>
  <c r="F613" i="20"/>
  <c r="F257" i="20"/>
  <c r="F601" i="20"/>
  <c r="L601" i="20" s="1"/>
  <c r="O601" i="20" s="1"/>
  <c r="F225" i="20"/>
  <c r="F587" i="20"/>
  <c r="F193" i="20"/>
  <c r="L193" i="20" s="1"/>
  <c r="O193" i="20" s="1"/>
  <c r="F574" i="20"/>
  <c r="F161" i="20"/>
  <c r="F562" i="20"/>
  <c r="F385" i="20"/>
  <c r="F129" i="20"/>
  <c r="F549" i="20"/>
  <c r="F353" i="20"/>
  <c r="F97" i="20"/>
  <c r="F537" i="20"/>
  <c r="F321" i="20"/>
  <c r="F65" i="20"/>
  <c r="F626" i="20"/>
  <c r="F522" i="20"/>
  <c r="F289" i="20"/>
  <c r="F33" i="20"/>
  <c r="F627" i="20"/>
  <c r="F614" i="20"/>
  <c r="L614" i="20" s="1"/>
  <c r="O614" i="20" s="1"/>
  <c r="F602" i="20"/>
  <c r="F589" i="20"/>
  <c r="F577" i="20"/>
  <c r="L577" i="20" s="1"/>
  <c r="O577" i="20" s="1"/>
  <c r="F563" i="20"/>
  <c r="F550" i="20"/>
  <c r="L550" i="20" s="1"/>
  <c r="O550" i="20" s="1"/>
  <c r="F538" i="20"/>
  <c r="F523" i="20"/>
  <c r="F507" i="20"/>
  <c r="F482" i="20"/>
  <c r="F450" i="20"/>
  <c r="F418" i="20"/>
  <c r="F386" i="20"/>
  <c r="F354" i="20"/>
  <c r="F322" i="20"/>
  <c r="L322" i="20" s="1"/>
  <c r="O322" i="20" s="1"/>
  <c r="F290" i="20"/>
  <c r="L290" i="20" s="1"/>
  <c r="F258" i="20"/>
  <c r="F226" i="20"/>
  <c r="F194" i="20"/>
  <c r="F162" i="20"/>
  <c r="F130" i="20"/>
  <c r="F98" i="20"/>
  <c r="F66" i="20"/>
  <c r="F34" i="20"/>
  <c r="L34" i="20" s="1"/>
  <c r="F625" i="20"/>
  <c r="F611" i="20"/>
  <c r="F598" i="20"/>
  <c r="F586" i="20"/>
  <c r="F573" i="20"/>
  <c r="F561" i="20"/>
  <c r="F547" i="20"/>
  <c r="F534" i="20"/>
  <c r="F521" i="20"/>
  <c r="F505" i="20"/>
  <c r="F474" i="20"/>
  <c r="F442" i="20"/>
  <c r="L442" i="20" s="1"/>
  <c r="O442" i="20" s="1"/>
  <c r="F410" i="20"/>
  <c r="F378" i="20"/>
  <c r="F346" i="20"/>
  <c r="L346" i="20" s="1"/>
  <c r="F314" i="20"/>
  <c r="F282" i="20"/>
  <c r="F250" i="20"/>
  <c r="F218" i="20"/>
  <c r="F186" i="20"/>
  <c r="F154" i="20"/>
  <c r="F122" i="20"/>
  <c r="F90" i="20"/>
  <c r="F58" i="20"/>
  <c r="F26" i="20"/>
  <c r="F622" i="20"/>
  <c r="F610" i="20"/>
  <c r="F597" i="20"/>
  <c r="F585" i="20"/>
  <c r="F571" i="20"/>
  <c r="F558" i="20"/>
  <c r="L558" i="20" s="1"/>
  <c r="O558" i="20" s="1"/>
  <c r="F546" i="20"/>
  <c r="F533" i="20"/>
  <c r="F517" i="20"/>
  <c r="F501" i="20"/>
  <c r="F473" i="20"/>
  <c r="F441" i="20"/>
  <c r="F409" i="20"/>
  <c r="F377" i="20"/>
  <c r="L377" i="20" s="1"/>
  <c r="O377" i="20" s="1"/>
  <c r="F345" i="20"/>
  <c r="F313" i="20"/>
  <c r="F281" i="20"/>
  <c r="F249" i="20"/>
  <c r="F217" i="20"/>
  <c r="F185" i="20"/>
  <c r="F153" i="20"/>
  <c r="F121" i="20"/>
  <c r="F89" i="20"/>
  <c r="F57" i="20"/>
  <c r="F25" i="20"/>
  <c r="F621" i="20"/>
  <c r="F609" i="20"/>
  <c r="F595" i="20"/>
  <c r="F582" i="20"/>
  <c r="F570" i="20"/>
  <c r="F557" i="20"/>
  <c r="L557" i="20" s="1"/>
  <c r="O557" i="20" s="1"/>
  <c r="F545" i="20"/>
  <c r="L545" i="20" s="1"/>
  <c r="O545" i="20" s="1"/>
  <c r="F531" i="20"/>
  <c r="F515" i="20"/>
  <c r="F498" i="20"/>
  <c r="L498" i="20" s="1"/>
  <c r="O498" i="20" s="1"/>
  <c r="F466" i="20"/>
  <c r="F434" i="20"/>
  <c r="F402" i="20"/>
  <c r="F370" i="20"/>
  <c r="L370" i="20" s="1"/>
  <c r="O370" i="20" s="1"/>
  <c r="F338" i="20"/>
  <c r="F306" i="20"/>
  <c r="F274" i="20"/>
  <c r="L274" i="20" s="1"/>
  <c r="O274" i="20" s="1"/>
  <c r="F242" i="20"/>
  <c r="F210" i="20"/>
  <c r="F178" i="20"/>
  <c r="F146" i="20"/>
  <c r="F114" i="20"/>
  <c r="F82" i="20"/>
  <c r="F50" i="20"/>
  <c r="F18" i="20"/>
  <c r="F619" i="20"/>
  <c r="F606" i="20"/>
  <c r="F594" i="20"/>
  <c r="F581" i="20"/>
  <c r="F569" i="20"/>
  <c r="F555" i="20"/>
  <c r="F542" i="20"/>
  <c r="F530" i="20"/>
  <c r="F514" i="20"/>
  <c r="F497" i="20"/>
  <c r="F465" i="20"/>
  <c r="F433" i="20"/>
  <c r="F401" i="20"/>
  <c r="F369" i="20"/>
  <c r="F337" i="20"/>
  <c r="F305" i="20"/>
  <c r="F273" i="20"/>
  <c r="F241" i="20"/>
  <c r="L241" i="20" s="1"/>
  <c r="F209" i="20"/>
  <c r="F177" i="20"/>
  <c r="F145" i="20"/>
  <c r="F113" i="20"/>
  <c r="F81" i="20"/>
  <c r="F49" i="20"/>
  <c r="F17" i="20"/>
  <c r="F630" i="20"/>
  <c r="F618" i="20"/>
  <c r="F605" i="20"/>
  <c r="F593" i="20"/>
  <c r="F579" i="20"/>
  <c r="F566" i="20"/>
  <c r="L566" i="20" s="1"/>
  <c r="O566" i="20" s="1"/>
  <c r="F554" i="20"/>
  <c r="F541" i="20"/>
  <c r="F529" i="20"/>
  <c r="F513" i="20"/>
  <c r="F490" i="20"/>
  <c r="F458" i="20"/>
  <c r="F426" i="20"/>
  <c r="L426" i="20" s="1"/>
  <c r="O426" i="20" s="1"/>
  <c r="F394" i="20"/>
  <c r="F362" i="20"/>
  <c r="F330" i="20"/>
  <c r="F298" i="20"/>
  <c r="F266" i="20"/>
  <c r="F234" i="20"/>
  <c r="F202" i="20"/>
  <c r="F170" i="20"/>
  <c r="F138" i="20"/>
  <c r="L138" i="20" s="1"/>
  <c r="O138" i="20" s="1"/>
  <c r="F106" i="20"/>
  <c r="F74" i="20"/>
  <c r="F42" i="20"/>
  <c r="F10" i="20"/>
  <c r="F629" i="20"/>
  <c r="F617" i="20"/>
  <c r="F603" i="20"/>
  <c r="F590" i="20"/>
  <c r="L590" i="20" s="1"/>
  <c r="O590" i="20" s="1"/>
  <c r="F578" i="20"/>
  <c r="L578" i="20" s="1"/>
  <c r="O578" i="20" s="1"/>
  <c r="F565" i="20"/>
  <c r="F553" i="20"/>
  <c r="F539" i="20"/>
  <c r="F525" i="20"/>
  <c r="F509" i="20"/>
  <c r="F489" i="20"/>
  <c r="F457" i="20"/>
  <c r="F425" i="20"/>
  <c r="F393" i="20"/>
  <c r="F361" i="20"/>
  <c r="F329" i="20"/>
  <c r="F297" i="20"/>
  <c r="F265" i="20"/>
  <c r="F233" i="20"/>
  <c r="F201" i="20"/>
  <c r="F169" i="20"/>
  <c r="F137" i="20"/>
  <c r="F105" i="20"/>
  <c r="L105" i="20" s="1"/>
  <c r="F73" i="20"/>
  <c r="F41" i="20"/>
  <c r="F9" i="20"/>
  <c r="F632" i="20"/>
  <c r="F624" i="20"/>
  <c r="F616" i="20"/>
  <c r="F608" i="20"/>
  <c r="F600" i="20"/>
  <c r="F592" i="20"/>
  <c r="F584" i="20"/>
  <c r="F576" i="20"/>
  <c r="F568" i="20"/>
  <c r="F560" i="20"/>
  <c r="F552" i="20"/>
  <c r="F544" i="20"/>
  <c r="F536" i="20"/>
  <c r="F528" i="20"/>
  <c r="F520" i="20"/>
  <c r="F512" i="20"/>
  <c r="F504" i="20"/>
  <c r="F496" i="20"/>
  <c r="F488" i="20"/>
  <c r="F480" i="20"/>
  <c r="F472" i="20"/>
  <c r="F464" i="20"/>
  <c r="F456" i="20"/>
  <c r="F448" i="20"/>
  <c r="F440" i="20"/>
  <c r="L440" i="20" s="1"/>
  <c r="O440" i="20" s="1"/>
  <c r="F432" i="20"/>
  <c r="F424" i="20"/>
  <c r="L424" i="20" s="1"/>
  <c r="O424" i="20" s="1"/>
  <c r="F416" i="20"/>
  <c r="F408" i="20"/>
  <c r="L408" i="20" s="1"/>
  <c r="F400" i="20"/>
  <c r="F392" i="20"/>
  <c r="F384" i="20"/>
  <c r="L384" i="20" s="1"/>
  <c r="O384" i="20" s="1"/>
  <c r="F376" i="20"/>
  <c r="F368" i="20"/>
  <c r="F360" i="20"/>
  <c r="F352" i="20"/>
  <c r="F344" i="20"/>
  <c r="F336" i="20"/>
  <c r="F328" i="20"/>
  <c r="F320" i="20"/>
  <c r="F312" i="20"/>
  <c r="F304" i="20"/>
  <c r="F296" i="20"/>
  <c r="L296" i="20" s="1"/>
  <c r="O296" i="20" s="1"/>
  <c r="F288" i="20"/>
  <c r="F280" i="20"/>
  <c r="L280" i="20" s="1"/>
  <c r="O280" i="20" s="1"/>
  <c r="F272" i="20"/>
  <c r="F264" i="20"/>
  <c r="F256" i="20"/>
  <c r="L256" i="20" s="1"/>
  <c r="F248" i="20"/>
  <c r="F240" i="20"/>
  <c r="F232" i="20"/>
  <c r="F224" i="20"/>
  <c r="F216" i="20"/>
  <c r="F208" i="20"/>
  <c r="F200" i="20"/>
  <c r="F192" i="20"/>
  <c r="L192" i="20" s="1"/>
  <c r="F184" i="20"/>
  <c r="F176" i="20"/>
  <c r="F168" i="20"/>
  <c r="F160" i="20"/>
  <c r="F152" i="20"/>
  <c r="F144" i="20"/>
  <c r="F136" i="20"/>
  <c r="F128" i="20"/>
  <c r="F120" i="20"/>
  <c r="F112" i="20"/>
  <c r="F104" i="20"/>
  <c r="L104" i="20" s="1"/>
  <c r="O104" i="20" s="1"/>
  <c r="F96" i="20"/>
  <c r="F88" i="20"/>
  <c r="F80" i="20"/>
  <c r="F72" i="20"/>
  <c r="F64" i="20"/>
  <c r="F56" i="20"/>
  <c r="L56" i="20" s="1"/>
  <c r="O56" i="20" s="1"/>
  <c r="F48" i="20"/>
  <c r="F40" i="20"/>
  <c r="F32" i="20"/>
  <c r="F24" i="20"/>
  <c r="F16" i="20"/>
  <c r="F8" i="20"/>
  <c r="F631" i="20"/>
  <c r="F623" i="20"/>
  <c r="F615" i="20"/>
  <c r="F607" i="20"/>
  <c r="F599" i="20"/>
  <c r="F591" i="20"/>
  <c r="F583" i="20"/>
  <c r="F575" i="20"/>
  <c r="F567" i="20"/>
  <c r="F559" i="20"/>
  <c r="F551" i="20"/>
  <c r="F543" i="20"/>
  <c r="F535" i="20"/>
  <c r="F527" i="20"/>
  <c r="F519" i="20"/>
  <c r="F511" i="20"/>
  <c r="F503" i="20"/>
  <c r="F495" i="20"/>
  <c r="F487" i="20"/>
  <c r="F479" i="20"/>
  <c r="F471" i="20"/>
  <c r="F463" i="20"/>
  <c r="L463" i="20" s="1"/>
  <c r="O463" i="20" s="1"/>
  <c r="F455" i="20"/>
  <c r="F447" i="20"/>
  <c r="F439" i="20"/>
  <c r="F431" i="20"/>
  <c r="F423" i="20"/>
  <c r="F415" i="20"/>
  <c r="F407" i="20"/>
  <c r="F399" i="20"/>
  <c r="F391" i="20"/>
  <c r="F383" i="20"/>
  <c r="F375" i="20"/>
  <c r="L375" i="20" s="1"/>
  <c r="O375" i="20" s="1"/>
  <c r="F367" i="20"/>
  <c r="F359" i="20"/>
  <c r="F351" i="20"/>
  <c r="F343" i="20"/>
  <c r="F335" i="20"/>
  <c r="F327" i="20"/>
  <c r="F319" i="20"/>
  <c r="F311" i="20"/>
  <c r="L311" i="20" s="1"/>
  <c r="F303" i="20"/>
  <c r="L303" i="20" s="1"/>
  <c r="O303" i="20" s="1"/>
  <c r="F295" i="20"/>
  <c r="F287" i="20"/>
  <c r="F279" i="20"/>
  <c r="F271" i="20"/>
  <c r="F263" i="20"/>
  <c r="F255" i="20"/>
  <c r="F247" i="20"/>
  <c r="F239" i="20"/>
  <c r="F231" i="20"/>
  <c r="F223" i="20"/>
  <c r="F215" i="20"/>
  <c r="F207" i="20"/>
  <c r="F199" i="20"/>
  <c r="F191" i="20"/>
  <c r="F183" i="20"/>
  <c r="F175" i="20"/>
  <c r="F167" i="20"/>
  <c r="F159" i="20"/>
  <c r="F151" i="20"/>
  <c r="F143" i="20"/>
  <c r="F135" i="20"/>
  <c r="F127" i="20"/>
  <c r="F119" i="20"/>
  <c r="F111" i="20"/>
  <c r="F103" i="20"/>
  <c r="F95" i="20"/>
  <c r="F87" i="20"/>
  <c r="F79" i="20"/>
  <c r="F71" i="20"/>
  <c r="F63" i="20"/>
  <c r="F55" i="20"/>
  <c r="F47" i="20"/>
  <c r="F39" i="20"/>
  <c r="F31" i="20"/>
  <c r="F23" i="20"/>
  <c r="F15" i="20"/>
  <c r="F7" i="20"/>
  <c r="F526" i="20"/>
  <c r="F518" i="20"/>
  <c r="F510" i="20"/>
  <c r="F502" i="20"/>
  <c r="F494" i="20"/>
  <c r="F486" i="20"/>
  <c r="F478" i="20"/>
  <c r="F470" i="20"/>
  <c r="F462" i="20"/>
  <c r="F454" i="20"/>
  <c r="F446" i="20"/>
  <c r="F438" i="20"/>
  <c r="F430" i="20"/>
  <c r="F422" i="20"/>
  <c r="F414" i="20"/>
  <c r="F406" i="20"/>
  <c r="F398" i="20"/>
  <c r="F390" i="20"/>
  <c r="F382" i="20"/>
  <c r="F374" i="20"/>
  <c r="F366" i="20"/>
  <c r="F358" i="20"/>
  <c r="F350" i="20"/>
  <c r="F342" i="20"/>
  <c r="F334" i="20"/>
  <c r="F326" i="20"/>
  <c r="F318" i="20"/>
  <c r="F310" i="20"/>
  <c r="F302" i="20"/>
  <c r="F294" i="20"/>
  <c r="F286" i="20"/>
  <c r="F278" i="20"/>
  <c r="F270" i="20"/>
  <c r="F262" i="20"/>
  <c r="F254" i="20"/>
  <c r="F246" i="20"/>
  <c r="F238" i="20"/>
  <c r="F230" i="20"/>
  <c r="F222" i="20"/>
  <c r="F214" i="20"/>
  <c r="F206" i="20"/>
  <c r="F198" i="20"/>
  <c r="F190" i="20"/>
  <c r="F182" i="20"/>
  <c r="F174" i="20"/>
  <c r="F166" i="20"/>
  <c r="F158" i="20"/>
  <c r="F150" i="20"/>
  <c r="F142" i="20"/>
  <c r="F134" i="20"/>
  <c r="F126" i="20"/>
  <c r="F118" i="20"/>
  <c r="F110" i="20"/>
  <c r="F102" i="20"/>
  <c r="F94" i="20"/>
  <c r="F86" i="20"/>
  <c r="F78" i="20"/>
  <c r="F70" i="20"/>
  <c r="F62" i="20"/>
  <c r="F54" i="20"/>
  <c r="F46" i="20"/>
  <c r="F38" i="20"/>
  <c r="F30" i="20"/>
  <c r="F22" i="20"/>
  <c r="F14" i="20"/>
  <c r="F6" i="20"/>
  <c r="F493" i="20"/>
  <c r="F485" i="20"/>
  <c r="F477" i="20"/>
  <c r="F469" i="20"/>
  <c r="F461" i="20"/>
  <c r="F453" i="20"/>
  <c r="F445" i="20"/>
  <c r="F437" i="20"/>
  <c r="L437" i="20" s="1"/>
  <c r="F429" i="20"/>
  <c r="F421" i="20"/>
  <c r="F413" i="20"/>
  <c r="F405" i="20"/>
  <c r="F397" i="20"/>
  <c r="F389" i="20"/>
  <c r="F381" i="20"/>
  <c r="F373" i="20"/>
  <c r="L373" i="20" s="1"/>
  <c r="F365" i="20"/>
  <c r="F357" i="20"/>
  <c r="F349" i="20"/>
  <c r="F341" i="20"/>
  <c r="F333" i="20"/>
  <c r="F325" i="20"/>
  <c r="F317" i="20"/>
  <c r="F309" i="20"/>
  <c r="L309" i="20" s="1"/>
  <c r="F301" i="20"/>
  <c r="F293" i="20"/>
  <c r="F285" i="20"/>
  <c r="F277" i="20"/>
  <c r="F269" i="20"/>
  <c r="F261" i="20"/>
  <c r="F253" i="20"/>
  <c r="F245" i="20"/>
  <c r="L245" i="20" s="1"/>
  <c r="F237" i="20"/>
  <c r="F229" i="20"/>
  <c r="F221" i="20"/>
  <c r="F213" i="20"/>
  <c r="F205" i="20"/>
  <c r="F197" i="20"/>
  <c r="F189" i="20"/>
  <c r="F181" i="20"/>
  <c r="L181" i="20" s="1"/>
  <c r="F173" i="20"/>
  <c r="F165" i="20"/>
  <c r="F157" i="20"/>
  <c r="F149" i="20"/>
  <c r="F141" i="20"/>
  <c r="F133" i="20"/>
  <c r="F125" i="20"/>
  <c r="F117" i="20"/>
  <c r="F109" i="20"/>
  <c r="F101" i="20"/>
  <c r="F93" i="20"/>
  <c r="F85" i="20"/>
  <c r="F77" i="20"/>
  <c r="F69" i="20"/>
  <c r="F61" i="20"/>
  <c r="F53" i="20"/>
  <c r="L53" i="20" s="1"/>
  <c r="F45" i="20"/>
  <c r="F37" i="20"/>
  <c r="F29" i="20"/>
  <c r="F21" i="20"/>
  <c r="F13" i="20"/>
  <c r="F5" i="20"/>
  <c r="F628" i="20"/>
  <c r="F620" i="20"/>
  <c r="L620" i="20" s="1"/>
  <c r="F612" i="20"/>
  <c r="F604" i="20"/>
  <c r="F596" i="20"/>
  <c r="F588" i="20"/>
  <c r="F580" i="20"/>
  <c r="F572" i="20"/>
  <c r="F564" i="20"/>
  <c r="F556" i="20"/>
  <c r="L556" i="20" s="1"/>
  <c r="O556" i="20" s="1"/>
  <c r="F548" i="20"/>
  <c r="F540" i="20"/>
  <c r="F532" i="20"/>
  <c r="F524" i="20"/>
  <c r="F516" i="20"/>
  <c r="F508" i="20"/>
  <c r="F500" i="20"/>
  <c r="F492" i="20"/>
  <c r="L492" i="20" s="1"/>
  <c r="F484" i="20"/>
  <c r="F476" i="20"/>
  <c r="F468" i="20"/>
  <c r="F460" i="20"/>
  <c r="F452" i="20"/>
  <c r="F444" i="20"/>
  <c r="F436" i="20"/>
  <c r="F428" i="20"/>
  <c r="L428" i="20" s="1"/>
  <c r="F420" i="20"/>
  <c r="F412" i="20"/>
  <c r="F404" i="20"/>
  <c r="F396" i="20"/>
  <c r="F388" i="20"/>
  <c r="F380" i="20"/>
  <c r="F372" i="20"/>
  <c r="F364" i="20"/>
  <c r="L364" i="20" s="1"/>
  <c r="F356" i="20"/>
  <c r="F348" i="20"/>
  <c r="F340" i="20"/>
  <c r="F332" i="20"/>
  <c r="F324" i="20"/>
  <c r="F316" i="20"/>
  <c r="F308" i="20"/>
  <c r="F300" i="20"/>
  <c r="L300" i="20" s="1"/>
  <c r="F292" i="20"/>
  <c r="F284" i="20"/>
  <c r="F276" i="20"/>
  <c r="F268" i="20"/>
  <c r="F260" i="20"/>
  <c r="F252" i="20"/>
  <c r="F244" i="20"/>
  <c r="F236" i="20"/>
  <c r="L236" i="20" s="1"/>
  <c r="F228" i="20"/>
  <c r="F220" i="20"/>
  <c r="F212" i="20"/>
  <c r="F204" i="20"/>
  <c r="F196" i="20"/>
  <c r="F188" i="20"/>
  <c r="F180" i="20"/>
  <c r="F172" i="20"/>
  <c r="L172" i="20" s="1"/>
  <c r="F164" i="20"/>
  <c r="F156" i="20"/>
  <c r="F148" i="20"/>
  <c r="F140" i="20"/>
  <c r="F132" i="20"/>
  <c r="F124" i="20"/>
  <c r="F116" i="20"/>
  <c r="F108" i="20"/>
  <c r="L108" i="20" s="1"/>
  <c r="F100" i="20"/>
  <c r="F92" i="20"/>
  <c r="F84" i="20"/>
  <c r="F76" i="20"/>
  <c r="F68" i="20"/>
  <c r="F60" i="20"/>
  <c r="F52" i="20"/>
  <c r="F44" i="20"/>
  <c r="L44" i="20" s="1"/>
  <c r="O44" i="20" s="1"/>
  <c r="F36" i="20"/>
  <c r="F28" i="20"/>
  <c r="F20" i="20"/>
  <c r="F12" i="20"/>
  <c r="F4" i="20"/>
  <c r="F499" i="20"/>
  <c r="F491" i="20"/>
  <c r="F483" i="20"/>
  <c r="L483" i="20" s="1"/>
  <c r="O483" i="20" s="1"/>
  <c r="F475" i="20"/>
  <c r="F467" i="20"/>
  <c r="F459" i="20"/>
  <c r="F451" i="20"/>
  <c r="F443" i="20"/>
  <c r="F435" i="20"/>
  <c r="F427" i="20"/>
  <c r="F419" i="20"/>
  <c r="L419" i="20" s="1"/>
  <c r="O419" i="20" s="1"/>
  <c r="F411" i="20"/>
  <c r="F403" i="20"/>
  <c r="F395" i="20"/>
  <c r="F387" i="20"/>
  <c r="F379" i="20"/>
  <c r="F371" i="20"/>
  <c r="F363" i="20"/>
  <c r="F355" i="20"/>
  <c r="L355" i="20" s="1"/>
  <c r="O355" i="20" s="1"/>
  <c r="F347" i="20"/>
  <c r="F339" i="20"/>
  <c r="F331" i="20"/>
  <c r="F323" i="20"/>
  <c r="F315" i="20"/>
  <c r="F307" i="20"/>
  <c r="F299" i="20"/>
  <c r="F291" i="20"/>
  <c r="L291" i="20" s="1"/>
  <c r="O291" i="20" s="1"/>
  <c r="F283" i="20"/>
  <c r="F275" i="20"/>
  <c r="F267" i="20"/>
  <c r="F259" i="20"/>
  <c r="F251" i="20"/>
  <c r="F243" i="20"/>
  <c r="F235" i="20"/>
  <c r="F227" i="20"/>
  <c r="L227" i="20" s="1"/>
  <c r="O227" i="20" s="1"/>
  <c r="F219" i="20"/>
  <c r="F211" i="20"/>
  <c r="F203" i="20"/>
  <c r="F195" i="20"/>
  <c r="F187" i="20"/>
  <c r="F179" i="20"/>
  <c r="F171" i="20"/>
  <c r="F163" i="20"/>
  <c r="L163" i="20" s="1"/>
  <c r="O163" i="20" s="1"/>
  <c r="F155" i="20"/>
  <c r="F147" i="20"/>
  <c r="F139" i="20"/>
  <c r="F131" i="20"/>
  <c r="F123" i="20"/>
  <c r="F115" i="20"/>
  <c r="F107" i="20"/>
  <c r="F99" i="20"/>
  <c r="L99" i="20" s="1"/>
  <c r="O99" i="20" s="1"/>
  <c r="F91" i="20"/>
  <c r="F83" i="20"/>
  <c r="F75" i="20"/>
  <c r="F67" i="20"/>
  <c r="F59" i="20"/>
  <c r="F51" i="20"/>
  <c r="F43" i="20"/>
  <c r="F35" i="20"/>
  <c r="L35" i="20" s="1"/>
  <c r="O35" i="20" s="1"/>
  <c r="F27" i="20"/>
  <c r="F19" i="20"/>
  <c r="F11" i="20"/>
  <c r="AJ31" i="5"/>
  <c r="AB627" i="5"/>
  <c r="AB217" i="5"/>
  <c r="AB611" i="5"/>
  <c r="AB577" i="5"/>
  <c r="AB459" i="5"/>
  <c r="AB555" i="5"/>
  <c r="AB10" i="5"/>
  <c r="AB106" i="5"/>
  <c r="AB178" i="5"/>
  <c r="AB314" i="5"/>
  <c r="AB370" i="5"/>
  <c r="AJ10" i="5"/>
  <c r="AB27" i="5"/>
  <c r="AB139" i="5"/>
  <c r="AB235" i="5"/>
  <c r="AB251" i="5"/>
  <c r="AB363" i="5"/>
  <c r="AB371" i="5"/>
  <c r="AB28" i="5"/>
  <c r="AB60" i="5"/>
  <c r="AB76" i="5"/>
  <c r="AB108" i="5"/>
  <c r="AB228" i="5"/>
  <c r="AB420" i="5"/>
  <c r="AB77" i="5"/>
  <c r="AB109" i="5"/>
  <c r="AB277" i="5"/>
  <c r="AB6" i="5"/>
  <c r="AB54" i="5"/>
  <c r="AB110" i="5"/>
  <c r="AB150" i="5"/>
  <c r="AB174" i="5"/>
  <c r="AB270" i="5"/>
  <c r="AB366" i="5"/>
  <c r="AB414" i="5"/>
  <c r="AB470" i="5"/>
  <c r="AB264" i="5"/>
  <c r="AB287" i="5"/>
  <c r="AB535" i="5"/>
  <c r="AB16" i="5"/>
  <c r="AB288" i="5"/>
  <c r="AB472" i="5"/>
  <c r="AB289" i="5"/>
  <c r="AB495" i="5"/>
  <c r="AB95" i="5"/>
  <c r="AB313" i="5"/>
  <c r="AB517" i="5"/>
  <c r="AJ28" i="5"/>
  <c r="AB385" i="5"/>
  <c r="AB456" i="5"/>
  <c r="AB175" i="5"/>
  <c r="AB239" i="5"/>
  <c r="AB373" i="5"/>
  <c r="AB553" i="5"/>
  <c r="AB539" i="5"/>
  <c r="AB613" i="5"/>
  <c r="AB281" i="5"/>
  <c r="AB327" i="5"/>
  <c r="AJ27" i="5"/>
  <c r="AB609" i="5"/>
  <c r="AJ16" i="5"/>
  <c r="AB549" i="5"/>
  <c r="AB592" i="5"/>
  <c r="AB436" i="5"/>
  <c r="AB58" i="5"/>
  <c r="AB98" i="5"/>
  <c r="AB274" i="5"/>
  <c r="AB290" i="5"/>
  <c r="AB306" i="5"/>
  <c r="AB378" i="5"/>
  <c r="AB562" i="5"/>
  <c r="AB11" i="5"/>
  <c r="AB59" i="5"/>
  <c r="AB275" i="5"/>
  <c r="AB12" i="5"/>
  <c r="AB164" i="5"/>
  <c r="AB212" i="5"/>
  <c r="AB252" i="5"/>
  <c r="AB380" i="5"/>
  <c r="AB21" i="5"/>
  <c r="AB205" i="5"/>
  <c r="AB285" i="5"/>
  <c r="AB293" i="5"/>
  <c r="AB30" i="5"/>
  <c r="AB238" i="5"/>
  <c r="AB326" i="5"/>
  <c r="AB334" i="5"/>
  <c r="AB502" i="5"/>
  <c r="AB518" i="5"/>
  <c r="AB582" i="5"/>
  <c r="AB15" i="5"/>
  <c r="AB41" i="5"/>
  <c r="AB424" i="5"/>
  <c r="AB247" i="5"/>
  <c r="AB461" i="5"/>
  <c r="AB207" i="5"/>
  <c r="AB63" i="5"/>
  <c r="AB121" i="5"/>
  <c r="AB453" i="5"/>
  <c r="AB32" i="5"/>
  <c r="AB96" i="5"/>
  <c r="AB444" i="5"/>
  <c r="AB508" i="5"/>
  <c r="AB488" i="5"/>
  <c r="AB541" i="5"/>
  <c r="AB615" i="5"/>
  <c r="AJ11" i="5"/>
  <c r="AB40" i="5"/>
  <c r="AB457" i="5"/>
  <c r="AB240" i="5"/>
  <c r="AB491" i="5"/>
  <c r="AB560" i="5"/>
  <c r="AJ21" i="5"/>
  <c r="AJ32" i="5"/>
  <c r="AJ12" i="5"/>
  <c r="AB304" i="5"/>
  <c r="AJ15" i="5"/>
  <c r="AB533" i="5"/>
  <c r="AJ30" i="5"/>
  <c r="AB18" i="5"/>
  <c r="AB90" i="5"/>
  <c r="AB322" i="5"/>
  <c r="AJ18" i="5"/>
  <c r="AB3" i="5"/>
  <c r="AB123" i="5"/>
  <c r="AB219" i="5"/>
  <c r="AB347" i="5"/>
  <c r="AB379" i="5"/>
  <c r="AB403" i="5"/>
  <c r="AB20" i="5"/>
  <c r="AB132" i="5"/>
  <c r="AB204" i="5"/>
  <c r="AB125" i="5"/>
  <c r="AB38" i="5"/>
  <c r="AB158" i="5"/>
  <c r="AB574" i="5"/>
  <c r="AB590" i="5"/>
  <c r="AB598" i="5"/>
  <c r="AB81" i="5"/>
  <c r="AB89" i="5"/>
  <c r="AB241" i="5"/>
  <c r="AB524" i="5"/>
  <c r="AB160" i="5"/>
  <c r="AB224" i="5"/>
  <c r="AB515" i="5"/>
  <c r="AB248" i="5"/>
  <c r="AB249" i="5"/>
  <c r="AB272" i="5"/>
  <c r="AB319" i="5"/>
  <c r="AB336" i="5"/>
  <c r="AB39" i="5"/>
  <c r="AB233" i="5"/>
  <c r="AB297" i="5"/>
  <c r="AB467" i="5"/>
  <c r="AB573" i="5"/>
  <c r="AJ20" i="5"/>
  <c r="AB129" i="5"/>
  <c r="AB152" i="5"/>
  <c r="AB193" i="5"/>
  <c r="AB341" i="5"/>
  <c r="AB389" i="5"/>
  <c r="AB579" i="5"/>
  <c r="AB630" i="5"/>
  <c r="AB153" i="5"/>
  <c r="AB569" i="5"/>
  <c r="AJ3" i="5"/>
  <c r="AB557" i="5"/>
  <c r="AB559" i="5"/>
  <c r="AB34" i="5"/>
  <c r="AB202" i="5"/>
  <c r="AB210" i="5"/>
  <c r="AB234" i="5"/>
  <c r="AB354" i="5"/>
  <c r="AB450" i="5"/>
  <c r="AB602" i="5"/>
  <c r="AJ34" i="5"/>
  <c r="AB211" i="5"/>
  <c r="AB267" i="5"/>
  <c r="AB387" i="5"/>
  <c r="AB44" i="5"/>
  <c r="AB68" i="5"/>
  <c r="AB116" i="5"/>
  <c r="AB140" i="5"/>
  <c r="AB356" i="5"/>
  <c r="AB364" i="5"/>
  <c r="AB388" i="5"/>
  <c r="AB412" i="5"/>
  <c r="AB69" i="5"/>
  <c r="AB173" i="5"/>
  <c r="AB229" i="5"/>
  <c r="AB118" i="5"/>
  <c r="AB206" i="5"/>
  <c r="AB222" i="5"/>
  <c r="AB246" i="5"/>
  <c r="AB342" i="5"/>
  <c r="AB390" i="5"/>
  <c r="AB550" i="5"/>
  <c r="AB558" i="5"/>
  <c r="AB177" i="5"/>
  <c r="AB481" i="5"/>
  <c r="AB503" i="5"/>
  <c r="AB201" i="5"/>
  <c r="AB504" i="5"/>
  <c r="AB527" i="5"/>
  <c r="AB548" i="5"/>
  <c r="AB185" i="5"/>
  <c r="AB367" i="5"/>
  <c r="AB383" i="5"/>
  <c r="AB496" i="5"/>
  <c r="AB507" i="5"/>
  <c r="AB127" i="5"/>
  <c r="AB368" i="5"/>
  <c r="AB384" i="5"/>
  <c r="AB465" i="5"/>
  <c r="AB540" i="5"/>
  <c r="AB623" i="5"/>
  <c r="AB320" i="5"/>
  <c r="AB417" i="5"/>
  <c r="AB477" i="5"/>
  <c r="AB421" i="5"/>
  <c r="AB625" i="5"/>
  <c r="AB597" i="5"/>
  <c r="AB628" i="5"/>
  <c r="AB79" i="5"/>
  <c r="AB501" i="5"/>
  <c r="AB599" i="5"/>
  <c r="AB567" i="5"/>
  <c r="AB525" i="5"/>
  <c r="AB114" i="5"/>
  <c r="AB154" i="5"/>
  <c r="AB162" i="5"/>
  <c r="AB258" i="5"/>
  <c r="AB330" i="5"/>
  <c r="AB402" i="5"/>
  <c r="AB578" i="5"/>
  <c r="AB586" i="5"/>
  <c r="AJ2" i="5"/>
  <c r="AB35" i="5"/>
  <c r="AB283" i="5"/>
  <c r="AB435" i="5"/>
  <c r="AB156" i="5"/>
  <c r="AB340" i="5"/>
  <c r="AB117" i="5"/>
  <c r="AB269" i="5"/>
  <c r="AB142" i="5"/>
  <c r="AB166" i="5"/>
  <c r="AB190" i="5"/>
  <c r="AB230" i="5"/>
  <c r="AB318" i="5"/>
  <c r="AB430" i="5"/>
  <c r="AB462" i="5"/>
  <c r="AB49" i="5"/>
  <c r="AB136" i="5"/>
  <c r="AB492" i="5"/>
  <c r="AB361" i="5"/>
  <c r="AB377" i="5"/>
  <c r="AB24" i="5"/>
  <c r="AB56" i="5"/>
  <c r="AB429" i="5"/>
  <c r="AB529" i="5"/>
  <c r="AB401" i="5"/>
  <c r="AB445" i="5"/>
  <c r="AB563" i="5"/>
  <c r="AB104" i="5"/>
  <c r="AB216" i="5"/>
  <c r="AB544" i="5"/>
  <c r="AB547" i="5"/>
  <c r="AJ35" i="5"/>
  <c r="AJ24" i="5"/>
  <c r="AB603" i="5"/>
  <c r="AB589" i="5"/>
  <c r="AB608" i="5"/>
  <c r="AB591" i="5"/>
  <c r="AB622" i="5"/>
  <c r="AB536" i="5"/>
  <c r="AA27" i="5" a="1"/>
  <c r="AA27" i="5" s="1"/>
  <c r="AB42" i="5"/>
  <c r="AB50" i="5"/>
  <c r="AB66" i="5"/>
  <c r="AB122" i="5"/>
  <c r="AB338" i="5"/>
  <c r="AB482" i="5"/>
  <c r="AB107" i="5"/>
  <c r="AB131" i="5"/>
  <c r="AB147" i="5"/>
  <c r="AB227" i="5"/>
  <c r="AB299" i="5"/>
  <c r="AB395" i="5"/>
  <c r="AB427" i="5"/>
  <c r="AB52" i="5"/>
  <c r="AB188" i="5"/>
  <c r="AB244" i="5"/>
  <c r="AB372" i="5"/>
  <c r="AB13" i="5"/>
  <c r="AB101" i="5"/>
  <c r="AB157" i="5"/>
  <c r="AB189" i="5"/>
  <c r="AB198" i="5"/>
  <c r="AB278" i="5"/>
  <c r="AB310" i="5"/>
  <c r="AB406" i="5"/>
  <c r="AB446" i="5"/>
  <c r="AB454" i="5"/>
  <c r="AB25" i="5"/>
  <c r="AB97" i="5"/>
  <c r="AB105" i="5"/>
  <c r="AB8" i="5"/>
  <c r="AB344" i="5"/>
  <c r="AB408" i="5"/>
  <c r="AB311" i="5"/>
  <c r="AB483" i="5"/>
  <c r="AB161" i="5"/>
  <c r="AB312" i="5"/>
  <c r="AB464" i="5"/>
  <c r="AB64" i="5"/>
  <c r="AB519" i="5"/>
  <c r="AB572" i="5"/>
  <c r="AB604" i="5"/>
  <c r="AB303" i="5"/>
  <c r="AB433" i="5"/>
  <c r="AB511" i="5"/>
  <c r="AB575" i="5"/>
  <c r="AB596" i="5"/>
  <c r="AB407" i="5"/>
  <c r="AB580" i="5"/>
  <c r="AB629" i="5"/>
  <c r="AJ8" i="5"/>
  <c r="AJ13" i="5"/>
  <c r="AB588" i="5"/>
  <c r="AJ25" i="5"/>
  <c r="AB528" i="5"/>
  <c r="AB556" i="5"/>
  <c r="AJ6" i="5"/>
  <c r="AB375" i="5"/>
  <c r="AB130" i="5"/>
  <c r="AB138" i="5"/>
  <c r="AB218" i="5"/>
  <c r="AB282" i="5"/>
  <c r="AB386" i="5"/>
  <c r="AB530" i="5"/>
  <c r="AB594" i="5"/>
  <c r="AB618" i="5"/>
  <c r="AB19" i="5"/>
  <c r="AB51" i="5"/>
  <c r="AB91" i="5"/>
  <c r="AB155" i="5"/>
  <c r="AB307" i="5"/>
  <c r="AB339" i="5"/>
  <c r="AB411" i="5"/>
  <c r="AB300" i="5"/>
  <c r="AB301" i="5"/>
  <c r="AB309" i="5"/>
  <c r="AB325" i="5"/>
  <c r="AB78" i="5"/>
  <c r="AB294" i="5"/>
  <c r="AB494" i="5"/>
  <c r="AB7" i="5"/>
  <c r="AB113" i="5"/>
  <c r="AB80" i="5"/>
  <c r="AB159" i="5"/>
  <c r="AB449" i="5"/>
  <c r="AB513" i="5"/>
  <c r="AB119" i="5"/>
  <c r="AB183" i="5"/>
  <c r="AB345" i="5"/>
  <c r="AB415" i="5"/>
  <c r="AB485" i="5"/>
  <c r="AB273" i="5"/>
  <c r="AB416" i="5"/>
  <c r="AB497" i="5"/>
  <c r="AJ19" i="5"/>
  <c r="AB552" i="5"/>
  <c r="AB584" i="5"/>
  <c r="AB72" i="5"/>
  <c r="AB405" i="5"/>
  <c r="AJ7" i="5"/>
  <c r="AB512" i="5"/>
  <c r="AB581" i="5"/>
  <c r="AB617" i="5"/>
  <c r="AB568" i="5"/>
  <c r="AB298" i="5"/>
  <c r="AB346" i="5"/>
  <c r="AB626" i="5"/>
  <c r="AB43" i="5"/>
  <c r="AB187" i="5"/>
  <c r="AB195" i="5"/>
  <c r="AB419" i="5"/>
  <c r="AB443" i="5"/>
  <c r="AB260" i="5"/>
  <c r="AB316" i="5"/>
  <c r="AB332" i="5"/>
  <c r="AB396" i="5"/>
  <c r="AB29" i="5"/>
  <c r="AB37" i="5"/>
  <c r="AB46" i="5"/>
  <c r="AB70" i="5"/>
  <c r="AB86" i="5"/>
  <c r="AB126" i="5"/>
  <c r="AB254" i="5"/>
  <c r="AB302" i="5"/>
  <c r="AB350" i="5"/>
  <c r="AB358" i="5"/>
  <c r="AB422" i="5"/>
  <c r="AB438" i="5"/>
  <c r="AB526" i="5"/>
  <c r="AB542" i="5"/>
  <c r="AB23" i="5"/>
  <c r="AB9" i="5"/>
  <c r="AB57" i="5"/>
  <c r="AB328" i="5"/>
  <c r="AB360" i="5"/>
  <c r="AB87" i="5"/>
  <c r="AB137" i="5"/>
  <c r="AB329" i="5"/>
  <c r="AB225" i="5"/>
  <c r="AB365" i="5"/>
  <c r="AB397" i="5"/>
  <c r="AB440" i="5"/>
  <c r="AB516" i="5"/>
  <c r="AB167" i="5"/>
  <c r="AB475" i="5"/>
  <c r="AB255" i="5"/>
  <c r="AJ9" i="5"/>
  <c r="AB103" i="5"/>
  <c r="AB151" i="5"/>
  <c r="AB256" i="5"/>
  <c r="AB432" i="5"/>
  <c r="AJ29" i="5"/>
  <c r="AB280" i="5"/>
  <c r="AB479" i="5"/>
  <c r="AB489" i="5"/>
  <c r="AB607" i="5"/>
  <c r="AB616" i="5"/>
  <c r="AJ5" i="5"/>
  <c r="AB576" i="5"/>
  <c r="AB469" i="5"/>
  <c r="AB359" i="5"/>
  <c r="AB199" i="5"/>
  <c r="AJ4" i="5"/>
  <c r="AB621" i="5"/>
  <c r="AB571" i="5"/>
  <c r="AB343" i="5"/>
  <c r="AB176" i="5"/>
  <c r="AJ14" i="5"/>
  <c r="AB620" i="5"/>
  <c r="AB448" i="5"/>
  <c r="AB82" i="5"/>
  <c r="AB170" i="5"/>
  <c r="AB194" i="5"/>
  <c r="AB266" i="5"/>
  <c r="AB362" i="5"/>
  <c r="AB434" i="5"/>
  <c r="AB442" i="5"/>
  <c r="AB458" i="5"/>
  <c r="AB466" i="5"/>
  <c r="AB506" i="5"/>
  <c r="AB538" i="5"/>
  <c r="AB75" i="5"/>
  <c r="AB83" i="5"/>
  <c r="AB99" i="5"/>
  <c r="AB171" i="5"/>
  <c r="AB179" i="5"/>
  <c r="AB203" i="5"/>
  <c r="AB243" i="5"/>
  <c r="AB259" i="5"/>
  <c r="AB84" i="5"/>
  <c r="AB92" i="5"/>
  <c r="AB172" i="5"/>
  <c r="AB220" i="5"/>
  <c r="AB236" i="5"/>
  <c r="AB324" i="5"/>
  <c r="AB45" i="5"/>
  <c r="AB165" i="5"/>
  <c r="AB181" i="5"/>
  <c r="AB237" i="5"/>
  <c r="AB22" i="5"/>
  <c r="AB62" i="5"/>
  <c r="AB214" i="5"/>
  <c r="AB286" i="5"/>
  <c r="AB510" i="5"/>
  <c r="AB566" i="5"/>
  <c r="AB73" i="5"/>
  <c r="AB200" i="5"/>
  <c r="AB305" i="5"/>
  <c r="AB460" i="5"/>
  <c r="AB545" i="5"/>
  <c r="AB425" i="5"/>
  <c r="AB493" i="5"/>
  <c r="AB333" i="5"/>
  <c r="AB381" i="5"/>
  <c r="AB413" i="5"/>
  <c r="AB231" i="5"/>
  <c r="AB455" i="5"/>
  <c r="AB551" i="5"/>
  <c r="AB632" i="5"/>
  <c r="AB499" i="5"/>
  <c r="AB605" i="5"/>
  <c r="AB543" i="5"/>
  <c r="AB564" i="5"/>
  <c r="AB146" i="5"/>
  <c r="AB394" i="5"/>
  <c r="AB426" i="5"/>
  <c r="AB498" i="5"/>
  <c r="AB514" i="5"/>
  <c r="AB522" i="5"/>
  <c r="AB554" i="5"/>
  <c r="AB115" i="5"/>
  <c r="AB291" i="5"/>
  <c r="AB323" i="5"/>
  <c r="AB355" i="5"/>
  <c r="AB100" i="5"/>
  <c r="AB124" i="5"/>
  <c r="AB148" i="5"/>
  <c r="AB196" i="5"/>
  <c r="AB268" i="5"/>
  <c r="AB292" i="5"/>
  <c r="AB348" i="5"/>
  <c r="AB133" i="5"/>
  <c r="AB197" i="5"/>
  <c r="AB221" i="5"/>
  <c r="AB245" i="5"/>
  <c r="AB261" i="5"/>
  <c r="AB317" i="5"/>
  <c r="AB14" i="5"/>
  <c r="AB94" i="5"/>
  <c r="AB134" i="5"/>
  <c r="AB262" i="5"/>
  <c r="AB374" i="5"/>
  <c r="AB382" i="5"/>
  <c r="AB486" i="5"/>
  <c r="AB606" i="5"/>
  <c r="AB17" i="5"/>
  <c r="AB33" i="5"/>
  <c r="AB65" i="5"/>
  <c r="AB143" i="5"/>
  <c r="AB184" i="5"/>
  <c r="AB349" i="5"/>
  <c r="AB473" i="5"/>
  <c r="AB484" i="5"/>
  <c r="AB208" i="5"/>
  <c r="AB399" i="5"/>
  <c r="AB209" i="5"/>
  <c r="AB400" i="5"/>
  <c r="AB431" i="5"/>
  <c r="AB487" i="5"/>
  <c r="AB593" i="5"/>
  <c r="AB169" i="5"/>
  <c r="AB192" i="5"/>
  <c r="AB215" i="5"/>
  <c r="AB520" i="5"/>
  <c r="AB531" i="5"/>
  <c r="AB624" i="5"/>
  <c r="AB500" i="5"/>
  <c r="AB532" i="5"/>
  <c r="AB631" i="5"/>
  <c r="AB619" i="5"/>
  <c r="AB601" i="5"/>
  <c r="AB587" i="5"/>
  <c r="AB523" i="5"/>
  <c r="AB135" i="5"/>
  <c r="AB26" i="5"/>
  <c r="AB74" i="5"/>
  <c r="AB186" i="5"/>
  <c r="AB418" i="5"/>
  <c r="AJ26" i="5"/>
  <c r="AB67" i="5"/>
  <c r="AB331" i="5"/>
  <c r="AB36" i="5"/>
  <c r="AB180" i="5"/>
  <c r="AB276" i="5"/>
  <c r="AB404" i="5"/>
  <c r="AB5" i="5"/>
  <c r="AC2" i="5" s="1" a="1"/>
  <c r="AC2" i="5" s="1"/>
  <c r="AB61" i="5"/>
  <c r="AB85" i="5"/>
  <c r="AB93" i="5"/>
  <c r="AB149" i="5"/>
  <c r="AB213" i="5"/>
  <c r="AB253" i="5"/>
  <c r="AB102" i="5"/>
  <c r="AB182" i="5"/>
  <c r="AB398" i="5"/>
  <c r="AB478" i="5"/>
  <c r="AB392" i="5"/>
  <c r="AB393" i="5"/>
  <c r="AB409" i="5"/>
  <c r="AB439" i="5"/>
  <c r="AB451" i="5"/>
  <c r="AB88" i="5"/>
  <c r="AB271" i="5"/>
  <c r="AB452" i="5"/>
  <c r="AB463" i="5"/>
  <c r="AB505" i="5"/>
  <c r="AB144" i="5"/>
  <c r="AB295" i="5"/>
  <c r="AB335" i="5"/>
  <c r="AB145" i="5"/>
  <c r="AB352" i="5"/>
  <c r="AB583" i="5"/>
  <c r="AB614" i="5"/>
  <c r="AB337" i="5"/>
  <c r="AB353" i="5"/>
  <c r="AB509" i="5"/>
  <c r="AB595" i="5"/>
  <c r="AB257" i="5"/>
  <c r="AB468" i="5"/>
  <c r="AB585" i="5"/>
  <c r="AJ23" i="5"/>
  <c r="AB600" i="5"/>
  <c r="AB423" i="5"/>
  <c r="AB111" i="5"/>
  <c r="AB226" i="5"/>
  <c r="AB242" i="5"/>
  <c r="AB250" i="5"/>
  <c r="AB410" i="5"/>
  <c r="AB474" i="5"/>
  <c r="AB490" i="5"/>
  <c r="AB546" i="5"/>
  <c r="AB570" i="5"/>
  <c r="AB610" i="5"/>
  <c r="AB163" i="5"/>
  <c r="AB315" i="5"/>
  <c r="AB4" i="5"/>
  <c r="AB284" i="5"/>
  <c r="AB308" i="5"/>
  <c r="AB53" i="5"/>
  <c r="AB141" i="5"/>
  <c r="AB534" i="5"/>
  <c r="AB48" i="5"/>
  <c r="AB112" i="5"/>
  <c r="AB223" i="5"/>
  <c r="AB376" i="5"/>
  <c r="AB437" i="5"/>
  <c r="AB471" i="5"/>
  <c r="AB55" i="5"/>
  <c r="AB265" i="5"/>
  <c r="AB120" i="5"/>
  <c r="AB428" i="5"/>
  <c r="AB537" i="5"/>
  <c r="AB31" i="5"/>
  <c r="AB351" i="5"/>
  <c r="AB441" i="5"/>
  <c r="AB168" i="5"/>
  <c r="AB191" i="5"/>
  <c r="AB232" i="5"/>
  <c r="AB296" i="5"/>
  <c r="AB476" i="5"/>
  <c r="AB561" i="5"/>
  <c r="AB71" i="5"/>
  <c r="AB128" i="5"/>
  <c r="AB279" i="5"/>
  <c r="AB369" i="5"/>
  <c r="AB321" i="5"/>
  <c r="AB357" i="5"/>
  <c r="AB447" i="5"/>
  <c r="AB521" i="5"/>
  <c r="AJ33" i="5"/>
  <c r="AJ22" i="5"/>
  <c r="AB565" i="5"/>
  <c r="AB263" i="5"/>
  <c r="AB612" i="5"/>
  <c r="AB391" i="5"/>
  <c r="AB47" i="5"/>
  <c r="T181" i="5"/>
  <c r="U181" i="5" s="1"/>
  <c r="T144" i="5"/>
  <c r="T117" i="5"/>
  <c r="T53" i="5"/>
  <c r="AA613" i="5" a="1"/>
  <c r="AA613" i="5" s="1"/>
  <c r="AA557" i="5" a="1"/>
  <c r="AA557" i="5" s="1"/>
  <c r="AA447" i="5" a="1"/>
  <c r="AA447" i="5" s="1"/>
  <c r="AA275" i="5" a="1"/>
  <c r="AA275" i="5" s="1"/>
  <c r="AA612" i="5" a="1"/>
  <c r="AA612" i="5" s="1"/>
  <c r="AA555" i="5" a="1"/>
  <c r="AA555" i="5" s="1"/>
  <c r="AA443" i="5" a="1"/>
  <c r="AA443" i="5" s="1"/>
  <c r="AA219" i="5" a="1"/>
  <c r="AA219" i="5" s="1"/>
  <c r="AA602" i="5" a="1"/>
  <c r="AA602" i="5" s="1"/>
  <c r="AA535" i="5" a="1"/>
  <c r="AA535" i="5" s="1"/>
  <c r="AA415" i="5" a="1"/>
  <c r="AA415" i="5" s="1"/>
  <c r="AA171" i="5" a="1"/>
  <c r="AA171" i="5" s="1"/>
  <c r="AA7" i="5" a="1"/>
  <c r="AA7" i="5" s="1"/>
  <c r="AA599" i="5" a="1"/>
  <c r="AA599" i="5" s="1"/>
  <c r="AA533" i="5" a="1"/>
  <c r="AA533" i="5" s="1"/>
  <c r="AA411" i="5" a="1"/>
  <c r="AA411" i="5" s="1"/>
  <c r="AA164" i="5" a="1"/>
  <c r="AA164" i="5" s="1"/>
  <c r="AA9" i="5" a="1"/>
  <c r="AA9" i="5" s="1"/>
  <c r="AA588" i="5" a="1"/>
  <c r="AA588" i="5" s="1"/>
  <c r="AA511" i="5" a="1"/>
  <c r="AA511" i="5" s="1"/>
  <c r="AA383" i="5" a="1"/>
  <c r="AA383" i="5" s="1"/>
  <c r="AA117" i="5" a="1"/>
  <c r="AA117" i="5" s="1"/>
  <c r="AA632" i="5" a="1"/>
  <c r="AA632" i="5" s="1"/>
  <c r="AA587" i="5" a="1"/>
  <c r="AA587" i="5" s="1"/>
  <c r="AA507" i="5" a="1"/>
  <c r="AA507" i="5" s="1"/>
  <c r="AA379" i="5" a="1"/>
  <c r="AA379" i="5" s="1"/>
  <c r="AA110" i="5" a="1"/>
  <c r="AA110" i="5" s="1"/>
  <c r="AA625" i="5" a="1"/>
  <c r="AA625" i="5" s="1"/>
  <c r="AA573" i="5" a="1"/>
  <c r="AA573" i="5" s="1"/>
  <c r="AA479" i="5" a="1"/>
  <c r="AA479" i="5" s="1"/>
  <c r="AA337" i="5" a="1"/>
  <c r="AA337" i="5" s="1"/>
  <c r="AA62" i="5" a="1"/>
  <c r="AA62" i="5" s="1"/>
  <c r="AA624" i="5" a="1"/>
  <c r="AA624" i="5" s="1"/>
  <c r="AA572" i="5" a="1"/>
  <c r="AA572" i="5" s="1"/>
  <c r="AA475" i="5" a="1"/>
  <c r="AA475" i="5" s="1"/>
  <c r="AA329" i="5" a="1"/>
  <c r="AA329" i="5" s="1"/>
  <c r="AA56" i="5" a="1"/>
  <c r="AA56" i="5" s="1"/>
  <c r="T610" i="5"/>
  <c r="T602" i="5"/>
  <c r="U602" i="5" s="1"/>
  <c r="T474" i="5"/>
  <c r="T394" i="5"/>
  <c r="U394" i="5" s="1"/>
  <c r="T266" i="5"/>
  <c r="U266" i="5" s="1"/>
  <c r="AA6" i="5" a="1"/>
  <c r="AA6" i="5" s="1"/>
  <c r="AA631" i="5" a="1"/>
  <c r="AA631" i="5" s="1"/>
  <c r="AA623" i="5" a="1"/>
  <c r="AA623" i="5" s="1"/>
  <c r="AA611" i="5" a="1"/>
  <c r="AA611" i="5" s="1"/>
  <c r="AA597" i="5" a="1"/>
  <c r="AA597" i="5" s="1"/>
  <c r="AA586" i="5" a="1"/>
  <c r="AA586" i="5" s="1"/>
  <c r="AA571" i="5" a="1"/>
  <c r="AA571" i="5" s="1"/>
  <c r="AA551" i="5" a="1"/>
  <c r="AA551" i="5" s="1"/>
  <c r="AA531" i="5" a="1"/>
  <c r="AA531" i="5" s="1"/>
  <c r="AA503" i="5" a="1"/>
  <c r="AA503" i="5" s="1"/>
  <c r="AA471" i="5" a="1"/>
  <c r="AA471" i="5" s="1"/>
  <c r="AA439" i="5" a="1"/>
  <c r="AA439" i="5" s="1"/>
  <c r="AA407" i="5" a="1"/>
  <c r="AA407" i="5" s="1"/>
  <c r="AA322" i="5" a="1"/>
  <c r="AA322" i="5" s="1"/>
  <c r="AA267" i="5" a="1"/>
  <c r="AA267" i="5" s="1"/>
  <c r="AA213" i="5" a="1"/>
  <c r="AA213" i="5" s="1"/>
  <c r="AA102" i="5" a="1"/>
  <c r="AA102" i="5" s="1"/>
  <c r="AA49" i="5" a="1"/>
  <c r="AA49" i="5" s="1"/>
  <c r="AA5" i="5" a="1"/>
  <c r="AA5" i="5" s="1"/>
  <c r="AA630" i="5" a="1"/>
  <c r="AA630" i="5" s="1"/>
  <c r="AA621" i="5" a="1"/>
  <c r="AA621" i="5" s="1"/>
  <c r="AA610" i="5" a="1"/>
  <c r="AA610" i="5" s="1"/>
  <c r="AA596" i="5" a="1"/>
  <c r="AA596" i="5" s="1"/>
  <c r="AA583" i="5" a="1"/>
  <c r="AA583" i="5" s="1"/>
  <c r="AA567" i="5" a="1"/>
  <c r="AA567" i="5" s="1"/>
  <c r="AA549" i="5" a="1"/>
  <c r="AA549" i="5" s="1"/>
  <c r="AA527" i="5" a="1"/>
  <c r="AA527" i="5" s="1"/>
  <c r="AA499" i="5" a="1"/>
  <c r="AA499" i="5" s="1"/>
  <c r="AA467" i="5" a="1"/>
  <c r="AA467" i="5" s="1"/>
  <c r="AA435" i="5" a="1"/>
  <c r="AA435" i="5" s="1"/>
  <c r="AA403" i="5" a="1"/>
  <c r="AA403" i="5" s="1"/>
  <c r="AA369" i="5" a="1"/>
  <c r="AA369" i="5" s="1"/>
  <c r="AA316" i="5" a="1"/>
  <c r="AA316" i="5" s="1"/>
  <c r="AA260" i="5" a="1"/>
  <c r="AA260" i="5" s="1"/>
  <c r="AA205" i="5" a="1"/>
  <c r="AA205" i="5" s="1"/>
  <c r="AA151" i="5" a="1"/>
  <c r="AA151" i="5" s="1"/>
  <c r="AA96" i="5" a="1"/>
  <c r="AA96" i="5" s="1"/>
  <c r="AA41" i="5" a="1"/>
  <c r="AA41" i="5" s="1"/>
  <c r="AA629" i="5" a="1"/>
  <c r="AA629" i="5" s="1"/>
  <c r="AA620" i="5" a="1"/>
  <c r="AA620" i="5" s="1"/>
  <c r="AA607" i="5" a="1"/>
  <c r="AA607" i="5" s="1"/>
  <c r="AA595" i="5" a="1"/>
  <c r="AA595" i="5" s="1"/>
  <c r="AA581" i="5" a="1"/>
  <c r="AA581" i="5" s="1"/>
  <c r="AA565" i="5" a="1"/>
  <c r="AA565" i="5" s="1"/>
  <c r="AA547" i="5" a="1"/>
  <c r="AA547" i="5" s="1"/>
  <c r="AA525" i="5" a="1"/>
  <c r="AA525" i="5" s="1"/>
  <c r="AA495" i="5" a="1"/>
  <c r="AA495" i="5" s="1"/>
  <c r="AA463" i="5" a="1"/>
  <c r="AA463" i="5" s="1"/>
  <c r="AA431" i="5" a="1"/>
  <c r="AA431" i="5" s="1"/>
  <c r="AA399" i="5" a="1"/>
  <c r="AA399" i="5" s="1"/>
  <c r="AA363" i="5" a="1"/>
  <c r="AA363" i="5" s="1"/>
  <c r="AA145" i="5" a="1"/>
  <c r="AA145" i="5" s="1"/>
  <c r="T351" i="5"/>
  <c r="T25" i="5"/>
  <c r="AA4" i="5" a="1"/>
  <c r="AA4" i="5" s="1"/>
  <c r="AA628" i="5" a="1"/>
  <c r="AA628" i="5" s="1"/>
  <c r="AA619" i="5" a="1"/>
  <c r="AA619" i="5" s="1"/>
  <c r="AA605" i="5" a="1"/>
  <c r="AA605" i="5" s="1"/>
  <c r="AA594" i="5" a="1"/>
  <c r="AA594" i="5" s="1"/>
  <c r="AA580" i="5" a="1"/>
  <c r="AA580" i="5" s="1"/>
  <c r="AA564" i="5" a="1"/>
  <c r="AA564" i="5" s="1"/>
  <c r="AA543" i="5" a="1"/>
  <c r="AA543" i="5" s="1"/>
  <c r="AA523" i="5" a="1"/>
  <c r="AA523" i="5" s="1"/>
  <c r="AA491" i="5" a="1"/>
  <c r="AA491" i="5" s="1"/>
  <c r="AA459" i="5" a="1"/>
  <c r="AA459" i="5" s="1"/>
  <c r="AA427" i="5" a="1"/>
  <c r="AA427" i="5" s="1"/>
  <c r="AA395" i="5" a="1"/>
  <c r="AA395" i="5" s="1"/>
  <c r="AA356" i="5" a="1"/>
  <c r="AA356" i="5" s="1"/>
  <c r="AA302" i="5" a="1"/>
  <c r="AA302" i="5" s="1"/>
  <c r="AA247" i="5" a="1"/>
  <c r="AA247" i="5" s="1"/>
  <c r="AA191" i="5" a="1"/>
  <c r="AA191" i="5" s="1"/>
  <c r="AA137" i="5" a="1"/>
  <c r="AA137" i="5" s="1"/>
  <c r="AA83" i="5" a="1"/>
  <c r="AA83" i="5" s="1"/>
  <c r="AA15" i="5" a="1"/>
  <c r="AA15" i="5" s="1"/>
  <c r="AA28" i="5" a="1"/>
  <c r="AA28" i="5" s="1"/>
  <c r="AA34" i="5" a="1"/>
  <c r="AA34" i="5" s="1"/>
  <c r="AA42" i="5" a="1"/>
  <c r="AA42" i="5" s="1"/>
  <c r="AA50" i="5" a="1"/>
  <c r="AA50" i="5" s="1"/>
  <c r="AA57" i="5" a="1"/>
  <c r="AA57" i="5" s="1"/>
  <c r="AA63" i="5" a="1"/>
  <c r="AA63" i="5" s="1"/>
  <c r="AA77" i="5" a="1"/>
  <c r="AA77" i="5" s="1"/>
  <c r="AA84" i="5" a="1"/>
  <c r="AA84" i="5" s="1"/>
  <c r="AA90" i="5" a="1"/>
  <c r="AA90" i="5" s="1"/>
  <c r="AA97" i="5" a="1"/>
  <c r="AA97" i="5" s="1"/>
  <c r="AA103" i="5" a="1"/>
  <c r="AA103" i="5" s="1"/>
  <c r="AA111" i="5" a="1"/>
  <c r="AA111" i="5" s="1"/>
  <c r="AA124" i="5" a="1"/>
  <c r="AA124" i="5" s="1"/>
  <c r="AA130" i="5" a="1"/>
  <c r="AA130" i="5" s="1"/>
  <c r="AA138" i="5" a="1"/>
  <c r="AA138" i="5" s="1"/>
  <c r="AA152" i="5" a="1"/>
  <c r="AA152" i="5" s="1"/>
  <c r="AA158" i="5" a="1"/>
  <c r="AA158" i="5" s="1"/>
  <c r="AA165" i="5" a="1"/>
  <c r="AA165" i="5" s="1"/>
  <c r="AA172" i="5" a="1"/>
  <c r="AA172" i="5" s="1"/>
  <c r="AA179" i="5" a="1"/>
  <c r="AA179" i="5" s="1"/>
  <c r="AA192" i="5" a="1"/>
  <c r="AA192" i="5" s="1"/>
  <c r="AA198" i="5" a="1"/>
  <c r="AA198" i="5" s="1"/>
  <c r="AA206" i="5" a="1"/>
  <c r="AA206" i="5" s="1"/>
  <c r="AA220" i="5" a="1"/>
  <c r="AA220" i="5" s="1"/>
  <c r="AA226" i="5" a="1"/>
  <c r="AA226" i="5" s="1"/>
  <c r="AA233" i="5" a="1"/>
  <c r="AA233" i="5" s="1"/>
  <c r="AA241" i="5" a="1"/>
  <c r="AA241" i="5" s="1"/>
  <c r="AA248" i="5" a="1"/>
  <c r="AA248" i="5" s="1"/>
  <c r="AA254" i="5" a="1"/>
  <c r="AA254" i="5" s="1"/>
  <c r="AA261" i="5" a="1"/>
  <c r="AA261" i="5" s="1"/>
  <c r="AA268" i="5" a="1"/>
  <c r="AA268" i="5" s="1"/>
  <c r="AA276" i="5" a="1"/>
  <c r="AA276" i="5" s="1"/>
  <c r="AA282" i="5" a="1"/>
  <c r="AA282" i="5" s="1"/>
  <c r="AA289" i="5" a="1"/>
  <c r="AA289" i="5" s="1"/>
  <c r="AA295" i="5" a="1"/>
  <c r="AA295" i="5" s="1"/>
  <c r="AA303" i="5" a="1"/>
  <c r="AA303" i="5" s="1"/>
  <c r="AA310" i="5" a="1"/>
  <c r="AA310" i="5" s="1"/>
  <c r="AA317" i="5" a="1"/>
  <c r="AA317" i="5" s="1"/>
  <c r="AA323" i="5" a="1"/>
  <c r="AA323" i="5" s="1"/>
  <c r="AA330" i="5" a="1"/>
  <c r="AA330" i="5" s="1"/>
  <c r="AA338" i="5" a="1"/>
  <c r="AA338" i="5" s="1"/>
  <c r="AA345" i="5" a="1"/>
  <c r="AA345" i="5" s="1"/>
  <c r="AA357" i="5" a="1"/>
  <c r="AA357" i="5" s="1"/>
  <c r="AA370" i="5" a="1"/>
  <c r="AA370" i="5" s="1"/>
  <c r="AA376" i="5" a="1"/>
  <c r="AA376" i="5" s="1"/>
  <c r="AA384" i="5" a="1"/>
  <c r="AA384" i="5" s="1"/>
  <c r="AA392" i="5" a="1"/>
  <c r="AA392" i="5" s="1"/>
  <c r="AA400" i="5" a="1"/>
  <c r="AA400" i="5" s="1"/>
  <c r="AA408" i="5" a="1"/>
  <c r="AA408" i="5" s="1"/>
  <c r="AA416" i="5" a="1"/>
  <c r="AA416" i="5" s="1"/>
  <c r="AA424" i="5" a="1"/>
  <c r="AA424" i="5" s="1"/>
  <c r="AA432" i="5" a="1"/>
  <c r="AA432" i="5" s="1"/>
  <c r="AA440" i="5" a="1"/>
  <c r="AA440" i="5" s="1"/>
  <c r="AA448" i="5" a="1"/>
  <c r="AA448" i="5" s="1"/>
  <c r="AA456" i="5" a="1"/>
  <c r="AA456" i="5" s="1"/>
  <c r="AA464" i="5" a="1"/>
  <c r="AA464" i="5" s="1"/>
  <c r="AA472" i="5" a="1"/>
  <c r="AA472" i="5" s="1"/>
  <c r="AA480" i="5" a="1"/>
  <c r="AA480" i="5" s="1"/>
  <c r="AA488" i="5" a="1"/>
  <c r="AA488" i="5" s="1"/>
  <c r="AA496" i="5" a="1"/>
  <c r="AA496" i="5" s="1"/>
  <c r="AA504" i="5" a="1"/>
  <c r="AA504" i="5" s="1"/>
  <c r="AA512" i="5" a="1"/>
  <c r="AA512" i="5" s="1"/>
  <c r="AA520" i="5" a="1"/>
  <c r="AA520" i="5" s="1"/>
  <c r="AA528" i="5" a="1"/>
  <c r="AA528" i="5" s="1"/>
  <c r="AA536" i="5" a="1"/>
  <c r="AA536" i="5" s="1"/>
  <c r="AA544" i="5" a="1"/>
  <c r="AA544" i="5" s="1"/>
  <c r="AA552" i="5" a="1"/>
  <c r="AA552" i="5" s="1"/>
  <c r="AA560" i="5" a="1"/>
  <c r="AA560" i="5" s="1"/>
  <c r="AA568" i="5" a="1"/>
  <c r="AA568" i="5" s="1"/>
  <c r="AA576" i="5" a="1"/>
  <c r="AA576" i="5" s="1"/>
  <c r="AA584" i="5" a="1"/>
  <c r="AA584" i="5" s="1"/>
  <c r="AA592" i="5" a="1"/>
  <c r="AA592" i="5" s="1"/>
  <c r="AA600" i="5" a="1"/>
  <c r="AA600" i="5" s="1"/>
  <c r="AA608" i="5" a="1"/>
  <c r="AA608" i="5" s="1"/>
  <c r="AA616" i="5" a="1"/>
  <c r="AA616" i="5" s="1"/>
  <c r="AA10" i="5" a="1"/>
  <c r="AA10" i="5" s="1"/>
  <c r="AA16" i="5" a="1"/>
  <c r="AA16" i="5" s="1"/>
  <c r="AA22" i="5" a="1"/>
  <c r="AA22" i="5" s="1"/>
  <c r="AA29" i="5" a="1"/>
  <c r="AA29" i="5" s="1"/>
  <c r="AA35" i="5" a="1"/>
  <c r="AA35" i="5" s="1"/>
  <c r="AA43" i="5" a="1"/>
  <c r="AA43" i="5" s="1"/>
  <c r="AA51" i="5" a="1"/>
  <c r="AA51" i="5" s="1"/>
  <c r="AA64" i="5" a="1"/>
  <c r="AA64" i="5" s="1"/>
  <c r="AA70" i="5" a="1"/>
  <c r="AA70" i="5" s="1"/>
  <c r="AA78" i="5" a="1"/>
  <c r="AA78" i="5" s="1"/>
  <c r="AA85" i="5" a="1"/>
  <c r="AA85" i="5" s="1"/>
  <c r="AA91" i="5" a="1"/>
  <c r="AA91" i="5" s="1"/>
  <c r="AA104" i="5" a="1"/>
  <c r="AA104" i="5" s="1"/>
  <c r="AA112" i="5" a="1"/>
  <c r="AA112" i="5" s="1"/>
  <c r="AA118" i="5" a="1"/>
  <c r="AA118" i="5" s="1"/>
  <c r="AA125" i="5" a="1"/>
  <c r="AA125" i="5" s="1"/>
  <c r="AA131" i="5" a="1"/>
  <c r="AA131" i="5" s="1"/>
  <c r="AA139" i="5" a="1"/>
  <c r="AA139" i="5" s="1"/>
  <c r="AA146" i="5" a="1"/>
  <c r="AA146" i="5" s="1"/>
  <c r="AA153" i="5" a="1"/>
  <c r="AA153" i="5" s="1"/>
  <c r="AA159" i="5" a="1"/>
  <c r="AA159" i="5" s="1"/>
  <c r="AA173" i="5" a="1"/>
  <c r="AA173" i="5" s="1"/>
  <c r="AA180" i="5" a="1"/>
  <c r="AA180" i="5" s="1"/>
  <c r="AA186" i="5" a="1"/>
  <c r="AA186" i="5" s="1"/>
  <c r="AA193" i="5" a="1"/>
  <c r="AA193" i="5" s="1"/>
  <c r="AA199" i="5" a="1"/>
  <c r="AA199" i="5" s="1"/>
  <c r="AA207" i="5" a="1"/>
  <c r="AA207" i="5" s="1"/>
  <c r="AA214" i="5" a="1"/>
  <c r="AA214" i="5" s="1"/>
  <c r="AA221" i="5" a="1"/>
  <c r="AA221" i="5" s="1"/>
  <c r="AA227" i="5" a="1"/>
  <c r="AA227" i="5" s="1"/>
  <c r="AA234" i="5" a="1"/>
  <c r="AA234" i="5" s="1"/>
  <c r="AA242" i="5" a="1"/>
  <c r="AA242" i="5" s="1"/>
  <c r="AA249" i="5" a="1"/>
  <c r="AA249" i="5" s="1"/>
  <c r="AA255" i="5" a="1"/>
  <c r="AA255" i="5" s="1"/>
  <c r="AA269" i="5" a="1"/>
  <c r="AA269" i="5" s="1"/>
  <c r="AA277" i="5" a="1"/>
  <c r="AA277" i="5" s="1"/>
  <c r="AA283" i="5" a="1"/>
  <c r="AA283" i="5" s="1"/>
  <c r="AA296" i="5" a="1"/>
  <c r="AA296" i="5" s="1"/>
  <c r="AA304" i="5" a="1"/>
  <c r="AA304" i="5" s="1"/>
  <c r="AA311" i="5" a="1"/>
  <c r="AA311" i="5" s="1"/>
  <c r="AA324" i="5" a="1"/>
  <c r="AA324" i="5" s="1"/>
  <c r="AA331" i="5" a="1"/>
  <c r="AA331" i="5" s="1"/>
  <c r="AA339" i="5" a="1"/>
  <c r="AA339" i="5" s="1"/>
  <c r="AA351" i="5" a="1"/>
  <c r="AA351" i="5" s="1"/>
  <c r="AA358" i="5" a="1"/>
  <c r="AA358" i="5" s="1"/>
  <c r="AA364" i="5" a="1"/>
  <c r="AA364" i="5" s="1"/>
  <c r="AA371" i="5" a="1"/>
  <c r="AA371" i="5" s="1"/>
  <c r="AA377" i="5" a="1"/>
  <c r="AA377" i="5" s="1"/>
  <c r="AA385" i="5" a="1"/>
  <c r="AA385" i="5" s="1"/>
  <c r="AA393" i="5" a="1"/>
  <c r="AA393" i="5" s="1"/>
  <c r="AA401" i="5" a="1"/>
  <c r="AA401" i="5" s="1"/>
  <c r="AA409" i="5" a="1"/>
  <c r="AA409" i="5" s="1"/>
  <c r="AA417" i="5" a="1"/>
  <c r="AA417" i="5" s="1"/>
  <c r="AA425" i="5" a="1"/>
  <c r="AA425" i="5" s="1"/>
  <c r="AA433" i="5" a="1"/>
  <c r="AA433" i="5" s="1"/>
  <c r="AA441" i="5" a="1"/>
  <c r="AA441" i="5" s="1"/>
  <c r="AA449" i="5" a="1"/>
  <c r="AA449" i="5" s="1"/>
  <c r="AA457" i="5" a="1"/>
  <c r="AA457" i="5" s="1"/>
  <c r="AA465" i="5" a="1"/>
  <c r="AA465" i="5" s="1"/>
  <c r="AA473" i="5" a="1"/>
  <c r="AA473" i="5" s="1"/>
  <c r="AA481" i="5" a="1"/>
  <c r="AA481" i="5" s="1"/>
  <c r="AA489" i="5" a="1"/>
  <c r="AA489" i="5" s="1"/>
  <c r="AA497" i="5" a="1"/>
  <c r="AA497" i="5" s="1"/>
  <c r="AA505" i="5" a="1"/>
  <c r="AA505" i="5" s="1"/>
  <c r="AA513" i="5" a="1"/>
  <c r="AA513" i="5" s="1"/>
  <c r="AA521" i="5" a="1"/>
  <c r="AA521" i="5" s="1"/>
  <c r="AA529" i="5" a="1"/>
  <c r="AA529" i="5" s="1"/>
  <c r="AA537" i="5" a="1"/>
  <c r="AA537" i="5" s="1"/>
  <c r="AA545" i="5" a="1"/>
  <c r="AA545" i="5" s="1"/>
  <c r="AA553" i="5" a="1"/>
  <c r="AA553" i="5" s="1"/>
  <c r="AA561" i="5" a="1"/>
  <c r="AA561" i="5" s="1"/>
  <c r="AA569" i="5" a="1"/>
  <c r="AA569" i="5" s="1"/>
  <c r="AA577" i="5" a="1"/>
  <c r="AA577" i="5" s="1"/>
  <c r="AA585" i="5" a="1"/>
  <c r="AA585" i="5" s="1"/>
  <c r="AA593" i="5" a="1"/>
  <c r="AA593" i="5" s="1"/>
  <c r="AA601" i="5" a="1"/>
  <c r="AA601" i="5" s="1"/>
  <c r="AA609" i="5" a="1"/>
  <c r="AA609" i="5" s="1"/>
  <c r="AA617" i="5" a="1"/>
  <c r="AA617" i="5" s="1"/>
  <c r="AA11" i="5" a="1"/>
  <c r="AA11" i="5" s="1"/>
  <c r="AA17" i="5" a="1"/>
  <c r="AA17" i="5" s="1"/>
  <c r="AA23" i="5" a="1"/>
  <c r="AA23" i="5" s="1"/>
  <c r="AA36" i="5" a="1"/>
  <c r="AA36" i="5" s="1"/>
  <c r="AA44" i="5" a="1"/>
  <c r="AA44" i="5" s="1"/>
  <c r="AA52" i="5" a="1"/>
  <c r="AA52" i="5" s="1"/>
  <c r="AA58" i="5" a="1"/>
  <c r="AA58" i="5" s="1"/>
  <c r="AA65" i="5" a="1"/>
  <c r="AA65" i="5" s="1"/>
  <c r="AA71" i="5" a="1"/>
  <c r="AA71" i="5" s="1"/>
  <c r="AA79" i="5" a="1"/>
  <c r="AA79" i="5" s="1"/>
  <c r="AA92" i="5" a="1"/>
  <c r="AA92" i="5" s="1"/>
  <c r="AA98" i="5" a="1"/>
  <c r="AA98" i="5" s="1"/>
  <c r="AA105" i="5" a="1"/>
  <c r="AA105" i="5" s="1"/>
  <c r="AA113" i="5" a="1"/>
  <c r="AA113" i="5" s="1"/>
  <c r="AA119" i="5" a="1"/>
  <c r="AA119" i="5" s="1"/>
  <c r="AA132" i="5" a="1"/>
  <c r="AA132" i="5" s="1"/>
  <c r="AA140" i="5" a="1"/>
  <c r="AA140" i="5" s="1"/>
  <c r="AA147" i="5" a="1"/>
  <c r="AA147" i="5" s="1"/>
  <c r="AA160" i="5" a="1"/>
  <c r="AA160" i="5" s="1"/>
  <c r="AA166" i="5" a="1"/>
  <c r="AA166" i="5" s="1"/>
  <c r="AA174" i="5" a="1"/>
  <c r="AA174" i="5" s="1"/>
  <c r="AA181" i="5" a="1"/>
  <c r="AA181" i="5" s="1"/>
  <c r="AA187" i="5" a="1"/>
  <c r="AA187" i="5" s="1"/>
  <c r="AA200" i="5" a="1"/>
  <c r="AA200" i="5" s="1"/>
  <c r="AA208" i="5" a="1"/>
  <c r="AA208" i="5" s="1"/>
  <c r="AA215" i="5" a="1"/>
  <c r="AA215" i="5" s="1"/>
  <c r="AA228" i="5" a="1"/>
  <c r="AA228" i="5" s="1"/>
  <c r="AA235" i="5" a="1"/>
  <c r="AA235" i="5" s="1"/>
  <c r="AA243" i="5" a="1"/>
  <c r="AA243" i="5" s="1"/>
  <c r="AA256" i="5" a="1"/>
  <c r="AA256" i="5" s="1"/>
  <c r="AA262" i="5" a="1"/>
  <c r="AA262" i="5" s="1"/>
  <c r="AA270" i="5" a="1"/>
  <c r="AA270" i="5" s="1"/>
  <c r="AA284" i="5" a="1"/>
  <c r="AA284" i="5" s="1"/>
  <c r="AA290" i="5" a="1"/>
  <c r="AA290" i="5" s="1"/>
  <c r="AA297" i="5" a="1"/>
  <c r="AA297" i="5" s="1"/>
  <c r="AA305" i="5" a="1"/>
  <c r="AA305" i="5" s="1"/>
  <c r="AA312" i="5" a="1"/>
  <c r="AA312" i="5" s="1"/>
  <c r="AA318" i="5" a="1"/>
  <c r="AA318" i="5" s="1"/>
  <c r="AA325" i="5" a="1"/>
  <c r="AA325" i="5" s="1"/>
  <c r="AA332" i="5" a="1"/>
  <c r="AA332" i="5" s="1"/>
  <c r="AA340" i="5" a="1"/>
  <c r="AA340" i="5" s="1"/>
  <c r="AA346" i="5" a="1"/>
  <c r="AA346" i="5" s="1"/>
  <c r="AA352" i="5" a="1"/>
  <c r="AA352" i="5" s="1"/>
  <c r="AA359" i="5" a="1"/>
  <c r="AA359" i="5" s="1"/>
  <c r="AA365" i="5" a="1"/>
  <c r="AA365" i="5" s="1"/>
  <c r="AA378" i="5" a="1"/>
  <c r="AA378" i="5" s="1"/>
  <c r="AA386" i="5" a="1"/>
  <c r="AA386" i="5" s="1"/>
  <c r="AA394" i="5" a="1"/>
  <c r="AA394" i="5" s="1"/>
  <c r="AA402" i="5" a="1"/>
  <c r="AA402" i="5" s="1"/>
  <c r="AA410" i="5" a="1"/>
  <c r="AA410" i="5" s="1"/>
  <c r="AA418" i="5" a="1"/>
  <c r="AA418" i="5" s="1"/>
  <c r="AA426" i="5" a="1"/>
  <c r="AA426" i="5" s="1"/>
  <c r="AA434" i="5" a="1"/>
  <c r="AA434" i="5" s="1"/>
  <c r="AA442" i="5" a="1"/>
  <c r="AA442" i="5" s="1"/>
  <c r="AA450" i="5" a="1"/>
  <c r="AA450" i="5" s="1"/>
  <c r="AA458" i="5" a="1"/>
  <c r="AA458" i="5" s="1"/>
  <c r="AA466" i="5" a="1"/>
  <c r="AA466" i="5" s="1"/>
  <c r="AA474" i="5" a="1"/>
  <c r="AA474" i="5" s="1"/>
  <c r="AA482" i="5" a="1"/>
  <c r="AA482" i="5" s="1"/>
  <c r="AA490" i="5" a="1"/>
  <c r="AA490" i="5" s="1"/>
  <c r="AA498" i="5" a="1"/>
  <c r="AA498" i="5" s="1"/>
  <c r="AA506" i="5" a="1"/>
  <c r="AA506" i="5" s="1"/>
  <c r="AA514" i="5" a="1"/>
  <c r="AA514" i="5" s="1"/>
  <c r="AA522" i="5" a="1"/>
  <c r="AA522" i="5" s="1"/>
  <c r="AA530" i="5" a="1"/>
  <c r="AA530" i="5" s="1"/>
  <c r="AA538" i="5" a="1"/>
  <c r="AA538" i="5" s="1"/>
  <c r="AA546" i="5" a="1"/>
  <c r="AA546" i="5" s="1"/>
  <c r="AA554" i="5" a="1"/>
  <c r="AA554" i="5" s="1"/>
  <c r="AA562" i="5" a="1"/>
  <c r="AA562" i="5" s="1"/>
  <c r="AA570" i="5" a="1"/>
  <c r="AA570" i="5" s="1"/>
  <c r="AA578" i="5" a="1"/>
  <c r="AA578" i="5" s="1"/>
  <c r="AA24" i="5" a="1"/>
  <c r="AA24" i="5" s="1"/>
  <c r="AA30" i="5" a="1"/>
  <c r="AA30" i="5" s="1"/>
  <c r="AA37" i="5" a="1"/>
  <c r="AA37" i="5" s="1"/>
  <c r="AA45" i="5" a="1"/>
  <c r="AA45" i="5" s="1"/>
  <c r="AA53" i="5" a="1"/>
  <c r="AA53" i="5" s="1"/>
  <c r="AA59" i="5" a="1"/>
  <c r="AA59" i="5" s="1"/>
  <c r="AA72" i="5" a="1"/>
  <c r="AA72" i="5" s="1"/>
  <c r="AA80" i="5" a="1"/>
  <c r="AA80" i="5" s="1"/>
  <c r="AA86" i="5" a="1"/>
  <c r="AA86" i="5" s="1"/>
  <c r="AA93" i="5" a="1"/>
  <c r="AA93" i="5" s="1"/>
  <c r="AA99" i="5" a="1"/>
  <c r="AA99" i="5" s="1"/>
  <c r="AA106" i="5" a="1"/>
  <c r="AA106" i="5" s="1"/>
  <c r="AA120" i="5" a="1"/>
  <c r="AA120" i="5" s="1"/>
  <c r="AA126" i="5" a="1"/>
  <c r="AA126" i="5" s="1"/>
  <c r="AA133" i="5" a="1"/>
  <c r="AA133" i="5" s="1"/>
  <c r="AA141" i="5" a="1"/>
  <c r="AA141" i="5" s="1"/>
  <c r="AA148" i="5" a="1"/>
  <c r="AA148" i="5" s="1"/>
  <c r="AA154" i="5" a="1"/>
  <c r="AA154" i="5" s="1"/>
  <c r="AA161" i="5" a="1"/>
  <c r="AA161" i="5" s="1"/>
  <c r="AA167" i="5" a="1"/>
  <c r="AA167" i="5" s="1"/>
  <c r="AA175" i="5" a="1"/>
  <c r="AA175" i="5" s="1"/>
  <c r="AA188" i="5" a="1"/>
  <c r="AA188" i="5" s="1"/>
  <c r="AA194" i="5" a="1"/>
  <c r="AA194" i="5" s="1"/>
  <c r="AA201" i="5" a="1"/>
  <c r="AA201" i="5" s="1"/>
  <c r="AA209" i="5" a="1"/>
  <c r="AA209" i="5" s="1"/>
  <c r="AA216" i="5" a="1"/>
  <c r="AA216" i="5" s="1"/>
  <c r="AA222" i="5" a="1"/>
  <c r="AA222" i="5" s="1"/>
  <c r="AA229" i="5" a="1"/>
  <c r="AA229" i="5" s="1"/>
  <c r="AA236" i="5" a="1"/>
  <c r="AA236" i="5" s="1"/>
  <c r="AA244" i="5" a="1"/>
  <c r="AA244" i="5" s="1"/>
  <c r="AA250" i="5" a="1"/>
  <c r="AA250" i="5" s="1"/>
  <c r="AA257" i="5" a="1"/>
  <c r="AA257" i="5" s="1"/>
  <c r="AA263" i="5" a="1"/>
  <c r="AA263" i="5" s="1"/>
  <c r="AA271" i="5" a="1"/>
  <c r="AA271" i="5" s="1"/>
  <c r="AA278" i="5" a="1"/>
  <c r="AA278" i="5" s="1"/>
  <c r="AA285" i="5" a="1"/>
  <c r="AA285" i="5" s="1"/>
  <c r="AA291" i="5" a="1"/>
  <c r="AA291" i="5" s="1"/>
  <c r="AA298" i="5" a="1"/>
  <c r="AA298" i="5" s="1"/>
  <c r="AA306" i="5" a="1"/>
  <c r="AA306" i="5" s="1"/>
  <c r="AA313" i="5" a="1"/>
  <c r="AA313" i="5" s="1"/>
  <c r="AA319" i="5" a="1"/>
  <c r="AA319" i="5" s="1"/>
  <c r="AA333" i="5" a="1"/>
  <c r="AA333" i="5" s="1"/>
  <c r="AA341" i="5" a="1"/>
  <c r="AA341" i="5" s="1"/>
  <c r="AA347" i="5" a="1"/>
  <c r="AA347" i="5" s="1"/>
  <c r="AA353" i="5" a="1"/>
  <c r="AA353" i="5" s="1"/>
  <c r="AA366" i="5" a="1"/>
  <c r="AA366" i="5" s="1"/>
  <c r="AA372" i="5" a="1"/>
  <c r="AA372" i="5" s="1"/>
  <c r="AA12" i="5" a="1"/>
  <c r="AA12" i="5" s="1"/>
  <c r="AA18" i="5" a="1"/>
  <c r="AA18" i="5" s="1"/>
  <c r="AA25" i="5" a="1"/>
  <c r="AA25" i="5" s="1"/>
  <c r="AA31" i="5" a="1"/>
  <c r="AA31" i="5" s="1"/>
  <c r="AA38" i="5" a="1"/>
  <c r="AA38" i="5" s="1"/>
  <c r="AA46" i="5" a="1"/>
  <c r="AA46" i="5" s="1"/>
  <c r="AA60" i="5" a="1"/>
  <c r="AA60" i="5" s="1"/>
  <c r="AA66" i="5" a="1"/>
  <c r="AA66" i="5" s="1"/>
  <c r="AA73" i="5" a="1"/>
  <c r="AA73" i="5" s="1"/>
  <c r="AA81" i="5" a="1"/>
  <c r="AA81" i="5" s="1"/>
  <c r="AA87" i="5" a="1"/>
  <c r="AA87" i="5" s="1"/>
  <c r="AA100" i="5" a="1"/>
  <c r="AA100" i="5" s="1"/>
  <c r="AA107" i="5" a="1"/>
  <c r="AA107" i="5" s="1"/>
  <c r="AA114" i="5" a="1"/>
  <c r="AA114" i="5" s="1"/>
  <c r="AA121" i="5" a="1"/>
  <c r="AA121" i="5" s="1"/>
  <c r="AA127" i="5" a="1"/>
  <c r="AA127" i="5" s="1"/>
  <c r="AA134" i="5" a="1"/>
  <c r="AA134" i="5" s="1"/>
  <c r="AA142" i="5" a="1"/>
  <c r="AA142" i="5" s="1"/>
  <c r="AA149" i="5" a="1"/>
  <c r="AA149" i="5" s="1"/>
  <c r="AA155" i="5" a="1"/>
  <c r="AA155" i="5" s="1"/>
  <c r="AA168" i="5" a="1"/>
  <c r="AA168" i="5" s="1"/>
  <c r="AA176" i="5" a="1"/>
  <c r="AA176" i="5" s="1"/>
  <c r="AA182" i="5" a="1"/>
  <c r="AA182" i="5" s="1"/>
  <c r="AA189" i="5" a="1"/>
  <c r="AA189" i="5" s="1"/>
  <c r="AA195" i="5" a="1"/>
  <c r="AA195" i="5" s="1"/>
  <c r="AA202" i="5" a="1"/>
  <c r="AA202" i="5" s="1"/>
  <c r="AA210" i="5" a="1"/>
  <c r="AA210" i="5" s="1"/>
  <c r="AA217" i="5" a="1"/>
  <c r="AA217" i="5" s="1"/>
  <c r="AA223" i="5" a="1"/>
  <c r="AA223" i="5" s="1"/>
  <c r="AA237" i="5" a="1"/>
  <c r="AA237" i="5" s="1"/>
  <c r="AA245" i="5" a="1"/>
  <c r="AA245" i="5" s="1"/>
  <c r="AA251" i="5" a="1"/>
  <c r="AA251" i="5" s="1"/>
  <c r="AA264" i="5" a="1"/>
  <c r="AA264" i="5" s="1"/>
  <c r="AA272" i="5" a="1"/>
  <c r="AA272" i="5" s="1"/>
  <c r="AA279" i="5" a="1"/>
  <c r="AA279" i="5" s="1"/>
  <c r="AA292" i="5" a="1"/>
  <c r="AA292" i="5" s="1"/>
  <c r="AA299" i="5" a="1"/>
  <c r="AA299" i="5" s="1"/>
  <c r="AA307" i="5" a="1"/>
  <c r="AA307" i="5" s="1"/>
  <c r="AA320" i="5" a="1"/>
  <c r="AA320" i="5" s="1"/>
  <c r="AA326" i="5" a="1"/>
  <c r="AA326" i="5" s="1"/>
  <c r="AA334" i="5" a="1"/>
  <c r="AA334" i="5" s="1"/>
  <c r="AA348" i="5" a="1"/>
  <c r="AA348" i="5" s="1"/>
  <c r="AA354" i="5" a="1"/>
  <c r="AA354" i="5" s="1"/>
  <c r="AA360" i="5" a="1"/>
  <c r="AA360" i="5" s="1"/>
  <c r="AA367" i="5" a="1"/>
  <c r="AA367" i="5" s="1"/>
  <c r="AA373" i="5" a="1"/>
  <c r="AA373" i="5" s="1"/>
  <c r="AA380" i="5" a="1"/>
  <c r="AA380" i="5" s="1"/>
  <c r="AA388" i="5" a="1"/>
  <c r="AA388" i="5" s="1"/>
  <c r="AA396" i="5" a="1"/>
  <c r="AA396" i="5" s="1"/>
  <c r="AA404" i="5" a="1"/>
  <c r="AA404" i="5" s="1"/>
  <c r="AA412" i="5" a="1"/>
  <c r="AA412" i="5" s="1"/>
  <c r="AA420" i="5" a="1"/>
  <c r="AA420" i="5" s="1"/>
  <c r="AA428" i="5" a="1"/>
  <c r="AA428" i="5" s="1"/>
  <c r="AA436" i="5" a="1"/>
  <c r="AA436" i="5" s="1"/>
  <c r="AA444" i="5" a="1"/>
  <c r="AA444" i="5" s="1"/>
  <c r="AA452" i="5" a="1"/>
  <c r="AA452" i="5" s="1"/>
  <c r="AA460" i="5" a="1"/>
  <c r="AA460" i="5" s="1"/>
  <c r="AA468" i="5" a="1"/>
  <c r="AA468" i="5" s="1"/>
  <c r="AA476" i="5" a="1"/>
  <c r="AA476" i="5" s="1"/>
  <c r="AA484" i="5" a="1"/>
  <c r="AA484" i="5" s="1"/>
  <c r="AA492" i="5" a="1"/>
  <c r="AA492" i="5" s="1"/>
  <c r="AA500" i="5" a="1"/>
  <c r="AA500" i="5" s="1"/>
  <c r="AA508" i="5" a="1"/>
  <c r="AA508" i="5" s="1"/>
  <c r="AA516" i="5" a="1"/>
  <c r="AA516" i="5" s="1"/>
  <c r="AA524" i="5" a="1"/>
  <c r="AA524" i="5" s="1"/>
  <c r="AA532" i="5" a="1"/>
  <c r="AA532" i="5" s="1"/>
  <c r="AA540" i="5" a="1"/>
  <c r="AA540" i="5" s="1"/>
  <c r="AA548" i="5" a="1"/>
  <c r="AA548" i="5" s="1"/>
  <c r="AA556" i="5" a="1"/>
  <c r="AA556" i="5" s="1"/>
  <c r="AA13" i="5" a="1"/>
  <c r="AA13" i="5" s="1"/>
  <c r="AA19" i="5" a="1"/>
  <c r="AA19" i="5" s="1"/>
  <c r="AA32" i="5" a="1"/>
  <c r="AA32" i="5" s="1"/>
  <c r="AA39" i="5" a="1"/>
  <c r="AA39" i="5" s="1"/>
  <c r="AA47" i="5" a="1"/>
  <c r="AA47" i="5" s="1"/>
  <c r="AA54" i="5" a="1"/>
  <c r="AA54" i="5" s="1"/>
  <c r="AA61" i="5" a="1"/>
  <c r="AA61" i="5" s="1"/>
  <c r="AA67" i="5" a="1"/>
  <c r="AA67" i="5" s="1"/>
  <c r="AA74" i="5" a="1"/>
  <c r="AA74" i="5" s="1"/>
  <c r="AA88" i="5" a="1"/>
  <c r="AA88" i="5" s="1"/>
  <c r="AA94" i="5" a="1"/>
  <c r="AA94" i="5" s="1"/>
  <c r="AA101" i="5" a="1"/>
  <c r="AA101" i="5" s="1"/>
  <c r="AA108" i="5" a="1"/>
  <c r="AA108" i="5" s="1"/>
  <c r="AA115" i="5" a="1"/>
  <c r="AA115" i="5" s="1"/>
  <c r="AA128" i="5" a="1"/>
  <c r="AA128" i="5" s="1"/>
  <c r="AA135" i="5" a="1"/>
  <c r="AA135" i="5" s="1"/>
  <c r="AA143" i="5" a="1"/>
  <c r="AA143" i="5" s="1"/>
  <c r="AA156" i="5" a="1"/>
  <c r="AA156" i="5" s="1"/>
  <c r="AA162" i="5" a="1"/>
  <c r="AA162" i="5" s="1"/>
  <c r="AA169" i="5" a="1"/>
  <c r="AA169" i="5" s="1"/>
  <c r="AA177" i="5" a="1"/>
  <c r="AA177" i="5" s="1"/>
  <c r="AA183" i="5" a="1"/>
  <c r="AA183" i="5" s="1"/>
  <c r="AA196" i="5" a="1"/>
  <c r="AA196" i="5" s="1"/>
  <c r="AA203" i="5" a="1"/>
  <c r="AA203" i="5" s="1"/>
  <c r="AA211" i="5" a="1"/>
  <c r="AA211" i="5" s="1"/>
  <c r="AA224" i="5" a="1"/>
  <c r="AA224" i="5" s="1"/>
  <c r="AA230" i="5" a="1"/>
  <c r="AA230" i="5" s="1"/>
  <c r="AA238" i="5" a="1"/>
  <c r="AA238" i="5" s="1"/>
  <c r="AA252" i="5" a="1"/>
  <c r="AA252" i="5" s="1"/>
  <c r="AA258" i="5" a="1"/>
  <c r="AA258" i="5" s="1"/>
  <c r="AA265" i="5" a="1"/>
  <c r="AA265" i="5" s="1"/>
  <c r="AA273" i="5" a="1"/>
  <c r="AA273" i="5" s="1"/>
  <c r="AA280" i="5" a="1"/>
  <c r="AA280" i="5" s="1"/>
  <c r="AA286" i="5" a="1"/>
  <c r="AA286" i="5" s="1"/>
  <c r="AA293" i="5" a="1"/>
  <c r="AA293" i="5" s="1"/>
  <c r="AA300" i="5" a="1"/>
  <c r="AA300" i="5" s="1"/>
  <c r="AA308" i="5" a="1"/>
  <c r="AA308" i="5" s="1"/>
  <c r="AA314" i="5" a="1"/>
  <c r="AA314" i="5" s="1"/>
  <c r="AA321" i="5" a="1"/>
  <c r="AA321" i="5" s="1"/>
  <c r="AA327" i="5" a="1"/>
  <c r="AA327" i="5" s="1"/>
  <c r="AA335" i="5" a="1"/>
  <c r="AA335" i="5" s="1"/>
  <c r="AA342" i="5" a="1"/>
  <c r="AA342" i="5" s="1"/>
  <c r="AA349" i="5" a="1"/>
  <c r="AA349" i="5" s="1"/>
  <c r="AA355" i="5" a="1"/>
  <c r="AA355" i="5" s="1"/>
  <c r="AA361" i="5" a="1"/>
  <c r="AA361" i="5" s="1"/>
  <c r="AA374" i="5" a="1"/>
  <c r="AA374" i="5" s="1"/>
  <c r="AA381" i="5" a="1"/>
  <c r="AA381" i="5" s="1"/>
  <c r="AA389" i="5" a="1"/>
  <c r="AA389" i="5" s="1"/>
  <c r="AA397" i="5" a="1"/>
  <c r="AA397" i="5" s="1"/>
  <c r="AA405" i="5" a="1"/>
  <c r="AA405" i="5" s="1"/>
  <c r="AA413" i="5" a="1"/>
  <c r="AA413" i="5" s="1"/>
  <c r="AA421" i="5" a="1"/>
  <c r="AA421" i="5" s="1"/>
  <c r="AA429" i="5" a="1"/>
  <c r="AA429" i="5" s="1"/>
  <c r="AA437" i="5" a="1"/>
  <c r="AA437" i="5" s="1"/>
  <c r="AA445" i="5" a="1"/>
  <c r="AA445" i="5" s="1"/>
  <c r="AA453" i="5" a="1"/>
  <c r="AA453" i="5" s="1"/>
  <c r="AA461" i="5" a="1"/>
  <c r="AA461" i="5" s="1"/>
  <c r="AA469" i="5" a="1"/>
  <c r="AA469" i="5" s="1"/>
  <c r="AA477" i="5" a="1"/>
  <c r="AA477" i="5" s="1"/>
  <c r="AA485" i="5" a="1"/>
  <c r="AA485" i="5" s="1"/>
  <c r="AA493" i="5" a="1"/>
  <c r="AA493" i="5" s="1"/>
  <c r="AA501" i="5" a="1"/>
  <c r="AA501" i="5" s="1"/>
  <c r="AA509" i="5" a="1"/>
  <c r="AA509" i="5" s="1"/>
  <c r="AA517" i="5" a="1"/>
  <c r="AA517" i="5" s="1"/>
  <c r="AA20" i="5" a="1"/>
  <c r="AA20" i="5" s="1"/>
  <c r="AA26" i="5" a="1"/>
  <c r="AA26" i="5" s="1"/>
  <c r="AA33" i="5" a="1"/>
  <c r="AA33" i="5" s="1"/>
  <c r="AA40" i="5" a="1"/>
  <c r="AA40" i="5" s="1"/>
  <c r="AA48" i="5" a="1"/>
  <c r="AA48" i="5" s="1"/>
  <c r="AA55" i="5" a="1"/>
  <c r="AA55" i="5" s="1"/>
  <c r="AA68" i="5" a="1"/>
  <c r="AA68" i="5" s="1"/>
  <c r="AA75" i="5" a="1"/>
  <c r="AA75" i="5" s="1"/>
  <c r="AA82" i="5" a="1"/>
  <c r="AA82" i="5" s="1"/>
  <c r="AA89" i="5" a="1"/>
  <c r="AA89" i="5" s="1"/>
  <c r="AA95" i="5" a="1"/>
  <c r="AA95" i="5" s="1"/>
  <c r="AA109" i="5" a="1"/>
  <c r="AA109" i="5" s="1"/>
  <c r="AA116" i="5" a="1"/>
  <c r="AA116" i="5" s="1"/>
  <c r="AA122" i="5" a="1"/>
  <c r="AA122" i="5" s="1"/>
  <c r="AA129" i="5" a="1"/>
  <c r="AA129" i="5" s="1"/>
  <c r="AA136" i="5" a="1"/>
  <c r="AA136" i="5" s="1"/>
  <c r="AA144" i="5" a="1"/>
  <c r="AA144" i="5" s="1"/>
  <c r="AA150" i="5" a="1"/>
  <c r="AA150" i="5" s="1"/>
  <c r="AA157" i="5" a="1"/>
  <c r="AA157" i="5" s="1"/>
  <c r="AA163" i="5" a="1"/>
  <c r="AA163" i="5" s="1"/>
  <c r="AA170" i="5" a="1"/>
  <c r="AA170" i="5" s="1"/>
  <c r="AA184" i="5" a="1"/>
  <c r="AA184" i="5" s="1"/>
  <c r="AA190" i="5" a="1"/>
  <c r="AA190" i="5" s="1"/>
  <c r="AA197" i="5" a="1"/>
  <c r="AA197" i="5" s="1"/>
  <c r="AA204" i="5" a="1"/>
  <c r="AA204" i="5" s="1"/>
  <c r="AA212" i="5" a="1"/>
  <c r="AA212" i="5" s="1"/>
  <c r="AA218" i="5" a="1"/>
  <c r="AA218" i="5" s="1"/>
  <c r="AA225" i="5" a="1"/>
  <c r="AA225" i="5" s="1"/>
  <c r="AA231" i="5" a="1"/>
  <c r="AA231" i="5" s="1"/>
  <c r="AA239" i="5" a="1"/>
  <c r="AA239" i="5" s="1"/>
  <c r="AA246" i="5" a="1"/>
  <c r="AA246" i="5" s="1"/>
  <c r="AA253" i="5" a="1"/>
  <c r="AA253" i="5" s="1"/>
  <c r="AA259" i="5" a="1"/>
  <c r="AA259" i="5" s="1"/>
  <c r="AA266" i="5" a="1"/>
  <c r="AA266" i="5" s="1"/>
  <c r="AA274" i="5" a="1"/>
  <c r="AA274" i="5" s="1"/>
  <c r="AA281" i="5" a="1"/>
  <c r="AA281" i="5" s="1"/>
  <c r="AA287" i="5" a="1"/>
  <c r="AA287" i="5" s="1"/>
  <c r="AA301" i="5" a="1"/>
  <c r="AA301" i="5" s="1"/>
  <c r="AA309" i="5" a="1"/>
  <c r="AA309" i="5" s="1"/>
  <c r="AA315" i="5" a="1"/>
  <c r="AA315" i="5" s="1"/>
  <c r="AA328" i="5" a="1"/>
  <c r="AA328" i="5" s="1"/>
  <c r="AA336" i="5" a="1"/>
  <c r="AA336" i="5" s="1"/>
  <c r="AA343" i="5" a="1"/>
  <c r="AA343" i="5" s="1"/>
  <c r="AA362" i="5" a="1"/>
  <c r="AA362" i="5" s="1"/>
  <c r="AA368" i="5" a="1"/>
  <c r="AA368" i="5" s="1"/>
  <c r="AA375" i="5" a="1"/>
  <c r="AA375" i="5" s="1"/>
  <c r="AA382" i="5" a="1"/>
  <c r="AA382" i="5" s="1"/>
  <c r="AA390" i="5" a="1"/>
  <c r="AA390" i="5" s="1"/>
  <c r="AA398" i="5" a="1"/>
  <c r="AA398" i="5" s="1"/>
  <c r="AA406" i="5" a="1"/>
  <c r="AA406" i="5" s="1"/>
  <c r="AA414" i="5" a="1"/>
  <c r="AA414" i="5" s="1"/>
  <c r="AA422" i="5" a="1"/>
  <c r="AA422" i="5" s="1"/>
  <c r="AA430" i="5" a="1"/>
  <c r="AA430" i="5" s="1"/>
  <c r="AA438" i="5" a="1"/>
  <c r="AA438" i="5" s="1"/>
  <c r="AA446" i="5" a="1"/>
  <c r="AA446" i="5" s="1"/>
  <c r="AA454" i="5" a="1"/>
  <c r="AA454" i="5" s="1"/>
  <c r="AA462" i="5" a="1"/>
  <c r="AA462" i="5" s="1"/>
  <c r="AA470" i="5" a="1"/>
  <c r="AA470" i="5" s="1"/>
  <c r="AA478" i="5" a="1"/>
  <c r="AA478" i="5" s="1"/>
  <c r="AA486" i="5" a="1"/>
  <c r="AA486" i="5" s="1"/>
  <c r="AA494" i="5" a="1"/>
  <c r="AA494" i="5" s="1"/>
  <c r="AA502" i="5" a="1"/>
  <c r="AA502" i="5" s="1"/>
  <c r="AA510" i="5" a="1"/>
  <c r="AA510" i="5" s="1"/>
  <c r="AA518" i="5" a="1"/>
  <c r="AA518" i="5" s="1"/>
  <c r="AA526" i="5" a="1"/>
  <c r="AA526" i="5" s="1"/>
  <c r="AA534" i="5" a="1"/>
  <c r="AA534" i="5" s="1"/>
  <c r="AA542" i="5" a="1"/>
  <c r="AA542" i="5" s="1"/>
  <c r="AA550" i="5" a="1"/>
  <c r="AA550" i="5" s="1"/>
  <c r="AA558" i="5" a="1"/>
  <c r="AA558" i="5" s="1"/>
  <c r="AA566" i="5" a="1"/>
  <c r="AA566" i="5" s="1"/>
  <c r="AA574" i="5" a="1"/>
  <c r="AA574" i="5" s="1"/>
  <c r="AA582" i="5" a="1"/>
  <c r="AA582" i="5" s="1"/>
  <c r="AA590" i="5" a="1"/>
  <c r="AA590" i="5" s="1"/>
  <c r="AA598" i="5" a="1"/>
  <c r="AA598" i="5" s="1"/>
  <c r="AA606" i="5" a="1"/>
  <c r="AA606" i="5" s="1"/>
  <c r="AA614" i="5" a="1"/>
  <c r="AA614" i="5" s="1"/>
  <c r="AA622" i="5" a="1"/>
  <c r="AA622" i="5" s="1"/>
  <c r="AA3" i="5" a="1"/>
  <c r="AA3" i="5" s="1"/>
  <c r="AA627" i="5" a="1"/>
  <c r="AA627" i="5" s="1"/>
  <c r="AA618" i="5" a="1"/>
  <c r="AA618" i="5" s="1"/>
  <c r="AA604" i="5" a="1"/>
  <c r="AA604" i="5" s="1"/>
  <c r="AA591" i="5" a="1"/>
  <c r="AA591" i="5" s="1"/>
  <c r="AA579" i="5" a="1"/>
  <c r="AA579" i="5" s="1"/>
  <c r="AA563" i="5" a="1"/>
  <c r="AA563" i="5" s="1"/>
  <c r="AA541" i="5" a="1"/>
  <c r="AA541" i="5" s="1"/>
  <c r="AA519" i="5" a="1"/>
  <c r="AA519" i="5" s="1"/>
  <c r="AA487" i="5" a="1"/>
  <c r="AA487" i="5" s="1"/>
  <c r="AA455" i="5" a="1"/>
  <c r="AA455" i="5" s="1"/>
  <c r="AA423" i="5" a="1"/>
  <c r="AA423" i="5" s="1"/>
  <c r="AA391" i="5" a="1"/>
  <c r="AA391" i="5" s="1"/>
  <c r="AA350" i="5" a="1"/>
  <c r="AA350" i="5" s="1"/>
  <c r="AA294" i="5" a="1"/>
  <c r="AA294" i="5" s="1"/>
  <c r="AA240" i="5" a="1"/>
  <c r="AA240" i="5" s="1"/>
  <c r="AA185" i="5" a="1"/>
  <c r="AA185" i="5" s="1"/>
  <c r="AA76" i="5" a="1"/>
  <c r="AA76" i="5" s="1"/>
  <c r="AA21" i="5" a="1"/>
  <c r="AA21" i="5" s="1"/>
  <c r="AA8" i="5" a="1"/>
  <c r="AA8" i="5" s="1"/>
  <c r="AA626" i="5" a="1"/>
  <c r="AA626" i="5" s="1"/>
  <c r="AA615" i="5" a="1"/>
  <c r="AA615" i="5" s="1"/>
  <c r="AA603" i="5" a="1"/>
  <c r="AA603" i="5" s="1"/>
  <c r="AA589" i="5" a="1"/>
  <c r="AA589" i="5" s="1"/>
  <c r="AA575" i="5" a="1"/>
  <c r="AA575" i="5" s="1"/>
  <c r="AA559" i="5" a="1"/>
  <c r="AA559" i="5" s="1"/>
  <c r="AA539" i="5" a="1"/>
  <c r="AA539" i="5" s="1"/>
  <c r="AA515" i="5" a="1"/>
  <c r="AA515" i="5" s="1"/>
  <c r="AA483" i="5" a="1"/>
  <c r="AA483" i="5" s="1"/>
  <c r="AA451" i="5" a="1"/>
  <c r="AA451" i="5" s="1"/>
  <c r="AA419" i="5" a="1"/>
  <c r="AA419" i="5" s="1"/>
  <c r="AA387" i="5" a="1"/>
  <c r="AA387" i="5" s="1"/>
  <c r="AA344" i="5" a="1"/>
  <c r="AA344" i="5" s="1"/>
  <c r="AA288" i="5" a="1"/>
  <c r="AA288" i="5" s="1"/>
  <c r="AA232" i="5" a="1"/>
  <c r="AA232" i="5" s="1"/>
  <c r="AA178" i="5" a="1"/>
  <c r="AA178" i="5" s="1"/>
  <c r="AA123" i="5" a="1"/>
  <c r="AA123" i="5" s="1"/>
  <c r="AA69" i="5" a="1"/>
  <c r="AA69" i="5" s="1"/>
  <c r="AA14" i="5" a="1"/>
  <c r="AA14" i="5" s="1"/>
  <c r="T547" i="5"/>
  <c r="T475" i="5"/>
  <c r="T57" i="5"/>
  <c r="T74" i="5"/>
  <c r="U74" i="5" s="1"/>
  <c r="T504" i="5"/>
  <c r="U504" i="5" s="1"/>
  <c r="T464" i="5"/>
  <c r="U464" i="5" s="1"/>
  <c r="T424" i="5"/>
  <c r="U424" i="5" s="1"/>
  <c r="T392" i="5"/>
  <c r="U392" i="5" s="1"/>
  <c r="T296" i="5"/>
  <c r="T264" i="5"/>
  <c r="U264" i="5" s="1"/>
  <c r="T216" i="5"/>
  <c r="U216" i="5" s="1"/>
  <c r="T107" i="5"/>
  <c r="U107" i="5" s="1"/>
  <c r="T501" i="5"/>
  <c r="U501" i="5" s="1"/>
  <c r="T493" i="5"/>
  <c r="U493" i="5" s="1"/>
  <c r="T253" i="5"/>
  <c r="U253" i="5" s="1"/>
  <c r="T205" i="5"/>
  <c r="U205" i="5" s="1"/>
  <c r="T157" i="5"/>
  <c r="U157" i="5" s="1"/>
  <c r="T93" i="5"/>
  <c r="U93" i="5" s="1"/>
  <c r="T209" i="5"/>
  <c r="T607" i="5"/>
  <c r="U607" i="5" s="1"/>
  <c r="T511" i="5"/>
  <c r="U511" i="5" s="1"/>
  <c r="T415" i="5"/>
  <c r="U415" i="5" s="1"/>
  <c r="T383" i="5"/>
  <c r="U383" i="5" s="1"/>
  <c r="T287" i="5"/>
  <c r="U287" i="5" s="1"/>
  <c r="T153" i="5"/>
  <c r="T108" i="5"/>
  <c r="T89" i="5"/>
  <c r="U89" i="5" s="1"/>
  <c r="T510" i="5"/>
  <c r="U510" i="5" s="1"/>
  <c r="T502" i="5"/>
  <c r="U502" i="5" s="1"/>
  <c r="T414" i="5"/>
  <c r="U414" i="5" s="1"/>
  <c r="T406" i="5"/>
  <c r="U406" i="5" s="1"/>
  <c r="T382" i="5"/>
  <c r="U382" i="5" s="1"/>
  <c r="T350" i="5"/>
  <c r="U350" i="5" s="1"/>
  <c r="T286" i="5"/>
  <c r="T254" i="5"/>
  <c r="U254" i="5" s="1"/>
  <c r="T180" i="5"/>
  <c r="U180" i="5" s="1"/>
  <c r="T161" i="5"/>
  <c r="U161" i="5" s="1"/>
  <c r="T143" i="5"/>
  <c r="U143" i="5" s="1"/>
  <c r="T612" i="5"/>
  <c r="U612" i="5" s="1"/>
  <c r="T604" i="5"/>
  <c r="U604" i="5" s="1"/>
  <c r="T596" i="5"/>
  <c r="U596" i="5" s="1"/>
  <c r="T572" i="5"/>
  <c r="U572" i="5" s="1"/>
  <c r="T564" i="5"/>
  <c r="U564" i="5" s="1"/>
  <c r="T516" i="5"/>
  <c r="U516" i="5" s="1"/>
  <c r="T492" i="5"/>
  <c r="U492" i="5" s="1"/>
  <c r="T420" i="5"/>
  <c r="U420" i="5" s="1"/>
  <c r="T372" i="5"/>
  <c r="U372" i="5" s="1"/>
  <c r="T340" i="5"/>
  <c r="U340" i="5" s="1"/>
  <c r="T300" i="5"/>
  <c r="T284" i="5"/>
  <c r="U284" i="5" s="1"/>
  <c r="T204" i="5"/>
  <c r="U204" i="5" s="1"/>
  <c r="T177" i="5"/>
  <c r="U177" i="5" s="1"/>
  <c r="T141" i="5"/>
  <c r="T113" i="5"/>
  <c r="U113" i="5" s="1"/>
  <c r="T49" i="5"/>
  <c r="U49" i="5" s="1"/>
  <c r="T185" i="5"/>
  <c r="U185" i="5" s="1"/>
  <c r="T12" i="5"/>
  <c r="U12" i="5" s="1"/>
  <c r="T617" i="5"/>
  <c r="U617" i="5" s="1"/>
  <c r="T609" i="5"/>
  <c r="U609" i="5" s="1"/>
  <c r="T601" i="5"/>
  <c r="U601" i="5" s="1"/>
  <c r="T593" i="5"/>
  <c r="U593" i="5" s="1"/>
  <c r="T585" i="5"/>
  <c r="U585" i="5" s="1"/>
  <c r="T569" i="5"/>
  <c r="U569" i="5" s="1"/>
  <c r="T561" i="5"/>
  <c r="U561" i="5" s="1"/>
  <c r="T553" i="5"/>
  <c r="T529" i="5"/>
  <c r="T257" i="5"/>
  <c r="U257" i="5" s="1"/>
  <c r="T249" i="5"/>
  <c r="U249" i="5" s="1"/>
  <c r="T241" i="5"/>
  <c r="U241" i="5" s="1"/>
  <c r="T225" i="5"/>
  <c r="U225" i="5" s="1"/>
  <c r="T217" i="5"/>
  <c r="U217" i="5" s="1"/>
  <c r="T524" i="5"/>
  <c r="U524" i="5" s="1"/>
  <c r="T500" i="5"/>
  <c r="U500" i="5" s="1"/>
  <c r="T531" i="5"/>
  <c r="U531" i="5" s="1"/>
  <c r="T523" i="5"/>
  <c r="U523" i="5" s="1"/>
  <c r="T515" i="5"/>
  <c r="U515" i="5" s="1"/>
  <c r="T507" i="5"/>
  <c r="U507" i="5" s="1"/>
  <c r="T499" i="5"/>
  <c r="U499" i="5" s="1"/>
  <c r="T491" i="5"/>
  <c r="U491" i="5" s="1"/>
  <c r="U475" i="5"/>
  <c r="T467" i="5"/>
  <c r="U467" i="5" s="1"/>
  <c r="T459" i="5"/>
  <c r="U459" i="5" s="1"/>
  <c r="T451" i="5"/>
  <c r="U451" i="5" s="1"/>
  <c r="T443" i="5"/>
  <c r="U443" i="5" s="1"/>
  <c r="T427" i="5"/>
  <c r="U427" i="5" s="1"/>
  <c r="T419" i="5"/>
  <c r="U419" i="5" s="1"/>
  <c r="T411" i="5"/>
  <c r="U411" i="5" s="1"/>
  <c r="T395" i="5"/>
  <c r="U395" i="5" s="1"/>
  <c r="T387" i="5"/>
  <c r="U387" i="5" s="1"/>
  <c r="T379" i="5"/>
  <c r="U379" i="5" s="1"/>
  <c r="T363" i="5"/>
  <c r="U363" i="5" s="1"/>
  <c r="T355" i="5"/>
  <c r="U355" i="5" s="1"/>
  <c r="T347" i="5"/>
  <c r="U347" i="5" s="1"/>
  <c r="T331" i="5"/>
  <c r="U331" i="5" s="1"/>
  <c r="T323" i="5"/>
  <c r="U323" i="5" s="1"/>
  <c r="T315" i="5"/>
  <c r="U315" i="5" s="1"/>
  <c r="T299" i="5"/>
  <c r="U299" i="5" s="1"/>
  <c r="T291" i="5"/>
  <c r="U291" i="5" s="1"/>
  <c r="T283" i="5"/>
  <c r="U283" i="5" s="1"/>
  <c r="T267" i="5"/>
  <c r="U267" i="5" s="1"/>
  <c r="T259" i="5"/>
  <c r="U259" i="5" s="1"/>
  <c r="T251" i="5"/>
  <c r="U251" i="5" s="1"/>
  <c r="T243" i="5"/>
  <c r="U243" i="5" s="1"/>
  <c r="T235" i="5"/>
  <c r="U235" i="5" s="1"/>
  <c r="T227" i="5"/>
  <c r="U227" i="5" s="1"/>
  <c r="T219" i="5"/>
  <c r="U219" i="5" s="1"/>
  <c r="T211" i="5"/>
  <c r="U211" i="5" s="1"/>
  <c r="T203" i="5"/>
  <c r="U203" i="5" s="1"/>
  <c r="T195" i="5"/>
  <c r="U195" i="5" s="1"/>
  <c r="T176" i="5"/>
  <c r="U176" i="5" s="1"/>
  <c r="T158" i="5"/>
  <c r="U158" i="5" s="1"/>
  <c r="T140" i="5"/>
  <c r="U140" i="5" s="1"/>
  <c r="T112" i="5"/>
  <c r="U112" i="5" s="1"/>
  <c r="T103" i="5"/>
  <c r="U103" i="5" s="1"/>
  <c r="T76" i="5"/>
  <c r="U76" i="5" s="1"/>
  <c r="T48" i="5"/>
  <c r="U48" i="5" s="1"/>
  <c r="T39" i="5"/>
  <c r="U39" i="5" s="1"/>
  <c r="T30" i="5"/>
  <c r="U30" i="5" s="1"/>
  <c r="T627" i="5"/>
  <c r="U627" i="5" s="1"/>
  <c r="T579" i="5"/>
  <c r="U579" i="5" s="1"/>
  <c r="T435" i="5"/>
  <c r="U435" i="5" s="1"/>
  <c r="T307" i="5"/>
  <c r="U307" i="5" s="1"/>
  <c r="T67" i="5"/>
  <c r="U67" i="5" s="1"/>
  <c r="T2" i="5"/>
  <c r="U2" i="5" s="1"/>
  <c r="T10" i="5"/>
  <c r="U10" i="5" s="1"/>
  <c r="T26" i="5"/>
  <c r="U26" i="5" s="1"/>
  <c r="T34" i="5"/>
  <c r="U34" i="5" s="1"/>
  <c r="T42" i="5"/>
  <c r="U42" i="5" s="1"/>
  <c r="T50" i="5"/>
  <c r="U50" i="5" s="1"/>
  <c r="T58" i="5"/>
  <c r="U58" i="5" s="1"/>
  <c r="T66" i="5"/>
  <c r="U66" i="5" s="1"/>
  <c r="T82" i="5"/>
  <c r="U82" i="5" s="1"/>
  <c r="T90" i="5"/>
  <c r="U90" i="5" s="1"/>
  <c r="T98" i="5"/>
  <c r="U98" i="5" s="1"/>
  <c r="T106" i="5"/>
  <c r="U106" i="5" s="1"/>
  <c r="T114" i="5"/>
  <c r="U114" i="5" s="1"/>
  <c r="T122" i="5"/>
  <c r="U122" i="5" s="1"/>
  <c r="T130" i="5"/>
  <c r="U130" i="5" s="1"/>
  <c r="T138" i="5"/>
  <c r="U138" i="5" s="1"/>
  <c r="T146" i="5"/>
  <c r="U146" i="5" s="1"/>
  <c r="T154" i="5"/>
  <c r="U154" i="5" s="1"/>
  <c r="T162" i="5"/>
  <c r="U162" i="5" s="1"/>
  <c r="T170" i="5"/>
  <c r="U170" i="5" s="1"/>
  <c r="T178" i="5"/>
  <c r="U178" i="5" s="1"/>
  <c r="T186" i="5"/>
  <c r="U186" i="5"/>
  <c r="T194" i="5"/>
  <c r="U194" i="5" s="1"/>
  <c r="U610" i="5"/>
  <c r="T594" i="5"/>
  <c r="U594" i="5" s="1"/>
  <c r="T586" i="5"/>
  <c r="U586" i="5" s="1"/>
  <c r="T578" i="5"/>
  <c r="U578" i="5" s="1"/>
  <c r="T570" i="5"/>
  <c r="U570" i="5" s="1"/>
  <c r="T562" i="5"/>
  <c r="U562" i="5" s="1"/>
  <c r="T554" i="5"/>
  <c r="U554" i="5" s="1"/>
  <c r="T522" i="5"/>
  <c r="U522" i="5" s="1"/>
  <c r="T514" i="5"/>
  <c r="U514" i="5" s="1"/>
  <c r="T506" i="5"/>
  <c r="U506" i="5" s="1"/>
  <c r="T498" i="5"/>
  <c r="U498" i="5" s="1"/>
  <c r="T490" i="5"/>
  <c r="U490" i="5" s="1"/>
  <c r="T482" i="5"/>
  <c r="U482" i="5" s="1"/>
  <c r="U474" i="5"/>
  <c r="T458" i="5"/>
  <c r="U458" i="5" s="1"/>
  <c r="T450" i="5"/>
  <c r="U450" i="5" s="1"/>
  <c r="T442" i="5"/>
  <c r="U442" i="5" s="1"/>
  <c r="T434" i="5"/>
  <c r="U434" i="5" s="1"/>
  <c r="T418" i="5"/>
  <c r="U418" i="5" s="1"/>
  <c r="T410" i="5"/>
  <c r="U410" i="5" s="1"/>
  <c r="T402" i="5"/>
  <c r="U402" i="5" s="1"/>
  <c r="T386" i="5"/>
  <c r="U386" i="5" s="1"/>
  <c r="T378" i="5"/>
  <c r="U378" i="5" s="1"/>
  <c r="T370" i="5"/>
  <c r="U370" i="5" s="1"/>
  <c r="T354" i="5"/>
  <c r="U354" i="5" s="1"/>
  <c r="T346" i="5"/>
  <c r="U346" i="5" s="1"/>
  <c r="T338" i="5"/>
  <c r="U338" i="5" s="1"/>
  <c r="T322" i="5"/>
  <c r="U322" i="5" s="1"/>
  <c r="T314" i="5"/>
  <c r="U314" i="5" s="1"/>
  <c r="T306" i="5"/>
  <c r="U306" i="5" s="1"/>
  <c r="T290" i="5"/>
  <c r="U290" i="5" s="1"/>
  <c r="T282" i="5"/>
  <c r="U282" i="5" s="1"/>
  <c r="T274" i="5"/>
  <c r="U274" i="5" s="1"/>
  <c r="T258" i="5"/>
  <c r="U258" i="5" s="1"/>
  <c r="T250" i="5"/>
  <c r="U250" i="5" s="1"/>
  <c r="T242" i="5"/>
  <c r="U242" i="5" s="1"/>
  <c r="T234" i="5"/>
  <c r="U234" i="5" s="1"/>
  <c r="T226" i="5"/>
  <c r="U226" i="5" s="1"/>
  <c r="T218" i="5"/>
  <c r="U218" i="5" s="1"/>
  <c r="T210" i="5"/>
  <c r="U210" i="5" s="1"/>
  <c r="T202" i="5"/>
  <c r="U202" i="5" s="1"/>
  <c r="T184" i="5"/>
  <c r="U184" i="5" s="1"/>
  <c r="T175" i="5"/>
  <c r="U175" i="5" s="1"/>
  <c r="T166" i="5"/>
  <c r="U166" i="5" s="1"/>
  <c r="T148" i="5"/>
  <c r="U148" i="5" s="1"/>
  <c r="T139" i="5"/>
  <c r="U139" i="5" s="1"/>
  <c r="T111" i="5"/>
  <c r="U111" i="5" s="1"/>
  <c r="T102" i="5"/>
  <c r="U102" i="5" s="1"/>
  <c r="T75" i="5"/>
  <c r="U75" i="5" s="1"/>
  <c r="T56" i="5"/>
  <c r="U56" i="5" s="1"/>
  <c r="T47" i="5"/>
  <c r="U47" i="5" s="1"/>
  <c r="T38" i="5"/>
  <c r="U38" i="5" s="1"/>
  <c r="T626" i="5"/>
  <c r="U626" i="5" s="1"/>
  <c r="T603" i="5"/>
  <c r="U603" i="5" s="1"/>
  <c r="T539" i="5"/>
  <c r="U539" i="5" s="1"/>
  <c r="T466" i="5"/>
  <c r="U466" i="5" s="1"/>
  <c r="T426" i="5"/>
  <c r="U426" i="5" s="1"/>
  <c r="T298" i="5"/>
  <c r="U298" i="5" s="1"/>
  <c r="T532" i="5"/>
  <c r="U532" i="5" s="1"/>
  <c r="T508" i="5"/>
  <c r="U508" i="5" s="1"/>
  <c r="T476" i="5"/>
  <c r="U476" i="5" s="1"/>
  <c r="T460" i="5"/>
  <c r="U460" i="5" s="1"/>
  <c r="T444" i="5"/>
  <c r="U444" i="5" s="1"/>
  <c r="T428" i="5"/>
  <c r="U428" i="5" s="1"/>
  <c r="T388" i="5"/>
  <c r="U388" i="5" s="1"/>
  <c r="T380" i="5"/>
  <c r="U380" i="5" s="1"/>
  <c r="T364" i="5"/>
  <c r="U364" i="5" s="1"/>
  <c r="T324" i="5"/>
  <c r="U324" i="5" s="1"/>
  <c r="T292" i="5"/>
  <c r="U292" i="5" s="1"/>
  <c r="T260" i="5"/>
  <c r="U260" i="5" s="1"/>
  <c r="T244" i="5"/>
  <c r="U244" i="5" s="1"/>
  <c r="T236" i="5"/>
  <c r="U236" i="5" s="1"/>
  <c r="T220" i="5"/>
  <c r="U220" i="5" s="1"/>
  <c r="T212" i="5"/>
  <c r="U212" i="5" s="1"/>
  <c r="T196" i="5"/>
  <c r="U196" i="5" s="1"/>
  <c r="T159" i="5"/>
  <c r="U159" i="5" s="1"/>
  <c r="T86" i="5"/>
  <c r="U86" i="5" s="1"/>
  <c r="T59" i="5"/>
  <c r="U59" i="5" s="1"/>
  <c r="T31" i="5"/>
  <c r="U31" i="5" s="1"/>
  <c r="T548" i="5"/>
  <c r="U548" i="5" s="1"/>
  <c r="T308" i="5"/>
  <c r="U308" i="5" s="1"/>
  <c r="U547" i="5"/>
  <c r="T546" i="5"/>
  <c r="U546" i="5" s="1"/>
  <c r="T192" i="5"/>
  <c r="U192" i="5" s="1"/>
  <c r="T183" i="5"/>
  <c r="U183" i="5" s="1"/>
  <c r="T174" i="5"/>
  <c r="U174" i="5" s="1"/>
  <c r="T156" i="5"/>
  <c r="U156" i="5" s="1"/>
  <c r="T147" i="5"/>
  <c r="U147" i="5" s="1"/>
  <c r="T128" i="5"/>
  <c r="U128" i="5" s="1"/>
  <c r="T119" i="5"/>
  <c r="U119" i="5" s="1"/>
  <c r="T110" i="5"/>
  <c r="U110" i="5" s="1"/>
  <c r="T92" i="5"/>
  <c r="U92" i="5" s="1"/>
  <c r="T83" i="5"/>
  <c r="U83" i="5" s="1"/>
  <c r="T64" i="5"/>
  <c r="U64" i="5" s="1"/>
  <c r="T55" i="5"/>
  <c r="U55" i="5" s="1"/>
  <c r="T46" i="5"/>
  <c r="U46" i="5" s="1"/>
  <c r="T28" i="5"/>
  <c r="U28" i="5" s="1"/>
  <c r="T620" i="5"/>
  <c r="U620" i="5" s="1"/>
  <c r="T571" i="5"/>
  <c r="U571" i="5" s="1"/>
  <c r="T538" i="5"/>
  <c r="U538" i="5" s="1"/>
  <c r="T339" i="5"/>
  <c r="U339" i="5" s="1"/>
  <c r="T168" i="5"/>
  <c r="U168" i="5" s="1"/>
  <c r="T132" i="5"/>
  <c r="U132" i="5" s="1"/>
  <c r="T95" i="5"/>
  <c r="U95" i="5" s="1"/>
  <c r="T632" i="5"/>
  <c r="T624" i="5"/>
  <c r="U624" i="5" s="1"/>
  <c r="T616" i="5"/>
  <c r="U616" i="5" s="1"/>
  <c r="T608" i="5"/>
  <c r="U608" i="5" s="1"/>
  <c r="T600" i="5"/>
  <c r="U600" i="5" s="1"/>
  <c r="T592" i="5"/>
  <c r="U592" i="5" s="1"/>
  <c r="T584" i="5"/>
  <c r="U584" i="5" s="1"/>
  <c r="T576" i="5"/>
  <c r="U576" i="5" s="1"/>
  <c r="T568" i="5"/>
  <c r="U568" i="5" s="1"/>
  <c r="T560" i="5"/>
  <c r="U560" i="5" s="1"/>
  <c r="T552" i="5"/>
  <c r="U552" i="5" s="1"/>
  <c r="T544" i="5"/>
  <c r="U544" i="5" s="1"/>
  <c r="T536" i="5"/>
  <c r="U536" i="5" s="1"/>
  <c r="T512" i="5"/>
  <c r="U512" i="5" s="1"/>
  <c r="T496" i="5"/>
  <c r="U496" i="5" s="1"/>
  <c r="T488" i="5"/>
  <c r="U488" i="5" s="1"/>
  <c r="T480" i="5"/>
  <c r="U480" i="5" s="1"/>
  <c r="T472" i="5"/>
  <c r="U472" i="5" s="1"/>
  <c r="T448" i="5"/>
  <c r="U448" i="5" s="1"/>
  <c r="T440" i="5"/>
  <c r="U440" i="5" s="1"/>
  <c r="T432" i="5"/>
  <c r="U432" i="5" s="1"/>
  <c r="T416" i="5"/>
  <c r="U416" i="5" s="1"/>
  <c r="T408" i="5"/>
  <c r="U408" i="5" s="1"/>
  <c r="T400" i="5"/>
  <c r="U400" i="5" s="1"/>
  <c r="T384" i="5"/>
  <c r="U384" i="5" s="1"/>
  <c r="T376" i="5"/>
  <c r="U376" i="5" s="1"/>
  <c r="T368" i="5"/>
  <c r="U368" i="5" s="1"/>
  <c r="T352" i="5"/>
  <c r="U352" i="5" s="1"/>
  <c r="T344" i="5"/>
  <c r="U344" i="5" s="1"/>
  <c r="T336" i="5"/>
  <c r="U336" i="5" s="1"/>
  <c r="T320" i="5"/>
  <c r="U320" i="5" s="1"/>
  <c r="T312" i="5"/>
  <c r="U312" i="5" s="1"/>
  <c r="T304" i="5"/>
  <c r="U304" i="5" s="1"/>
  <c r="U296" i="5"/>
  <c r="T288" i="5"/>
  <c r="U288" i="5" s="1"/>
  <c r="T280" i="5"/>
  <c r="U280" i="5" s="1"/>
  <c r="T272" i="5"/>
  <c r="U272" i="5" s="1"/>
  <c r="T256" i="5"/>
  <c r="U256" i="5" s="1"/>
  <c r="T248" i="5"/>
  <c r="U248" i="5" s="1"/>
  <c r="T232" i="5"/>
  <c r="U232" i="5" s="1"/>
  <c r="T224" i="5"/>
  <c r="U224" i="5" s="1"/>
  <c r="T208" i="5"/>
  <c r="U208" i="5" s="1"/>
  <c r="T200" i="5"/>
  <c r="U200" i="5" s="1"/>
  <c r="T182" i="5"/>
  <c r="U182" i="5" s="1"/>
  <c r="T164" i="5"/>
  <c r="U164" i="5" s="1"/>
  <c r="T136" i="5"/>
  <c r="U136" i="5" s="1"/>
  <c r="T127" i="5"/>
  <c r="U127" i="5" s="1"/>
  <c r="T100" i="5"/>
  <c r="U100" i="5" s="1"/>
  <c r="T91" i="5"/>
  <c r="U91" i="5" s="1"/>
  <c r="T72" i="5"/>
  <c r="U72" i="5" s="1"/>
  <c r="T63" i="5"/>
  <c r="U63" i="5" s="1"/>
  <c r="T54" i="5"/>
  <c r="U54" i="5" s="1"/>
  <c r="T36" i="5"/>
  <c r="U36" i="5" s="1"/>
  <c r="T8" i="5"/>
  <c r="U8" i="5" s="1"/>
  <c r="T619" i="5"/>
  <c r="U619" i="5" s="1"/>
  <c r="T530" i="5"/>
  <c r="U530" i="5" s="1"/>
  <c r="T456" i="5"/>
  <c r="U456" i="5" s="1"/>
  <c r="T330" i="5"/>
  <c r="U330" i="5" s="1"/>
  <c r="T167" i="5"/>
  <c r="U167" i="5" s="1"/>
  <c r="T131" i="5"/>
  <c r="U131" i="5" s="1"/>
  <c r="T94" i="5"/>
  <c r="U94" i="5" s="1"/>
  <c r="T631" i="5"/>
  <c r="U631" i="5" s="1"/>
  <c r="T623" i="5"/>
  <c r="U623" i="5" s="1"/>
  <c r="T615" i="5"/>
  <c r="U615" i="5" s="1"/>
  <c r="T599" i="5"/>
  <c r="U599" i="5" s="1"/>
  <c r="T591" i="5"/>
  <c r="U591" i="5" s="1"/>
  <c r="T583" i="5"/>
  <c r="U583" i="5" s="1"/>
  <c r="T575" i="5"/>
  <c r="U575" i="5" s="1"/>
  <c r="T567" i="5"/>
  <c r="U567" i="5" s="1"/>
  <c r="T559" i="5"/>
  <c r="U559" i="5" s="1"/>
  <c r="T551" i="5"/>
  <c r="U551" i="5" s="1"/>
  <c r="T543" i="5"/>
  <c r="U543" i="5" s="1"/>
  <c r="T535" i="5"/>
  <c r="U535" i="5" s="1"/>
  <c r="T527" i="5"/>
  <c r="U527" i="5" s="1"/>
  <c r="T503" i="5"/>
  <c r="U503" i="5" s="1"/>
  <c r="T495" i="5"/>
  <c r="U495" i="5" s="1"/>
  <c r="T487" i="5"/>
  <c r="U487" i="5" s="1"/>
  <c r="T479" i="5"/>
  <c r="U479" i="5" s="1"/>
  <c r="T471" i="5"/>
  <c r="U471" i="5" s="1"/>
  <c r="T463" i="5"/>
  <c r="U463" i="5" s="1"/>
  <c r="T439" i="5"/>
  <c r="U439" i="5" s="1"/>
  <c r="T431" i="5"/>
  <c r="U431" i="5" s="1"/>
  <c r="T423" i="5"/>
  <c r="U423" i="5" s="1"/>
  <c r="T407" i="5"/>
  <c r="U407" i="5" s="1"/>
  <c r="T399" i="5"/>
  <c r="U399" i="5" s="1"/>
  <c r="T391" i="5"/>
  <c r="U391" i="5" s="1"/>
  <c r="T375" i="5"/>
  <c r="U375" i="5" s="1"/>
  <c r="T367" i="5"/>
  <c r="U367" i="5" s="1"/>
  <c r="T359" i="5"/>
  <c r="U359" i="5" s="1"/>
  <c r="U351" i="5"/>
  <c r="T343" i="5"/>
  <c r="U343" i="5" s="1"/>
  <c r="T335" i="5"/>
  <c r="U335" i="5" s="1"/>
  <c r="T327" i="5"/>
  <c r="U327" i="5" s="1"/>
  <c r="T311" i="5"/>
  <c r="U311" i="5" s="1"/>
  <c r="T303" i="5"/>
  <c r="U303" i="5" s="1"/>
  <c r="T295" i="5"/>
  <c r="U295" i="5" s="1"/>
  <c r="T279" i="5"/>
  <c r="U279" i="5" s="1"/>
  <c r="T271" i="5"/>
  <c r="U271" i="5" s="1"/>
  <c r="T263" i="5"/>
  <c r="U263" i="5" s="1"/>
  <c r="T255" i="5"/>
  <c r="U255" i="5" s="1"/>
  <c r="T247" i="5"/>
  <c r="U247" i="5" s="1"/>
  <c r="T239" i="5"/>
  <c r="U239" i="5" s="1"/>
  <c r="T231" i="5"/>
  <c r="U231" i="5" s="1"/>
  <c r="T223" i="5"/>
  <c r="U223" i="5" s="1"/>
  <c r="T215" i="5"/>
  <c r="U215" i="5" s="1"/>
  <c r="T207" i="5"/>
  <c r="U207" i="5" s="1"/>
  <c r="T199" i="5"/>
  <c r="U199" i="5" s="1"/>
  <c r="T190" i="5"/>
  <c r="U190" i="5" s="1"/>
  <c r="T172" i="5"/>
  <c r="U172" i="5" s="1"/>
  <c r="T163" i="5"/>
  <c r="U163" i="5" s="1"/>
  <c r="U144" i="5"/>
  <c r="T135" i="5"/>
  <c r="U135" i="5" s="1"/>
  <c r="T126" i="5"/>
  <c r="U126" i="5" s="1"/>
  <c r="U108" i="5"/>
  <c r="T99" i="5"/>
  <c r="U99" i="5" s="1"/>
  <c r="T71" i="5"/>
  <c r="U71" i="5" s="1"/>
  <c r="T62" i="5"/>
  <c r="U62" i="5" s="1"/>
  <c r="T44" i="5"/>
  <c r="U44" i="5" s="1"/>
  <c r="T16" i="5"/>
  <c r="U16" i="5" s="1"/>
  <c r="T7" i="5"/>
  <c r="U7" i="5" s="1"/>
  <c r="T618" i="5"/>
  <c r="U618" i="5" s="1"/>
  <c r="T595" i="5"/>
  <c r="U595" i="5" s="1"/>
  <c r="T563" i="5"/>
  <c r="U563" i="5" s="1"/>
  <c r="T528" i="5"/>
  <c r="U528" i="5" s="1"/>
  <c r="T455" i="5"/>
  <c r="U455" i="5" s="1"/>
  <c r="T371" i="5"/>
  <c r="U371" i="5" s="1"/>
  <c r="T328" i="5"/>
  <c r="U328" i="5" s="1"/>
  <c r="T240" i="5"/>
  <c r="U240" i="5" s="1"/>
  <c r="T622" i="5"/>
  <c r="U622" i="5" s="1"/>
  <c r="T614" i="5"/>
  <c r="U614" i="5" s="1"/>
  <c r="T606" i="5"/>
  <c r="U606" i="5" s="1"/>
  <c r="T598" i="5"/>
  <c r="U598" i="5" s="1"/>
  <c r="T590" i="5"/>
  <c r="U590" i="5" s="1"/>
  <c r="T582" i="5"/>
  <c r="U582" i="5" s="1"/>
  <c r="T574" i="5"/>
  <c r="U574" i="5" s="1"/>
  <c r="T566" i="5"/>
  <c r="U566" i="5" s="1"/>
  <c r="T558" i="5"/>
  <c r="U558" i="5" s="1"/>
  <c r="T550" i="5"/>
  <c r="U550" i="5" s="1"/>
  <c r="T542" i="5"/>
  <c r="U542" i="5" s="1"/>
  <c r="T534" i="5"/>
  <c r="U534" i="5" s="1"/>
  <c r="T526" i="5"/>
  <c r="U526" i="5" s="1"/>
  <c r="T518" i="5"/>
  <c r="U518" i="5" s="1"/>
  <c r="T494" i="5"/>
  <c r="U494" i="5" s="1"/>
  <c r="T486" i="5"/>
  <c r="U486" i="5" s="1"/>
  <c r="T478" i="5"/>
  <c r="U478" i="5" s="1"/>
  <c r="T470" i="5"/>
  <c r="U470" i="5" s="1"/>
  <c r="T462" i="5"/>
  <c r="U462" i="5" s="1"/>
  <c r="T454" i="5"/>
  <c r="U454" i="5" s="1"/>
  <c r="T438" i="5"/>
  <c r="U438" i="5" s="1"/>
  <c r="T430" i="5"/>
  <c r="U430" i="5" s="1"/>
  <c r="T398" i="5"/>
  <c r="U398" i="5" s="1"/>
  <c r="T390" i="5"/>
  <c r="U390" i="5" s="1"/>
  <c r="T374" i="5"/>
  <c r="U374" i="5" s="1"/>
  <c r="T366" i="5"/>
  <c r="U366" i="5" s="1"/>
  <c r="T358" i="5"/>
  <c r="U358" i="5" s="1"/>
  <c r="T342" i="5"/>
  <c r="U342" i="5" s="1"/>
  <c r="T334" i="5"/>
  <c r="U334" i="5" s="1"/>
  <c r="T326" i="5"/>
  <c r="U326" i="5" s="1"/>
  <c r="T310" i="5"/>
  <c r="U310" i="5" s="1"/>
  <c r="T302" i="5"/>
  <c r="U302" i="5" s="1"/>
  <c r="T294" i="5"/>
  <c r="U294" i="5" s="1"/>
  <c r="U286" i="5"/>
  <c r="T278" i="5"/>
  <c r="U278" i="5" s="1"/>
  <c r="T270" i="5"/>
  <c r="U270" i="5" s="1"/>
  <c r="T262" i="5"/>
  <c r="U262" i="5" s="1"/>
  <c r="T246" i="5"/>
  <c r="U246" i="5" s="1"/>
  <c r="T238" i="5"/>
  <c r="U238" i="5" s="1"/>
  <c r="T222" i="5"/>
  <c r="U222" i="5" s="1"/>
  <c r="T214" i="5"/>
  <c r="U214" i="5" s="1"/>
  <c r="T206" i="5"/>
  <c r="U206" i="5" s="1"/>
  <c r="T198" i="5"/>
  <c r="U198" i="5" s="1"/>
  <c r="T171" i="5"/>
  <c r="U171" i="5" s="1"/>
  <c r="T152" i="5"/>
  <c r="U152" i="5" s="1"/>
  <c r="T134" i="5"/>
  <c r="U134" i="5" s="1"/>
  <c r="T116" i="5"/>
  <c r="U116" i="5" s="1"/>
  <c r="T88" i="5"/>
  <c r="U88" i="5" s="1"/>
  <c r="T79" i="5"/>
  <c r="U79" i="5" s="1"/>
  <c r="T70" i="5"/>
  <c r="U70" i="5" s="1"/>
  <c r="T52" i="5"/>
  <c r="U52" i="5" s="1"/>
  <c r="T43" i="5"/>
  <c r="U43" i="5" s="1"/>
  <c r="T24" i="5"/>
  <c r="U24" i="5" s="1"/>
  <c r="T15" i="5"/>
  <c r="U15" i="5" s="1"/>
  <c r="T6" i="5"/>
  <c r="U6" i="5" s="1"/>
  <c r="T588" i="5"/>
  <c r="U588" i="5" s="1"/>
  <c r="T556" i="5"/>
  <c r="U556" i="5" s="1"/>
  <c r="T520" i="5"/>
  <c r="U520" i="5" s="1"/>
  <c r="T484" i="5"/>
  <c r="U484" i="5" s="1"/>
  <c r="T447" i="5"/>
  <c r="U447" i="5" s="1"/>
  <c r="T404" i="5"/>
  <c r="U404" i="5" s="1"/>
  <c r="T362" i="5"/>
  <c r="U362" i="5" s="1"/>
  <c r="T319" i="5"/>
  <c r="U319" i="5" s="1"/>
  <c r="T276" i="5"/>
  <c r="U276" i="5" s="1"/>
  <c r="T230" i="5"/>
  <c r="U230" i="5" s="1"/>
  <c r="T191" i="5"/>
  <c r="U191" i="5" s="1"/>
  <c r="T120" i="5"/>
  <c r="U120" i="5" s="1"/>
  <c r="T84" i="5"/>
  <c r="U84" i="5" s="1"/>
  <c r="U300" i="5"/>
  <c r="T540" i="5"/>
  <c r="U540" i="5" s="1"/>
  <c r="T468" i="5"/>
  <c r="U468" i="5" s="1"/>
  <c r="T452" i="5"/>
  <c r="U452" i="5" s="1"/>
  <c r="T412" i="5"/>
  <c r="U412" i="5" s="1"/>
  <c r="T396" i="5"/>
  <c r="U396" i="5" s="1"/>
  <c r="T356" i="5"/>
  <c r="U356" i="5" s="1"/>
  <c r="T348" i="5"/>
  <c r="U348" i="5" s="1"/>
  <c r="T332" i="5"/>
  <c r="U332" i="5" s="1"/>
  <c r="T316" i="5"/>
  <c r="U316" i="5" s="1"/>
  <c r="T268" i="5"/>
  <c r="U268" i="5" s="1"/>
  <c r="T252" i="5"/>
  <c r="U252" i="5" s="1"/>
  <c r="T187" i="5"/>
  <c r="U187" i="5" s="1"/>
  <c r="T150" i="5"/>
  <c r="U150" i="5" s="1"/>
  <c r="T123" i="5"/>
  <c r="U123" i="5" s="1"/>
  <c r="T104" i="5"/>
  <c r="U104" i="5" s="1"/>
  <c r="U68" i="5"/>
  <c r="T40" i="5"/>
  <c r="U40" i="5" s="1"/>
  <c r="T22" i="5"/>
  <c r="U22" i="5" s="1"/>
  <c r="T628" i="5"/>
  <c r="U628" i="5" s="1"/>
  <c r="T580" i="5"/>
  <c r="U580" i="5" s="1"/>
  <c r="T436" i="5"/>
  <c r="U436" i="5" s="1"/>
  <c r="T68" i="5"/>
  <c r="T630" i="5"/>
  <c r="U630" i="5" s="1"/>
  <c r="T422" i="5"/>
  <c r="U422" i="5" s="1"/>
  <c r="T629" i="5"/>
  <c r="U629" i="5" s="1"/>
  <c r="T621" i="5"/>
  <c r="U621" i="5" s="1"/>
  <c r="T613" i="5"/>
  <c r="U613" i="5" s="1"/>
  <c r="T605" i="5"/>
  <c r="U605" i="5" s="1"/>
  <c r="T597" i="5"/>
  <c r="U597" i="5" s="1"/>
  <c r="T589" i="5"/>
  <c r="U589" i="5" s="1"/>
  <c r="T581" i="5"/>
  <c r="U581" i="5" s="1"/>
  <c r="T573" i="5"/>
  <c r="U573" i="5" s="1"/>
  <c r="T565" i="5"/>
  <c r="U565" i="5" s="1"/>
  <c r="T557" i="5"/>
  <c r="U557" i="5" s="1"/>
  <c r="T549" i="5"/>
  <c r="U549" i="5" s="1"/>
  <c r="T541" i="5"/>
  <c r="U541" i="5" s="1"/>
  <c r="T533" i="5"/>
  <c r="U533" i="5" s="1"/>
  <c r="T525" i="5"/>
  <c r="U525" i="5" s="1"/>
  <c r="T517" i="5"/>
  <c r="U517" i="5" s="1"/>
  <c r="T509" i="5"/>
  <c r="U509" i="5" s="1"/>
  <c r="T485" i="5"/>
  <c r="U485" i="5" s="1"/>
  <c r="T477" i="5"/>
  <c r="U477" i="5" s="1"/>
  <c r="T469" i="5"/>
  <c r="U469" i="5" s="1"/>
  <c r="T461" i="5"/>
  <c r="U461" i="5" s="1"/>
  <c r="T453" i="5"/>
  <c r="U453" i="5" s="1"/>
  <c r="T445" i="5"/>
  <c r="U445" i="5" s="1"/>
  <c r="T437" i="5"/>
  <c r="U437" i="5" s="1"/>
  <c r="T429" i="5"/>
  <c r="U429" i="5" s="1"/>
  <c r="T421" i="5"/>
  <c r="U421" i="5" s="1"/>
  <c r="T413" i="5"/>
  <c r="U413" i="5" s="1"/>
  <c r="T405" i="5"/>
  <c r="U405" i="5" s="1"/>
  <c r="T188" i="5"/>
  <c r="U188" i="5" s="1"/>
  <c r="T179" i="5"/>
  <c r="U179" i="5" s="1"/>
  <c r="T160" i="5"/>
  <c r="U160" i="5" s="1"/>
  <c r="T151" i="5"/>
  <c r="U151" i="5" s="1"/>
  <c r="T142" i="5"/>
  <c r="U142" i="5" s="1"/>
  <c r="T124" i="5"/>
  <c r="U124" i="5" s="1"/>
  <c r="T115" i="5"/>
  <c r="U115" i="5" s="1"/>
  <c r="T96" i="5"/>
  <c r="U96" i="5" s="1"/>
  <c r="T87" i="5"/>
  <c r="U87" i="5" s="1"/>
  <c r="T78" i="5"/>
  <c r="U78" i="5" s="1"/>
  <c r="T60" i="5"/>
  <c r="U60" i="5" s="1"/>
  <c r="T51" i="5"/>
  <c r="U51" i="5" s="1"/>
  <c r="T32" i="5"/>
  <c r="U32" i="5" s="1"/>
  <c r="T23" i="5"/>
  <c r="U23" i="5" s="1"/>
  <c r="T14" i="5"/>
  <c r="U14" i="5" s="1"/>
  <c r="T611" i="5"/>
  <c r="U611" i="5" s="1"/>
  <c r="T587" i="5"/>
  <c r="U587" i="5" s="1"/>
  <c r="T555" i="5"/>
  <c r="U555" i="5" s="1"/>
  <c r="T519" i="5"/>
  <c r="U519" i="5" s="1"/>
  <c r="T483" i="5"/>
  <c r="U483" i="5" s="1"/>
  <c r="T446" i="5"/>
  <c r="U446" i="5" s="1"/>
  <c r="T403" i="5"/>
  <c r="U403" i="5" s="1"/>
  <c r="T360" i="5"/>
  <c r="U360" i="5" s="1"/>
  <c r="T318" i="5"/>
  <c r="U318" i="5" s="1"/>
  <c r="T275" i="5"/>
  <c r="U275" i="5" s="1"/>
  <c r="T228" i="5"/>
  <c r="U228" i="5" s="1"/>
  <c r="T155" i="5"/>
  <c r="U155" i="5" s="1"/>
  <c r="T118" i="5"/>
  <c r="U118" i="5" s="1"/>
  <c r="T80" i="5"/>
  <c r="U80" i="5" s="1"/>
  <c r="T18" i="5"/>
  <c r="U18" i="5" s="1"/>
  <c r="T397" i="5"/>
  <c r="U397" i="5" s="1"/>
  <c r="T389" i="5"/>
  <c r="U389" i="5" s="1"/>
  <c r="T381" i="5"/>
  <c r="U381" i="5" s="1"/>
  <c r="T373" i="5"/>
  <c r="U373" i="5" s="1"/>
  <c r="T365" i="5"/>
  <c r="U365" i="5" s="1"/>
  <c r="T357" i="5"/>
  <c r="U357" i="5" s="1"/>
  <c r="T349" i="5"/>
  <c r="U349" i="5" s="1"/>
  <c r="T341" i="5"/>
  <c r="U341" i="5" s="1"/>
  <c r="T333" i="5"/>
  <c r="U333" i="5" s="1"/>
  <c r="T325" i="5"/>
  <c r="U325" i="5" s="1"/>
  <c r="T317" i="5"/>
  <c r="U317" i="5" s="1"/>
  <c r="T309" i="5"/>
  <c r="U309" i="5" s="1"/>
  <c r="T301" i="5"/>
  <c r="U301" i="5" s="1"/>
  <c r="T293" i="5"/>
  <c r="U293" i="5" s="1"/>
  <c r="T285" i="5"/>
  <c r="U285" i="5" s="1"/>
  <c r="T277" i="5"/>
  <c r="U277" i="5" s="1"/>
  <c r="T269" i="5"/>
  <c r="U269" i="5" s="1"/>
  <c r="T261" i="5"/>
  <c r="U261" i="5" s="1"/>
  <c r="T229" i="5"/>
  <c r="U229" i="5" s="1"/>
  <c r="T197" i="5"/>
  <c r="U197" i="5" s="1"/>
  <c r="T165" i="5"/>
  <c r="U165" i="5" s="1"/>
  <c r="U141" i="5"/>
  <c r="T133" i="5"/>
  <c r="U133" i="5" s="1"/>
  <c r="U117" i="5"/>
  <c r="T101" i="5"/>
  <c r="U101" i="5" s="1"/>
  <c r="T69" i="5"/>
  <c r="U69" i="5" s="1"/>
  <c r="U53" i="5"/>
  <c r="T45" i="5"/>
  <c r="U45" i="5" s="1"/>
  <c r="T29" i="5"/>
  <c r="U29" i="5" s="1"/>
  <c r="T21" i="5"/>
  <c r="U21" i="5" s="1"/>
  <c r="T13" i="5"/>
  <c r="U13" i="5" s="1"/>
  <c r="T5" i="5"/>
  <c r="U5" i="5" s="1"/>
  <c r="T625" i="5"/>
  <c r="U625" i="5" s="1"/>
  <c r="T577" i="5"/>
  <c r="U577" i="5" s="1"/>
  <c r="T237" i="5"/>
  <c r="U237" i="5" s="1"/>
  <c r="T213" i="5"/>
  <c r="U213" i="5" s="1"/>
  <c r="T189" i="5"/>
  <c r="U189" i="5" s="1"/>
  <c r="T77" i="5"/>
  <c r="U77" i="5" s="1"/>
  <c r="T20" i="5"/>
  <c r="U20" i="5" s="1"/>
  <c r="T4" i="5"/>
  <c r="U4" i="5" s="1"/>
  <c r="T61" i="5"/>
  <c r="U61" i="5" s="1"/>
  <c r="T35" i="5"/>
  <c r="U35" i="5" s="1"/>
  <c r="T27" i="5"/>
  <c r="U27" i="5" s="1"/>
  <c r="T19" i="5"/>
  <c r="U19" i="5" s="1"/>
  <c r="T11" i="5"/>
  <c r="U11" i="5" s="1"/>
  <c r="T3" i="5"/>
  <c r="U3" i="5" s="1"/>
  <c r="T173" i="5"/>
  <c r="U173" i="5" s="1"/>
  <c r="T149" i="5"/>
  <c r="U149" i="5" s="1"/>
  <c r="T125" i="5"/>
  <c r="U125" i="5" s="1"/>
  <c r="T37" i="5"/>
  <c r="U37" i="5" s="1"/>
  <c r="T245" i="5"/>
  <c r="U245" i="5" s="1"/>
  <c r="T221" i="5"/>
  <c r="U221" i="5" s="1"/>
  <c r="U553" i="5"/>
  <c r="T545" i="5"/>
  <c r="U545" i="5" s="1"/>
  <c r="T537" i="5"/>
  <c r="U537" i="5" s="1"/>
  <c r="T521" i="5"/>
  <c r="U521" i="5" s="1"/>
  <c r="T513" i="5"/>
  <c r="U513" i="5" s="1"/>
  <c r="T505" i="5"/>
  <c r="U505" i="5"/>
  <c r="T497" i="5"/>
  <c r="U497" i="5" s="1"/>
  <c r="T489" i="5"/>
  <c r="U489" i="5" s="1"/>
  <c r="T481" i="5"/>
  <c r="U481" i="5" s="1"/>
  <c r="T473" i="5"/>
  <c r="U473" i="5" s="1"/>
  <c r="T465" i="5"/>
  <c r="U465" i="5" s="1"/>
  <c r="T457" i="5"/>
  <c r="U457" i="5" s="1"/>
  <c r="T449" i="5"/>
  <c r="U449" i="5" s="1"/>
  <c r="T441" i="5"/>
  <c r="U441" i="5" s="1"/>
  <c r="T433" i="5"/>
  <c r="U433" i="5" s="1"/>
  <c r="T425" i="5"/>
  <c r="U425" i="5" s="1"/>
  <c r="T417" i="5"/>
  <c r="U417" i="5" s="1"/>
  <c r="T409" i="5"/>
  <c r="U409" i="5" s="1"/>
  <c r="T401" i="5"/>
  <c r="U401" i="5" s="1"/>
  <c r="T393" i="5"/>
  <c r="U393" i="5" s="1"/>
  <c r="T385" i="5"/>
  <c r="U385" i="5" s="1"/>
  <c r="T377" i="5"/>
  <c r="U377" i="5" s="1"/>
  <c r="T369" i="5"/>
  <c r="U369" i="5" s="1"/>
  <c r="T361" i="5"/>
  <c r="U361" i="5" s="1"/>
  <c r="T353" i="5"/>
  <c r="U353" i="5" s="1"/>
  <c r="T345" i="5"/>
  <c r="U345" i="5" s="1"/>
  <c r="T337" i="5"/>
  <c r="U337" i="5" s="1"/>
  <c r="T329" i="5"/>
  <c r="U329" i="5" s="1"/>
  <c r="T321" i="5"/>
  <c r="U321" i="5" s="1"/>
  <c r="T313" i="5"/>
  <c r="U313" i="5" s="1"/>
  <c r="T305" i="5"/>
  <c r="U305" i="5" s="1"/>
  <c r="T297" i="5"/>
  <c r="U297" i="5" s="1"/>
  <c r="T289" i="5"/>
  <c r="U289" i="5" s="1"/>
  <c r="T281" i="5"/>
  <c r="U281" i="5" s="1"/>
  <c r="T273" i="5"/>
  <c r="U273" i="5" s="1"/>
  <c r="T265" i="5"/>
  <c r="U265" i="5" s="1"/>
  <c r="T233" i="5"/>
  <c r="U233" i="5" s="1"/>
  <c r="U209" i="5"/>
  <c r="T201" i="5"/>
  <c r="U201" i="5" s="1"/>
  <c r="U193" i="5"/>
  <c r="T169" i="5"/>
  <c r="U169" i="5" s="1"/>
  <c r="U153" i="5"/>
  <c r="T137" i="5"/>
  <c r="U137" i="5" s="1"/>
  <c r="U129" i="5"/>
  <c r="T105" i="5"/>
  <c r="U105" i="5" s="1"/>
  <c r="T81" i="5"/>
  <c r="U81" i="5" s="1"/>
  <c r="T73" i="5"/>
  <c r="U73" i="5" s="1"/>
  <c r="U65" i="5"/>
  <c r="U57" i="5"/>
  <c r="T41" i="5"/>
  <c r="U41" i="5" s="1"/>
  <c r="T33" i="5"/>
  <c r="U33" i="5" s="1"/>
  <c r="U25" i="5"/>
  <c r="T17" i="5"/>
  <c r="U17" i="5" s="1"/>
  <c r="T9" i="5"/>
  <c r="U9" i="5" s="1"/>
  <c r="T145" i="5"/>
  <c r="U145" i="5" s="1"/>
  <c r="T121" i="5"/>
  <c r="U121" i="5" s="1"/>
  <c r="T109" i="5"/>
  <c r="U109" i="5" s="1"/>
  <c r="T97" i="5"/>
  <c r="U97" i="5" s="1"/>
  <c r="T85" i="5"/>
  <c r="U85" i="5" s="1"/>
  <c r="U529" i="5"/>
  <c r="L117" i="20" l="1"/>
  <c r="L63" i="20"/>
  <c r="L127" i="20"/>
  <c r="M127" i="20" s="1"/>
  <c r="P127" i="20" s="1"/>
  <c r="L191" i="20"/>
  <c r="M191" i="20" s="1"/>
  <c r="P191" i="20" s="1"/>
  <c r="L456" i="20"/>
  <c r="M456" i="20" s="1"/>
  <c r="P456" i="20" s="1"/>
  <c r="L525" i="20"/>
  <c r="O525" i="20" s="1"/>
  <c r="L433" i="20"/>
  <c r="M433" i="20" s="1"/>
  <c r="P433" i="20" s="1"/>
  <c r="L506" i="20"/>
  <c r="O506" i="20" s="1"/>
  <c r="L583" i="20"/>
  <c r="O583" i="20" s="1"/>
  <c r="L434" i="20"/>
  <c r="O434" i="20" s="1"/>
  <c r="L378" i="20"/>
  <c r="O378" i="20" s="1"/>
  <c r="L98" i="20"/>
  <c r="M98" i="20" s="1"/>
  <c r="P98" i="20" s="1"/>
  <c r="L225" i="20"/>
  <c r="O225" i="20" s="1"/>
  <c r="L625" i="20"/>
  <c r="M625" i="20" s="1"/>
  <c r="P625" i="20" s="1"/>
  <c r="L137" i="20"/>
  <c r="O137" i="20" s="1"/>
  <c r="L565" i="20"/>
  <c r="M565" i="20" s="1"/>
  <c r="P565" i="20" s="1"/>
  <c r="L514" i="20"/>
  <c r="O514" i="20" s="1"/>
  <c r="L399" i="20"/>
  <c r="O399" i="20" s="1"/>
  <c r="L591" i="20"/>
  <c r="O591" i="20" s="1"/>
  <c r="L511" i="20"/>
  <c r="M511" i="20" s="1"/>
  <c r="P511" i="20" s="1"/>
  <c r="L391" i="20"/>
  <c r="O391" i="20" s="1"/>
  <c r="L528" i="20"/>
  <c r="O528" i="20" s="1"/>
  <c r="L297" i="20"/>
  <c r="O297" i="20" s="1"/>
  <c r="L72" i="20"/>
  <c r="M72" i="20" s="1"/>
  <c r="P72" i="20" s="1"/>
  <c r="L629" i="20"/>
  <c r="M629" i="20" s="1"/>
  <c r="P629" i="20" s="1"/>
  <c r="M172" i="20"/>
  <c r="P172" i="20" s="1"/>
  <c r="O172" i="20"/>
  <c r="M428" i="20"/>
  <c r="P428" i="20" s="1"/>
  <c r="O428" i="20"/>
  <c r="M117" i="20"/>
  <c r="P117" i="20" s="1"/>
  <c r="O117" i="20"/>
  <c r="M437" i="20"/>
  <c r="P437" i="20" s="1"/>
  <c r="O437" i="20"/>
  <c r="M256" i="20"/>
  <c r="P256" i="20" s="1"/>
  <c r="O256" i="20"/>
  <c r="M290" i="20"/>
  <c r="P290" i="20" s="1"/>
  <c r="O290" i="20"/>
  <c r="M346" i="20"/>
  <c r="P346" i="20" s="1"/>
  <c r="O346" i="20"/>
  <c r="M108" i="20"/>
  <c r="P108" i="20" s="1"/>
  <c r="O108" i="20"/>
  <c r="M364" i="20"/>
  <c r="P364" i="20" s="1"/>
  <c r="O364" i="20"/>
  <c r="M620" i="20"/>
  <c r="P620" i="20" s="1"/>
  <c r="O620" i="20"/>
  <c r="M245" i="20"/>
  <c r="P245" i="20" s="1"/>
  <c r="O245" i="20"/>
  <c r="M311" i="20"/>
  <c r="P311" i="20" s="1"/>
  <c r="O311" i="20"/>
  <c r="M192" i="20"/>
  <c r="P192" i="20" s="1"/>
  <c r="O192" i="20"/>
  <c r="M34" i="20"/>
  <c r="P34" i="20" s="1"/>
  <c r="O34" i="20"/>
  <c r="M408" i="20"/>
  <c r="P408" i="20" s="1"/>
  <c r="O408" i="20"/>
  <c r="M105" i="20"/>
  <c r="P105" i="20" s="1"/>
  <c r="O105" i="20"/>
  <c r="M241" i="20"/>
  <c r="P241" i="20" s="1"/>
  <c r="O241" i="20"/>
  <c r="M309" i="20"/>
  <c r="P309" i="20" s="1"/>
  <c r="O309" i="20"/>
  <c r="M514" i="20"/>
  <c r="P514" i="20" s="1"/>
  <c r="M236" i="20"/>
  <c r="P236" i="20" s="1"/>
  <c r="O236" i="20"/>
  <c r="M492" i="20"/>
  <c r="P492" i="20" s="1"/>
  <c r="O492" i="20"/>
  <c r="M181" i="20"/>
  <c r="P181" i="20" s="1"/>
  <c r="O181" i="20"/>
  <c r="M373" i="20"/>
  <c r="P373" i="20" s="1"/>
  <c r="O373" i="20"/>
  <c r="M3" i="20"/>
  <c r="P3" i="20" s="1"/>
  <c r="O3" i="20"/>
  <c r="M300" i="20"/>
  <c r="P300" i="20" s="1"/>
  <c r="O300" i="20"/>
  <c r="M53" i="20"/>
  <c r="P53" i="20" s="1"/>
  <c r="O53" i="20"/>
  <c r="M63" i="20"/>
  <c r="P63" i="20" s="1"/>
  <c r="O63" i="20"/>
  <c r="L320" i="20"/>
  <c r="L454" i="20"/>
  <c r="L576" i="20"/>
  <c r="O576" i="20" s="1"/>
  <c r="L265" i="20"/>
  <c r="O265" i="20" s="1"/>
  <c r="L617" i="20"/>
  <c r="L449" i="20"/>
  <c r="L255" i="20"/>
  <c r="L97" i="20"/>
  <c r="L481" i="20"/>
  <c r="L263" i="20"/>
  <c r="O263" i="20" s="1"/>
  <c r="L570" i="20"/>
  <c r="L472" i="20"/>
  <c r="L600" i="20"/>
  <c r="L522" i="20"/>
  <c r="L48" i="20"/>
  <c r="L337" i="20"/>
  <c r="L446" i="20"/>
  <c r="L568" i="20"/>
  <c r="L306" i="20"/>
  <c r="L41" i="20"/>
  <c r="O41" i="20" s="1"/>
  <c r="M35" i="20"/>
  <c r="P35" i="20" s="1"/>
  <c r="M99" i="20"/>
  <c r="P99" i="20" s="1"/>
  <c r="M163" i="20"/>
  <c r="P163" i="20" s="1"/>
  <c r="M227" i="20"/>
  <c r="P227" i="20" s="1"/>
  <c r="M291" i="20"/>
  <c r="P291" i="20" s="1"/>
  <c r="M355" i="20"/>
  <c r="P355" i="20" s="1"/>
  <c r="M419" i="20"/>
  <c r="P419" i="20" s="1"/>
  <c r="M483" i="20"/>
  <c r="P483" i="20" s="1"/>
  <c r="M322" i="20"/>
  <c r="P322" i="20" s="1"/>
  <c r="M557" i="20"/>
  <c r="P557" i="20" s="1"/>
  <c r="M375" i="20"/>
  <c r="P375" i="20" s="1"/>
  <c r="M193" i="20"/>
  <c r="P193" i="20" s="1"/>
  <c r="M558" i="20"/>
  <c r="P558" i="20" s="1"/>
  <c r="M577" i="20"/>
  <c r="P577" i="20" s="1"/>
  <c r="M56" i="20"/>
  <c r="P56" i="20" s="1"/>
  <c r="L128" i="20"/>
  <c r="L509" i="20"/>
  <c r="L593" i="20"/>
  <c r="L43" i="20"/>
  <c r="L107" i="20"/>
  <c r="L171" i="20"/>
  <c r="L235" i="20"/>
  <c r="L299" i="20"/>
  <c r="L363" i="20"/>
  <c r="L427" i="20"/>
  <c r="L491" i="20"/>
  <c r="L52" i="20"/>
  <c r="L116" i="20"/>
  <c r="L180" i="20"/>
  <c r="L244" i="20"/>
  <c r="L308" i="20"/>
  <c r="L372" i="20"/>
  <c r="L436" i="20"/>
  <c r="L500" i="20"/>
  <c r="L564" i="20"/>
  <c r="L628" i="20"/>
  <c r="L61" i="20"/>
  <c r="L125" i="20"/>
  <c r="L189" i="20"/>
  <c r="L253" i="20"/>
  <c r="L317" i="20"/>
  <c r="L381" i="20"/>
  <c r="L445" i="20"/>
  <c r="L8" i="20"/>
  <c r="L7" i="20"/>
  <c r="L71" i="20"/>
  <c r="L135" i="20"/>
  <c r="L272" i="20"/>
  <c r="L400" i="20"/>
  <c r="L527" i="20"/>
  <c r="L24" i="20"/>
  <c r="L160" i="20"/>
  <c r="L619" i="20"/>
  <c r="L54" i="20"/>
  <c r="L118" i="20"/>
  <c r="L182" i="20"/>
  <c r="L246" i="20"/>
  <c r="L310" i="20"/>
  <c r="L374" i="20"/>
  <c r="L555" i="20"/>
  <c r="L505" i="20"/>
  <c r="L417" i="20"/>
  <c r="L266" i="20"/>
  <c r="L121" i="20"/>
  <c r="L538" i="20"/>
  <c r="L394" i="20"/>
  <c r="L249" i="20"/>
  <c r="O249" i="20" s="1"/>
  <c r="L194" i="20"/>
  <c r="L613" i="20"/>
  <c r="L199" i="20"/>
  <c r="L80" i="20"/>
  <c r="L539" i="20"/>
  <c r="L465" i="20"/>
  <c r="L402" i="20"/>
  <c r="L547" i="20"/>
  <c r="L46" i="20"/>
  <c r="L110" i="20"/>
  <c r="L174" i="20"/>
  <c r="L238" i="20"/>
  <c r="L302" i="20"/>
  <c r="L366" i="20"/>
  <c r="L430" i="20"/>
  <c r="L494" i="20"/>
  <c r="L425" i="20"/>
  <c r="L554" i="20"/>
  <c r="L49" i="20"/>
  <c r="L217" i="20"/>
  <c r="L586" i="20"/>
  <c r="L423" i="20"/>
  <c r="L81" i="20"/>
  <c r="L501" i="20"/>
  <c r="L562" i="20"/>
  <c r="L27" i="20"/>
  <c r="L91" i="20"/>
  <c r="L155" i="20"/>
  <c r="L219" i="20"/>
  <c r="L283" i="20"/>
  <c r="L347" i="20"/>
  <c r="L411" i="20"/>
  <c r="L475" i="20"/>
  <c r="L36" i="20"/>
  <c r="L100" i="20"/>
  <c r="L164" i="20"/>
  <c r="L228" i="20"/>
  <c r="L292" i="20"/>
  <c r="L356" i="20"/>
  <c r="L420" i="20"/>
  <c r="L484" i="20"/>
  <c r="L548" i="20"/>
  <c r="L612" i="20"/>
  <c r="L45" i="20"/>
  <c r="L109" i="20"/>
  <c r="L173" i="20"/>
  <c r="L237" i="20"/>
  <c r="L301" i="20"/>
  <c r="L365" i="20"/>
  <c r="L429" i="20"/>
  <c r="L493" i="20"/>
  <c r="L239" i="20"/>
  <c r="L281" i="20"/>
  <c r="L622" i="20"/>
  <c r="L250" i="20"/>
  <c r="L226" i="20"/>
  <c r="L482" i="20"/>
  <c r="L602" i="20"/>
  <c r="L161" i="20"/>
  <c r="L338" i="20"/>
  <c r="L611" i="20"/>
  <c r="L462" i="20"/>
  <c r="L584" i="20"/>
  <c r="L605" i="20"/>
  <c r="L627" i="20"/>
  <c r="L518" i="20"/>
  <c r="L439" i="20"/>
  <c r="L631" i="20"/>
  <c r="L9" i="20"/>
  <c r="L458" i="20"/>
  <c r="L282" i="20"/>
  <c r="L537" i="20"/>
  <c r="L51" i="20"/>
  <c r="L115" i="20"/>
  <c r="L179" i="20"/>
  <c r="L243" i="20"/>
  <c r="L307" i="20"/>
  <c r="L371" i="20"/>
  <c r="L435" i="20"/>
  <c r="L499" i="20"/>
  <c r="L60" i="20"/>
  <c r="L124" i="20"/>
  <c r="L188" i="20"/>
  <c r="L252" i="20"/>
  <c r="L316" i="20"/>
  <c r="L380" i="20"/>
  <c r="L444" i="20"/>
  <c r="L508" i="20"/>
  <c r="L572" i="20"/>
  <c r="L5" i="20"/>
  <c r="L69" i="20"/>
  <c r="L133" i="20"/>
  <c r="L197" i="20"/>
  <c r="L261" i="20"/>
  <c r="L325" i="20"/>
  <c r="L389" i="20"/>
  <c r="L453" i="20"/>
  <c r="L470" i="20"/>
  <c r="L519" i="20"/>
  <c r="L144" i="20"/>
  <c r="L592" i="20"/>
  <c r="L594" i="20"/>
  <c r="L146" i="20"/>
  <c r="L90" i="20"/>
  <c r="L15" i="20"/>
  <c r="L79" i="20"/>
  <c r="L143" i="20"/>
  <c r="L335" i="20"/>
  <c r="L536" i="20"/>
  <c r="L361" i="20"/>
  <c r="L553" i="20"/>
  <c r="L42" i="20"/>
  <c r="L497" i="20"/>
  <c r="L178" i="20"/>
  <c r="L122" i="20"/>
  <c r="L289" i="20"/>
  <c r="L279" i="20"/>
  <c r="L471" i="20"/>
  <c r="L288" i="20"/>
  <c r="L585" i="20"/>
  <c r="L410" i="20"/>
  <c r="L563" i="20"/>
  <c r="L223" i="20"/>
  <c r="L616" i="20"/>
  <c r="L418" i="20"/>
  <c r="L62" i="20"/>
  <c r="L126" i="20"/>
  <c r="L190" i="20"/>
  <c r="L254" i="20"/>
  <c r="L318" i="20"/>
  <c r="L382" i="20"/>
  <c r="L623" i="20"/>
  <c r="L312" i="20"/>
  <c r="L517" i="20"/>
  <c r="L510" i="20"/>
  <c r="L120" i="20"/>
  <c r="L520" i="20"/>
  <c r="L495" i="20"/>
  <c r="L559" i="20"/>
  <c r="L504" i="20"/>
  <c r="L579" i="20"/>
  <c r="L50" i="20"/>
  <c r="L25" i="20"/>
  <c r="L603" i="20"/>
  <c r="L523" i="20"/>
  <c r="L22" i="20"/>
  <c r="L86" i="20"/>
  <c r="L150" i="20"/>
  <c r="L214" i="20"/>
  <c r="L278" i="20"/>
  <c r="L342" i="20"/>
  <c r="L406" i="20"/>
  <c r="L455" i="20"/>
  <c r="L208" i="20"/>
  <c r="L336" i="20"/>
  <c r="L73" i="20"/>
  <c r="L10" i="20"/>
  <c r="L353" i="20"/>
  <c r="L587" i="20"/>
  <c r="L478" i="20"/>
  <c r="L207" i="20"/>
  <c r="L152" i="20"/>
  <c r="L153" i="20"/>
  <c r="L354" i="20"/>
  <c r="L407" i="20"/>
  <c r="L544" i="20"/>
  <c r="L11" i="20"/>
  <c r="L75" i="20"/>
  <c r="L139" i="20"/>
  <c r="L203" i="20"/>
  <c r="L267" i="20"/>
  <c r="L331" i="20"/>
  <c r="L395" i="20"/>
  <c r="L459" i="20"/>
  <c r="L20" i="20"/>
  <c r="L84" i="20"/>
  <c r="L148" i="20"/>
  <c r="L212" i="20"/>
  <c r="L276" i="20"/>
  <c r="L340" i="20"/>
  <c r="L404" i="20"/>
  <c r="L468" i="20"/>
  <c r="L532" i="20"/>
  <c r="L596" i="20"/>
  <c r="L29" i="20"/>
  <c r="L93" i="20"/>
  <c r="L157" i="20"/>
  <c r="L221" i="20"/>
  <c r="L285" i="20"/>
  <c r="L349" i="20"/>
  <c r="L413" i="20"/>
  <c r="L477" i="20"/>
  <c r="L438" i="20"/>
  <c r="L39" i="20"/>
  <c r="L103" i="20"/>
  <c r="L551" i="20"/>
  <c r="L432" i="20"/>
  <c r="L560" i="20"/>
  <c r="L367" i="20"/>
  <c r="L632" i="20"/>
  <c r="L233" i="20"/>
  <c r="L369" i="20"/>
  <c r="L512" i="20"/>
  <c r="L330" i="20"/>
  <c r="L17" i="20"/>
  <c r="L130" i="20"/>
  <c r="L129" i="20"/>
  <c r="L232" i="20"/>
  <c r="L360" i="20"/>
  <c r="L473" i="20"/>
  <c r="L597" i="20"/>
  <c r="L626" i="20"/>
  <c r="L167" i="20"/>
  <c r="L202" i="20"/>
  <c r="L569" i="20"/>
  <c r="L521" i="20"/>
  <c r="L526" i="20"/>
  <c r="L383" i="20"/>
  <c r="L447" i="20"/>
  <c r="L575" i="20"/>
  <c r="L264" i="20"/>
  <c r="L392" i="20"/>
  <c r="L234" i="20"/>
  <c r="L490" i="20"/>
  <c r="L114" i="20"/>
  <c r="L345" i="20"/>
  <c r="L546" i="20"/>
  <c r="L58" i="20"/>
  <c r="L30" i="20"/>
  <c r="L94" i="20"/>
  <c r="L158" i="20"/>
  <c r="L222" i="20"/>
  <c r="L286" i="20"/>
  <c r="L350" i="20"/>
  <c r="L414" i="20"/>
  <c r="L38" i="20"/>
  <c r="L102" i="20"/>
  <c r="L166" i="20"/>
  <c r="L230" i="20"/>
  <c r="L294" i="20"/>
  <c r="L358" i="20"/>
  <c r="L422" i="20"/>
  <c r="L215" i="20"/>
  <c r="L535" i="20"/>
  <c r="L96" i="20"/>
  <c r="L224" i="20"/>
  <c r="L352" i="20"/>
  <c r="L416" i="20"/>
  <c r="L480" i="20"/>
  <c r="L608" i="20"/>
  <c r="L393" i="20"/>
  <c r="L74" i="20"/>
  <c r="L210" i="20"/>
  <c r="L573" i="20"/>
  <c r="L287" i="20"/>
  <c r="L351" i="20"/>
  <c r="L415" i="20"/>
  <c r="L543" i="20"/>
  <c r="L40" i="20"/>
  <c r="L168" i="20"/>
  <c r="L488" i="20"/>
  <c r="L552" i="20"/>
  <c r="L362" i="20"/>
  <c r="L242" i="20"/>
  <c r="L257" i="20"/>
  <c r="L271" i="20"/>
  <c r="L19" i="20"/>
  <c r="L83" i="20"/>
  <c r="L147" i="20"/>
  <c r="L211" i="20"/>
  <c r="L275" i="20"/>
  <c r="L339" i="20"/>
  <c r="L403" i="20"/>
  <c r="L467" i="20"/>
  <c r="L28" i="20"/>
  <c r="L92" i="20"/>
  <c r="L156" i="20"/>
  <c r="L220" i="20"/>
  <c r="L284" i="20"/>
  <c r="L348" i="20"/>
  <c r="L412" i="20"/>
  <c r="L476" i="20"/>
  <c r="L540" i="20"/>
  <c r="L604" i="20"/>
  <c r="L37" i="20"/>
  <c r="L101" i="20"/>
  <c r="L165" i="20"/>
  <c r="L229" i="20"/>
  <c r="L293" i="20"/>
  <c r="L357" i="20"/>
  <c r="L421" i="20"/>
  <c r="L485" i="20"/>
  <c r="L231" i="20"/>
  <c r="L295" i="20"/>
  <c r="L240" i="20"/>
  <c r="L368" i="20"/>
  <c r="L624" i="20"/>
  <c r="L201" i="20"/>
  <c r="L542" i="20"/>
  <c r="L589" i="20"/>
  <c r="L47" i="20"/>
  <c r="L111" i="20"/>
  <c r="L175" i="20"/>
  <c r="L431" i="20"/>
  <c r="L184" i="20"/>
  <c r="L248" i="20"/>
  <c r="L376" i="20"/>
  <c r="L489" i="20"/>
  <c r="L170" i="20"/>
  <c r="L113" i="20"/>
  <c r="L531" i="20"/>
  <c r="L321" i="20"/>
  <c r="L55" i="20"/>
  <c r="L119" i="20"/>
  <c r="L183" i="20"/>
  <c r="L503" i="20"/>
  <c r="L64" i="20"/>
  <c r="L448" i="20"/>
  <c r="L401" i="20"/>
  <c r="L82" i="20"/>
  <c r="L57" i="20"/>
  <c r="L258" i="20"/>
  <c r="L574" i="20"/>
  <c r="M399" i="20"/>
  <c r="P399" i="20" s="1"/>
  <c r="M463" i="20"/>
  <c r="P463" i="20" s="1"/>
  <c r="M296" i="20"/>
  <c r="P296" i="20" s="1"/>
  <c r="M578" i="20"/>
  <c r="P578" i="20" s="1"/>
  <c r="M498" i="20"/>
  <c r="P498" i="20" s="1"/>
  <c r="M556" i="20"/>
  <c r="P556" i="20" s="1"/>
  <c r="M384" i="20"/>
  <c r="P384" i="20" s="1"/>
  <c r="M545" i="20"/>
  <c r="P545" i="20" s="1"/>
  <c r="M614" i="20"/>
  <c r="P614" i="20" s="1"/>
  <c r="M378" i="20"/>
  <c r="P378" i="20" s="1"/>
  <c r="M583" i="20"/>
  <c r="P583" i="20" s="1"/>
  <c r="M303" i="20"/>
  <c r="P303" i="20" s="1"/>
  <c r="M440" i="20"/>
  <c r="P440" i="20" s="1"/>
  <c r="M426" i="20"/>
  <c r="P426" i="20" s="1"/>
  <c r="L134" i="20"/>
  <c r="L567" i="20"/>
  <c r="L313" i="20"/>
  <c r="L507" i="20"/>
  <c r="L14" i="20"/>
  <c r="L78" i="20"/>
  <c r="L142" i="20"/>
  <c r="L206" i="20"/>
  <c r="L270" i="20"/>
  <c r="L334" i="20"/>
  <c r="L398" i="20"/>
  <c r="L319" i="20"/>
  <c r="L136" i="20"/>
  <c r="L200" i="20"/>
  <c r="L328" i="20"/>
  <c r="L177" i="20"/>
  <c r="L581" i="20"/>
  <c r="M370" i="20"/>
  <c r="P370" i="20" s="1"/>
  <c r="L89" i="20"/>
  <c r="L314" i="20"/>
  <c r="L534" i="20"/>
  <c r="L327" i="20"/>
  <c r="L16" i="20"/>
  <c r="L464" i="20"/>
  <c r="L329" i="20"/>
  <c r="L513" i="20"/>
  <c r="L618" i="20"/>
  <c r="L209" i="20"/>
  <c r="M377" i="20"/>
  <c r="P377" i="20" s="1"/>
  <c r="L66" i="20"/>
  <c r="L33" i="20"/>
  <c r="L59" i="20"/>
  <c r="L123" i="20"/>
  <c r="L187" i="20"/>
  <c r="L251" i="20"/>
  <c r="L315" i="20"/>
  <c r="L379" i="20"/>
  <c r="L443" i="20"/>
  <c r="L4" i="20"/>
  <c r="L68" i="20"/>
  <c r="L132" i="20"/>
  <c r="L196" i="20"/>
  <c r="L260" i="20"/>
  <c r="L324" i="20"/>
  <c r="L388" i="20"/>
  <c r="L452" i="20"/>
  <c r="L516" i="20"/>
  <c r="L580" i="20"/>
  <c r="L13" i="20"/>
  <c r="L77" i="20"/>
  <c r="L141" i="20"/>
  <c r="L205" i="20"/>
  <c r="L269" i="20"/>
  <c r="L333" i="20"/>
  <c r="L397" i="20"/>
  <c r="L461" i="20"/>
  <c r="L88" i="20"/>
  <c r="L216" i="20"/>
  <c r="M280" i="20"/>
  <c r="P280" i="20" s="1"/>
  <c r="L344" i="20"/>
  <c r="L298" i="20"/>
  <c r="L529" i="20"/>
  <c r="L630" i="20"/>
  <c r="L606" i="20"/>
  <c r="M434" i="20"/>
  <c r="P434" i="20" s="1"/>
  <c r="L582" i="20"/>
  <c r="L409" i="20"/>
  <c r="L571" i="20"/>
  <c r="L561" i="20"/>
  <c r="M550" i="20"/>
  <c r="P550" i="20" s="1"/>
  <c r="L549" i="20"/>
  <c r="L70" i="20"/>
  <c r="L326" i="20"/>
  <c r="L26" i="20"/>
  <c r="L67" i="20"/>
  <c r="L131" i="20"/>
  <c r="L195" i="20"/>
  <c r="L259" i="20"/>
  <c r="L323" i="20"/>
  <c r="L387" i="20"/>
  <c r="L451" i="20"/>
  <c r="L12" i="20"/>
  <c r="L76" i="20"/>
  <c r="L140" i="20"/>
  <c r="L204" i="20"/>
  <c r="L268" i="20"/>
  <c r="L332" i="20"/>
  <c r="L396" i="20"/>
  <c r="L460" i="20"/>
  <c r="L524" i="20"/>
  <c r="L588" i="20"/>
  <c r="L21" i="20"/>
  <c r="L85" i="20"/>
  <c r="L149" i="20"/>
  <c r="L213" i="20"/>
  <c r="L277" i="20"/>
  <c r="L341" i="20"/>
  <c r="L405" i="20"/>
  <c r="L469" i="20"/>
  <c r="L486" i="20"/>
  <c r="L23" i="20"/>
  <c r="L87" i="20"/>
  <c r="L151" i="20"/>
  <c r="L343" i="20"/>
  <c r="L599" i="20"/>
  <c r="L32" i="20"/>
  <c r="L541" i="20"/>
  <c r="L273" i="20"/>
  <c r="L466" i="20"/>
  <c r="L595" i="20"/>
  <c r="L185" i="20"/>
  <c r="L441" i="20"/>
  <c r="L154" i="20"/>
  <c r="L386" i="20"/>
  <c r="M601" i="20"/>
  <c r="P601" i="20" s="1"/>
  <c r="L262" i="20"/>
  <c r="L247" i="20"/>
  <c r="L145" i="20"/>
  <c r="L533" i="20"/>
  <c r="L31" i="20"/>
  <c r="L95" i="20"/>
  <c r="L159" i="20"/>
  <c r="L479" i="20"/>
  <c r="L607" i="20"/>
  <c r="M104" i="20"/>
  <c r="P104" i="20" s="1"/>
  <c r="M424" i="20"/>
  <c r="P424" i="20" s="1"/>
  <c r="L169" i="20"/>
  <c r="L106" i="20"/>
  <c r="L305" i="20"/>
  <c r="L530" i="20"/>
  <c r="L2" i="20"/>
  <c r="L609" i="20"/>
  <c r="L186" i="20"/>
  <c r="M442" i="20"/>
  <c r="P442" i="20" s="1"/>
  <c r="L162" i="20"/>
  <c r="L385" i="20"/>
  <c r="M44" i="20"/>
  <c r="P44" i="20" s="1"/>
  <c r="L6" i="20"/>
  <c r="L198" i="20"/>
  <c r="L390" i="20"/>
  <c r="L502" i="20"/>
  <c r="L359" i="20"/>
  <c r="L487" i="20"/>
  <c r="L615" i="20"/>
  <c r="L112" i="20"/>
  <c r="L176" i="20"/>
  <c r="L304" i="20"/>
  <c r="L496" i="20"/>
  <c r="L457" i="20"/>
  <c r="M590" i="20"/>
  <c r="P590" i="20" s="1"/>
  <c r="M138" i="20"/>
  <c r="P138" i="20" s="1"/>
  <c r="M566" i="20"/>
  <c r="P566" i="20" s="1"/>
  <c r="L18" i="20"/>
  <c r="M274" i="20"/>
  <c r="P274" i="20" s="1"/>
  <c r="L515" i="20"/>
  <c r="L621" i="20"/>
  <c r="L610" i="20"/>
  <c r="L218" i="20"/>
  <c r="L474" i="20"/>
  <c r="L598" i="20"/>
  <c r="L450" i="20"/>
  <c r="L65" i="20"/>
  <c r="O191" i="20" l="1"/>
  <c r="M506" i="20"/>
  <c r="P506" i="20" s="1"/>
  <c r="M225" i="20"/>
  <c r="P225" i="20" s="1"/>
  <c r="M525" i="20"/>
  <c r="P525" i="20" s="1"/>
  <c r="O127" i="20"/>
  <c r="O98" i="20"/>
  <c r="O565" i="20"/>
  <c r="O625" i="20"/>
  <c r="M137" i="20"/>
  <c r="P137" i="20" s="1"/>
  <c r="O456" i="20"/>
  <c r="M297" i="20"/>
  <c r="P297" i="20" s="1"/>
  <c r="O433" i="20"/>
  <c r="M591" i="20"/>
  <c r="P591" i="20" s="1"/>
  <c r="M528" i="20"/>
  <c r="P528" i="20" s="1"/>
  <c r="M391" i="20"/>
  <c r="P391" i="20" s="1"/>
  <c r="O511" i="20"/>
  <c r="M263" i="20"/>
  <c r="P263" i="20" s="1"/>
  <c r="O629" i="20"/>
  <c r="O72" i="20"/>
  <c r="M265" i="20"/>
  <c r="P265" i="20" s="1"/>
  <c r="M41" i="20"/>
  <c r="P41" i="20" s="1"/>
  <c r="M159" i="20"/>
  <c r="P159" i="20" s="1"/>
  <c r="O159" i="20"/>
  <c r="M588" i="20"/>
  <c r="P588" i="20" s="1"/>
  <c r="O588" i="20"/>
  <c r="M324" i="20"/>
  <c r="P324" i="20" s="1"/>
  <c r="O324" i="20"/>
  <c r="M376" i="20"/>
  <c r="P376" i="20" s="1"/>
  <c r="O376" i="20"/>
  <c r="M19" i="20"/>
  <c r="P19" i="20" s="1"/>
  <c r="O19" i="20"/>
  <c r="M215" i="20"/>
  <c r="P215" i="20" s="1"/>
  <c r="O215" i="20"/>
  <c r="M597" i="20"/>
  <c r="P597" i="20" s="1"/>
  <c r="O597" i="20"/>
  <c r="M267" i="20"/>
  <c r="P267" i="20" s="1"/>
  <c r="O267" i="20"/>
  <c r="M382" i="20"/>
  <c r="P382" i="20" s="1"/>
  <c r="O382" i="20"/>
  <c r="M69" i="20"/>
  <c r="P69" i="20" s="1"/>
  <c r="O69" i="20"/>
  <c r="M493" i="20"/>
  <c r="P493" i="20" s="1"/>
  <c r="O493" i="20"/>
  <c r="M91" i="20"/>
  <c r="P91" i="20" s="1"/>
  <c r="O91" i="20"/>
  <c r="M54" i="20"/>
  <c r="P54" i="20" s="1"/>
  <c r="O54" i="20"/>
  <c r="M522" i="20"/>
  <c r="P522" i="20" s="1"/>
  <c r="O522" i="20"/>
  <c r="M598" i="20"/>
  <c r="P598" i="20" s="1"/>
  <c r="O598" i="20"/>
  <c r="M95" i="20"/>
  <c r="P95" i="20" s="1"/>
  <c r="O95" i="20"/>
  <c r="M524" i="20"/>
  <c r="P524" i="20" s="1"/>
  <c r="O524" i="20"/>
  <c r="M409" i="20"/>
  <c r="P409" i="20" s="1"/>
  <c r="O409" i="20"/>
  <c r="M618" i="20"/>
  <c r="P618" i="20" s="1"/>
  <c r="O618" i="20"/>
  <c r="M357" i="20"/>
  <c r="P357" i="20" s="1"/>
  <c r="O357" i="20"/>
  <c r="M608" i="20"/>
  <c r="P608" i="20" s="1"/>
  <c r="O608" i="20"/>
  <c r="M383" i="20"/>
  <c r="P383" i="20" s="1"/>
  <c r="O383" i="20"/>
  <c r="M203" i="20"/>
  <c r="P203" i="20" s="1"/>
  <c r="O203" i="20"/>
  <c r="M22" i="20"/>
  <c r="P22" i="20" s="1"/>
  <c r="O22" i="20"/>
  <c r="M79" i="20"/>
  <c r="P79" i="20" s="1"/>
  <c r="O79" i="20"/>
  <c r="M115" i="20"/>
  <c r="P115" i="20" s="1"/>
  <c r="O115" i="20"/>
  <c r="M548" i="20"/>
  <c r="P548" i="20" s="1"/>
  <c r="O548" i="20"/>
  <c r="M110" i="20"/>
  <c r="P110" i="20" s="1"/>
  <c r="O110" i="20"/>
  <c r="M613" i="20"/>
  <c r="P613" i="20" s="1"/>
  <c r="O613" i="20"/>
  <c r="M505" i="20"/>
  <c r="P505" i="20" s="1"/>
  <c r="O505" i="20"/>
  <c r="M619" i="20"/>
  <c r="P619" i="20" s="1"/>
  <c r="O619" i="20"/>
  <c r="M7" i="20"/>
  <c r="P7" i="20" s="1"/>
  <c r="O7" i="20"/>
  <c r="M61" i="20"/>
  <c r="P61" i="20" s="1"/>
  <c r="O61" i="20"/>
  <c r="M600" i="20"/>
  <c r="P600" i="20" s="1"/>
  <c r="O600" i="20"/>
  <c r="M617" i="20"/>
  <c r="P617" i="20" s="1"/>
  <c r="O617" i="20"/>
  <c r="M474" i="20"/>
  <c r="P474" i="20" s="1"/>
  <c r="O474" i="20"/>
  <c r="M615" i="20"/>
  <c r="P615" i="20" s="1"/>
  <c r="O615" i="20"/>
  <c r="M385" i="20"/>
  <c r="P385" i="20" s="1"/>
  <c r="O385" i="20"/>
  <c r="M106" i="20"/>
  <c r="P106" i="20" s="1"/>
  <c r="O106" i="20"/>
  <c r="M31" i="20"/>
  <c r="P31" i="20" s="1"/>
  <c r="O31" i="20"/>
  <c r="M441" i="20"/>
  <c r="P441" i="20" s="1"/>
  <c r="O441" i="20"/>
  <c r="M599" i="20"/>
  <c r="P599" i="20" s="1"/>
  <c r="O599" i="20"/>
  <c r="M341" i="20"/>
  <c r="P341" i="20" s="1"/>
  <c r="O341" i="20"/>
  <c r="M460" i="20"/>
  <c r="P460" i="20" s="1"/>
  <c r="O460" i="20"/>
  <c r="M451" i="20"/>
  <c r="P451" i="20" s="1"/>
  <c r="O451" i="20"/>
  <c r="M326" i="20"/>
  <c r="P326" i="20" s="1"/>
  <c r="O326" i="20"/>
  <c r="M582" i="20"/>
  <c r="P582" i="20" s="1"/>
  <c r="O582" i="20"/>
  <c r="M216" i="20"/>
  <c r="P216" i="20" s="1"/>
  <c r="O216" i="20"/>
  <c r="M77" i="20"/>
  <c r="P77" i="20" s="1"/>
  <c r="O77" i="20"/>
  <c r="M196" i="20"/>
  <c r="P196" i="20" s="1"/>
  <c r="O196" i="20"/>
  <c r="M187" i="20"/>
  <c r="P187" i="20" s="1"/>
  <c r="O187" i="20"/>
  <c r="M513" i="20"/>
  <c r="P513" i="20" s="1"/>
  <c r="O513" i="20"/>
  <c r="M319" i="20"/>
  <c r="P319" i="20" s="1"/>
  <c r="O319" i="20"/>
  <c r="M507" i="20"/>
  <c r="P507" i="20" s="1"/>
  <c r="O507" i="20"/>
  <c r="M57" i="20"/>
  <c r="P57" i="20" s="1"/>
  <c r="O57" i="20"/>
  <c r="M55" i="20"/>
  <c r="P55" i="20" s="1"/>
  <c r="O55" i="20"/>
  <c r="M184" i="20"/>
  <c r="P184" i="20" s="1"/>
  <c r="O184" i="20"/>
  <c r="M624" i="20"/>
  <c r="P624" i="20" s="1"/>
  <c r="O624" i="20"/>
  <c r="M293" i="20"/>
  <c r="P293" i="20" s="1"/>
  <c r="O293" i="20"/>
  <c r="M412" i="20"/>
  <c r="P412" i="20" s="1"/>
  <c r="O412" i="20"/>
  <c r="M403" i="20"/>
  <c r="P403" i="20" s="1"/>
  <c r="O403" i="20"/>
  <c r="M257" i="20"/>
  <c r="P257" i="20" s="1"/>
  <c r="O257" i="20"/>
  <c r="M415" i="20"/>
  <c r="P415" i="20" s="1"/>
  <c r="O415" i="20"/>
  <c r="M480" i="20"/>
  <c r="P480" i="20" s="1"/>
  <c r="O480" i="20"/>
  <c r="M358" i="20"/>
  <c r="P358" i="20" s="1"/>
  <c r="O358" i="20"/>
  <c r="M286" i="20"/>
  <c r="P286" i="20" s="1"/>
  <c r="O286" i="20"/>
  <c r="M114" i="20"/>
  <c r="P114" i="20" s="1"/>
  <c r="O114" i="20"/>
  <c r="M526" i="20"/>
  <c r="P526" i="20" s="1"/>
  <c r="O526" i="20"/>
  <c r="M360" i="20"/>
  <c r="P360" i="20" s="1"/>
  <c r="O360" i="20"/>
  <c r="M233" i="20"/>
  <c r="P233" i="20" s="1"/>
  <c r="O233" i="20"/>
  <c r="M438" i="20"/>
  <c r="P438" i="20" s="1"/>
  <c r="O438" i="20"/>
  <c r="M29" i="20"/>
  <c r="P29" i="20" s="1"/>
  <c r="O29" i="20"/>
  <c r="M148" i="20"/>
  <c r="P148" i="20" s="1"/>
  <c r="O148" i="20"/>
  <c r="M139" i="20"/>
  <c r="P139" i="20" s="1"/>
  <c r="O139" i="20"/>
  <c r="M207" i="20"/>
  <c r="P207" i="20" s="1"/>
  <c r="O207" i="20"/>
  <c r="M455" i="20"/>
  <c r="P455" i="20" s="1"/>
  <c r="O455" i="20"/>
  <c r="M523" i="20"/>
  <c r="P523" i="20" s="1"/>
  <c r="O523" i="20"/>
  <c r="M520" i="20"/>
  <c r="P520" i="20" s="1"/>
  <c r="O520" i="20"/>
  <c r="M254" i="20"/>
  <c r="P254" i="20" s="1"/>
  <c r="O254" i="20"/>
  <c r="M410" i="20"/>
  <c r="P410" i="20" s="1"/>
  <c r="O410" i="20"/>
  <c r="M497" i="20"/>
  <c r="P497" i="20" s="1"/>
  <c r="O497" i="20"/>
  <c r="M15" i="20"/>
  <c r="P15" i="20" s="1"/>
  <c r="O15" i="20"/>
  <c r="M453" i="20"/>
  <c r="P453" i="20" s="1"/>
  <c r="O453" i="20"/>
  <c r="M572" i="20"/>
  <c r="P572" i="20" s="1"/>
  <c r="O572" i="20"/>
  <c r="M60" i="20"/>
  <c r="P60" i="20" s="1"/>
  <c r="O60" i="20"/>
  <c r="M51" i="20"/>
  <c r="P51" i="20" s="1"/>
  <c r="O51" i="20"/>
  <c r="M627" i="20"/>
  <c r="P627" i="20" s="1"/>
  <c r="O627" i="20"/>
  <c r="M482" i="20"/>
  <c r="P482" i="20" s="1"/>
  <c r="O482" i="20"/>
  <c r="M365" i="20"/>
  <c r="P365" i="20" s="1"/>
  <c r="O365" i="20"/>
  <c r="M484" i="20"/>
  <c r="P484" i="20" s="1"/>
  <c r="O484" i="20"/>
  <c r="M475" i="20"/>
  <c r="P475" i="20" s="1"/>
  <c r="O475" i="20"/>
  <c r="M562" i="20"/>
  <c r="P562" i="20" s="1"/>
  <c r="O562" i="20"/>
  <c r="M425" i="20"/>
  <c r="P425" i="20" s="1"/>
  <c r="O425" i="20"/>
  <c r="M46" i="20"/>
  <c r="P46" i="20" s="1"/>
  <c r="O46" i="20"/>
  <c r="M194" i="20"/>
  <c r="P194" i="20" s="1"/>
  <c r="O194" i="20"/>
  <c r="M555" i="20"/>
  <c r="P555" i="20" s="1"/>
  <c r="O555" i="20"/>
  <c r="M160" i="20"/>
  <c r="P160" i="20" s="1"/>
  <c r="O160" i="20"/>
  <c r="M8" i="20"/>
  <c r="P8" i="20" s="1"/>
  <c r="O8" i="20"/>
  <c r="M628" i="20"/>
  <c r="P628" i="20" s="1"/>
  <c r="O628" i="20"/>
  <c r="M116" i="20"/>
  <c r="P116" i="20" s="1"/>
  <c r="O116" i="20"/>
  <c r="M107" i="20"/>
  <c r="P107" i="20" s="1"/>
  <c r="O107" i="20"/>
  <c r="M472" i="20"/>
  <c r="P472" i="20" s="1"/>
  <c r="O472" i="20"/>
  <c r="M386" i="20"/>
  <c r="P386" i="20" s="1"/>
  <c r="O386" i="20"/>
  <c r="M67" i="20"/>
  <c r="P67" i="20" s="1"/>
  <c r="O67" i="20"/>
  <c r="M314" i="20"/>
  <c r="P314" i="20" s="1"/>
  <c r="O314" i="20"/>
  <c r="M542" i="20"/>
  <c r="P542" i="20" s="1"/>
  <c r="O542" i="20"/>
  <c r="M512" i="20"/>
  <c r="P512" i="20" s="1"/>
  <c r="O512" i="20"/>
  <c r="M559" i="20"/>
  <c r="P559" i="20" s="1"/>
  <c r="O559" i="20"/>
  <c r="M188" i="20"/>
  <c r="P188" i="20" s="1"/>
  <c r="O188" i="20"/>
  <c r="M174" i="20"/>
  <c r="P174" i="20" s="1"/>
  <c r="O174" i="20"/>
  <c r="M235" i="20"/>
  <c r="P235" i="20" s="1"/>
  <c r="O235" i="20"/>
  <c r="M112" i="20"/>
  <c r="P112" i="20" s="1"/>
  <c r="O112" i="20"/>
  <c r="M141" i="20"/>
  <c r="P141" i="20" s="1"/>
  <c r="O141" i="20"/>
  <c r="M136" i="20"/>
  <c r="P136" i="20" s="1"/>
  <c r="O136" i="20"/>
  <c r="M119" i="20"/>
  <c r="P119" i="20" s="1"/>
  <c r="O119" i="20"/>
  <c r="M543" i="20"/>
  <c r="P543" i="20" s="1"/>
  <c r="O543" i="20"/>
  <c r="M369" i="20"/>
  <c r="P369" i="20" s="1"/>
  <c r="O369" i="20"/>
  <c r="M563" i="20"/>
  <c r="P563" i="20" s="1"/>
  <c r="O563" i="20"/>
  <c r="M602" i="20"/>
  <c r="P602" i="20" s="1"/>
  <c r="O602" i="20"/>
  <c r="M180" i="20"/>
  <c r="P180" i="20" s="1"/>
  <c r="O180" i="20"/>
  <c r="M185" i="20"/>
  <c r="P185" i="20" s="1"/>
  <c r="O185" i="20"/>
  <c r="M70" i="20"/>
  <c r="P70" i="20" s="1"/>
  <c r="O70" i="20"/>
  <c r="M132" i="20"/>
  <c r="P132" i="20" s="1"/>
  <c r="O132" i="20"/>
  <c r="M398" i="20"/>
  <c r="P398" i="20" s="1"/>
  <c r="O398" i="20"/>
  <c r="M431" i="20"/>
  <c r="P431" i="20" s="1"/>
  <c r="O431" i="20"/>
  <c r="M294" i="20"/>
  <c r="P294" i="20" s="1"/>
  <c r="O294" i="20"/>
  <c r="M632" i="20"/>
  <c r="P632" i="20" s="1"/>
  <c r="O632" i="20"/>
  <c r="M75" i="20"/>
  <c r="P75" i="20" s="1"/>
  <c r="O75" i="20"/>
  <c r="M585" i="20"/>
  <c r="P585" i="20" s="1"/>
  <c r="O585" i="20"/>
  <c r="M537" i="20"/>
  <c r="P537" i="20" s="1"/>
  <c r="O537" i="20"/>
  <c r="M52" i="20"/>
  <c r="P52" i="20" s="1"/>
  <c r="O52" i="20"/>
  <c r="M323" i="20"/>
  <c r="P323" i="20" s="1"/>
  <c r="O323" i="20"/>
  <c r="M68" i="20"/>
  <c r="P68" i="20" s="1"/>
  <c r="O68" i="20"/>
  <c r="M464" i="20"/>
  <c r="P464" i="20" s="1"/>
  <c r="O464" i="20"/>
  <c r="M567" i="20"/>
  <c r="P567" i="20" s="1"/>
  <c r="O567" i="20"/>
  <c r="M401" i="20"/>
  <c r="P401" i="20" s="1"/>
  <c r="O401" i="20"/>
  <c r="M531" i="20"/>
  <c r="P531" i="20" s="1"/>
  <c r="O531" i="20"/>
  <c r="M175" i="20"/>
  <c r="P175" i="20" s="1"/>
  <c r="O175" i="20"/>
  <c r="M240" i="20"/>
  <c r="P240" i="20" s="1"/>
  <c r="O240" i="20"/>
  <c r="M165" i="20"/>
  <c r="P165" i="20" s="1"/>
  <c r="O165" i="20"/>
  <c r="M284" i="20"/>
  <c r="P284" i="20" s="1"/>
  <c r="O284" i="20"/>
  <c r="M275" i="20"/>
  <c r="P275" i="20" s="1"/>
  <c r="O275" i="20"/>
  <c r="M362" i="20"/>
  <c r="P362" i="20" s="1"/>
  <c r="O362" i="20"/>
  <c r="M287" i="20"/>
  <c r="P287" i="20" s="1"/>
  <c r="O287" i="20"/>
  <c r="M352" i="20"/>
  <c r="P352" i="20" s="1"/>
  <c r="O352" i="20"/>
  <c r="M230" i="20"/>
  <c r="P230" i="20" s="1"/>
  <c r="O230" i="20"/>
  <c r="M158" i="20"/>
  <c r="P158" i="20" s="1"/>
  <c r="O158" i="20"/>
  <c r="M234" i="20"/>
  <c r="P234" i="20" s="1"/>
  <c r="O234" i="20"/>
  <c r="M569" i="20"/>
  <c r="P569" i="20" s="1"/>
  <c r="O569" i="20"/>
  <c r="M129" i="20"/>
  <c r="P129" i="20" s="1"/>
  <c r="O129" i="20"/>
  <c r="M367" i="20"/>
  <c r="P367" i="20" s="1"/>
  <c r="O367" i="20"/>
  <c r="M413" i="20"/>
  <c r="P413" i="20" s="1"/>
  <c r="O413" i="20"/>
  <c r="M532" i="20"/>
  <c r="P532" i="20" s="1"/>
  <c r="O532" i="20"/>
  <c r="M20" i="20"/>
  <c r="P20" i="20" s="1"/>
  <c r="O20" i="20"/>
  <c r="M11" i="20"/>
  <c r="P11" i="20" s="1"/>
  <c r="O11" i="20"/>
  <c r="M587" i="20"/>
  <c r="P587" i="20" s="1"/>
  <c r="O587" i="20"/>
  <c r="M342" i="20"/>
  <c r="P342" i="20" s="1"/>
  <c r="O342" i="20"/>
  <c r="M25" i="20"/>
  <c r="P25" i="20" s="1"/>
  <c r="O25" i="20"/>
  <c r="M510" i="20"/>
  <c r="P510" i="20" s="1"/>
  <c r="O510" i="20"/>
  <c r="M126" i="20"/>
  <c r="P126" i="20" s="1"/>
  <c r="O126" i="20"/>
  <c r="M288" i="20"/>
  <c r="P288" i="20" s="1"/>
  <c r="O288" i="20"/>
  <c r="M553" i="20"/>
  <c r="P553" i="20" s="1"/>
  <c r="O553" i="20"/>
  <c r="M146" i="20"/>
  <c r="P146" i="20" s="1"/>
  <c r="O146" i="20"/>
  <c r="M325" i="20"/>
  <c r="P325" i="20" s="1"/>
  <c r="O325" i="20"/>
  <c r="M444" i="20"/>
  <c r="P444" i="20" s="1"/>
  <c r="O444" i="20"/>
  <c r="M435" i="20"/>
  <c r="P435" i="20" s="1"/>
  <c r="O435" i="20"/>
  <c r="M282" i="20"/>
  <c r="P282" i="20" s="1"/>
  <c r="O282" i="20"/>
  <c r="M584" i="20"/>
  <c r="P584" i="20" s="1"/>
  <c r="O584" i="20"/>
  <c r="M250" i="20"/>
  <c r="P250" i="20" s="1"/>
  <c r="O250" i="20"/>
  <c r="M237" i="20"/>
  <c r="P237" i="20" s="1"/>
  <c r="O237" i="20"/>
  <c r="M356" i="20"/>
  <c r="P356" i="20" s="1"/>
  <c r="O356" i="20"/>
  <c r="M347" i="20"/>
  <c r="P347" i="20" s="1"/>
  <c r="O347" i="20"/>
  <c r="M81" i="20"/>
  <c r="P81" i="20" s="1"/>
  <c r="O81" i="20"/>
  <c r="M430" i="20"/>
  <c r="P430" i="20" s="1"/>
  <c r="O430" i="20"/>
  <c r="M402" i="20"/>
  <c r="P402" i="20" s="1"/>
  <c r="O402" i="20"/>
  <c r="M394" i="20"/>
  <c r="P394" i="20" s="1"/>
  <c r="O394" i="20"/>
  <c r="M310" i="20"/>
  <c r="P310" i="20" s="1"/>
  <c r="O310" i="20"/>
  <c r="M527" i="20"/>
  <c r="P527" i="20" s="1"/>
  <c r="O527" i="20"/>
  <c r="M381" i="20"/>
  <c r="P381" i="20" s="1"/>
  <c r="O381" i="20"/>
  <c r="M500" i="20"/>
  <c r="P500" i="20" s="1"/>
  <c r="O500" i="20"/>
  <c r="M491" i="20"/>
  <c r="P491" i="20" s="1"/>
  <c r="O491" i="20"/>
  <c r="M593" i="20"/>
  <c r="P593" i="20" s="1"/>
  <c r="O593" i="20"/>
  <c r="M568" i="20"/>
  <c r="P568" i="20" s="1"/>
  <c r="O568" i="20"/>
  <c r="M454" i="20"/>
  <c r="P454" i="20" s="1"/>
  <c r="O454" i="20"/>
  <c r="M6" i="20"/>
  <c r="P6" i="20" s="1"/>
  <c r="O6" i="20"/>
  <c r="M76" i="20"/>
  <c r="P76" i="20" s="1"/>
  <c r="O76" i="20"/>
  <c r="M421" i="20"/>
  <c r="P421" i="20" s="1"/>
  <c r="O421" i="20"/>
  <c r="M414" i="20"/>
  <c r="P414" i="20" s="1"/>
  <c r="O414" i="20"/>
  <c r="M103" i="20"/>
  <c r="P103" i="20" s="1"/>
  <c r="O103" i="20"/>
  <c r="M336" i="20"/>
  <c r="P336" i="20" s="1"/>
  <c r="O336" i="20"/>
  <c r="M143" i="20"/>
  <c r="P143" i="20" s="1"/>
  <c r="O143" i="20"/>
  <c r="M161" i="20"/>
  <c r="P161" i="20" s="1"/>
  <c r="O161" i="20"/>
  <c r="M49" i="20"/>
  <c r="P49" i="20" s="1"/>
  <c r="O49" i="20"/>
  <c r="M71" i="20"/>
  <c r="P71" i="20" s="1"/>
  <c r="O71" i="20"/>
  <c r="M449" i="20"/>
  <c r="P449" i="20" s="1"/>
  <c r="O449" i="20"/>
  <c r="M305" i="20"/>
  <c r="P305" i="20" s="1"/>
  <c r="O305" i="20"/>
  <c r="M89" i="20"/>
  <c r="P89" i="20" s="1"/>
  <c r="O89" i="20"/>
  <c r="M258" i="20"/>
  <c r="P258" i="20" s="1"/>
  <c r="O258" i="20"/>
  <c r="M476" i="20"/>
  <c r="P476" i="20" s="1"/>
  <c r="O476" i="20"/>
  <c r="M350" i="20"/>
  <c r="P350" i="20" s="1"/>
  <c r="O350" i="20"/>
  <c r="M93" i="20"/>
  <c r="P93" i="20" s="1"/>
  <c r="O93" i="20"/>
  <c r="M495" i="20"/>
  <c r="P495" i="20" s="1"/>
  <c r="O495" i="20"/>
  <c r="M5" i="20"/>
  <c r="P5" i="20" s="1"/>
  <c r="O5" i="20"/>
  <c r="M36" i="20"/>
  <c r="P36" i="20" s="1"/>
  <c r="O36" i="20"/>
  <c r="M171" i="20"/>
  <c r="P171" i="20" s="1"/>
  <c r="O171" i="20"/>
  <c r="M487" i="20"/>
  <c r="P487" i="20" s="1"/>
  <c r="O487" i="20"/>
  <c r="M343" i="20"/>
  <c r="P343" i="20" s="1"/>
  <c r="O343" i="20"/>
  <c r="M123" i="20"/>
  <c r="P123" i="20" s="1"/>
  <c r="O123" i="20"/>
  <c r="M313" i="20"/>
  <c r="P313" i="20" s="1"/>
  <c r="O313" i="20"/>
  <c r="M82" i="20"/>
  <c r="P82" i="20" s="1"/>
  <c r="O82" i="20"/>
  <c r="M348" i="20"/>
  <c r="P348" i="20" s="1"/>
  <c r="O348" i="20"/>
  <c r="M416" i="20"/>
  <c r="P416" i="20" s="1"/>
  <c r="O416" i="20"/>
  <c r="M521" i="20"/>
  <c r="P521" i="20" s="1"/>
  <c r="O521" i="20"/>
  <c r="M477" i="20"/>
  <c r="P477" i="20" s="1"/>
  <c r="O477" i="20"/>
  <c r="M478" i="20"/>
  <c r="P478" i="20" s="1"/>
  <c r="O478" i="20"/>
  <c r="M190" i="20"/>
  <c r="P190" i="20" s="1"/>
  <c r="O190" i="20"/>
  <c r="M389" i="20"/>
  <c r="P389" i="20" s="1"/>
  <c r="O389" i="20"/>
  <c r="M226" i="20"/>
  <c r="P226" i="20" s="1"/>
  <c r="O226" i="20"/>
  <c r="M494" i="20"/>
  <c r="P494" i="20" s="1"/>
  <c r="O494" i="20"/>
  <c r="M570" i="20"/>
  <c r="P570" i="20" s="1"/>
  <c r="O570" i="20"/>
  <c r="M213" i="20"/>
  <c r="P213" i="20" s="1"/>
  <c r="O213" i="20"/>
  <c r="M606" i="20"/>
  <c r="P606" i="20" s="1"/>
  <c r="O606" i="20"/>
  <c r="M59" i="20"/>
  <c r="P59" i="20" s="1"/>
  <c r="O59" i="20"/>
  <c r="M186" i="20"/>
  <c r="P186" i="20" s="1"/>
  <c r="O186" i="20"/>
  <c r="M87" i="20"/>
  <c r="P87" i="20" s="1"/>
  <c r="O87" i="20"/>
  <c r="M259" i="20"/>
  <c r="P259" i="20" s="1"/>
  <c r="O259" i="20"/>
  <c r="M397" i="20"/>
  <c r="P397" i="20" s="1"/>
  <c r="O397" i="20"/>
  <c r="M516" i="20"/>
  <c r="P516" i="20" s="1"/>
  <c r="O516" i="20"/>
  <c r="M4" i="20"/>
  <c r="P4" i="20" s="1"/>
  <c r="O4" i="20"/>
  <c r="M33" i="20"/>
  <c r="P33" i="20" s="1"/>
  <c r="O33" i="20"/>
  <c r="M16" i="20"/>
  <c r="P16" i="20" s="1"/>
  <c r="O16" i="20"/>
  <c r="M270" i="20"/>
  <c r="P270" i="20" s="1"/>
  <c r="O270" i="20"/>
  <c r="M134" i="20"/>
  <c r="P134" i="20" s="1"/>
  <c r="O134" i="20"/>
  <c r="M448" i="20"/>
  <c r="P448" i="20" s="1"/>
  <c r="O448" i="20"/>
  <c r="M113" i="20"/>
  <c r="P113" i="20" s="1"/>
  <c r="O113" i="20"/>
  <c r="M111" i="20"/>
  <c r="P111" i="20" s="1"/>
  <c r="O111" i="20"/>
  <c r="M295" i="20"/>
  <c r="P295" i="20" s="1"/>
  <c r="O295" i="20"/>
  <c r="M101" i="20"/>
  <c r="P101" i="20" s="1"/>
  <c r="O101" i="20"/>
  <c r="M220" i="20"/>
  <c r="P220" i="20" s="1"/>
  <c r="O220" i="20"/>
  <c r="M211" i="20"/>
  <c r="P211" i="20" s="1"/>
  <c r="O211" i="20"/>
  <c r="M552" i="20"/>
  <c r="P552" i="20" s="1"/>
  <c r="O552" i="20"/>
  <c r="M573" i="20"/>
  <c r="P573" i="20" s="1"/>
  <c r="O573" i="20"/>
  <c r="M224" i="20"/>
  <c r="P224" i="20" s="1"/>
  <c r="O224" i="20"/>
  <c r="M166" i="20"/>
  <c r="P166" i="20" s="1"/>
  <c r="O166" i="20"/>
  <c r="M94" i="20"/>
  <c r="P94" i="20" s="1"/>
  <c r="O94" i="20"/>
  <c r="M392" i="20"/>
  <c r="P392" i="20" s="1"/>
  <c r="O392" i="20"/>
  <c r="M202" i="20"/>
  <c r="P202" i="20" s="1"/>
  <c r="O202" i="20"/>
  <c r="M130" i="20"/>
  <c r="P130" i="20" s="1"/>
  <c r="O130" i="20"/>
  <c r="M560" i="20"/>
  <c r="P560" i="20" s="1"/>
  <c r="O560" i="20"/>
  <c r="M349" i="20"/>
  <c r="P349" i="20" s="1"/>
  <c r="O349" i="20"/>
  <c r="M468" i="20"/>
  <c r="P468" i="20" s="1"/>
  <c r="O468" i="20"/>
  <c r="M459" i="20"/>
  <c r="P459" i="20" s="1"/>
  <c r="O459" i="20"/>
  <c r="M544" i="20"/>
  <c r="P544" i="20" s="1"/>
  <c r="O544" i="20"/>
  <c r="M353" i="20"/>
  <c r="P353" i="20" s="1"/>
  <c r="O353" i="20"/>
  <c r="M278" i="20"/>
  <c r="P278" i="20" s="1"/>
  <c r="O278" i="20"/>
  <c r="M50" i="20"/>
  <c r="P50" i="20" s="1"/>
  <c r="O50" i="20"/>
  <c r="M517" i="20"/>
  <c r="P517" i="20" s="1"/>
  <c r="O517" i="20"/>
  <c r="M62" i="20"/>
  <c r="P62" i="20" s="1"/>
  <c r="O62" i="20"/>
  <c r="M471" i="20"/>
  <c r="P471" i="20" s="1"/>
  <c r="O471" i="20"/>
  <c r="M361" i="20"/>
  <c r="P361" i="20" s="1"/>
  <c r="O361" i="20"/>
  <c r="M594" i="20"/>
  <c r="P594" i="20" s="1"/>
  <c r="O594" i="20"/>
  <c r="M261" i="20"/>
  <c r="P261" i="20" s="1"/>
  <c r="O261" i="20"/>
  <c r="M380" i="20"/>
  <c r="P380" i="20" s="1"/>
  <c r="O380" i="20"/>
  <c r="M371" i="20"/>
  <c r="P371" i="20" s="1"/>
  <c r="O371" i="20"/>
  <c r="M458" i="20"/>
  <c r="P458" i="20" s="1"/>
  <c r="O458" i="20"/>
  <c r="M462" i="20"/>
  <c r="P462" i="20" s="1"/>
  <c r="O462" i="20"/>
  <c r="M622" i="20"/>
  <c r="P622" i="20" s="1"/>
  <c r="O622" i="20"/>
  <c r="M173" i="20"/>
  <c r="P173" i="20" s="1"/>
  <c r="O173" i="20"/>
  <c r="M292" i="20"/>
  <c r="P292" i="20" s="1"/>
  <c r="O292" i="20"/>
  <c r="M283" i="20"/>
  <c r="P283" i="20" s="1"/>
  <c r="O283" i="20"/>
  <c r="M423" i="20"/>
  <c r="P423" i="20" s="1"/>
  <c r="O423" i="20"/>
  <c r="M366" i="20"/>
  <c r="P366" i="20" s="1"/>
  <c r="O366" i="20"/>
  <c r="M465" i="20"/>
  <c r="P465" i="20" s="1"/>
  <c r="O465" i="20"/>
  <c r="M538" i="20"/>
  <c r="P538" i="20" s="1"/>
  <c r="O538" i="20"/>
  <c r="M246" i="20"/>
  <c r="P246" i="20" s="1"/>
  <c r="O246" i="20"/>
  <c r="M400" i="20"/>
  <c r="P400" i="20" s="1"/>
  <c r="O400" i="20"/>
  <c r="M317" i="20"/>
  <c r="P317" i="20" s="1"/>
  <c r="O317" i="20"/>
  <c r="M436" i="20"/>
  <c r="P436" i="20" s="1"/>
  <c r="O436" i="20"/>
  <c r="M427" i="20"/>
  <c r="P427" i="20" s="1"/>
  <c r="O427" i="20"/>
  <c r="M509" i="20"/>
  <c r="P509" i="20" s="1"/>
  <c r="O509" i="20"/>
  <c r="M446" i="20"/>
  <c r="P446" i="20" s="1"/>
  <c r="O446" i="20"/>
  <c r="M481" i="20"/>
  <c r="P481" i="20" s="1"/>
  <c r="O481" i="20"/>
  <c r="M320" i="20"/>
  <c r="P320" i="20" s="1"/>
  <c r="O320" i="20"/>
  <c r="M176" i="20"/>
  <c r="P176" i="20" s="1"/>
  <c r="O176" i="20"/>
  <c r="M530" i="20"/>
  <c r="P530" i="20" s="1"/>
  <c r="O530" i="20"/>
  <c r="M469" i="20"/>
  <c r="P469" i="20" s="1"/>
  <c r="O469" i="20"/>
  <c r="M344" i="20"/>
  <c r="P344" i="20" s="1"/>
  <c r="O344" i="20"/>
  <c r="M209" i="20"/>
  <c r="P209" i="20" s="1"/>
  <c r="O209" i="20"/>
  <c r="M78" i="20"/>
  <c r="P78" i="20" s="1"/>
  <c r="O78" i="20"/>
  <c r="M183" i="20"/>
  <c r="P183" i="20" s="1"/>
  <c r="O183" i="20"/>
  <c r="M28" i="20"/>
  <c r="P28" i="20" s="1"/>
  <c r="O28" i="20"/>
  <c r="M393" i="20"/>
  <c r="P393" i="20" s="1"/>
  <c r="O393" i="20"/>
  <c r="M447" i="20"/>
  <c r="P447" i="20" s="1"/>
  <c r="O447" i="20"/>
  <c r="M276" i="20"/>
  <c r="P276" i="20" s="1"/>
  <c r="O276" i="20"/>
  <c r="M86" i="20"/>
  <c r="P86" i="20" s="1"/>
  <c r="O86" i="20"/>
  <c r="M122" i="20"/>
  <c r="P122" i="20" s="1"/>
  <c r="O122" i="20"/>
  <c r="M179" i="20"/>
  <c r="P179" i="20" s="1"/>
  <c r="O179" i="20"/>
  <c r="M612" i="20"/>
  <c r="P612" i="20" s="1"/>
  <c r="O612" i="20"/>
  <c r="M417" i="20"/>
  <c r="P417" i="20" s="1"/>
  <c r="O417" i="20"/>
  <c r="M244" i="20"/>
  <c r="P244" i="20" s="1"/>
  <c r="O244" i="20"/>
  <c r="M405" i="20"/>
  <c r="P405" i="20" s="1"/>
  <c r="O405" i="20"/>
  <c r="M26" i="20"/>
  <c r="P26" i="20" s="1"/>
  <c r="O26" i="20"/>
  <c r="M251" i="20"/>
  <c r="P251" i="20" s="1"/>
  <c r="O251" i="20"/>
  <c r="M14" i="20"/>
  <c r="P14" i="20" s="1"/>
  <c r="O14" i="20"/>
  <c r="M248" i="20"/>
  <c r="P248" i="20" s="1"/>
  <c r="O248" i="20"/>
  <c r="M271" i="20"/>
  <c r="P271" i="20" s="1"/>
  <c r="O271" i="20"/>
  <c r="M345" i="20"/>
  <c r="P345" i="20" s="1"/>
  <c r="O345" i="20"/>
  <c r="M39" i="20"/>
  <c r="P39" i="20" s="1"/>
  <c r="O39" i="20"/>
  <c r="M152" i="20"/>
  <c r="P152" i="20" s="1"/>
  <c r="O152" i="20"/>
  <c r="M318" i="20"/>
  <c r="P318" i="20" s="1"/>
  <c r="O318" i="20"/>
  <c r="M470" i="20"/>
  <c r="P470" i="20" s="1"/>
  <c r="O470" i="20"/>
  <c r="M518" i="20"/>
  <c r="P518" i="20" s="1"/>
  <c r="O518" i="20"/>
  <c r="M27" i="20"/>
  <c r="P27" i="20" s="1"/>
  <c r="O27" i="20"/>
  <c r="M533" i="20"/>
  <c r="P533" i="20" s="1"/>
  <c r="O533" i="20"/>
  <c r="M396" i="20"/>
  <c r="P396" i="20" s="1"/>
  <c r="O396" i="20"/>
  <c r="M88" i="20"/>
  <c r="P88" i="20" s="1"/>
  <c r="O88" i="20"/>
  <c r="M329" i="20"/>
  <c r="P329" i="20" s="1"/>
  <c r="O329" i="20"/>
  <c r="M229" i="20"/>
  <c r="P229" i="20" s="1"/>
  <c r="O229" i="20"/>
  <c r="M242" i="20"/>
  <c r="P242" i="20" s="1"/>
  <c r="O242" i="20"/>
  <c r="M490" i="20"/>
  <c r="P490" i="20" s="1"/>
  <c r="O490" i="20"/>
  <c r="M84" i="20"/>
  <c r="P84" i="20" s="1"/>
  <c r="O84" i="20"/>
  <c r="M603" i="20"/>
  <c r="P603" i="20" s="1"/>
  <c r="O603" i="20"/>
  <c r="M42" i="20"/>
  <c r="P42" i="20" s="1"/>
  <c r="O42" i="20"/>
  <c r="M508" i="20"/>
  <c r="P508" i="20" s="1"/>
  <c r="O508" i="20"/>
  <c r="M605" i="20"/>
  <c r="P605" i="20" s="1"/>
  <c r="O605" i="20"/>
  <c r="M420" i="20"/>
  <c r="P420" i="20" s="1"/>
  <c r="O420" i="20"/>
  <c r="M501" i="20"/>
  <c r="P501" i="20" s="1"/>
  <c r="O501" i="20"/>
  <c r="M374" i="20"/>
  <c r="P374" i="20" s="1"/>
  <c r="O374" i="20"/>
  <c r="M564" i="20"/>
  <c r="P564" i="20" s="1"/>
  <c r="O564" i="20"/>
  <c r="M595" i="20"/>
  <c r="P595" i="20" s="1"/>
  <c r="O595" i="20"/>
  <c r="M332" i="20"/>
  <c r="P332" i="20" s="1"/>
  <c r="O332" i="20"/>
  <c r="M461" i="20"/>
  <c r="P461" i="20" s="1"/>
  <c r="O461" i="20"/>
  <c r="M177" i="20"/>
  <c r="P177" i="20" s="1"/>
  <c r="O177" i="20"/>
  <c r="M249" i="20"/>
  <c r="P249" i="20" s="1"/>
  <c r="M502" i="20"/>
  <c r="P502" i="20" s="1"/>
  <c r="O502" i="20"/>
  <c r="M247" i="20"/>
  <c r="P247" i="20" s="1"/>
  <c r="O247" i="20"/>
  <c r="M149" i="20"/>
  <c r="P149" i="20" s="1"/>
  <c r="O149" i="20"/>
  <c r="M630" i="20"/>
  <c r="P630" i="20" s="1"/>
  <c r="O630" i="20"/>
  <c r="M621" i="20"/>
  <c r="P621" i="20" s="1"/>
  <c r="O621" i="20"/>
  <c r="M496" i="20"/>
  <c r="P496" i="20" s="1"/>
  <c r="O496" i="20"/>
  <c r="M390" i="20"/>
  <c r="P390" i="20" s="1"/>
  <c r="O390" i="20"/>
  <c r="M609" i="20"/>
  <c r="P609" i="20" s="1"/>
  <c r="O609" i="20"/>
  <c r="M607" i="20"/>
  <c r="P607" i="20" s="1"/>
  <c r="O607" i="20"/>
  <c r="M262" i="20"/>
  <c r="P262" i="20" s="1"/>
  <c r="O262" i="20"/>
  <c r="M273" i="20"/>
  <c r="P273" i="20" s="1"/>
  <c r="O273" i="20"/>
  <c r="M23" i="20"/>
  <c r="P23" i="20" s="1"/>
  <c r="O23" i="20"/>
  <c r="M85" i="20"/>
  <c r="P85" i="20" s="1"/>
  <c r="O85" i="20"/>
  <c r="M204" i="20"/>
  <c r="P204" i="20" s="1"/>
  <c r="O204" i="20"/>
  <c r="M195" i="20"/>
  <c r="P195" i="20" s="1"/>
  <c r="O195" i="20"/>
  <c r="M529" i="20"/>
  <c r="P529" i="20" s="1"/>
  <c r="O529" i="20"/>
  <c r="M333" i="20"/>
  <c r="P333" i="20" s="1"/>
  <c r="O333" i="20"/>
  <c r="M452" i="20"/>
  <c r="P452" i="20" s="1"/>
  <c r="O452" i="20"/>
  <c r="M443" i="20"/>
  <c r="P443" i="20" s="1"/>
  <c r="O443" i="20"/>
  <c r="M66" i="20"/>
  <c r="P66" i="20" s="1"/>
  <c r="O66" i="20"/>
  <c r="M327" i="20"/>
  <c r="P327" i="20" s="1"/>
  <c r="O327" i="20"/>
  <c r="M206" i="20"/>
  <c r="P206" i="20" s="1"/>
  <c r="O206" i="20"/>
  <c r="M576" i="20"/>
  <c r="P576" i="20" s="1"/>
  <c r="M64" i="20"/>
  <c r="P64" i="20" s="1"/>
  <c r="O64" i="20"/>
  <c r="M170" i="20"/>
  <c r="P170" i="20" s="1"/>
  <c r="O170" i="20"/>
  <c r="M47" i="20"/>
  <c r="P47" i="20" s="1"/>
  <c r="O47" i="20"/>
  <c r="M231" i="20"/>
  <c r="P231" i="20" s="1"/>
  <c r="O231" i="20"/>
  <c r="M37" i="20"/>
  <c r="P37" i="20" s="1"/>
  <c r="O37" i="20"/>
  <c r="M156" i="20"/>
  <c r="P156" i="20" s="1"/>
  <c r="O156" i="20"/>
  <c r="M147" i="20"/>
  <c r="P147" i="20" s="1"/>
  <c r="O147" i="20"/>
  <c r="M488" i="20"/>
  <c r="P488" i="20" s="1"/>
  <c r="O488" i="20"/>
  <c r="M210" i="20"/>
  <c r="P210" i="20" s="1"/>
  <c r="O210" i="20"/>
  <c r="M96" i="20"/>
  <c r="P96" i="20" s="1"/>
  <c r="O96" i="20"/>
  <c r="M102" i="20"/>
  <c r="P102" i="20" s="1"/>
  <c r="O102" i="20"/>
  <c r="M30" i="20"/>
  <c r="P30" i="20" s="1"/>
  <c r="O30" i="20"/>
  <c r="M264" i="20"/>
  <c r="P264" i="20" s="1"/>
  <c r="O264" i="20"/>
  <c r="M167" i="20"/>
  <c r="P167" i="20" s="1"/>
  <c r="O167" i="20"/>
  <c r="M17" i="20"/>
  <c r="P17" i="20" s="1"/>
  <c r="O17" i="20"/>
  <c r="M432" i="20"/>
  <c r="P432" i="20" s="1"/>
  <c r="O432" i="20"/>
  <c r="M285" i="20"/>
  <c r="P285" i="20" s="1"/>
  <c r="O285" i="20"/>
  <c r="M404" i="20"/>
  <c r="P404" i="20" s="1"/>
  <c r="O404" i="20"/>
  <c r="M395" i="20"/>
  <c r="P395" i="20" s="1"/>
  <c r="O395" i="20"/>
  <c r="M407" i="20"/>
  <c r="P407" i="20" s="1"/>
  <c r="O407" i="20"/>
  <c r="M10" i="20"/>
  <c r="P10" i="20" s="1"/>
  <c r="O10" i="20"/>
  <c r="M214" i="20"/>
  <c r="P214" i="20" s="1"/>
  <c r="O214" i="20"/>
  <c r="M579" i="20"/>
  <c r="P579" i="20" s="1"/>
  <c r="O579" i="20"/>
  <c r="M312" i="20"/>
  <c r="P312" i="20" s="1"/>
  <c r="O312" i="20"/>
  <c r="M418" i="20"/>
  <c r="P418" i="20" s="1"/>
  <c r="O418" i="20"/>
  <c r="M279" i="20"/>
  <c r="P279" i="20" s="1"/>
  <c r="O279" i="20"/>
  <c r="M536" i="20"/>
  <c r="P536" i="20" s="1"/>
  <c r="O536" i="20"/>
  <c r="M592" i="20"/>
  <c r="P592" i="20" s="1"/>
  <c r="O592" i="20"/>
  <c r="M197" i="20"/>
  <c r="P197" i="20" s="1"/>
  <c r="O197" i="20"/>
  <c r="M316" i="20"/>
  <c r="P316" i="20" s="1"/>
  <c r="O316" i="20"/>
  <c r="M307" i="20"/>
  <c r="P307" i="20" s="1"/>
  <c r="O307" i="20"/>
  <c r="M9" i="20"/>
  <c r="P9" i="20" s="1"/>
  <c r="O9" i="20"/>
  <c r="M611" i="20"/>
  <c r="P611" i="20" s="1"/>
  <c r="O611" i="20"/>
  <c r="M281" i="20"/>
  <c r="P281" i="20" s="1"/>
  <c r="O281" i="20"/>
  <c r="M109" i="20"/>
  <c r="P109" i="20" s="1"/>
  <c r="O109" i="20"/>
  <c r="M228" i="20"/>
  <c r="P228" i="20" s="1"/>
  <c r="O228" i="20"/>
  <c r="M219" i="20"/>
  <c r="P219" i="20" s="1"/>
  <c r="O219" i="20"/>
  <c r="M586" i="20"/>
  <c r="P586" i="20" s="1"/>
  <c r="O586" i="20"/>
  <c r="M302" i="20"/>
  <c r="P302" i="20" s="1"/>
  <c r="O302" i="20"/>
  <c r="M539" i="20"/>
  <c r="P539" i="20" s="1"/>
  <c r="O539" i="20"/>
  <c r="M121" i="20"/>
  <c r="P121" i="20" s="1"/>
  <c r="O121" i="20"/>
  <c r="M182" i="20"/>
  <c r="P182" i="20" s="1"/>
  <c r="O182" i="20"/>
  <c r="M272" i="20"/>
  <c r="P272" i="20" s="1"/>
  <c r="O272" i="20"/>
  <c r="M253" i="20"/>
  <c r="P253" i="20" s="1"/>
  <c r="O253" i="20"/>
  <c r="M372" i="20"/>
  <c r="P372" i="20" s="1"/>
  <c r="O372" i="20"/>
  <c r="M363" i="20"/>
  <c r="P363" i="20" s="1"/>
  <c r="O363" i="20"/>
  <c r="M128" i="20"/>
  <c r="P128" i="20" s="1"/>
  <c r="O128" i="20"/>
  <c r="M337" i="20"/>
  <c r="P337" i="20" s="1"/>
  <c r="O337" i="20"/>
  <c r="M97" i="20"/>
  <c r="P97" i="20" s="1"/>
  <c r="O97" i="20"/>
  <c r="M450" i="20"/>
  <c r="P450" i="20" s="1"/>
  <c r="O450" i="20"/>
  <c r="M571" i="20"/>
  <c r="P571" i="20" s="1"/>
  <c r="O571" i="20"/>
  <c r="M205" i="20"/>
  <c r="P205" i="20" s="1"/>
  <c r="O205" i="20"/>
  <c r="M315" i="20"/>
  <c r="P315" i="20" s="1"/>
  <c r="O315" i="20"/>
  <c r="M200" i="20"/>
  <c r="P200" i="20" s="1"/>
  <c r="O200" i="20"/>
  <c r="M574" i="20"/>
  <c r="P574" i="20" s="1"/>
  <c r="O574" i="20"/>
  <c r="M540" i="20"/>
  <c r="P540" i="20" s="1"/>
  <c r="O540" i="20"/>
  <c r="M40" i="20"/>
  <c r="P40" i="20" s="1"/>
  <c r="O40" i="20"/>
  <c r="M546" i="20"/>
  <c r="P546" i="20" s="1"/>
  <c r="O546" i="20"/>
  <c r="M157" i="20"/>
  <c r="P157" i="20" s="1"/>
  <c r="O157" i="20"/>
  <c r="M153" i="20"/>
  <c r="P153" i="20" s="1"/>
  <c r="O153" i="20"/>
  <c r="M223" i="20"/>
  <c r="P223" i="20" s="1"/>
  <c r="O223" i="20"/>
  <c r="M519" i="20"/>
  <c r="P519" i="20" s="1"/>
  <c r="O519" i="20"/>
  <c r="M439" i="20"/>
  <c r="P439" i="20" s="1"/>
  <c r="O439" i="20"/>
  <c r="M100" i="20"/>
  <c r="P100" i="20" s="1"/>
  <c r="O100" i="20"/>
  <c r="M199" i="20"/>
  <c r="P199" i="20" s="1"/>
  <c r="O199" i="20"/>
  <c r="M125" i="20"/>
  <c r="P125" i="20" s="1"/>
  <c r="O125" i="20"/>
  <c r="M18" i="20"/>
  <c r="P18" i="20" s="1"/>
  <c r="O18" i="20"/>
  <c r="M154" i="20"/>
  <c r="P154" i="20" s="1"/>
  <c r="O154" i="20"/>
  <c r="M32" i="20"/>
  <c r="P32" i="20" s="1"/>
  <c r="O32" i="20"/>
  <c r="M12" i="20"/>
  <c r="P12" i="20" s="1"/>
  <c r="O12" i="20"/>
  <c r="M260" i="20"/>
  <c r="P260" i="20" s="1"/>
  <c r="O260" i="20"/>
  <c r="M201" i="20"/>
  <c r="P201" i="20" s="1"/>
  <c r="O201" i="20"/>
  <c r="M467" i="20"/>
  <c r="P467" i="20" s="1"/>
  <c r="O467" i="20"/>
  <c r="M422" i="20"/>
  <c r="P422" i="20" s="1"/>
  <c r="O422" i="20"/>
  <c r="M473" i="20"/>
  <c r="P473" i="20" s="1"/>
  <c r="O473" i="20"/>
  <c r="M212" i="20"/>
  <c r="P212" i="20" s="1"/>
  <c r="O212" i="20"/>
  <c r="M208" i="20"/>
  <c r="P208" i="20" s="1"/>
  <c r="O208" i="20"/>
  <c r="M178" i="20"/>
  <c r="P178" i="20" s="1"/>
  <c r="O178" i="20"/>
  <c r="M124" i="20"/>
  <c r="P124" i="20" s="1"/>
  <c r="O124" i="20"/>
  <c r="M429" i="20"/>
  <c r="P429" i="20" s="1"/>
  <c r="O429" i="20"/>
  <c r="M554" i="20"/>
  <c r="P554" i="20" s="1"/>
  <c r="O554" i="20"/>
  <c r="M218" i="20"/>
  <c r="P218" i="20" s="1"/>
  <c r="O218" i="20"/>
  <c r="M162" i="20"/>
  <c r="P162" i="20" s="1"/>
  <c r="O162" i="20"/>
  <c r="M169" i="20"/>
  <c r="P169" i="20" s="1"/>
  <c r="O169" i="20"/>
  <c r="M277" i="20"/>
  <c r="P277" i="20" s="1"/>
  <c r="O277" i="20"/>
  <c r="M387" i="20"/>
  <c r="P387" i="20" s="1"/>
  <c r="O387" i="20"/>
  <c r="M13" i="20"/>
  <c r="P13" i="20" s="1"/>
  <c r="O13" i="20"/>
  <c r="M581" i="20"/>
  <c r="P581" i="20" s="1"/>
  <c r="O581" i="20"/>
  <c r="M321" i="20"/>
  <c r="P321" i="20" s="1"/>
  <c r="O321" i="20"/>
  <c r="M368" i="20"/>
  <c r="P368" i="20" s="1"/>
  <c r="O368" i="20"/>
  <c r="M339" i="20"/>
  <c r="P339" i="20" s="1"/>
  <c r="O339" i="20"/>
  <c r="M351" i="20"/>
  <c r="P351" i="20" s="1"/>
  <c r="O351" i="20"/>
  <c r="M222" i="20"/>
  <c r="P222" i="20" s="1"/>
  <c r="O222" i="20"/>
  <c r="M232" i="20"/>
  <c r="P232" i="20" s="1"/>
  <c r="O232" i="20"/>
  <c r="M596" i="20"/>
  <c r="P596" i="20" s="1"/>
  <c r="O596" i="20"/>
  <c r="M406" i="20"/>
  <c r="P406" i="20" s="1"/>
  <c r="O406" i="20"/>
  <c r="M120" i="20"/>
  <c r="P120" i="20" s="1"/>
  <c r="O120" i="20"/>
  <c r="M90" i="20"/>
  <c r="P90" i="20" s="1"/>
  <c r="O90" i="20"/>
  <c r="M499" i="20"/>
  <c r="P499" i="20" s="1"/>
  <c r="O499" i="20"/>
  <c r="M301" i="20"/>
  <c r="P301" i="20" s="1"/>
  <c r="O301" i="20"/>
  <c r="M411" i="20"/>
  <c r="P411" i="20" s="1"/>
  <c r="O411" i="20"/>
  <c r="M547" i="20"/>
  <c r="P547" i="20" s="1"/>
  <c r="O547" i="20"/>
  <c r="M24" i="20"/>
  <c r="P24" i="20" s="1"/>
  <c r="O24" i="20"/>
  <c r="M445" i="20"/>
  <c r="P445" i="20" s="1"/>
  <c r="O445" i="20"/>
  <c r="M43" i="20"/>
  <c r="P43" i="20" s="1"/>
  <c r="O43" i="20"/>
  <c r="M306" i="20"/>
  <c r="P306" i="20" s="1"/>
  <c r="O306" i="20"/>
  <c r="M610" i="20"/>
  <c r="P610" i="20" s="1"/>
  <c r="O610" i="20"/>
  <c r="M359" i="20"/>
  <c r="P359" i="20" s="1"/>
  <c r="O359" i="20"/>
  <c r="M145" i="20"/>
  <c r="P145" i="20" s="1"/>
  <c r="O145" i="20"/>
  <c r="M151" i="20"/>
  <c r="P151" i="20" s="1"/>
  <c r="O151" i="20"/>
  <c r="M580" i="20"/>
  <c r="P580" i="20" s="1"/>
  <c r="O580" i="20"/>
  <c r="M334" i="20"/>
  <c r="P334" i="20" s="1"/>
  <c r="O334" i="20"/>
  <c r="M457" i="20"/>
  <c r="P457" i="20" s="1"/>
  <c r="O457" i="20"/>
  <c r="M466" i="20"/>
  <c r="P466" i="20" s="1"/>
  <c r="O466" i="20"/>
  <c r="M268" i="20"/>
  <c r="P268" i="20" s="1"/>
  <c r="O268" i="20"/>
  <c r="M549" i="20"/>
  <c r="P549" i="20" s="1"/>
  <c r="O549" i="20"/>
  <c r="M65" i="20"/>
  <c r="P65" i="20" s="1"/>
  <c r="O65" i="20"/>
  <c r="M515" i="20"/>
  <c r="P515" i="20" s="1"/>
  <c r="O515" i="20"/>
  <c r="M304" i="20"/>
  <c r="P304" i="20" s="1"/>
  <c r="O304" i="20"/>
  <c r="M198" i="20"/>
  <c r="P198" i="20" s="1"/>
  <c r="O198" i="20"/>
  <c r="M2" i="20"/>
  <c r="P2" i="20" s="1"/>
  <c r="T2" i="20"/>
  <c r="O2" i="20"/>
  <c r="M479" i="20"/>
  <c r="P479" i="20" s="1"/>
  <c r="O479" i="20"/>
  <c r="M541" i="20"/>
  <c r="P541" i="20" s="1"/>
  <c r="O541" i="20"/>
  <c r="M486" i="20"/>
  <c r="P486" i="20" s="1"/>
  <c r="O486" i="20"/>
  <c r="M21" i="20"/>
  <c r="P21" i="20" s="1"/>
  <c r="O21" i="20"/>
  <c r="M140" i="20"/>
  <c r="P140" i="20" s="1"/>
  <c r="O140" i="20"/>
  <c r="M131" i="20"/>
  <c r="P131" i="20" s="1"/>
  <c r="O131" i="20"/>
  <c r="M561" i="20"/>
  <c r="P561" i="20" s="1"/>
  <c r="O561" i="20"/>
  <c r="M298" i="20"/>
  <c r="P298" i="20" s="1"/>
  <c r="O298" i="20"/>
  <c r="M269" i="20"/>
  <c r="P269" i="20" s="1"/>
  <c r="O269" i="20"/>
  <c r="M388" i="20"/>
  <c r="P388" i="20" s="1"/>
  <c r="O388" i="20"/>
  <c r="M379" i="20"/>
  <c r="P379" i="20" s="1"/>
  <c r="O379" i="20"/>
  <c r="M534" i="20"/>
  <c r="P534" i="20" s="1"/>
  <c r="O534" i="20"/>
  <c r="M328" i="20"/>
  <c r="P328" i="20" s="1"/>
  <c r="O328" i="20"/>
  <c r="M142" i="20"/>
  <c r="P142" i="20" s="1"/>
  <c r="O142" i="20"/>
  <c r="M503" i="20"/>
  <c r="P503" i="20" s="1"/>
  <c r="O503" i="20"/>
  <c r="M489" i="20"/>
  <c r="P489" i="20" s="1"/>
  <c r="O489" i="20"/>
  <c r="M589" i="20"/>
  <c r="P589" i="20" s="1"/>
  <c r="O589" i="20"/>
  <c r="M485" i="20"/>
  <c r="P485" i="20" s="1"/>
  <c r="O485" i="20"/>
  <c r="M604" i="20"/>
  <c r="P604" i="20" s="1"/>
  <c r="O604" i="20"/>
  <c r="M92" i="20"/>
  <c r="P92" i="20" s="1"/>
  <c r="O92" i="20"/>
  <c r="M83" i="20"/>
  <c r="P83" i="20" s="1"/>
  <c r="O83" i="20"/>
  <c r="M168" i="20"/>
  <c r="P168" i="20" s="1"/>
  <c r="O168" i="20"/>
  <c r="M74" i="20"/>
  <c r="P74" i="20" s="1"/>
  <c r="O74" i="20"/>
  <c r="M535" i="20"/>
  <c r="P535" i="20" s="1"/>
  <c r="O535" i="20"/>
  <c r="M38" i="20"/>
  <c r="P38" i="20" s="1"/>
  <c r="O38" i="20"/>
  <c r="M58" i="20"/>
  <c r="P58" i="20" s="1"/>
  <c r="O58" i="20"/>
  <c r="M575" i="20"/>
  <c r="P575" i="20" s="1"/>
  <c r="O575" i="20"/>
  <c r="M626" i="20"/>
  <c r="P626" i="20" s="1"/>
  <c r="O626" i="20"/>
  <c r="M330" i="20"/>
  <c r="P330" i="20" s="1"/>
  <c r="O330" i="20"/>
  <c r="M551" i="20"/>
  <c r="P551" i="20" s="1"/>
  <c r="O551" i="20"/>
  <c r="M221" i="20"/>
  <c r="P221" i="20" s="1"/>
  <c r="O221" i="20"/>
  <c r="M340" i="20"/>
  <c r="P340" i="20" s="1"/>
  <c r="O340" i="20"/>
  <c r="M331" i="20"/>
  <c r="P331" i="20" s="1"/>
  <c r="O331" i="20"/>
  <c r="M354" i="20"/>
  <c r="P354" i="20" s="1"/>
  <c r="O354" i="20"/>
  <c r="M73" i="20"/>
  <c r="P73" i="20" s="1"/>
  <c r="O73" i="20"/>
  <c r="M150" i="20"/>
  <c r="P150" i="20" s="1"/>
  <c r="O150" i="20"/>
  <c r="M504" i="20"/>
  <c r="P504" i="20" s="1"/>
  <c r="O504" i="20"/>
  <c r="M623" i="20"/>
  <c r="P623" i="20" s="1"/>
  <c r="O623" i="20"/>
  <c r="M616" i="20"/>
  <c r="P616" i="20" s="1"/>
  <c r="O616" i="20"/>
  <c r="M289" i="20"/>
  <c r="P289" i="20" s="1"/>
  <c r="O289" i="20"/>
  <c r="M335" i="20"/>
  <c r="P335" i="20" s="1"/>
  <c r="O335" i="20"/>
  <c r="M144" i="20"/>
  <c r="P144" i="20" s="1"/>
  <c r="O144" i="20"/>
  <c r="M133" i="20"/>
  <c r="P133" i="20" s="1"/>
  <c r="O133" i="20"/>
  <c r="M252" i="20"/>
  <c r="P252" i="20" s="1"/>
  <c r="O252" i="20"/>
  <c r="M243" i="20"/>
  <c r="P243" i="20" s="1"/>
  <c r="O243" i="20"/>
  <c r="M631" i="20"/>
  <c r="P631" i="20" s="1"/>
  <c r="O631" i="20"/>
  <c r="M338" i="20"/>
  <c r="P338" i="20" s="1"/>
  <c r="O338" i="20"/>
  <c r="M239" i="20"/>
  <c r="P239" i="20" s="1"/>
  <c r="O239" i="20"/>
  <c r="M45" i="20"/>
  <c r="P45" i="20" s="1"/>
  <c r="O45" i="20"/>
  <c r="M164" i="20"/>
  <c r="P164" i="20" s="1"/>
  <c r="O164" i="20"/>
  <c r="M155" i="20"/>
  <c r="P155" i="20" s="1"/>
  <c r="O155" i="20"/>
  <c r="M217" i="20"/>
  <c r="P217" i="20" s="1"/>
  <c r="O217" i="20"/>
  <c r="M238" i="20"/>
  <c r="P238" i="20" s="1"/>
  <c r="O238" i="20"/>
  <c r="M80" i="20"/>
  <c r="P80" i="20" s="1"/>
  <c r="O80" i="20"/>
  <c r="M266" i="20"/>
  <c r="P266" i="20" s="1"/>
  <c r="O266" i="20"/>
  <c r="M118" i="20"/>
  <c r="P118" i="20" s="1"/>
  <c r="O118" i="20"/>
  <c r="M135" i="20"/>
  <c r="P135" i="20" s="1"/>
  <c r="O135" i="20"/>
  <c r="M189" i="20"/>
  <c r="P189" i="20" s="1"/>
  <c r="O189" i="20"/>
  <c r="M308" i="20"/>
  <c r="P308" i="20" s="1"/>
  <c r="O308" i="20"/>
  <c r="M299" i="20"/>
  <c r="P299" i="20" s="1"/>
  <c r="O299" i="20"/>
  <c r="M48" i="20"/>
  <c r="P48" i="20" s="1"/>
  <c r="O48" i="20"/>
  <c r="M255" i="20"/>
  <c r="P255" i="20" s="1"/>
  <c r="O255" i="20"/>
  <c r="T3" i="20" l="1"/>
  <c r="U2" i="20"/>
  <c r="U3" i="2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<sst xmlns="http://schemas.openxmlformats.org/spreadsheetml/2006/main" count="19168" uniqueCount="1485">
  <si>
    <t>OrderID</t>
  </si>
  <si>
    <t>OrderDate</t>
  </si>
  <si>
    <t>RequiredDate</t>
  </si>
  <si>
    <t>Region</t>
  </si>
  <si>
    <t>Country</t>
  </si>
  <si>
    <t>City</t>
  </si>
  <si>
    <t>CustomerSegment</t>
  </si>
  <si>
    <t>Channel</t>
  </si>
  <si>
    <t>Salesperson</t>
  </si>
  <si>
    <t>ProductCategory</t>
  </si>
  <si>
    <t>SKU</t>
  </si>
  <si>
    <t>UnitCost</t>
  </si>
  <si>
    <t>UnitPrice</t>
  </si>
  <si>
    <t>DiscountPct</t>
  </si>
  <si>
    <t>Quantity</t>
  </si>
  <si>
    <t>ORD-2024-275203</t>
  </si>
  <si>
    <t>ORD-2024-358795</t>
  </si>
  <si>
    <t>ORD-2023-373538</t>
  </si>
  <si>
    <t>ORD-2025-168148</t>
  </si>
  <si>
    <t>ORD-2023-824839</t>
  </si>
  <si>
    <t>ORD-2023-723587</t>
  </si>
  <si>
    <t>ORD-2024-336584</t>
  </si>
  <si>
    <t>ORD-2023-112666</t>
  </si>
  <si>
    <t>ORD-2024-589570</t>
  </si>
  <si>
    <t>ORD-2025-997421</t>
  </si>
  <si>
    <t>ORD-2024-210687</t>
  </si>
  <si>
    <t>ORD-2025-515515</t>
  </si>
  <si>
    <t>ORD-2025-487261</t>
  </si>
  <si>
    <t>ORD-2024-890180</t>
  </si>
  <si>
    <t>ORD-2025-840976</t>
  </si>
  <si>
    <t>ORD-2023-937291</t>
  </si>
  <si>
    <t>ORD-2024-206081</t>
  </si>
  <si>
    <t>ORD-2025-233883</t>
  </si>
  <si>
    <t>ORD-2025-843974</t>
  </si>
  <si>
    <t>ORD-2025-745263</t>
  </si>
  <si>
    <t>ORD-2024-798002</t>
  </si>
  <si>
    <t>ORD-2023-867836</t>
  </si>
  <si>
    <t>ORD-2025-580047</t>
  </si>
  <si>
    <t>ORD-2024-500109</t>
  </si>
  <si>
    <t>ORD-2023-271836</t>
  </si>
  <si>
    <t>ORD-2024-215294</t>
  </si>
  <si>
    <t>ORD-2024-788105</t>
  </si>
  <si>
    <t>ORD-2024-855073</t>
  </si>
  <si>
    <t>ORD-2023-897079</t>
  </si>
  <si>
    <t>ORD-2025-548982</t>
  </si>
  <si>
    <t>ORD-2024-170313</t>
  </si>
  <si>
    <t>ORD-2023-562894</t>
  </si>
  <si>
    <t>ORD-2025-474710</t>
  </si>
  <si>
    <t>ORD-2024-629525</t>
  </si>
  <si>
    <t>ORD-2024-167215</t>
  </si>
  <si>
    <t>ORD-2023-864121</t>
  </si>
  <si>
    <t>ORD-2024-692673</t>
  </si>
  <si>
    <t>ORD-2025-718992</t>
  </si>
  <si>
    <t>ORD-2024-599522</t>
  </si>
  <si>
    <t>ORD-2023-651638</t>
  </si>
  <si>
    <t>ORD-2024-635626</t>
  </si>
  <si>
    <t>ORD-2024-296582</t>
  </si>
  <si>
    <t>ORD-2024-998320</t>
  </si>
  <si>
    <t>ORD-2025-820255</t>
  </si>
  <si>
    <t>ORD-2024-389336</t>
  </si>
  <si>
    <t>ORD-2023-308124</t>
  </si>
  <si>
    <t>ORD-2023-128295</t>
  </si>
  <si>
    <t>ORD-2024-548345</t>
  </si>
  <si>
    <t>ORD-2024-966651</t>
  </si>
  <si>
    <t>ORD-2023-292714</t>
  </si>
  <si>
    <t>ORD-2024-468501</t>
  </si>
  <si>
    <t>ORD-2024-260775</t>
  </si>
  <si>
    <t>ORD-2023-419187</t>
  </si>
  <si>
    <t>ORD-2025-578007</t>
  </si>
  <si>
    <t>ORD-2023-235230</t>
  </si>
  <si>
    <t>ORD-2025-765220</t>
  </si>
  <si>
    <t>ORD-2025-931538</t>
  </si>
  <si>
    <t>ORD-2024-289089</t>
  </si>
  <si>
    <t>ORD-2025-639542</t>
  </si>
  <si>
    <t>ORD-2025-762301</t>
  </si>
  <si>
    <t>ORD-2024-906395</t>
  </si>
  <si>
    <t>ORD-2025-779574</t>
  </si>
  <si>
    <t>ORD-2025-526650</t>
  </si>
  <si>
    <t>ORD-2024-247979</t>
  </si>
  <si>
    <t>ORD-2023-480975</t>
  </si>
  <si>
    <t>ORD-2023-239789</t>
  </si>
  <si>
    <t>ORD-2023-548874</t>
  </si>
  <si>
    <t>ORD-2024-347736</t>
  </si>
  <si>
    <t>ORD-2023-749324</t>
  </si>
  <si>
    <t>ORD-2023-809913</t>
  </si>
  <si>
    <t>ORD-2024-287210</t>
  </si>
  <si>
    <t>ORD-2025-640677</t>
  </si>
  <si>
    <t>ORD-2024-939873</t>
  </si>
  <si>
    <t>ORD-2024-800947</t>
  </si>
  <si>
    <t>ORD-2023-382272</t>
  </si>
  <si>
    <t>ORD-2023-722117</t>
  </si>
  <si>
    <t>ORD-2024-446699</t>
  </si>
  <si>
    <t>ORD-2024-451005</t>
  </si>
  <si>
    <t>ORD-2023-290279</t>
  </si>
  <si>
    <t>ORD-2024-192263</t>
  </si>
  <si>
    <t>ORD-2023-159379</t>
  </si>
  <si>
    <t>ORD-2023-343322</t>
  </si>
  <si>
    <t>ORD-2025-114382</t>
  </si>
  <si>
    <t>ORD-2025-488349</t>
  </si>
  <si>
    <t>ORD-2025-330203</t>
  </si>
  <si>
    <t>ORD-2023-841426</t>
  </si>
  <si>
    <t>ORD-2024-594592</t>
  </si>
  <si>
    <t>ORD-2025-863978</t>
  </si>
  <si>
    <t>ORD-2024-604471</t>
  </si>
  <si>
    <t>ORD-2023-258768</t>
  </si>
  <si>
    <t>ORD-2025-626047</t>
  </si>
  <si>
    <t>ORD-2025-526752</t>
  </si>
  <si>
    <t>ORD-2023-374486</t>
  </si>
  <si>
    <t>ORD-2024-997336</t>
  </si>
  <si>
    <t>ORD-2025-725646</t>
  </si>
  <si>
    <t>ORD-2023-868734</t>
  </si>
  <si>
    <t>ORD-2025-262491</t>
  </si>
  <si>
    <t>ORD-2024-638884</t>
  </si>
  <si>
    <t>ORD-2025-541501</t>
  </si>
  <si>
    <t>ORD-2023-422918</t>
  </si>
  <si>
    <t>ORD-2025-328504</t>
  </si>
  <si>
    <t>ORD-2024-851883</t>
  </si>
  <si>
    <t>ORD-2025-662997</t>
  </si>
  <si>
    <t>ORD-2024-478165</t>
  </si>
  <si>
    <t>ORD-2024-771210</t>
  </si>
  <si>
    <t>ORD-2024-155337</t>
  </si>
  <si>
    <t>ORD-2023-251563</t>
  </si>
  <si>
    <t>ORD-2024-286833</t>
  </si>
  <si>
    <t>ORD-2024-792558</t>
  </si>
  <si>
    <t>ORD-2024-166150</t>
  </si>
  <si>
    <t>ORD-2024-909942</t>
  </si>
  <si>
    <t>ORD-2024-223618</t>
  </si>
  <si>
    <t>ORD-2024-919471</t>
  </si>
  <si>
    <t>ORD-2025-649239</t>
  </si>
  <si>
    <t>ORD-2023-975863</t>
  </si>
  <si>
    <t>ORD-2023-869884</t>
  </si>
  <si>
    <t>ORD-2025-698069</t>
  </si>
  <si>
    <t>ORD-2024-474999</t>
  </si>
  <si>
    <t>ORD-2023-427304</t>
  </si>
  <si>
    <t>ORD-2025-956101</t>
  </si>
  <si>
    <t>ORD-2025-184082</t>
  </si>
  <si>
    <t>ORD-2023-576840</t>
  </si>
  <si>
    <t>ORD-2023-178249</t>
  </si>
  <si>
    <t>ORD-2024-588972</t>
  </si>
  <si>
    <t>ORD-2023-603238</t>
  </si>
  <si>
    <t>ORD-2023-883066</t>
  </si>
  <si>
    <t>ORD-2024-584090</t>
  </si>
  <si>
    <t>ORD-2025-537785</t>
  </si>
  <si>
    <t>ORD-2024-605518</t>
  </si>
  <si>
    <t>ORD-2023-521818</t>
  </si>
  <si>
    <t>ORD-2025-650719</t>
  </si>
  <si>
    <t>ORD-2025-501927</t>
  </si>
  <si>
    <t>ORD-2023-430904</t>
  </si>
  <si>
    <t>ORD-2025-354346</t>
  </si>
  <si>
    <t>ORD-2024-164288</t>
  </si>
  <si>
    <t>ORD-2023-867285</t>
  </si>
  <si>
    <t>ORD-2024-836421</t>
  </si>
  <si>
    <t>ORD-2023-613287</t>
  </si>
  <si>
    <t>ORD-2024-783321</t>
  </si>
  <si>
    <t>ORD-2024-232632</t>
  </si>
  <si>
    <t>ORD-2023-906481</t>
  </si>
  <si>
    <t>ORD-2024-902741</t>
  </si>
  <si>
    <t>ORD-2023-912395</t>
  </si>
  <si>
    <t>ORD-2024-389102</t>
  </si>
  <si>
    <t>ORD-2023-309373</t>
  </si>
  <si>
    <t>ORD-2023-825495</t>
  </si>
  <si>
    <t>ORD-2025-244832</t>
  </si>
  <si>
    <t>ORD-2024-211453</t>
  </si>
  <si>
    <t>ORD-2023-192324</t>
  </si>
  <si>
    <t>ORD-2024-438404</t>
  </si>
  <si>
    <t>ORD-2025-246470</t>
  </si>
  <si>
    <t>ORD-2023-497686</t>
  </si>
  <si>
    <t>ORD-2023-596758</t>
  </si>
  <si>
    <t>ORD-2024-201376</t>
  </si>
  <si>
    <t>ORD-2023-842488</t>
  </si>
  <si>
    <t>ORD-2024-136321</t>
  </si>
  <si>
    <t>ORD-2024-764468</t>
  </si>
  <si>
    <t>ORD-2024-553449</t>
  </si>
  <si>
    <t>ORD-2025-766923</t>
  </si>
  <si>
    <t>ORD-2025-418232</t>
  </si>
  <si>
    <t>ORD-2023-848013</t>
  </si>
  <si>
    <t>ORD-2024-357368</t>
  </si>
  <si>
    <t>ORD-2024-219735</t>
  </si>
  <si>
    <t>ORD-2023-240507</t>
  </si>
  <si>
    <t>ORD-2024-134084</t>
  </si>
  <si>
    <t>ORD-2023-884625</t>
  </si>
  <si>
    <t>ORD-2023-157993</t>
  </si>
  <si>
    <t>ORD-2024-329104</t>
  </si>
  <si>
    <t>ORD-2023-304451</t>
  </si>
  <si>
    <t>ORD-2024-942981</t>
  </si>
  <si>
    <t>ORD-2024-605629</t>
  </si>
  <si>
    <t>ORD-2023-450877</t>
  </si>
  <si>
    <t>ORD-2023-286994</t>
  </si>
  <si>
    <t>ORD-2025-700847</t>
  </si>
  <si>
    <t>ORD-2024-970848</t>
  </si>
  <si>
    <t>ORD-2025-845715</t>
  </si>
  <si>
    <t>ORD-2023-664749</t>
  </si>
  <si>
    <t>ORD-2024-960952</t>
  </si>
  <si>
    <t>ORD-2023-987700</t>
  </si>
  <si>
    <t>ORD-2025-652467</t>
  </si>
  <si>
    <t>ORD-2025-667201</t>
  </si>
  <si>
    <t>ORD-2024-237478</t>
  </si>
  <si>
    <t>ORD-2025-898843</t>
  </si>
  <si>
    <t>ORD-2023-334213</t>
  </si>
  <si>
    <t>ORD-2024-640340</t>
  </si>
  <si>
    <t>ORD-2023-399631</t>
  </si>
  <si>
    <t>ORD-2025-542939</t>
  </si>
  <si>
    <t>ORD-2023-825836</t>
  </si>
  <si>
    <t>ORD-2024-503082</t>
  </si>
  <si>
    <t>ORD-2024-760799</t>
  </si>
  <si>
    <t>ORD-2023-197661</t>
  </si>
  <si>
    <t>ORD-2024-212990</t>
  </si>
  <si>
    <t>ORD-2023-925146</t>
  </si>
  <si>
    <t>ORD-2023-177794</t>
  </si>
  <si>
    <t>ORD-2024-444710</t>
  </si>
  <si>
    <t>ORD-2024-668926</t>
  </si>
  <si>
    <t>ORD-2024-968374</t>
  </si>
  <si>
    <t>ORD-2023-575584</t>
  </si>
  <si>
    <t>ORD-2023-701153</t>
  </si>
  <si>
    <t>ORD-2023-382017</t>
  </si>
  <si>
    <t>ORD-2024-999607</t>
  </si>
  <si>
    <t>ORD-2023-133848</t>
  </si>
  <si>
    <t>ORD-2023-586275</t>
  </si>
  <si>
    <t>ORD-2025-964661</t>
  </si>
  <si>
    <t>ORD-2023-390998</t>
  </si>
  <si>
    <t>ORD-2023-920483</t>
  </si>
  <si>
    <t>ORD-2025-146850</t>
  </si>
  <si>
    <t>ORD-2024-687100</t>
  </si>
  <si>
    <t>ORD-2025-629393</t>
  </si>
  <si>
    <t>ORD-2024-686712</t>
  </si>
  <si>
    <t>ORD-2025-586799</t>
  </si>
  <si>
    <t>ORD-2024-988736</t>
  </si>
  <si>
    <t>ORD-2025-564184</t>
  </si>
  <si>
    <t>ORD-2023-653343</t>
  </si>
  <si>
    <t>ORD-2024-197852</t>
  </si>
  <si>
    <t>ORD-2023-431328</t>
  </si>
  <si>
    <t>ORD-2023-613317</t>
  </si>
  <si>
    <t>ORD-2024-720756</t>
  </si>
  <si>
    <t>ORD-2024-777623</t>
  </si>
  <si>
    <t>ORD-2025-762212</t>
  </si>
  <si>
    <t>ORD-2023-271918</t>
  </si>
  <si>
    <t>ORD-2023-713375</t>
  </si>
  <si>
    <t>ORD-2025-678688</t>
  </si>
  <si>
    <t>ORD-2023-501220</t>
  </si>
  <si>
    <t>ORD-2023-195665</t>
  </si>
  <si>
    <t>ORD-2023-290237</t>
  </si>
  <si>
    <t>ORD-2023-302041</t>
  </si>
  <si>
    <t>ORD-2025-289139</t>
  </si>
  <si>
    <t>ORD-2023-949710</t>
  </si>
  <si>
    <t>ORD-2023-603650</t>
  </si>
  <si>
    <t>ORD-2025-757957</t>
  </si>
  <si>
    <t>ORD-2024-423853</t>
  </si>
  <si>
    <t>ORD-2024-569164</t>
  </si>
  <si>
    <t>ORD-2023-946143</t>
  </si>
  <si>
    <t>ORD-2024-281211</t>
  </si>
  <si>
    <t>ORD-2024-805860</t>
  </si>
  <si>
    <t>ORD-2025-132174</t>
  </si>
  <si>
    <t>ORD-2023-964434</t>
  </si>
  <si>
    <t>ORD-2024-897622</t>
  </si>
  <si>
    <t>ORD-2023-517216</t>
  </si>
  <si>
    <t>ORD-2025-509940</t>
  </si>
  <si>
    <t>ORD-2025-646342</t>
  </si>
  <si>
    <t>ORD-2024-866535</t>
  </si>
  <si>
    <t>ORD-2023-747341</t>
  </si>
  <si>
    <t>ORD-2024-853298</t>
  </si>
  <si>
    <t>ORD-2024-544865</t>
  </si>
  <si>
    <t>ORD-2025-946490</t>
  </si>
  <si>
    <t>ORD-2024-320972</t>
  </si>
  <si>
    <t>ORD-2025-248586</t>
  </si>
  <si>
    <t>ORD-2024-664046</t>
  </si>
  <si>
    <t>ORD-2023-276806</t>
  </si>
  <si>
    <t>ORD-2024-220234</t>
  </si>
  <si>
    <t>ORD-2024-301260</t>
  </si>
  <si>
    <t>ORD-2024-350100</t>
  </si>
  <si>
    <t>ORD-2024-855600</t>
  </si>
  <si>
    <t>ORD-2023-474313</t>
  </si>
  <si>
    <t>ORD-2023-256951</t>
  </si>
  <si>
    <t>ORD-2025-184754</t>
  </si>
  <si>
    <t>ORD-2023-888140</t>
  </si>
  <si>
    <t>ORD-2023-638181</t>
  </si>
  <si>
    <t>ORD-2023-521280</t>
  </si>
  <si>
    <t>ORD-2023-630430</t>
  </si>
  <si>
    <t>ORD-2025-908258</t>
  </si>
  <si>
    <t>ORD-2025-440093</t>
  </si>
  <si>
    <t>ORD-2025-898022</t>
  </si>
  <si>
    <t>ORD-2024-500511</t>
  </si>
  <si>
    <t>ORD-2023-632893</t>
  </si>
  <si>
    <t>ORD-2023-967239</t>
  </si>
  <si>
    <t>ORD-2024-885858</t>
  </si>
  <si>
    <t>ORD-2023-253245</t>
  </si>
  <si>
    <t>ORD-2025-484073</t>
  </si>
  <si>
    <t>ORD-2024-745822</t>
  </si>
  <si>
    <t>ORD-2023-369160</t>
  </si>
  <si>
    <t>ORD-2024-834983</t>
  </si>
  <si>
    <t>ORD-2024-499009</t>
  </si>
  <si>
    <t>ORD-2024-948800</t>
  </si>
  <si>
    <t>ORD-2025-678328</t>
  </si>
  <si>
    <t>ORD-2024-580808</t>
  </si>
  <si>
    <t>ORD-2023-211715</t>
  </si>
  <si>
    <t>ORD-2023-715175</t>
  </si>
  <si>
    <t>ORD-2025-685236</t>
  </si>
  <si>
    <t>ORD-2023-274037</t>
  </si>
  <si>
    <t>ORD-2025-983096</t>
  </si>
  <si>
    <t>ORD-2024-366010</t>
  </si>
  <si>
    <t>ORD-2023-610470</t>
  </si>
  <si>
    <t>ORD-2025-541048</t>
  </si>
  <si>
    <t>ORD-2024-862371</t>
  </si>
  <si>
    <t>ORD-2024-277241</t>
  </si>
  <si>
    <t>ORD-2023-369150</t>
  </si>
  <si>
    <t>ORD-2025-922513</t>
  </si>
  <si>
    <t>ORD-2025-752845</t>
  </si>
  <si>
    <t>ORD-2023-667815</t>
  </si>
  <si>
    <t>ORD-2023-375011</t>
  </si>
  <si>
    <t>ORD-2025-487025</t>
  </si>
  <si>
    <t>ORD-2025-398335</t>
  </si>
  <si>
    <t>ORD-2024-792137</t>
  </si>
  <si>
    <t>ORD-2023-602648</t>
  </si>
  <si>
    <t>ORD-2024-207096</t>
  </si>
  <si>
    <t>ORD-2025-939953</t>
  </si>
  <si>
    <t>ORD-2025-191328</t>
  </si>
  <si>
    <t>ORD-2023-166668</t>
  </si>
  <si>
    <t>ORD-2023-594700</t>
  </si>
  <si>
    <t>ORD-2025-278048</t>
  </si>
  <si>
    <t>ORD-2024-878493</t>
  </si>
  <si>
    <t>ORD-2025-138578</t>
  </si>
  <si>
    <t>ORD-2025-944081</t>
  </si>
  <si>
    <t>ORD-2025-364852</t>
  </si>
  <si>
    <t>ORD-2025-415018</t>
  </si>
  <si>
    <t>ORD-2023-884192</t>
  </si>
  <si>
    <t>ORD-2024-165942</t>
  </si>
  <si>
    <t>ORD-2024-403664</t>
  </si>
  <si>
    <t>ORD-2023-890605</t>
  </si>
  <si>
    <t>ORD-2024-925626</t>
  </si>
  <si>
    <t>ORD-2024-427031</t>
  </si>
  <si>
    <t>ORD-2025-231184</t>
  </si>
  <si>
    <t>ORD-2023-363031</t>
  </si>
  <si>
    <t>ORD-2023-619570</t>
  </si>
  <si>
    <t>ORD-2025-861401</t>
  </si>
  <si>
    <t>ORD-2023-835010</t>
  </si>
  <si>
    <t>ORD-2024-819979</t>
  </si>
  <si>
    <t>ORD-2024-719055</t>
  </si>
  <si>
    <t>ORD-2023-888245</t>
  </si>
  <si>
    <t>ORD-2024-206121</t>
  </si>
  <si>
    <t>ORD-2024-500890</t>
  </si>
  <si>
    <t>ORD-2023-144816</t>
  </si>
  <si>
    <t>ORD-2024-153053</t>
  </si>
  <si>
    <t>ORD-2023-536542</t>
  </si>
  <si>
    <t>ORD-2025-779530</t>
  </si>
  <si>
    <t>ORD-2023-163610</t>
  </si>
  <si>
    <t>ORD-2025-653781</t>
  </si>
  <si>
    <t>ORD-2025-737787</t>
  </si>
  <si>
    <t>ORD-2023-944052</t>
  </si>
  <si>
    <t>ORD-2023-181257</t>
  </si>
  <si>
    <t>ORD-2025-323492</t>
  </si>
  <si>
    <t>ORD-2024-332076</t>
  </si>
  <si>
    <t>ORD-2024-571797</t>
  </si>
  <si>
    <t>ORD-2024-129345</t>
  </si>
  <si>
    <t>ORD-2023-660608</t>
  </si>
  <si>
    <t>ORD-2023-825084</t>
  </si>
  <si>
    <t>ORD-2023-261081</t>
  </si>
  <si>
    <t>ORD-2023-766015</t>
  </si>
  <si>
    <t>ORD-2024-333192</t>
  </si>
  <si>
    <t>ORD-2024-647473</t>
  </si>
  <si>
    <t>ORD-2024-892908</t>
  </si>
  <si>
    <t>ORD-2023-573146</t>
  </si>
  <si>
    <t>ORD-2024-901115</t>
  </si>
  <si>
    <t>ORD-2023-898009</t>
  </si>
  <si>
    <t>ORD-2023-208944</t>
  </si>
  <si>
    <t>ORD-2025-480172</t>
  </si>
  <si>
    <t>ORD-2023-735274</t>
  </si>
  <si>
    <t>ORD-2023-212701</t>
  </si>
  <si>
    <t>ORD-2023-479747</t>
  </si>
  <si>
    <t>ORD-2024-915495</t>
  </si>
  <si>
    <t>ORD-2024-225829</t>
  </si>
  <si>
    <t>ORD-2024-921935</t>
  </si>
  <si>
    <t>ORD-2025-949776</t>
  </si>
  <si>
    <t>ORD-2024-510591</t>
  </si>
  <si>
    <t>ORD-2024-961756</t>
  </si>
  <si>
    <t>ORD-2024-892173</t>
  </si>
  <si>
    <t>ORD-2024-704056</t>
  </si>
  <si>
    <t>ORD-2025-591006</t>
  </si>
  <si>
    <t>ORD-2023-159821</t>
  </si>
  <si>
    <t>ORD-2024-343877</t>
  </si>
  <si>
    <t>ORD-2023-386663</t>
  </si>
  <si>
    <t>ORD-2025-125517</t>
  </si>
  <si>
    <t>ORD-2024-819778</t>
  </si>
  <si>
    <t>ORD-2025-624006</t>
  </si>
  <si>
    <t>ORD-2023-132101</t>
  </si>
  <si>
    <t>ORD-2025-306903</t>
  </si>
  <si>
    <t>ORD-2023-813340</t>
  </si>
  <si>
    <t>ORD-2023-855675</t>
  </si>
  <si>
    <t>ORD-2023-545150</t>
  </si>
  <si>
    <t>ORD-2025-269934</t>
  </si>
  <si>
    <t>ORD-2024-690270</t>
  </si>
  <si>
    <t>ORD-2024-868223</t>
  </si>
  <si>
    <t>ORD-2025-188059</t>
  </si>
  <si>
    <t>ORD-2023-281890</t>
  </si>
  <si>
    <t>ORD-2025-636162</t>
  </si>
  <si>
    <t>ORD-2025-915869</t>
  </si>
  <si>
    <t>ORD-2025-192876</t>
  </si>
  <si>
    <t>ORD-2025-822030</t>
  </si>
  <si>
    <t>ORD-2025-789245</t>
  </si>
  <si>
    <t>ORD-2023-594955</t>
  </si>
  <si>
    <t>ORD-2024-398783</t>
  </si>
  <si>
    <t>ORD-2023-676553</t>
  </si>
  <si>
    <t>ORD-2025-866565</t>
  </si>
  <si>
    <t>ORD-2024-527858</t>
  </si>
  <si>
    <t>ORD-2023-619385</t>
  </si>
  <si>
    <t>ORD-2023-835226</t>
  </si>
  <si>
    <t>ORD-2025-485946</t>
  </si>
  <si>
    <t>ORD-2024-307849</t>
  </si>
  <si>
    <t>ORD-2023-368449</t>
  </si>
  <si>
    <t>ORD-2024-251426</t>
  </si>
  <si>
    <t>ORD-2023-927385</t>
  </si>
  <si>
    <t>ORD-2025-486350</t>
  </si>
  <si>
    <t>ORD-2025-677880</t>
  </si>
  <si>
    <t>ORD-2024-102866</t>
  </si>
  <si>
    <t>ORD-2025-588029</t>
  </si>
  <si>
    <t>ORD-2024-972999</t>
  </si>
  <si>
    <t>ORD-2025-608069</t>
  </si>
  <si>
    <t>ORD-2024-626750</t>
  </si>
  <si>
    <t>ORD-2024-170021</t>
  </si>
  <si>
    <t>ORD-2024-678110</t>
  </si>
  <si>
    <t>ORD-2025-909340</t>
  </si>
  <si>
    <t>ORD-2023-854471</t>
  </si>
  <si>
    <t>ORD-2024-390951</t>
  </si>
  <si>
    <t>ORD-2025-881624</t>
  </si>
  <si>
    <t>ORD-2025-512310</t>
  </si>
  <si>
    <t>ORD-2023-674887</t>
  </si>
  <si>
    <t>ORD-2024-542244</t>
  </si>
  <si>
    <t>ORD-2024-375848</t>
  </si>
  <si>
    <t>ORD-2023-933238</t>
  </si>
  <si>
    <t>ORD-2023-732585</t>
  </si>
  <si>
    <t>ORD-2024-465898</t>
  </si>
  <si>
    <t>ORD-2023-987081</t>
  </si>
  <si>
    <t>ORD-2024-655710</t>
  </si>
  <si>
    <t>ORD-2025-411385</t>
  </si>
  <si>
    <t>ORD-2025-222035</t>
  </si>
  <si>
    <t>ORD-2024-749242</t>
  </si>
  <si>
    <t>ORD-2023-623293</t>
  </si>
  <si>
    <t>ORD-2025-276968</t>
  </si>
  <si>
    <t>ORD-2025-650841</t>
  </si>
  <si>
    <t>ORD-2025-831576</t>
  </si>
  <si>
    <t>ORD-2024-468655</t>
  </si>
  <si>
    <t>ORD-2024-515105</t>
  </si>
  <si>
    <t>ORD-2025-803803</t>
  </si>
  <si>
    <t>ORD-2024-993481</t>
  </si>
  <si>
    <t>ORD-2024-811752</t>
  </si>
  <si>
    <t>ORD-2025-673091</t>
  </si>
  <si>
    <t>ORD-2024-381197</t>
  </si>
  <si>
    <t>ORD-2024-651852</t>
  </si>
  <si>
    <t>ORD-2023-659070</t>
  </si>
  <si>
    <t>ORD-2024-837651</t>
  </si>
  <si>
    <t>ORD-2024-581530</t>
  </si>
  <si>
    <t>ORD-2023-378104</t>
  </si>
  <si>
    <t>ORD-2024-972318</t>
  </si>
  <si>
    <t>ORD-2023-752962</t>
  </si>
  <si>
    <t>ORD-2023-808024</t>
  </si>
  <si>
    <t>ORD-2023-156396</t>
  </si>
  <si>
    <t>ORD-2023-184577</t>
  </si>
  <si>
    <t>ORD-2024-446030</t>
  </si>
  <si>
    <t>ORD-2023-842820</t>
  </si>
  <si>
    <t>ORD-2024-745424</t>
  </si>
  <si>
    <t>ORD-2024-510520</t>
  </si>
  <si>
    <t>ORD-2023-769774</t>
  </si>
  <si>
    <t>ORD-2023-580751</t>
  </si>
  <si>
    <t>ORD-2025-473192</t>
  </si>
  <si>
    <t>ORD-2024-886939</t>
  </si>
  <si>
    <t>ORD-2024-566589</t>
  </si>
  <si>
    <t>ORD-2023-109927</t>
  </si>
  <si>
    <t>ORD-2023-780206</t>
  </si>
  <si>
    <t>ORD-2024-851993</t>
  </si>
  <si>
    <t>ORD-2025-417942</t>
  </si>
  <si>
    <t>ORD-2023-172095</t>
  </si>
  <si>
    <t>ORD-2024-257550</t>
  </si>
  <si>
    <t>ORD-2023-581799</t>
  </si>
  <si>
    <t>ORD-2023-880296</t>
  </si>
  <si>
    <t>ORD-2023-191563</t>
  </si>
  <si>
    <t>ORD-2024-202166</t>
  </si>
  <si>
    <t>ORD-2023-539967</t>
  </si>
  <si>
    <t>ORD-2023-704111</t>
  </si>
  <si>
    <t>ORD-2024-356812</t>
  </si>
  <si>
    <t>ORD-2025-306251</t>
  </si>
  <si>
    <t>ORD-2025-496178</t>
  </si>
  <si>
    <t>ORD-2024-508213</t>
  </si>
  <si>
    <t>ORD-2024-787018</t>
  </si>
  <si>
    <t>ORD-2023-728177</t>
  </si>
  <si>
    <t>ORD-2025-795385</t>
  </si>
  <si>
    <t>ORD-2025-947929</t>
  </si>
  <si>
    <t>ORD-2023-931633</t>
  </si>
  <si>
    <t>ORD-2023-243704</t>
  </si>
  <si>
    <t>ORD-2025-779659</t>
  </si>
  <si>
    <t>ORD-2024-647571</t>
  </si>
  <si>
    <t>ORD-2025-683043</t>
  </si>
  <si>
    <t>ORD-2023-588455</t>
  </si>
  <si>
    <t>ORD-2024-641220</t>
  </si>
  <si>
    <t>ORD-2023-799597</t>
  </si>
  <si>
    <t>ORD-2023-569862</t>
  </si>
  <si>
    <t>ORD-2023-609394</t>
  </si>
  <si>
    <t>ORD-2024-105586</t>
  </si>
  <si>
    <t>ORD-2024-207792</t>
  </si>
  <si>
    <t>ORD-2025-417336</t>
  </si>
  <si>
    <t>ORD-2025-252117</t>
  </si>
  <si>
    <t>ORD-2023-867175</t>
  </si>
  <si>
    <t>ORD-2024-382152</t>
  </si>
  <si>
    <t>ORD-2023-597666</t>
  </si>
  <si>
    <t>ORD-2024-371409</t>
  </si>
  <si>
    <t>ORD-2024-973420</t>
  </si>
  <si>
    <t>ORD-2025-254721</t>
  </si>
  <si>
    <t>ORD-2024-247032</t>
  </si>
  <si>
    <t>ORD-2024-792353</t>
  </si>
  <si>
    <t>ORD-2025-703623</t>
  </si>
  <si>
    <t>ORD-2024-516704</t>
  </si>
  <si>
    <t>ORD-2024-578646</t>
  </si>
  <si>
    <t>ORD-2024-433936</t>
  </si>
  <si>
    <t>ORD-2023-434071</t>
  </si>
  <si>
    <t>ORD-2024-728474</t>
  </si>
  <si>
    <t>ORD-2023-406606</t>
  </si>
  <si>
    <t>ORD-2025-823055</t>
  </si>
  <si>
    <t>ORD-2023-573656</t>
  </si>
  <si>
    <t>ORD-2024-567435</t>
  </si>
  <si>
    <t>ORD-2023-744942</t>
  </si>
  <si>
    <t>ORD-2025-331237</t>
  </si>
  <si>
    <t>ORD-2025-680118</t>
  </si>
  <si>
    <t>ORD-2024-310809</t>
  </si>
  <si>
    <t>ORD-2025-474368</t>
  </si>
  <si>
    <t>ORD-2024-732543</t>
  </si>
  <si>
    <t>ORD-2023-867166</t>
  </si>
  <si>
    <t>ORD-2024-776337</t>
  </si>
  <si>
    <t>ORD-2023-913592</t>
  </si>
  <si>
    <t>ORD-2024-961501</t>
  </si>
  <si>
    <t>ORD-2024-964950</t>
  </si>
  <si>
    <t>ORD-2023-349264</t>
  </si>
  <si>
    <t>ORD-2025-137394</t>
  </si>
  <si>
    <t>ORD-2025-635337</t>
  </si>
  <si>
    <t>ORD-2023-568013</t>
  </si>
  <si>
    <t>ORD-2025-828263</t>
  </si>
  <si>
    <t>ORD-2024-402240</t>
  </si>
  <si>
    <t>ORD-2023-125739</t>
  </si>
  <si>
    <t>ORD-2024-892879</t>
  </si>
  <si>
    <t>ORD-2023-472050</t>
  </si>
  <si>
    <t>ORD-2024-468615</t>
  </si>
  <si>
    <t>ORD-2024-833375</t>
  </si>
  <si>
    <t>ORD-2024-206311</t>
  </si>
  <si>
    <t>ORD-2024-364080</t>
  </si>
  <si>
    <t>ORD-2025-460466</t>
  </si>
  <si>
    <t>ORD-2023-700699</t>
  </si>
  <si>
    <t>ORD-2024-713332</t>
  </si>
  <si>
    <t>ORD-2023-640022</t>
  </si>
  <si>
    <t>ORD-2024-532184</t>
  </si>
  <si>
    <t>ORD-2025-926547</t>
  </si>
  <si>
    <t>ORD-2025-778145</t>
  </si>
  <si>
    <t>ORD-2023-525643</t>
  </si>
  <si>
    <t>ORD-2025-312803</t>
  </si>
  <si>
    <t>ORD-2025-149156</t>
  </si>
  <si>
    <t>ORD-2023-215819</t>
  </si>
  <si>
    <t>ORD-2024-353078</t>
  </si>
  <si>
    <t>ORD-2023-621393</t>
  </si>
  <si>
    <t>ORD-2023-974506</t>
  </si>
  <si>
    <t>ORD-2023-811823</t>
  </si>
  <si>
    <t>ORD-2023-286720</t>
  </si>
  <si>
    <t>ORD-2024-626925</t>
  </si>
  <si>
    <t>ORD-2023-960380</t>
  </si>
  <si>
    <t>ORD-2023-453699</t>
  </si>
  <si>
    <t>ORD-2025-960931</t>
  </si>
  <si>
    <t>ORD-2024-419248</t>
  </si>
  <si>
    <t>ORD-2023-488227</t>
  </si>
  <si>
    <t>ORD-2023-472078</t>
  </si>
  <si>
    <t>ORD-2024-202877</t>
  </si>
  <si>
    <t>ORD-2024-140633</t>
  </si>
  <si>
    <t>ORD-2025-419532</t>
  </si>
  <si>
    <t>ORD-2023-139236</t>
  </si>
  <si>
    <t>ORD-2025-337268</t>
  </si>
  <si>
    <t>ORD-2025-332931</t>
  </si>
  <si>
    <t>ORD-2024-536442</t>
  </si>
  <si>
    <t>ORD-2023-957692</t>
  </si>
  <si>
    <t>ORD-2025-874124</t>
  </si>
  <si>
    <t>ORD-2024-687073</t>
  </si>
  <si>
    <t>ORD-2024-555229</t>
  </si>
  <si>
    <t>ORD-2024-872291</t>
  </si>
  <si>
    <t>ORD-2024-250862</t>
  </si>
  <si>
    <t>ORD-2024-331226</t>
  </si>
  <si>
    <t>ORD-2023-356427</t>
  </si>
  <si>
    <t>ORD-2025-659650</t>
  </si>
  <si>
    <t>ORD-2024-207669</t>
  </si>
  <si>
    <t>ORD-2024-979401</t>
  </si>
  <si>
    <t>ORD-2025-929414</t>
  </si>
  <si>
    <t>ORD-2024-766980</t>
  </si>
  <si>
    <t>ORD-2024-437164</t>
  </si>
  <si>
    <t>ORD-2025-169093</t>
  </si>
  <si>
    <t>ORD-2023-868460</t>
  </si>
  <si>
    <t>ORD-2025-177994</t>
  </si>
  <si>
    <t>ORD-2024-355095</t>
  </si>
  <si>
    <t>ORD-2023-126505</t>
  </si>
  <si>
    <t>ORD-2023-340056</t>
  </si>
  <si>
    <t>ORD-2025-281413</t>
  </si>
  <si>
    <t>ORD-2023-713614</t>
  </si>
  <si>
    <t>ORD-2023-173313</t>
  </si>
  <si>
    <t>ORD-2024-496601</t>
  </si>
  <si>
    <t>ORD-2025-155182</t>
  </si>
  <si>
    <t>ORD-2023-244375</t>
  </si>
  <si>
    <t>ORD-2023-856322</t>
  </si>
  <si>
    <t>ORD-2024-594527</t>
  </si>
  <si>
    <t>ORD-2024-689872</t>
  </si>
  <si>
    <t>ORD-2025-246692</t>
  </si>
  <si>
    <t>ORD-2023-378676</t>
  </si>
  <si>
    <t>ORD-2024-243988</t>
  </si>
  <si>
    <t>ORD-2024-572312</t>
  </si>
  <si>
    <t>ORD-2025-281062</t>
  </si>
  <si>
    <t>ORD-2023-727290</t>
  </si>
  <si>
    <t>ORD-2025-993993</t>
  </si>
  <si>
    <t>ORD-2023-619493</t>
  </si>
  <si>
    <t>ORD-2024-947056</t>
  </si>
  <si>
    <t>ORD-2025-856556</t>
  </si>
  <si>
    <t>ORD-2024-442776</t>
  </si>
  <si>
    <t>ORD-2025-705398</t>
  </si>
  <si>
    <t>ORD-2023-689428</t>
  </si>
  <si>
    <t>ORD-2025-683247</t>
  </si>
  <si>
    <t>ORD-2024-585443</t>
  </si>
  <si>
    <t>ORD-2024-907733</t>
  </si>
  <si>
    <t>ORD-2024-550400</t>
  </si>
  <si>
    <t>ORD-2025-189846</t>
  </si>
  <si>
    <t>ORD-2025-752192</t>
  </si>
  <si>
    <t>ORD-2023-294716</t>
  </si>
  <si>
    <t>ORD-2023-552115</t>
  </si>
  <si>
    <t>ORD-2023-107265</t>
  </si>
  <si>
    <t>ORD-2025-262434</t>
  </si>
  <si>
    <t>ORD-2024-266562</t>
  </si>
  <si>
    <t>ORD-2024-838925</t>
  </si>
  <si>
    <t>ORD-2023-664790</t>
  </si>
  <si>
    <t>ORD-2024-331408</t>
  </si>
  <si>
    <t>ORD-2024-741404</t>
  </si>
  <si>
    <t>ORD-2024-341535</t>
  </si>
  <si>
    <t>ORD-2023-451931</t>
  </si>
  <si>
    <t>ORD-2025-532859</t>
  </si>
  <si>
    <t>ORD-2023-502205</t>
  </si>
  <si>
    <t>ORD-2024-930679</t>
  </si>
  <si>
    <t>ORD-2025-150713</t>
  </si>
  <si>
    <t>ORD-2024-756884</t>
  </si>
  <si>
    <t>ORD-2023-755337</t>
  </si>
  <si>
    <t>ORD-2025-907040</t>
  </si>
  <si>
    <t>ORD-2024-817997</t>
  </si>
  <si>
    <t>ORD-2025-649633</t>
  </si>
  <si>
    <t>ORD-2023-885216</t>
  </si>
  <si>
    <t>ORD-2023-561823</t>
  </si>
  <si>
    <t>ORD-2023-249805</t>
  </si>
  <si>
    <t>ORD-2023-548934</t>
  </si>
  <si>
    <t>ORD-2023-921939</t>
  </si>
  <si>
    <t>ORD-2023-961864</t>
  </si>
  <si>
    <t>ORD-2023-455933</t>
  </si>
  <si>
    <t>ORD-2025-728935</t>
  </si>
  <si>
    <t>Africa</t>
  </si>
  <si>
    <t>Asia</t>
  </si>
  <si>
    <t>Americas</t>
  </si>
  <si>
    <t>Europe</t>
  </si>
  <si>
    <t>Kenya</t>
  </si>
  <si>
    <t>Nigeria</t>
  </si>
  <si>
    <t>Japan</t>
  </si>
  <si>
    <t>Canada</t>
  </si>
  <si>
    <t>India</t>
  </si>
  <si>
    <t>Brazil</t>
  </si>
  <si>
    <t>Germany</t>
  </si>
  <si>
    <t>France</t>
  </si>
  <si>
    <t>United Kingdom</t>
  </si>
  <si>
    <t>China</t>
  </si>
  <si>
    <t>USA</t>
  </si>
  <si>
    <t>South Africa</t>
  </si>
  <si>
    <t>Kisumu</t>
  </si>
  <si>
    <t>Port Harcourt</t>
  </si>
  <si>
    <t>Nairobi</t>
  </si>
  <si>
    <t>Lagos</t>
  </si>
  <si>
    <t>Osaka</t>
  </si>
  <si>
    <t>Toronto</t>
  </si>
  <si>
    <t>Bengaluru</t>
  </si>
  <si>
    <t>Abuja</t>
  </si>
  <si>
    <t>São Paulo</t>
  </si>
  <si>
    <t>Berlin</t>
  </si>
  <si>
    <t>Brasília</t>
  </si>
  <si>
    <t>Marseille</t>
  </si>
  <si>
    <t>Birmingham</t>
  </si>
  <si>
    <t>Mombasa</t>
  </si>
  <si>
    <t>Shenzhen</t>
  </si>
  <si>
    <t>Chicago</t>
  </si>
  <si>
    <t>Nakuru</t>
  </si>
  <si>
    <t>Lyon</t>
  </si>
  <si>
    <t>Delhi</t>
  </si>
  <si>
    <t>Montreal</t>
  </si>
  <si>
    <t>Johannesburg</t>
  </si>
  <si>
    <t>London</t>
  </si>
  <si>
    <t>Munich</t>
  </si>
  <si>
    <t>Shanghai</t>
  </si>
  <si>
    <t>San Francisco</t>
  </si>
  <si>
    <t>Durban</t>
  </si>
  <si>
    <t>Vancouver</t>
  </si>
  <si>
    <t>Tokyo</t>
  </si>
  <si>
    <t>Paris</t>
  </si>
  <si>
    <t>Mumbai</t>
  </si>
  <si>
    <t>Rio de Janeiro</t>
  </si>
  <si>
    <t>Manchester</t>
  </si>
  <si>
    <t>Nagoya</t>
  </si>
  <si>
    <t>Cape Town</t>
  </si>
  <si>
    <t>Hyderabad</t>
  </si>
  <si>
    <t>Austin</t>
  </si>
  <si>
    <t>Frankfurt</t>
  </si>
  <si>
    <t>Beijing</t>
  </si>
  <si>
    <t>New York</t>
  </si>
  <si>
    <t>Corporate</t>
  </si>
  <si>
    <t>Education</t>
  </si>
  <si>
    <t>Non-Profit</t>
  </si>
  <si>
    <t>Consumer</t>
  </si>
  <si>
    <t>Small Business</t>
  </si>
  <si>
    <t>Enterprise</t>
  </si>
  <si>
    <t>Retail</t>
  </si>
  <si>
    <t>Online</t>
  </si>
  <si>
    <t>Marketplace</t>
  </si>
  <si>
    <t>Distributor</t>
  </si>
  <si>
    <t>Direct</t>
  </si>
  <si>
    <t>C. Otieno</t>
  </si>
  <si>
    <t>J. Njeri</t>
  </si>
  <si>
    <t>I. Johnson</t>
  </si>
  <si>
    <t>G. Dubois</t>
  </si>
  <si>
    <t>L. Okafor</t>
  </si>
  <si>
    <t>B. Chen</t>
  </si>
  <si>
    <t>E. Garcia</t>
  </si>
  <si>
    <t>O. Wang</t>
  </si>
  <si>
    <t>A. Patel</t>
  </si>
  <si>
    <t>F. Müller</t>
  </si>
  <si>
    <t>H. Kim</t>
  </si>
  <si>
    <t>K. Singh</t>
  </si>
  <si>
    <t>M. Rossi</t>
  </si>
  <si>
    <t>N. Brown</t>
  </si>
  <si>
    <t>D. Smith</t>
  </si>
  <si>
    <t>Components</t>
  </si>
  <si>
    <t>Printers</t>
  </si>
  <si>
    <t>Networking</t>
  </si>
  <si>
    <t>Phones</t>
  </si>
  <si>
    <t>Laptops</t>
  </si>
  <si>
    <t>Monitors</t>
  </si>
  <si>
    <t>Accessories</t>
  </si>
  <si>
    <t>CMP-8270</t>
  </si>
  <si>
    <t>PRN-9322</t>
  </si>
  <si>
    <t>NET-9666</t>
  </si>
  <si>
    <t>PHN-4556</t>
  </si>
  <si>
    <t>PRN-8041</t>
  </si>
  <si>
    <t>LAP-8555</t>
  </si>
  <si>
    <t>MON-8629</t>
  </si>
  <si>
    <t>PRN-6276</t>
  </si>
  <si>
    <t>MON-6892</t>
  </si>
  <si>
    <t>CMP-3731</t>
  </si>
  <si>
    <t>ACC-7938</t>
  </si>
  <si>
    <t>PHN-7019</t>
  </si>
  <si>
    <t>CMP-3693</t>
  </si>
  <si>
    <t>PRN-8392</t>
  </si>
  <si>
    <t>ACC-1663</t>
  </si>
  <si>
    <t>LAP-1698</t>
  </si>
  <si>
    <t>PRN-6791</t>
  </si>
  <si>
    <t>PHN-1197</t>
  </si>
  <si>
    <t>ACC-8098</t>
  </si>
  <si>
    <t>LAP-3385</t>
  </si>
  <si>
    <t>LAP-9815</t>
  </si>
  <si>
    <t>NET-3255</t>
  </si>
  <si>
    <t>ACC-3961</t>
  </si>
  <si>
    <t>LAP-4987</t>
  </si>
  <si>
    <t>CMP-2693</t>
  </si>
  <si>
    <t>ACC-8683</t>
  </si>
  <si>
    <t>PRN-4170</t>
  </si>
  <si>
    <t>PHN-6854</t>
  </si>
  <si>
    <t>PHN-1784</t>
  </si>
  <si>
    <t>NET-9716</t>
  </si>
  <si>
    <t>CMP-6919</t>
  </si>
  <si>
    <t>PHN-4854</t>
  </si>
  <si>
    <t>NET-7966</t>
  </si>
  <si>
    <t>LAP-9932</t>
  </si>
  <si>
    <t>CMP-1559</t>
  </si>
  <si>
    <t>PRN-4506</t>
  </si>
  <si>
    <t>CMP-7617</t>
  </si>
  <si>
    <t>CMP-8390</t>
  </si>
  <si>
    <t>PRN-7303</t>
  </si>
  <si>
    <t>PRN-6536</t>
  </si>
  <si>
    <t>MON-9967</t>
  </si>
  <si>
    <t>NET-1412</t>
  </si>
  <si>
    <t>PRN-3143</t>
  </si>
  <si>
    <t>PRN-9787</t>
  </si>
  <si>
    <t>CMP-5946</t>
  </si>
  <si>
    <t>NET-2062</t>
  </si>
  <si>
    <t>PRN-2542</t>
  </si>
  <si>
    <t>NET-2365</t>
  </si>
  <si>
    <t>NET-5268</t>
  </si>
  <si>
    <t>PRN-1504</t>
  </si>
  <si>
    <t>ACC-6348</t>
  </si>
  <si>
    <t>MON-4330</t>
  </si>
  <si>
    <t>LAP-7819</t>
  </si>
  <si>
    <t>LAP-3779</t>
  </si>
  <si>
    <t>NET-9989</t>
  </si>
  <si>
    <t>MON-4925</t>
  </si>
  <si>
    <t>LAP-6989</t>
  </si>
  <si>
    <t>ACC-5780</t>
  </si>
  <si>
    <t>ACC-1770</t>
  </si>
  <si>
    <t>ACC-2252</t>
  </si>
  <si>
    <t>CMP-8002</t>
  </si>
  <si>
    <t>CMP-6971</t>
  </si>
  <si>
    <t>PHN-8350</t>
  </si>
  <si>
    <t>MON-5188</t>
  </si>
  <si>
    <t>LAP-3393</t>
  </si>
  <si>
    <t>PHN-4644</t>
  </si>
  <si>
    <t>ACC-9150</t>
  </si>
  <si>
    <t>MON-6870</t>
  </si>
  <si>
    <t>MON-2296</t>
  </si>
  <si>
    <t>CMP-7371</t>
  </si>
  <si>
    <t>ACC-2761</t>
  </si>
  <si>
    <t>LAP-4517</t>
  </si>
  <si>
    <t>LAP-8489</t>
  </si>
  <si>
    <t>NET-1846</t>
  </si>
  <si>
    <t>CMP-5208</t>
  </si>
  <si>
    <t>CMP-1009</t>
  </si>
  <si>
    <t>ACC-4490</t>
  </si>
  <si>
    <t>ACC-9162</t>
  </si>
  <si>
    <t>CMP-5820</t>
  </si>
  <si>
    <t>MON-7943</t>
  </si>
  <si>
    <t>NET-5018</t>
  </si>
  <si>
    <t>PRN-9669</t>
  </si>
  <si>
    <t>CMP-2865</t>
  </si>
  <si>
    <t>MON-3371</t>
  </si>
  <si>
    <t>NET-7166</t>
  </si>
  <si>
    <t>CMP-4531</t>
  </si>
  <si>
    <t>CMP-8196</t>
  </si>
  <si>
    <t>CMP-2854</t>
  </si>
  <si>
    <t>MON-8973</t>
  </si>
  <si>
    <t>MON-2990</t>
  </si>
  <si>
    <t>NET-1966</t>
  </si>
  <si>
    <t>PHN-3482</t>
  </si>
  <si>
    <t>PRN-6490</t>
  </si>
  <si>
    <t>ACC-9038</t>
  </si>
  <si>
    <t>PHN-6954</t>
  </si>
  <si>
    <t>PRN-8970</t>
  </si>
  <si>
    <t>MON-1822</t>
  </si>
  <si>
    <t>ACC-5177</t>
  </si>
  <si>
    <t>NET-1804</t>
  </si>
  <si>
    <t>LAP-3679</t>
  </si>
  <si>
    <t>PHN-8368</t>
  </si>
  <si>
    <t>CMP-8141</t>
  </si>
  <si>
    <t>LAP-7136</t>
  </si>
  <si>
    <t>ACC-2386</t>
  </si>
  <si>
    <t>LAP-5150</t>
  </si>
  <si>
    <t>CMP-8101</t>
  </si>
  <si>
    <t>PHN-8970</t>
  </si>
  <si>
    <t>PHN-2341</t>
  </si>
  <si>
    <t>NET-6387</t>
  </si>
  <si>
    <t>ACC-9820</t>
  </si>
  <si>
    <t>CMP-6392</t>
  </si>
  <si>
    <t>LAP-9230</t>
  </si>
  <si>
    <t>NET-4241</t>
  </si>
  <si>
    <t>ACC-4511</t>
  </si>
  <si>
    <t>NET-3033</t>
  </si>
  <si>
    <t>MON-2828</t>
  </si>
  <si>
    <t>PRN-6429</t>
  </si>
  <si>
    <t>LAP-8214</t>
  </si>
  <si>
    <t>MON-9194</t>
  </si>
  <si>
    <t>LAP-2218</t>
  </si>
  <si>
    <t>NET-6370</t>
  </si>
  <si>
    <t>MON-3745</t>
  </si>
  <si>
    <t>PHN-7924</t>
  </si>
  <si>
    <t>NET-8561</t>
  </si>
  <si>
    <t>CMP-2136</t>
  </si>
  <si>
    <t>CMP-6352</t>
  </si>
  <si>
    <t>CMP-2040</t>
  </si>
  <si>
    <t>CMP-6346</t>
  </si>
  <si>
    <t>PHN-4356</t>
  </si>
  <si>
    <t>NET-4155</t>
  </si>
  <si>
    <t>MON-5179</t>
  </si>
  <si>
    <t>ACC-4056</t>
  </si>
  <si>
    <t>LAP-9782</t>
  </si>
  <si>
    <t>PHN-2875</t>
  </si>
  <si>
    <t>PRN-4788</t>
  </si>
  <si>
    <t>MON-3043</t>
  </si>
  <si>
    <t>CMP-3720</t>
  </si>
  <si>
    <t>PHN-8014</t>
  </si>
  <si>
    <t>PRN-4911</t>
  </si>
  <si>
    <t>ACC-1021</t>
  </si>
  <si>
    <t>MON-2266</t>
  </si>
  <si>
    <t>PHN-8057</t>
  </si>
  <si>
    <t>ACC-7078</t>
  </si>
  <si>
    <t>PRN-4453</t>
  </si>
  <si>
    <t>NET-2394</t>
  </si>
  <si>
    <t>LAP-1525</t>
  </si>
  <si>
    <t>LAP-3278</t>
  </si>
  <si>
    <t>ACC-6543</t>
  </si>
  <si>
    <t>PRN-4432</t>
  </si>
  <si>
    <t>PHN-4568</t>
  </si>
  <si>
    <t>PRN-6178</t>
  </si>
  <si>
    <t>LAP-6342</t>
  </si>
  <si>
    <t>PRN-8175</t>
  </si>
  <si>
    <t>PRN-7089</t>
  </si>
  <si>
    <t>ACC-4124</t>
  </si>
  <si>
    <t>NET-7924</t>
  </si>
  <si>
    <t>NET-8761</t>
  </si>
  <si>
    <t>CMP-3875</t>
  </si>
  <si>
    <t>ACC-3989</t>
  </si>
  <si>
    <t>PHN-9234</t>
  </si>
  <si>
    <t>MON-9906</t>
  </si>
  <si>
    <t>CMP-4610</t>
  </si>
  <si>
    <t>PHN-5445</t>
  </si>
  <si>
    <t>MON-9227</t>
  </si>
  <si>
    <t>PRN-4097</t>
  </si>
  <si>
    <t>MON-6699</t>
  </si>
  <si>
    <t>LAP-1482</t>
  </si>
  <si>
    <t>MON-2100</t>
  </si>
  <si>
    <t>MON-7602</t>
  </si>
  <si>
    <t>CMP-1072</t>
  </si>
  <si>
    <t>ACC-2735</t>
  </si>
  <si>
    <t>CMP-5211</t>
  </si>
  <si>
    <t>CMP-1632</t>
  </si>
  <si>
    <t>LAP-7099</t>
  </si>
  <si>
    <t>PRN-3785</t>
  </si>
  <si>
    <t>MON-6962</t>
  </si>
  <si>
    <t>PRN-5107</t>
  </si>
  <si>
    <t>CMP-9264</t>
  </si>
  <si>
    <t>MON-5259</t>
  </si>
  <si>
    <t>PRN-8137</t>
  </si>
  <si>
    <t>ACC-6777</t>
  </si>
  <si>
    <t>PHN-7488</t>
  </si>
  <si>
    <t>ACC-9591</t>
  </si>
  <si>
    <t>MON-5517</t>
  </si>
  <si>
    <t>MON-8758</t>
  </si>
  <si>
    <t>ACC-3385</t>
  </si>
  <si>
    <t>MON-1593</t>
  </si>
  <si>
    <t>ACC-4631</t>
  </si>
  <si>
    <t>MON-7869</t>
  </si>
  <si>
    <t>MON-4271</t>
  </si>
  <si>
    <t>LAP-5531</t>
  </si>
  <si>
    <t>MON-7511</t>
  </si>
  <si>
    <t>LAP-7979</t>
  </si>
  <si>
    <t>PRN-4983</t>
  </si>
  <si>
    <t>NET-5941</t>
  </si>
  <si>
    <t>MON-6341</t>
  </si>
  <si>
    <t>PHN-9789</t>
  </si>
  <si>
    <t>PHN-5082</t>
  </si>
  <si>
    <t>NET-3460</t>
  </si>
  <si>
    <t>PRN-7019</t>
  </si>
  <si>
    <t>PHN-3159</t>
  </si>
  <si>
    <t>PRN-8604</t>
  </si>
  <si>
    <t>PHN-2013</t>
  </si>
  <si>
    <t>NET-6036</t>
  </si>
  <si>
    <t>MON-4959</t>
  </si>
  <si>
    <t>MON-1663</t>
  </si>
  <si>
    <t>CMP-7256</t>
  </si>
  <si>
    <t>ACC-1659</t>
  </si>
  <si>
    <t>PRN-6068</t>
  </si>
  <si>
    <t>ACC-8999</t>
  </si>
  <si>
    <t>CMP-3978</t>
  </si>
  <si>
    <t>MON-7868</t>
  </si>
  <si>
    <t>PRN-3014</t>
  </si>
  <si>
    <t>PHN-1671</t>
  </si>
  <si>
    <t>ACC-5260</t>
  </si>
  <si>
    <t>NET-7588</t>
  </si>
  <si>
    <t>MON-1572</t>
  </si>
  <si>
    <t>MON-2537</t>
  </si>
  <si>
    <t>PRN-5666</t>
  </si>
  <si>
    <t>PRN-2749</t>
  </si>
  <si>
    <t>CMP-4970</t>
  </si>
  <si>
    <t>ACC-3551</t>
  </si>
  <si>
    <t>CMP-7063</t>
  </si>
  <si>
    <t>NET-1612</t>
  </si>
  <si>
    <t>LAP-9766</t>
  </si>
  <si>
    <t>PHN-7274</t>
  </si>
  <si>
    <t>NET-1645</t>
  </si>
  <si>
    <t>ACC-5079</t>
  </si>
  <si>
    <t>PRN-2098</t>
  </si>
  <si>
    <t>PRN-7049</t>
  </si>
  <si>
    <t>CMP-6925</t>
  </si>
  <si>
    <t>PHN-2787</t>
  </si>
  <si>
    <t>PRN-1141</t>
  </si>
  <si>
    <t>MON-5249</t>
  </si>
  <si>
    <t>CMP-8230</t>
  </si>
  <si>
    <t>PRN-7816</t>
  </si>
  <si>
    <t>PHN-8804</t>
  </si>
  <si>
    <t>CMP-8851</t>
  </si>
  <si>
    <t>PHN-2447</t>
  </si>
  <si>
    <t>LAP-2846</t>
  </si>
  <si>
    <t>PRN-5005</t>
  </si>
  <si>
    <t>PHN-3800</t>
  </si>
  <si>
    <t>LAP-4828</t>
  </si>
  <si>
    <t>PRN-5492</t>
  </si>
  <si>
    <t>PHN-7132</t>
  </si>
  <si>
    <t>PHN-4741</t>
  </si>
  <si>
    <t>LAP-2774</t>
  </si>
  <si>
    <t>MON-2842</t>
  </si>
  <si>
    <t>NET-2628</t>
  </si>
  <si>
    <t>MON-2998</t>
  </si>
  <si>
    <t>CMP-7563</t>
  </si>
  <si>
    <t>LAP-6160</t>
  </si>
  <si>
    <t>MON-4361</t>
  </si>
  <si>
    <t>PRN-2829</t>
  </si>
  <si>
    <t>MON-8939</t>
  </si>
  <si>
    <t>LAP-5009</t>
  </si>
  <si>
    <t>CMP-4807</t>
  </si>
  <si>
    <t>NET-2439</t>
  </si>
  <si>
    <t>MON-7626</t>
  </si>
  <si>
    <t>ACC-3567</t>
  </si>
  <si>
    <t>CMP-4630</t>
  </si>
  <si>
    <t>ACC-1882</t>
  </si>
  <si>
    <t>NET-9125</t>
  </si>
  <si>
    <t>PHN-3819</t>
  </si>
  <si>
    <t>LAP-3490</t>
  </si>
  <si>
    <t>PRN-1276</t>
  </si>
  <si>
    <t>MON-9733</t>
  </si>
  <si>
    <t>CMP-9392</t>
  </si>
  <si>
    <t>PHN-3014</t>
  </si>
  <si>
    <t>PRN-6776</t>
  </si>
  <si>
    <t>ACC-3951</t>
  </si>
  <si>
    <t>MON-1436</t>
  </si>
  <si>
    <t>MON-8651</t>
  </si>
  <si>
    <t>MON-3307</t>
  </si>
  <si>
    <t>PRN-8758</t>
  </si>
  <si>
    <t>LAP-7056</t>
  </si>
  <si>
    <t>NET-5523</t>
  </si>
  <si>
    <t>ACC-8094</t>
  </si>
  <si>
    <t>PHN-6832</t>
  </si>
  <si>
    <t>LAP-2378</t>
  </si>
  <si>
    <t>MON-5424</t>
  </si>
  <si>
    <t>NET-8430</t>
  </si>
  <si>
    <t>PHN-1234</t>
  </si>
  <si>
    <t>LAP-9016</t>
  </si>
  <si>
    <t>LAP-9931</t>
  </si>
  <si>
    <t>PHN-6818</t>
  </si>
  <si>
    <t>PHN-3803</t>
  </si>
  <si>
    <t>NET-9835</t>
  </si>
  <si>
    <t>ACC-6223</t>
  </si>
  <si>
    <t>CMP-8659</t>
  </si>
  <si>
    <t>ACC-4483</t>
  </si>
  <si>
    <t>PRN-8763</t>
  </si>
  <si>
    <t>ACC-8557</t>
  </si>
  <si>
    <t>ACC-1492</t>
  </si>
  <si>
    <t>CMP-3743</t>
  </si>
  <si>
    <t>LAP-1619</t>
  </si>
  <si>
    <t>PRN-7976</t>
  </si>
  <si>
    <t>MON-4326</t>
  </si>
  <si>
    <t>MON-5444</t>
  </si>
  <si>
    <t>ACC-5422</t>
  </si>
  <si>
    <t>CMP-9307</t>
  </si>
  <si>
    <t>PRN-6520</t>
  </si>
  <si>
    <t>NET-1699</t>
  </si>
  <si>
    <t>PHN-5316</t>
  </si>
  <si>
    <t>LAP-4607</t>
  </si>
  <si>
    <t>MON-5276</t>
  </si>
  <si>
    <t>ACC-9533</t>
  </si>
  <si>
    <t>NET-3749</t>
  </si>
  <si>
    <t>PRN-2991</t>
  </si>
  <si>
    <t>LAP-4551</t>
  </si>
  <si>
    <t>MON-6310</t>
  </si>
  <si>
    <t>NET-1166</t>
  </si>
  <si>
    <t>ACC-2903</t>
  </si>
  <si>
    <t>PRN-2293</t>
  </si>
  <si>
    <t>MON-1389</t>
  </si>
  <si>
    <t>CMP-4093</t>
  </si>
  <si>
    <t>PHN-6131</t>
  </si>
  <si>
    <t>NET-4104</t>
  </si>
  <si>
    <t>MON-9319</t>
  </si>
  <si>
    <t>ACC-2988</t>
  </si>
  <si>
    <t>PHN-9399</t>
  </si>
  <si>
    <t>NET-4554</t>
  </si>
  <si>
    <t>NET-5195</t>
  </si>
  <si>
    <t>CMP-9801</t>
  </si>
  <si>
    <t>CMP-3093</t>
  </si>
  <si>
    <t>ACC-2364</t>
  </si>
  <si>
    <t>CMP-5138</t>
  </si>
  <si>
    <t>PHN-2337</t>
  </si>
  <si>
    <t>MON-2993</t>
  </si>
  <si>
    <t>LAP-9024</t>
  </si>
  <si>
    <t>PHN-6307</t>
  </si>
  <si>
    <t>NET-9003</t>
  </si>
  <si>
    <t>ACC-3068</t>
  </si>
  <si>
    <t>ACC-1060</t>
  </si>
  <si>
    <t>PHN-3854</t>
  </si>
  <si>
    <t>PRN-1086</t>
  </si>
  <si>
    <t>PHN-7815</t>
  </si>
  <si>
    <t>PRN-5384</t>
  </si>
  <si>
    <t>ACC-8178</t>
  </si>
  <si>
    <t>MON-1018</t>
  </si>
  <si>
    <t>ACC-1238</t>
  </si>
  <si>
    <t>NET-1816</t>
  </si>
  <si>
    <t>PRN-4893</t>
  </si>
  <si>
    <t>PHN-1717</t>
  </si>
  <si>
    <t>NET-9575</t>
  </si>
  <si>
    <t>LAP-3604</t>
  </si>
  <si>
    <t>ACC-6626</t>
  </si>
  <si>
    <t>PHN-1670</t>
  </si>
  <si>
    <t>CMP-4792</t>
  </si>
  <si>
    <t>LAP-1990</t>
  </si>
  <si>
    <t>PRN-7410</t>
  </si>
  <si>
    <t>MON-4278</t>
  </si>
  <si>
    <t>ACC-5334</t>
  </si>
  <si>
    <t>NET-8957</t>
  </si>
  <si>
    <t>PRN-9960</t>
  </si>
  <si>
    <t>ACC-3103</t>
  </si>
  <si>
    <t>PRN-9490</t>
  </si>
  <si>
    <t>NET-3850</t>
  </si>
  <si>
    <t>ACC-7047</t>
  </si>
  <si>
    <t>PRN-6660</t>
  </si>
  <si>
    <t>ACC-7838</t>
  </si>
  <si>
    <t>PHN-5383</t>
  </si>
  <si>
    <t>LAP-3904</t>
  </si>
  <si>
    <t>MON-5749</t>
  </si>
  <si>
    <t>PRN-3690</t>
  </si>
  <si>
    <t>CMP-7055</t>
  </si>
  <si>
    <t>PHN-6866</t>
  </si>
  <si>
    <t>CMP-3259</t>
  </si>
  <si>
    <t>LAP-6750</t>
  </si>
  <si>
    <t>PRN-3775</t>
  </si>
  <si>
    <t>LAP-2942</t>
  </si>
  <si>
    <t>PHN-2036</t>
  </si>
  <si>
    <t>MON-4373</t>
  </si>
  <si>
    <t>PRN-8657</t>
  </si>
  <si>
    <t>PHN-7974</t>
  </si>
  <si>
    <t>PHN-4915</t>
  </si>
  <si>
    <t>NET-3535</t>
  </si>
  <si>
    <t>CMP-2574</t>
  </si>
  <si>
    <t>NET-7901</t>
  </si>
  <si>
    <t>NET-5482</t>
  </si>
  <si>
    <t>NET-1336</t>
  </si>
  <si>
    <t>PRN-5876</t>
  </si>
  <si>
    <t>NET-3828</t>
  </si>
  <si>
    <t>MON-7622</t>
  </si>
  <si>
    <t>LAP-2806</t>
  </si>
  <si>
    <t>PRN-8850</t>
  </si>
  <si>
    <t>LAP-9100</t>
  </si>
  <si>
    <t>LAP-5763</t>
  </si>
  <si>
    <t>LAP-7320</t>
  </si>
  <si>
    <t>MON-5891</t>
  </si>
  <si>
    <t>PRN-1183</t>
  </si>
  <si>
    <t>CMP-2096</t>
  </si>
  <si>
    <t>PHN-3398</t>
  </si>
  <si>
    <t>CMP-8545</t>
  </si>
  <si>
    <t>ACC-1249</t>
  </si>
  <si>
    <t>MON-9662</t>
  </si>
  <si>
    <t>LAP-8347</t>
  </si>
  <si>
    <t>CMP-6898</t>
  </si>
  <si>
    <t>MON-3504</t>
  </si>
  <si>
    <t>NET-3432</t>
  </si>
  <si>
    <t>PRN-5591</t>
  </si>
  <si>
    <t>CMP-2015</t>
  </si>
  <si>
    <t>LAP-9901</t>
  </si>
  <si>
    <t>CMP-8658</t>
  </si>
  <si>
    <t>MON-2073</t>
  </si>
  <si>
    <t>PRN-9378</t>
  </si>
  <si>
    <t>PHN-5887</t>
  </si>
  <si>
    <t>LAP-8119</t>
  </si>
  <si>
    <t>ACC-9644</t>
  </si>
  <si>
    <t>LAP-7009</t>
  </si>
  <si>
    <t>PRN-1725</t>
  </si>
  <si>
    <t>PHN-8483</t>
  </si>
  <si>
    <t>PHN-3971</t>
  </si>
  <si>
    <t>NET-6578</t>
  </si>
  <si>
    <t>PRN-9975</t>
  </si>
  <si>
    <t>ACC-1075</t>
  </si>
  <si>
    <t>ACC-2902</t>
  </si>
  <si>
    <t>PRN-5815</t>
  </si>
  <si>
    <t>MON-4195</t>
  </si>
  <si>
    <t>PHN-8478</t>
  </si>
  <si>
    <t>PHN-1044</t>
  </si>
  <si>
    <t>LAP-8910</t>
  </si>
  <si>
    <t>PHN-2859</t>
  </si>
  <si>
    <t>PRN-6308</t>
  </si>
  <si>
    <t>LAP-8469</t>
  </si>
  <si>
    <t>LAP-7553</t>
  </si>
  <si>
    <t>PHN-3077</t>
  </si>
  <si>
    <t>MON-3350</t>
  </si>
  <si>
    <t>PHN-5683</t>
  </si>
  <si>
    <t>PRN-2409</t>
  </si>
  <si>
    <t>LAP-8825</t>
  </si>
  <si>
    <t>MON-8697</t>
  </si>
  <si>
    <t>MON-4789</t>
  </si>
  <si>
    <t>NET-7998</t>
  </si>
  <si>
    <t>PHN-8891</t>
  </si>
  <si>
    <t>NET-9832</t>
  </si>
  <si>
    <t>CMP-8604</t>
  </si>
  <si>
    <t>ACC-6594</t>
  </si>
  <si>
    <t>NET-2499</t>
  </si>
  <si>
    <t>PRN-1923</t>
  </si>
  <si>
    <t>PHN-4346</t>
  </si>
  <si>
    <t>ACC-1375</t>
  </si>
  <si>
    <t>PRN-4892</t>
  </si>
  <si>
    <t>PRN-9557</t>
  </si>
  <si>
    <t>PRN-8008</t>
  </si>
  <si>
    <t>LAP-1946</t>
  </si>
  <si>
    <t>MON-7106</t>
  </si>
  <si>
    <t>MON-5386</t>
  </si>
  <si>
    <t>PHN-2436</t>
  </si>
  <si>
    <t>PRN-2301</t>
  </si>
  <si>
    <t>ACC-3645</t>
  </si>
  <si>
    <t>CMP-6811</t>
  </si>
  <si>
    <t>PHN-5675</t>
  </si>
  <si>
    <t>MON-6882</t>
  </si>
  <si>
    <t>ACC-8620</t>
  </si>
  <si>
    <t>PHN-6506</t>
  </si>
  <si>
    <t>MON-5086</t>
  </si>
  <si>
    <t>LAP-4899</t>
  </si>
  <si>
    <t>CMP-3313</t>
  </si>
  <si>
    <t>CMP-6649</t>
  </si>
  <si>
    <t>ACC-5206</t>
  </si>
  <si>
    <t>PRN-6911</t>
  </si>
  <si>
    <t>NET-5270</t>
  </si>
  <si>
    <t>CMP-5658</t>
  </si>
  <si>
    <t>CMP-3938</t>
  </si>
  <si>
    <t>ACC-7671</t>
  </si>
  <si>
    <t>NET-6014</t>
  </si>
  <si>
    <t>CMP-4159</t>
  </si>
  <si>
    <t>PRN-3159</t>
  </si>
  <si>
    <t>PRN-9488</t>
  </si>
  <si>
    <t>PRN-7079</t>
  </si>
  <si>
    <t>CMP-1220</t>
  </si>
  <si>
    <t>MON-2462</t>
  </si>
  <si>
    <t>PHN-9465</t>
  </si>
  <si>
    <t>PRN-1271</t>
  </si>
  <si>
    <t>LAP-1066</t>
  </si>
  <si>
    <t>CMP-8675</t>
  </si>
  <si>
    <t>LAP-1178</t>
  </si>
  <si>
    <t>ACC-1731</t>
  </si>
  <si>
    <t>NET-1893</t>
  </si>
  <si>
    <t>PRN-3917</t>
  </si>
  <si>
    <t>LAP-3220</t>
  </si>
  <si>
    <t>PHN-2462</t>
  </si>
  <si>
    <t>NET-2894</t>
  </si>
  <si>
    <t>CMP-2335</t>
  </si>
  <si>
    <t>PHN-5938</t>
  </si>
  <si>
    <t>PRN-1371</t>
  </si>
  <si>
    <t>PRN-5813</t>
  </si>
  <si>
    <t>PHN-6480</t>
  </si>
  <si>
    <t>ACC-2990</t>
  </si>
  <si>
    <t>CMP-5435</t>
  </si>
  <si>
    <t>ACC-1596</t>
  </si>
  <si>
    <t>PHN-7852</t>
  </si>
  <si>
    <t>ACC-7240</t>
  </si>
  <si>
    <t>MON-8867</t>
  </si>
  <si>
    <t>NET-1228</t>
  </si>
  <si>
    <t>NET-1145</t>
  </si>
  <si>
    <t>ACC-2867</t>
  </si>
  <si>
    <t>MON-9274</t>
  </si>
  <si>
    <t>MON-4830</t>
  </si>
  <si>
    <t>PHN-9107</t>
  </si>
  <si>
    <t>PRN-1060</t>
  </si>
  <si>
    <t>NET-8329</t>
  </si>
  <si>
    <t>NET-6269</t>
  </si>
  <si>
    <t>CMP-6529</t>
  </si>
  <si>
    <t>PHN-8776</t>
  </si>
  <si>
    <t>NET-3728</t>
  </si>
  <si>
    <t>LAP-3565</t>
  </si>
  <si>
    <t>LAP-5078</t>
  </si>
  <si>
    <t>MON-2465</t>
  </si>
  <si>
    <t>CMP-3223</t>
  </si>
  <si>
    <t>CMP-8127</t>
  </si>
  <si>
    <t>PHN-1924</t>
  </si>
  <si>
    <t>CMP-1156</t>
  </si>
  <si>
    <t>LAP-3905</t>
  </si>
  <si>
    <t>PRN-1786</t>
  </si>
  <si>
    <t>ACC-3349</t>
  </si>
  <si>
    <t>NET-4228</t>
  </si>
  <si>
    <t>CMP-5633</t>
  </si>
  <si>
    <t>CMP-5825</t>
  </si>
  <si>
    <t>LAP-6499</t>
  </si>
  <si>
    <t>ACC-3721</t>
  </si>
  <si>
    <t>MON-6190</t>
  </si>
  <si>
    <t>CMP-2410</t>
  </si>
  <si>
    <t>PRN-2641</t>
  </si>
  <si>
    <t>PRN-1882</t>
  </si>
  <si>
    <t>PRN-1641</t>
  </si>
  <si>
    <t>LAP-1739</t>
  </si>
  <si>
    <t>PRN-4732</t>
  </si>
  <si>
    <t>NET-9569</t>
  </si>
  <si>
    <t>PHN-3007</t>
  </si>
  <si>
    <t>MON-9216</t>
  </si>
  <si>
    <t>PHN-8072</t>
  </si>
  <si>
    <t>LAP-1308</t>
  </si>
  <si>
    <t>LAP-7353</t>
  </si>
  <si>
    <t>NET-6533</t>
  </si>
  <si>
    <t>ACC-9445</t>
  </si>
  <si>
    <t>PRN-1654</t>
  </si>
  <si>
    <t>NET-8787</t>
  </si>
  <si>
    <t>LAP-1989</t>
  </si>
  <si>
    <t>MON-8688</t>
  </si>
  <si>
    <t>ACC-8242</t>
  </si>
  <si>
    <t>LAP-4666</t>
  </si>
  <si>
    <t>NET-5196</t>
  </si>
  <si>
    <t>MON-8422</t>
  </si>
  <si>
    <t>ACC-3415</t>
  </si>
  <si>
    <t>PRN-9624</t>
  </si>
  <si>
    <t>MON-6287</t>
  </si>
  <si>
    <t>NET-4491</t>
  </si>
  <si>
    <t>MON-4317</t>
  </si>
  <si>
    <t>NET-7349</t>
  </si>
  <si>
    <t>ACC-5150</t>
  </si>
  <si>
    <t>ACC-5144</t>
  </si>
  <si>
    <t>PHN-6111</t>
  </si>
  <si>
    <t>ACC-9283</t>
  </si>
  <si>
    <t>PRN-2407</t>
  </si>
  <si>
    <t>MON-7099</t>
  </si>
  <si>
    <t>ACC-7354</t>
  </si>
  <si>
    <t>PRN-6585</t>
  </si>
  <si>
    <t>CMP-9498</t>
  </si>
  <si>
    <t>PHN-1919</t>
  </si>
  <si>
    <t>MON-6053</t>
  </si>
  <si>
    <t>NET-2502</t>
  </si>
  <si>
    <t>LAP-5689</t>
  </si>
  <si>
    <t>CMP-5911</t>
  </si>
  <si>
    <t>LAP-7523</t>
  </si>
  <si>
    <t>MON-1118</t>
  </si>
  <si>
    <t>NET-9177</t>
  </si>
  <si>
    <t>CMP-6495</t>
  </si>
  <si>
    <t>ACC-4587</t>
  </si>
  <si>
    <t>PHN-4395</t>
  </si>
  <si>
    <t>LAP-3581</t>
  </si>
  <si>
    <t>MON-6065</t>
  </si>
  <si>
    <t>CMP-4945</t>
  </si>
  <si>
    <t>NET-3785</t>
  </si>
  <si>
    <t>NET-3689</t>
  </si>
  <si>
    <t>ACC-3833</t>
  </si>
  <si>
    <t>NET-2932</t>
  </si>
  <si>
    <t>PHN-7636</t>
  </si>
  <si>
    <t>CMP-1223</t>
  </si>
  <si>
    <t>MON-7207</t>
  </si>
  <si>
    <t>LAP-4483</t>
  </si>
  <si>
    <t>LAP-1969</t>
  </si>
  <si>
    <t>PHN-4566</t>
  </si>
  <si>
    <t>PHN-5366</t>
  </si>
  <si>
    <t>CMP-9001</t>
  </si>
  <si>
    <t>PHN-9677</t>
  </si>
  <si>
    <t>ACC-1604</t>
  </si>
  <si>
    <t>ACC-4815</t>
  </si>
  <si>
    <t>CMP-5311</t>
  </si>
  <si>
    <t>NET-1282</t>
  </si>
  <si>
    <t>MON-1564</t>
  </si>
  <si>
    <t>ACC-7906</t>
  </si>
  <si>
    <t>LAP-6577</t>
  </si>
  <si>
    <t>CMP-5065</t>
  </si>
  <si>
    <t>PRN-4787</t>
  </si>
  <si>
    <t>PRN-9867</t>
  </si>
  <si>
    <t>MON-2849</t>
  </si>
  <si>
    <t>LAP-8633</t>
  </si>
  <si>
    <t>PRN-9793</t>
  </si>
  <si>
    <t>NET-6218</t>
  </si>
  <si>
    <t>PRN-6131</t>
  </si>
  <si>
    <t>PRN-5067</t>
  </si>
  <si>
    <t>LAP-4932</t>
  </si>
  <si>
    <t>ACC-7713</t>
  </si>
  <si>
    <t>PHN-7379</t>
  </si>
  <si>
    <t>PRN-5569</t>
  </si>
  <si>
    <t>CMP-1470</t>
  </si>
  <si>
    <t>PRN-9249</t>
  </si>
  <si>
    <t>PRN-4906</t>
  </si>
  <si>
    <t>MON-8129</t>
  </si>
  <si>
    <t>NET-5987</t>
  </si>
  <si>
    <t>NET-5423</t>
  </si>
  <si>
    <t>PRN-5264</t>
  </si>
  <si>
    <t>NET-8856</t>
  </si>
  <si>
    <t>MON-4215</t>
  </si>
  <si>
    <t>PRN-5753</t>
  </si>
  <si>
    <t>CMP-5006</t>
  </si>
  <si>
    <t>ACC-4766</t>
  </si>
  <si>
    <t>NET-8610</t>
  </si>
  <si>
    <t>NET-4675</t>
  </si>
  <si>
    <t>ACC-1028</t>
  </si>
  <si>
    <t>NET-4735</t>
  </si>
  <si>
    <t>NET-2460</t>
  </si>
  <si>
    <t>CMP-1555</t>
  </si>
  <si>
    <t>MON-3773</t>
  </si>
  <si>
    <t>PHN-4677</t>
  </si>
  <si>
    <t>CMP-1940</t>
  </si>
  <si>
    <t>PHN-9184</t>
  </si>
  <si>
    <t>LAP-3017</t>
  </si>
  <si>
    <t>Assignment</t>
  </si>
  <si>
    <t>Excel Mastery Assignment: Sales Operations &amp; Analytics</t>
  </si>
  <si>
    <t>Overview:</t>
  </si>
  <si>
    <t>You are an analyst for a multi-regional electronics distributor. The 'Data' sheet contains 632 rows and 15 columns of transactional data with intentional data-quality issues.</t>
  </si>
  <si>
    <t>Your job is to clean, enrich, analyze, and present insights via a dynamic dashboard.</t>
  </si>
  <si>
    <t>Part A — Data Cleaning &amp; Preparation:</t>
  </si>
  <si>
    <t>1) Create a staging table where you:</t>
  </si>
  <si>
    <t xml:space="preserve">   • Remove exact duplicate rows (define and document your duplicate criteria).</t>
  </si>
  <si>
    <t xml:space="preserve">   • Fix data types (dates as Dates, numeric fields as numbers).</t>
  </si>
  <si>
    <t xml:space="preserve">   • Handle missing values for City, Salesperson, and Channel using reasonable business logic (document your approach).</t>
  </si>
  <si>
    <t xml:space="preserve">   • Flag and correct suspicious UnitPrice values (e.g., negative prices) and discounts (e.g., &gt; 30%).</t>
  </si>
  <si>
    <t xml:space="preserve">   • Ensure RequiredDate is not earlier than OrderDate; where it is, impute a corrected RequiredDate (explain your rule).</t>
  </si>
  <si>
    <t xml:space="preserve">   • Add a derived 'LeadTimeDays' = RequiredDate − OrderDate (in days).</t>
  </si>
  <si>
    <t>2) Create calculated columns (do these in Excel, not by formula in the data source):</t>
  </si>
  <si>
    <t xml:space="preserve">   • GrossRevenue = UnitPrice × Quantity × (1 − DiscountPct).</t>
  </si>
  <si>
    <t xml:space="preserve">   • CostOfGoods = UnitCost × Quantity.</t>
  </si>
  <si>
    <t xml:space="preserve">   • GrossProfit = GrossRevenue − CostOfGoods.</t>
  </si>
  <si>
    <t xml:space="preserve">   • MarginPct = IF(GrossRevenue=0, 0, GrossProfit / GrossRevenue).</t>
  </si>
  <si>
    <t>3) Create standardized dimensions:</t>
  </si>
  <si>
    <t xml:space="preserve">   • Month (MMM-YYYY) from OrderDate.</t>
  </si>
  <si>
    <t xml:space="preserve">   • Quarter (e.g., Q1-2024).</t>
  </si>
  <si>
    <t xml:space="preserve">   • Region hierarchy: Region → Country → City.</t>
  </si>
  <si>
    <t xml:space="preserve">   • ProductCategory and a derived 'PriceBand' (e.g., Low/Medium/High using quantiles).</t>
  </si>
  <si>
    <t>Part B — Analysis Tasks (show workings with PivotTables / formulas):</t>
  </si>
  <si>
    <t>4) Build a cohort of first-time sales by Country and Month:</t>
  </si>
  <si>
    <t xml:space="preserve">   • Identify the first month each Country appears and calculate monthly revenue tracked from that start (cohort analysis).</t>
  </si>
  <si>
    <t>5) ABC analysis by SKU within each ProductCategory using GrossRevenue:</t>
  </si>
  <si>
    <t xml:space="preserve">   • Classify SKUs into A (top 80%), B (next 15%), C (last 5%) of revenue per category.</t>
  </si>
  <si>
    <t>6) Salesperson productivity:</t>
  </si>
  <si>
    <t xml:space="preserve">   • Compute Revenue/Order, Orders/Month, and GrossProfit/Order by Salesperson; highlight the top and bottom 3.</t>
  </si>
  <si>
    <t>7) Channel mix &amp; cannibalization:</t>
  </si>
  <si>
    <t xml:space="preserve">   • Compare revenue shares by Channel across Regions; identify where online cannibalizes retail (justify with data).</t>
  </si>
  <si>
    <t>8) Service level proxy:</t>
  </si>
  <si>
    <t xml:space="preserve">   • Using LeadTimeDays, determine % of orders meeting a 7-day target by Country and Category.</t>
  </si>
  <si>
    <t>9) Price compliance:</t>
  </si>
  <si>
    <t xml:space="preserve">   • Share of orders with DiscountPct &gt; 20% by Region and Salesperson; list outliers.</t>
  </si>
  <si>
    <t>Part C — Scenario Modeling (What-If):</t>
  </si>
  <si>
    <t>10) Build a What-If control panel (slider/cell inputs):</t>
  </si>
  <si>
    <t xml:space="preserve">   • Global Discount Cap (e.g., 0%–25%).</t>
  </si>
  <si>
    <t xml:space="preserve">   • UnitCost inflation factor (e.g., 0%–15%).</t>
  </si>
  <si>
    <t xml:space="preserve">   • Quantity uplift (e.g., 0%–20%).</t>
  </si>
  <si>
    <t xml:space="preserve">   Recalculate Revenue and Profit metrics under these scenarios and compare to the baseline.</t>
  </si>
  <si>
    <t>Part D — Interactive Dashboard:</t>
  </si>
  <si>
    <t>11) Create a single-page dashboard with:</t>
  </si>
  <si>
    <t xml:space="preserve">   • Slicers for Region, Country, Channel, ProductCategory, Month, and Salesperson.</t>
  </si>
  <si>
    <t xml:space="preserve">   • KPIs: Total Revenue, Gross Profit, Margin %, Avg Order Value, On-Time % (LeadTimeDays ≤ 7).</t>
  </si>
  <si>
    <t xml:space="preserve">   • Visuals:</t>
  </si>
  <si>
    <t xml:space="preserve">       – Revenue by Month (line chart).</t>
  </si>
  <si>
    <t xml:space="preserve">       – Profit by Region and Channel (stacked column).</t>
  </si>
  <si>
    <t xml:space="preserve">       – Top 10 SKUs by Revenue (bar).</t>
  </si>
  <si>
    <t xml:space="preserve">       – Discount Outliers (box/whisker or scatter) — if Excel version permits, else alternative view.</t>
  </si>
  <si>
    <t xml:space="preserve">   • Dynamic titles reflecting applied filters.</t>
  </si>
  <si>
    <t>12) Tell a story:</t>
  </si>
  <si>
    <t xml:space="preserve">   • Write 5–8 bullet insights derived from the dashboard; include at least one insight per Region.</t>
  </si>
  <si>
    <t>Part E — Submission Checklist:</t>
  </si>
  <si>
    <t>13) Include a 'ReadMe' sheet summarizing: data issues found, cleaning rules, and assumptions.</t>
  </si>
  <si>
    <t>14) Ensure all measures are built with Excel formulas or Power Pivot (no hard-coded totals).</t>
  </si>
  <si>
    <t>15) Ensure your dashboard responds to slicers without broken references.</t>
  </si>
  <si>
    <t>Duplicate</t>
  </si>
  <si>
    <t>AbsoluteUnitPrice</t>
  </si>
  <si>
    <t>FixedSalesperson</t>
  </si>
  <si>
    <t>FixedCity</t>
  </si>
  <si>
    <t>FixedChannel</t>
  </si>
  <si>
    <t>Discount Fixed</t>
  </si>
  <si>
    <t>FixedRequiredDate</t>
  </si>
  <si>
    <t>FlaggedRequiredDate</t>
  </si>
  <si>
    <t>LeadTimeDays</t>
  </si>
  <si>
    <t>Unknown</t>
  </si>
  <si>
    <t>Unassigned</t>
  </si>
  <si>
    <t>GrossRevenue</t>
  </si>
  <si>
    <t>CostofGoods</t>
  </si>
  <si>
    <t>GrossProfit</t>
  </si>
  <si>
    <t>MarginPct</t>
  </si>
  <si>
    <t>OrderDateNew</t>
  </si>
  <si>
    <t>Quarters</t>
  </si>
  <si>
    <t>PriceBand</t>
  </si>
  <si>
    <t>Low</t>
  </si>
  <si>
    <t>High</t>
  </si>
  <si>
    <t>Value</t>
  </si>
  <si>
    <t>Percentile</t>
  </si>
  <si>
    <t>Category</t>
  </si>
  <si>
    <t>RegionHierachy</t>
  </si>
  <si>
    <t>Row Labels</t>
  </si>
  <si>
    <t>Grand Total</t>
  </si>
  <si>
    <t>Column Labels</t>
  </si>
  <si>
    <t>Jan</t>
  </si>
  <si>
    <t>Feb</t>
  </si>
  <si>
    <t>Mar</t>
  </si>
  <si>
    <t>Apr</t>
  </si>
  <si>
    <t>May</t>
  </si>
  <si>
    <t>Jun</t>
  </si>
  <si>
    <t>Jul</t>
  </si>
  <si>
    <t>Aug</t>
  </si>
  <si>
    <t>Sept</t>
  </si>
  <si>
    <t>Oct</t>
  </si>
  <si>
    <t>Nov</t>
  </si>
  <si>
    <t>Dec</t>
  </si>
  <si>
    <t>Sum of GrossRevenue</t>
  </si>
  <si>
    <t>CohortStart</t>
  </si>
  <si>
    <t>MonthsSinceStart</t>
  </si>
  <si>
    <t>Sum of GrossRevenue2</t>
  </si>
  <si>
    <t>ABC Category</t>
  </si>
  <si>
    <t>Sum of GrossProfit</t>
  </si>
  <si>
    <t>Number of Orders</t>
  </si>
  <si>
    <t>Global Discount Cap</t>
  </si>
  <si>
    <t>Unit Cost Inflation</t>
  </si>
  <si>
    <t>Quantity Uplift</t>
  </si>
  <si>
    <t>Label</t>
  </si>
  <si>
    <t>Helper Cells</t>
  </si>
  <si>
    <t>Slide Control</t>
  </si>
  <si>
    <t>ScenarioDiscount</t>
  </si>
  <si>
    <t>ScenarioUnitCost</t>
  </si>
  <si>
    <t>Scenario Revenue</t>
  </si>
  <si>
    <t>Scenario Profit</t>
  </si>
  <si>
    <t>RevenueDifference</t>
  </si>
  <si>
    <t>ProfitDifference</t>
  </si>
  <si>
    <t>Total Revenue</t>
  </si>
  <si>
    <t>TotalProfit</t>
  </si>
  <si>
    <t>Difference</t>
  </si>
  <si>
    <t>Scenario</t>
  </si>
  <si>
    <t>BaseLine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</si>
</sst>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mmm\-yyyy"/>
    <numFmt numFmtId="166" formatCode="0.000"/>
  </numFmts>
  <fonts count="8" x14ac:knownFonts="1">
    <font>
      <sz val="11"/>
      <color theme="1"/>
      <name val="Calibri"/>
      <family val="2"/>
      <scheme val="minor"/>
    </font>
    <font>
      <b/>
      <sz val="11"/>
      <color theme="1"/>
      <name val="Calibri"/>
      <family val="2"/>
      <scheme val="minor"/>
    </font>
    <font>
      <sz val="11"/>
      <color theme="1"/>
      <name val="Calibri"/>
      <family val="2"/>
      <scheme val="minor"/>
    </font>
    <font>
      <b/>
      <sz val="11"/>
      <name val="Calibri"/>
      <family val="2"/>
      <scheme val="minor"/>
    </font>
    <font>
      <sz val="11"/>
      <name val="Calibri"/>
      <family val="2"/>
      <scheme val="minor"/>
    </font>
    <font>
      <b/>
      <sz val="11"/>
      <color theme="5"/>
      <name val="Calibri"/>
      <family val="2"/>
      <scheme val="minor"/>
    </font>
    <font>
      <b/>
      <sz val="11"/>
      <color rgb="FFFF0000"/>
      <name val="Calibri"/>
      <family val="2"/>
      <scheme val="minor"/>
    </font>
    <font>
      <b/>
      <sz val="11"/>
      <color rgb="FF00B05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24994659260841701"/>
        <bgColor indexed="64"/>
      </patternFill>
    </fill>
    <fill>
      <patternFill patternType="solid">
        <fgColor theme="0"/>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s>
  <cellStyleXfs count="2">
    <xf numFmtId="0" fontId="0" fillId="0" borderId="0"/>
    <xf numFmtId="9" fontId="2" fillId="0" borderId="0" applyFont="0" applyFill="0" applyBorder="0" applyAlignment="0" applyProtection="0"/>
  </cellStyleXfs>
  <cellXfs count="43">
    <xf numFmtId="0" fontId="0" fillId="0" borderId="0" xfId="0"/>
    <xf numFmtId="0" fontId="1" fillId="0" borderId="1" xfId="0" applyFont="1" applyBorder="1" applyAlignment="1">
      <alignment horizontal="center" vertical="top"/>
    </xf>
    <xf numFmtId="164" fontId="0" fillId="0" borderId="0" xfId="0" applyNumberFormat="1"/>
    <xf numFmtId="49" fontId="1" fillId="0" borderId="1" xfId="0" applyNumberFormat="1" applyFont="1" applyBorder="1" applyAlignment="1">
      <alignment horizontal="center" vertical="top"/>
    </xf>
    <xf numFmtId="49" fontId="0" fillId="0" borderId="0" xfId="0" applyNumberFormat="1"/>
    <xf numFmtId="0" fontId="4" fillId="0" borderId="0" xfId="0" applyFont="1"/>
    <xf numFmtId="14" fontId="1" fillId="0" borderId="1" xfId="0" applyNumberFormat="1" applyFont="1" applyBorder="1" applyAlignment="1">
      <alignment horizontal="center" vertical="top"/>
    </xf>
    <xf numFmtId="14" fontId="0" fillId="0" borderId="0" xfId="0" applyNumberFormat="1"/>
    <xf numFmtId="9" fontId="0" fillId="0" borderId="0" xfId="1" applyFont="1"/>
    <xf numFmtId="9" fontId="3" fillId="0" borderId="1" xfId="1" applyFont="1" applyBorder="1" applyAlignment="1">
      <alignment horizontal="center" vertical="top"/>
    </xf>
    <xf numFmtId="9" fontId="1" fillId="2" borderId="1" xfId="1" applyFont="1" applyFill="1" applyBorder="1" applyAlignment="1">
      <alignment horizontal="center" vertical="top"/>
    </xf>
    <xf numFmtId="0" fontId="1" fillId="2" borderId="1" xfId="0" applyFont="1" applyFill="1" applyBorder="1" applyAlignment="1">
      <alignment horizontal="center" vertical="top"/>
    </xf>
    <xf numFmtId="0" fontId="3" fillId="2" borderId="1" xfId="0" applyFont="1" applyFill="1" applyBorder="1" applyAlignment="1">
      <alignment horizontal="center" vertical="top"/>
    </xf>
    <xf numFmtId="10" fontId="5" fillId="0" borderId="2" xfId="1" applyNumberFormat="1" applyFont="1" applyFill="1" applyBorder="1" applyAlignment="1">
      <alignment horizontal="center" vertical="top"/>
    </xf>
    <xf numFmtId="10" fontId="0" fillId="0" borderId="0" xfId="1" applyNumberFormat="1" applyFont="1"/>
    <xf numFmtId="0" fontId="3" fillId="0" borderId="2" xfId="0" applyFont="1" applyBorder="1" applyAlignment="1">
      <alignment horizontal="center" vertical="top"/>
    </xf>
    <xf numFmtId="0" fontId="3" fillId="0" borderId="0" xfId="0" applyFont="1"/>
    <xf numFmtId="0" fontId="1" fillId="0" borderId="0" xfId="0" applyFont="1"/>
    <xf numFmtId="0" fontId="0" fillId="0" borderId="0" xfId="0" pivotButton="1"/>
    <xf numFmtId="0" fontId="0" fillId="0" borderId="0" xfId="0" applyAlignment="1">
      <alignment horizontal="left"/>
    </xf>
    <xf numFmtId="14" fontId="3" fillId="0" borderId="2" xfId="0" applyNumberFormat="1" applyFont="1" applyBorder="1" applyAlignment="1">
      <alignment horizontal="center" vertical="top"/>
    </xf>
    <xf numFmtId="17" fontId="0" fillId="0" borderId="0" xfId="0" applyNumberFormat="1"/>
    <xf numFmtId="165" fontId="0" fillId="0" borderId="0" xfId="0" applyNumberFormat="1"/>
    <xf numFmtId="2" fontId="0" fillId="0" borderId="0" xfId="0" applyNumberFormat="1"/>
    <xf numFmtId="0" fontId="0" fillId="0" borderId="0" xfId="0" applyAlignment="1">
      <alignment horizontal="left" indent="1"/>
    </xf>
    <xf numFmtId="2" fontId="5" fillId="0" borderId="2" xfId="0" applyNumberFormat="1" applyFont="1" applyBorder="1" applyAlignment="1">
      <alignment horizontal="center" vertical="top"/>
    </xf>
    <xf numFmtId="0" fontId="0" fillId="3" borderId="0" xfId="0" applyFill="1"/>
    <xf numFmtId="9" fontId="0" fillId="0" borderId="0" xfId="0" applyNumberFormat="1"/>
    <xf numFmtId="1" fontId="0" fillId="0" borderId="0" xfId="0" applyNumberFormat="1"/>
    <xf numFmtId="0" fontId="6" fillId="0" borderId="0" xfId="0" applyFont="1"/>
    <xf numFmtId="166" fontId="0" fillId="0" borderId="0" xfId="0" applyNumberFormat="1"/>
    <xf numFmtId="0" fontId="7" fillId="0" borderId="0" xfId="0" applyFont="1"/>
    <xf numFmtId="2" fontId="0" fillId="0" borderId="1" xfId="0" applyNumberFormat="1" applyBorder="1"/>
    <xf numFmtId="0" fontId="0" fillId="0" borderId="3" xfId="0" applyBorder="1"/>
    <xf numFmtId="0" fontId="7" fillId="0" borderId="4" xfId="0" applyFont="1" applyBorder="1"/>
    <xf numFmtId="0" fontId="7" fillId="0" borderId="5" xfId="0" applyFont="1" applyBorder="1"/>
    <xf numFmtId="0" fontId="7" fillId="4" borderId="6" xfId="0" applyFont="1" applyFill="1" applyBorder="1"/>
    <xf numFmtId="2" fontId="0" fillId="0" borderId="7" xfId="0" applyNumberFormat="1" applyBorder="1"/>
    <xf numFmtId="0" fontId="7" fillId="4" borderId="8" xfId="0" applyFont="1" applyFill="1" applyBorder="1"/>
    <xf numFmtId="2" fontId="0" fillId="0" borderId="9" xfId="0" applyNumberFormat="1" applyBorder="1"/>
    <xf numFmtId="2" fontId="0" fillId="0" borderId="10" xfId="0" applyNumberFormat="1" applyBorder="1"/>
    <xf numFmtId="2" fontId="7" fillId="0" borderId="0" xfId="0" applyNumberFormat="1" applyFont="1"/>
    <xf numFmtId="0" fontId="0" fillId="0" borderId="0" xfId="0" applyNumberFormat="1"/>
  </cellXfs>
  <cellStyles count="2">
    <cellStyle name="Normal" xfId="0" builtinId="0"/>
    <cellStyle name="Percent" xfId="1" builtinId="5"/>
  </cellStyles>
  <dxfs count="323">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2" formatCode="0.00"/>
    </dxf>
    <dxf>
      <font>
        <b/>
      </font>
    </dxf>
    <dxf>
      <font>
        <color rgb="FF00B050"/>
      </font>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numFmt numFmtId="166" formatCode="0.000"/>
    </dxf>
    <dxf>
      <font>
        <color rgb="FF006100"/>
      </font>
      <fill>
        <patternFill>
          <bgColor rgb="FFC6EFCE"/>
        </patternFill>
      </fill>
    </dxf>
    <dxf>
      <font>
        <color rgb="FF9C0006"/>
      </font>
      <fill>
        <patternFill>
          <bgColor rgb="FFFFC7CE"/>
        </patternFill>
      </fill>
    </dxf>
    <dxf>
      <font>
        <color rgb="FF9C0006"/>
      </font>
      <fill>
        <patternFill>
          <bgColor rgb="FFFFC7CE"/>
        </patternFill>
      </fill>
    </dxf>
    <dxf>
      <numFmt numFmtId="2" formatCode="0.00"/>
    </dxf>
    <dxf>
      <numFmt numFmtId="2" formatCode="0.00"/>
    </dxf>
    <dxf>
      <numFmt numFmtId="2" formatCode="0.00"/>
    </dxf>
    <dxf>
      <numFmt numFmtId="14" formatCode="0.00%"/>
    </dxf>
    <dxf>
      <numFmt numFmtId="2" formatCode="0.00"/>
    </dxf>
    <dxf>
      <numFmt numFmtId="2"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5.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[Excel_Assignment_1.xlsx]Top 10 SKUs!PivotTable9</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b="1">
                <a:solidFill>
                  <a:schemeClr val="tx2"/>
                </a:solidFill>
              </a:rPr>
              <a:t>Top 10 SKU By Revenue</a:t>
            </a:r>
          </a:p>
        </c:rich>
      </c:tx>
      <c:layout>
        <c:manualLayout>
          <c:xMode val="edge"/>
          <c:yMode val="edge"/>
          <c:x val="0.2738888888888889"/>
          <c:y val="5.916447944006999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88648293963255"/>
          <c:y val="0.20050707203266258"/>
          <c:w val="0.70415048118985124"/>
          <c:h val="0.50148403324584423"/>
        </c:manualLayout>
      </c:layout>
      <c:barChart>
        <c:barDir val="col"/>
        <c:grouping val="clustered"/>
        <c:varyColors val="0"/>
        <c:ser>
          <c:idx val="0"/>
          <c:order val="0"/>
          <c:tx>
            <c:strRef>
              <c:f>'Top 10 SKUs'!$B$3</c:f>
              <c:strCache>
                <c:ptCount val="1"/>
                <c:pt idx="0">
                  <c:v>Total</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'Top 10 SKUs'!$A$4:$A$14</c:f>
              <c:strCache>
                <c:ptCount val="10"/>
                <c:pt idx="0">
                  <c:v>CMP-8851</c:v>
                </c:pt>
                <c:pt idx="1">
                  <c:v>NET-2365</c:v>
                </c:pt>
                <c:pt idx="2">
                  <c:v>LAP-8910</c:v>
                </c:pt>
                <c:pt idx="3">
                  <c:v>MON-6962</c:v>
                </c:pt>
                <c:pt idx="4">
                  <c:v>MON-2266</c:v>
                </c:pt>
                <c:pt idx="5">
                  <c:v>MON-6699</c:v>
                </c:pt>
                <c:pt idx="6">
                  <c:v>CMP-3938</c:v>
                </c:pt>
                <c:pt idx="7">
                  <c:v>LAP-3904</c:v>
                </c:pt>
                <c:pt idx="8">
                  <c:v>NET-5987</c:v>
                </c:pt>
                <c:pt idx="9">
                  <c:v>NET-5523</c:v>
                </c:pt>
              </c:strCache>
            </c:strRef>
          </c:cat>
          <c:val>
            <c:numRef>
              <c:f>'Top 10 SKUs'!$B$4:$B$14</c:f>
              <c:numCache>
                <c:formatCode>0.00</c:formatCode>
                <c:ptCount val="10"/>
                <c:pt idx="0">
                  <c:v>139277.83032000001</c:v>
                </c:pt>
                <c:pt idx="1">
                  <c:v>109244</c:v>
                </c:pt>
                <c:pt idx="2">
                  <c:v>102122.94203999999</c:v>
                </c:pt>
                <c:pt idx="3">
                  <c:v>92715.25</c:v>
                </c:pt>
                <c:pt idx="4">
                  <c:v>87404.929919999995</c:v>
                </c:pt>
                <c:pt idx="5">
                  <c:v>85637.740319999997</c:v>
                </c:pt>
                <c:pt idx="6">
                  <c:v>84136.119600000005</c:v>
                </c:pt>
                <c:pt idx="7">
                  <c:v>82514.711519999997</c:v>
                </c:pt>
                <c:pt idx="8">
                  <c:v>82141.339799999987</c:v>
                </c:pt>
                <c:pt idx="9">
                  <c:v>79548.755999999994</c:v>
                </c:pt>
              </c:numCache>
            </c:numRef>
          </c:val>
          <c:extLst>
            <c:ext xmlns:c16="http://schemas.microsoft.com/office/drawing/2014/chart" uri="{C3380CC4-5D6E-409C-BE32-E72D297353CC}">
              <c16:uniqueId val="{00000000-6041-4BD3-86A1-7B3437AC6C54}"/>
            </c:ext>
          </c:extLst>
        </c:ser>
        <c:dLbls>
          <c:showLegendKey val="0"/>
          <c:showVal val="0"/>
          <c:showCatName val="0"/>
          <c:showSerName val="0"/>
          <c:showPercent val="0"/>
          <c:showBubbleSize val="0"/>
        </c:dLbls>
        <c:gapWidth val="100"/>
        <c:overlap val="-24"/>
        <c:axId val="177349135"/>
        <c:axId val="177349615"/>
      </c:barChart>
      <c:catAx>
        <c:axId val="17734913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49615"/>
        <c:crosses val="autoZero"/>
        <c:auto val="1"/>
        <c:lblAlgn val="ctr"/>
        <c:lblOffset val="100"/>
        <c:noMultiLvlLbl val="0"/>
      </c:catAx>
      <c:valAx>
        <c:axId val="17734961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49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[Excel_Assignment_1.xlsx]Profit By Region!PivotTable8</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2"/>
                </a:solidFill>
              </a:rPr>
              <a:t>Profit By Region For Each Channel</a:t>
            </a:r>
          </a:p>
        </c:rich>
      </c:tx>
      <c:layout>
        <c:manualLayout>
          <c:xMode val="edge"/>
          <c:yMode val="edge"/>
          <c:x val="0.11765973283190348"/>
          <c:y val="3.600552817733811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91426071741033"/>
          <c:y val="0.22161818314377368"/>
          <c:w val="0.67039223488021449"/>
          <c:h val="0.64422535724701091"/>
        </c:manualLayout>
      </c:layout>
      <c:barChart>
        <c:barDir val="col"/>
        <c:grouping val="stacked"/>
        <c:varyColors val="0"/>
        <c:ser>
          <c:idx val="0"/>
          <c:order val="0"/>
          <c:tx>
            <c:strRef>
              <c:f>'Profit By Region'!$B$3:$B$4</c:f>
              <c:strCache>
                <c:ptCount val="1"/>
                <c:pt idx="0">
                  <c:v>Direct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'Profit By Region'!$A$5:$A$9</c:f>
              <c:strCache>
                <c:ptCount val="4"/>
                <c:pt idx="0">
                  <c:v>Africa</c:v>
                </c:pt>
                <c:pt idx="1">
                  <c:v>Americas</c:v>
                </c:pt>
                <c:pt idx="2">
                  <c:v>Asia</c:v>
                </c:pt>
                <c:pt idx="3">
                  <c:v>Europe</c:v>
                </c:pt>
              </c:strCache>
            </c:strRef>
          </c:cat>
          <c:val>
            <c:numRef>
              <c:f>'Profit By Region'!$B$5:$B$9</c:f>
              <c:numCache>
                <c:formatCode>General</c:formatCode>
                <c:ptCount val="4"/>
                <c:pt idx="0">
                  <c:v>178727.35369999998</c:v>
                </c:pt>
                <c:pt idx="1">
                  <c:v>258674.92591000008</c:v>
                </c:pt>
                <c:pt idx="2">
                  <c:v>229541.94636</c:v>
                </c:pt>
                <c:pt idx="3">
                  <c:v>292716.95204</c:v>
                </c:pt>
              </c:numCache>
            </c:numRef>
          </c:val>
          <c:extLst>
            <c:ext xmlns:c16="http://schemas.microsoft.com/office/drawing/2014/chart" uri="{C3380CC4-5D6E-409C-BE32-E72D297353CC}">
              <c16:uniqueId val="{00000000-071B-4C37-8315-EEC3E7E788E3}"/>
            </c:ext>
          </c:extLst>
        </c:ser>
        <c:ser>
          <c:idx val="1"/>
          <c:order val="1"/>
          <c:tx>
            <c:strRef>
              <c:f>'Profit By Region'!$C$3:$C$4</c:f>
              <c:strCache>
                <c:ptCount val="1"/>
                <c:pt idx="0">
                  <c:v>Distributor</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'Profit By Region'!$A$5:$A$9</c:f>
              <c:strCache>
                <c:ptCount val="4"/>
                <c:pt idx="0">
                  <c:v>Africa</c:v>
                </c:pt>
                <c:pt idx="1">
                  <c:v>Americas</c:v>
                </c:pt>
                <c:pt idx="2">
                  <c:v>Asia</c:v>
                </c:pt>
                <c:pt idx="3">
                  <c:v>Europe</c:v>
                </c:pt>
              </c:strCache>
            </c:strRef>
          </c:cat>
          <c:val>
            <c:numRef>
              <c:f>'Profit By Region'!$C$5:$C$9</c:f>
              <c:numCache>
                <c:formatCode>General</c:formatCode>
                <c:ptCount val="4"/>
                <c:pt idx="0">
                  <c:v>202729.86446999997</c:v>
                </c:pt>
                <c:pt idx="1">
                  <c:v>175736.86191999997</c:v>
                </c:pt>
                <c:pt idx="2">
                  <c:v>151146.74599000002</c:v>
                </c:pt>
                <c:pt idx="3">
                  <c:v>105550.85219999998</c:v>
                </c:pt>
              </c:numCache>
            </c:numRef>
          </c:val>
          <c:extLst>
            <c:ext xmlns:c16="http://schemas.microsoft.com/office/drawing/2014/chart" uri="{C3380CC4-5D6E-409C-BE32-E72D297353CC}">
              <c16:uniqueId val="{00000004-6E8E-4430-A32E-7E4216C91543}"/>
            </c:ext>
          </c:extLst>
        </c:ser>
        <c:ser>
          <c:idx val="2"/>
          <c:order val="2"/>
          <c:tx>
            <c:strRef>
              <c:f>'Profit By Region'!$D$3:$D$4</c:f>
              <c:strCache>
                <c:ptCount val="1"/>
                <c:pt idx="0">
                  <c:v>Marketplace</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'Profit By Region'!$A$5:$A$9</c:f>
              <c:strCache>
                <c:ptCount val="4"/>
                <c:pt idx="0">
                  <c:v>Africa</c:v>
                </c:pt>
                <c:pt idx="1">
                  <c:v>Americas</c:v>
                </c:pt>
                <c:pt idx="2">
                  <c:v>Asia</c:v>
                </c:pt>
                <c:pt idx="3">
                  <c:v>Europe</c:v>
                </c:pt>
              </c:strCache>
            </c:strRef>
          </c:cat>
          <c:val>
            <c:numRef>
              <c:f>'Profit By Region'!$D$5:$D$9</c:f>
              <c:numCache>
                <c:formatCode>General</c:formatCode>
                <c:ptCount val="4"/>
                <c:pt idx="0">
                  <c:v>164839.30456000008</c:v>
                </c:pt>
                <c:pt idx="1">
                  <c:v>96609.64751999994</c:v>
                </c:pt>
                <c:pt idx="2">
                  <c:v>132709.51272999999</c:v>
                </c:pt>
                <c:pt idx="3">
                  <c:v>187596.90425000002</c:v>
                </c:pt>
              </c:numCache>
            </c:numRef>
          </c:val>
          <c:extLst>
            <c:ext xmlns:c16="http://schemas.microsoft.com/office/drawing/2014/chart" uri="{C3380CC4-5D6E-409C-BE32-E72D297353CC}">
              <c16:uniqueId val="{00000005-6E8E-4430-A32E-7E4216C91543}"/>
            </c:ext>
          </c:extLst>
        </c:ser>
        <c:ser>
          <c:idx val="3"/>
          <c:order val="3"/>
          <c:tx>
            <c:strRef>
              <c:f>'Profit By Region'!$E$3:$E$4</c:f>
              <c:strCache>
                <c:ptCount val="1"/>
                <c:pt idx="0">
                  <c:v>Online</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'Profit By Region'!$A$5:$A$9</c:f>
              <c:strCache>
                <c:ptCount val="4"/>
                <c:pt idx="0">
                  <c:v>Africa</c:v>
                </c:pt>
                <c:pt idx="1">
                  <c:v>Americas</c:v>
                </c:pt>
                <c:pt idx="2">
                  <c:v>Asia</c:v>
                </c:pt>
                <c:pt idx="3">
                  <c:v>Europe</c:v>
                </c:pt>
              </c:strCache>
            </c:strRef>
          </c:cat>
          <c:val>
            <c:numRef>
              <c:f>'Profit By Region'!$E$5:$E$9</c:f>
              <c:numCache>
                <c:formatCode>General</c:formatCode>
                <c:ptCount val="4"/>
                <c:pt idx="0">
                  <c:v>145453.94627000001</c:v>
                </c:pt>
                <c:pt idx="1">
                  <c:v>261943.84437000001</c:v>
                </c:pt>
                <c:pt idx="2">
                  <c:v>149042.38968999998</c:v>
                </c:pt>
                <c:pt idx="3">
                  <c:v>200067.16277</c:v>
                </c:pt>
              </c:numCache>
            </c:numRef>
          </c:val>
          <c:extLst>
            <c:ext xmlns:c16="http://schemas.microsoft.com/office/drawing/2014/chart" uri="{C3380CC4-5D6E-409C-BE32-E72D297353CC}">
              <c16:uniqueId val="{00000006-6E8E-4430-A32E-7E4216C91543}"/>
            </c:ext>
          </c:extLst>
        </c:ser>
        <c:ser>
          <c:idx val="4"/>
          <c:order val="4"/>
          <c:tx>
            <c:strRef>
              <c:f>'Profit By Region'!$F$3:$F$4</c:f>
              <c:strCache>
                <c:ptCount val="1"/>
                <c:pt idx="0">
                  <c:v>Retail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'Profit By Region'!$A$5:$A$9</c:f>
              <c:strCache>
                <c:ptCount val="4"/>
                <c:pt idx="0">
                  <c:v>Africa</c:v>
                </c:pt>
                <c:pt idx="1">
                  <c:v>Americas</c:v>
                </c:pt>
                <c:pt idx="2">
                  <c:v>Asia</c:v>
                </c:pt>
                <c:pt idx="3">
                  <c:v>Europe</c:v>
                </c:pt>
              </c:strCache>
            </c:strRef>
          </c:cat>
          <c:val>
            <c:numRef>
              <c:f>'Profit By Region'!$F$5:$F$9</c:f>
              <c:numCache>
                <c:formatCode>General</c:formatCode>
                <c:ptCount val="4"/>
                <c:pt idx="0">
                  <c:v>159130.72852599996</c:v>
                </c:pt>
                <c:pt idx="1">
                  <c:v>69035.709219999975</c:v>
                </c:pt>
                <c:pt idx="2">
                  <c:v>158051.77209000004</c:v>
                </c:pt>
                <c:pt idx="3">
                  <c:v>172743.83718599999</c:v>
                </c:pt>
              </c:numCache>
            </c:numRef>
          </c:val>
          <c:extLst>
            <c:ext xmlns:c16="http://schemas.microsoft.com/office/drawing/2014/chart" uri="{C3380CC4-5D6E-409C-BE32-E72D297353CC}">
              <c16:uniqueId val="{00000007-6E8E-4430-A32E-7E4216C91543}"/>
            </c:ext>
          </c:extLst>
        </c:ser>
        <c:ser>
          <c:idx val="5"/>
          <c:order val="5"/>
          <c:tx>
            <c:strRef>
              <c:f>'Profit By Region'!$G$3:$G$4</c:f>
              <c:strCache>
                <c:ptCount val="1"/>
                <c:pt idx="0">
                  <c:v>Unknown</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'Profit By Region'!$A$5:$A$9</c:f>
              <c:strCache>
                <c:ptCount val="4"/>
                <c:pt idx="0">
                  <c:v>Africa</c:v>
                </c:pt>
                <c:pt idx="1">
                  <c:v>Americas</c:v>
                </c:pt>
                <c:pt idx="2">
                  <c:v>Asia</c:v>
                </c:pt>
                <c:pt idx="3">
                  <c:v>Europe</c:v>
                </c:pt>
              </c:strCache>
            </c:strRef>
          </c:cat>
          <c:val>
            <c:numRef>
              <c:f>'Profit By Region'!$G$5:$G$9</c:f>
              <c:numCache>
                <c:formatCode>General</c:formatCode>
                <c:ptCount val="4"/>
                <c:pt idx="0">
                  <c:v>16237.344229999999</c:v>
                </c:pt>
                <c:pt idx="1">
                  <c:v>777.95999999999913</c:v>
                </c:pt>
                <c:pt idx="2">
                  <c:v>20547.545489999997</c:v>
                </c:pt>
                <c:pt idx="3">
                  <c:v>8028.7064599999994</c:v>
                </c:pt>
              </c:numCache>
            </c:numRef>
          </c:val>
          <c:extLst>
            <c:ext xmlns:c16="http://schemas.microsoft.com/office/drawing/2014/chart" uri="{C3380CC4-5D6E-409C-BE32-E72D297353CC}">
              <c16:uniqueId val="{00000008-6E8E-4430-A32E-7E4216C91543}"/>
            </c:ext>
          </c:extLst>
        </c:ser>
        <c:dLbls>
          <c:showLegendKey val="0"/>
          <c:showVal val="0"/>
          <c:showCatName val="0"/>
          <c:showSerName val="0"/>
          <c:showPercent val="0"/>
          <c:showBubbleSize val="0"/>
        </c:dLbls>
        <c:gapWidth val="150"/>
        <c:overlap val="100"/>
        <c:axId val="1336696415"/>
        <c:axId val="1336709375"/>
      </c:barChart>
      <c:catAx>
        <c:axId val="13366964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709375"/>
        <c:crosses val="autoZero"/>
        <c:auto val="1"/>
        <c:lblAlgn val="ctr"/>
        <c:lblOffset val="100"/>
        <c:noMultiLvlLbl val="0"/>
      </c:catAx>
      <c:valAx>
        <c:axId val="13367093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696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[Excel_Assignment_1.xlsx]Monthly Revenue!PivotTable7</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2"/>
                </a:solidFill>
              </a:rPr>
              <a:t>Total Monthly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Revenue'!$B$3</c:f>
              <c:strCache>
                <c:ptCount val="1"/>
                <c:pt idx="0">
                  <c:v>Total</c:v>
                </c:pt>
              </c:strCache>
            </c:strRef>
          </c:tx>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'Monthly Revenue'!$A$4:$A$16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'Monthly Revenue'!$B$4:$B$16</c:f>
              <c:numCache>
                <c:formatCode>General</c:formatCode>
                <c:ptCount val="12"/>
                <c:pt idx="0">
                  <c:v>674482.02280000004</c:v>
                </c:pt>
                <c:pt idx="1">
                  <c:v>981150.49683600024</c:v>
                </c:pt>
                <c:pt idx="2">
                  <c:v>799302.77273000008</c:v>
                </c:pt>
                <c:pt idx="3">
                  <c:v>947246.5773799998</c:v>
                </c:pt>
                <c:pt idx="4">
                  <c:v>1262901.8977500002</c:v>
                </c:pt>
                <c:pt idx="5">
                  <c:v>1328878.2549099999</c:v>
                </c:pt>
                <c:pt idx="6">
                  <c:v>1323460.0091499998</c:v>
                </c:pt>
                <c:pt idx="7">
                  <c:v>1090009.5832699998</c:v>
                </c:pt>
                <c:pt idx="8">
                  <c:v>661159.42946000001</c:v>
                </c:pt>
                <c:pt idx="9">
                  <c:v>663847.32345999999</c:v>
                </c:pt>
                <c:pt idx="10">
                  <c:v>543953.69134999998</c:v>
                </c:pt>
                <c:pt idx="11">
                  <c:v>757444.96885599999</c:v>
                </c:pt>
              </c:numCache>
            </c:numRef>
          </c:val>
          <c:smooth val="0"/>
          <c:extLst>
            <c:ext xmlns:c16="http://schemas.microsoft.com/office/drawing/2014/chart" uri="{C3380CC4-5D6E-409C-BE32-E72D297353CC}">
              <c16:uniqueId val="{00000000-4735-4A4D-9C7E-16A212D95FE2}"/>
            </c:ext>
          </c:extLst>
        </c:ser>
        <c:dLbls>
          <c:showLegendKey val="0"/>
          <c:showVal val="0"/>
          <c:showCatName val="0"/>
          <c:showSerName val="0"/>
          <c:showPercent val="0"/>
          <c:showBubbleSize val="0"/>
        </c:dLbls>
        <c:marker val="1"/>
        <c:smooth val="0"/>
        <c:axId val="1687775775"/>
        <c:axId val="1687776255"/>
      </c:lineChart>
      <c:catAx>
        <c:axId val="16877757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776255"/>
        <c:crosses val="autoZero"/>
        <c:auto val="1"/>
        <c:lblAlgn val="ctr"/>
        <c:lblOffset val="100"/>
        <c:noMultiLvlLbl val="0"/>
      </c:catAx>
      <c:valAx>
        <c:axId val="16877762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775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tx2"/>
                </a:solidFill>
              </a:rPr>
              <a:t>Revenue and Profit Scenario Change</a:t>
            </a:r>
          </a:p>
          <a:p>
            <a:pPr>
              <a:defRPr/>
            </a:pP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'What if Analysis'!$R$2</c:f>
              <c:strCache>
                <c:ptCount val="1"/>
                <c:pt idx="0">
                  <c:v>Total Revenue</c:v>
                </c:pt>
              </c:strCache>
            </c:strRef>
          </c:tx>
          <c:spPr>
            <a:solidFill>
              <a:schemeClr val="accent1"/>
            </a:solidFill>
            <a:ln>
              <a:noFill/>
            </a:ln>
            <a:effectLst/>
          </c:spPr>
          <c:invertIfNegative val="0"/>
          <c:cat>
            <c:strRef>
              <c:f>'What if Analysis'!$S$1:$U$1</c:f>
              <c:strCache>
                <c:ptCount val="3"/>
                <c:pt idx="0">
                  <c:v>BaseLine</c:v>
                </c:pt>
                <c:pt idx="1">
                  <c:v>Scenario</c:v>
                </c:pt>
                <c:pt idx="2">
                  <c:v>Difference</c:v>
                </c:pt>
              </c:strCache>
            </c:strRef>
          </c:cat>
          <c:val>
            <c:numRef>
              <c:f>'What if Analysis'!$S$2:$U$2</c:f>
              <c:numCache>
                <c:formatCode>0.00</c:formatCode>
                <c:ptCount val="3"/>
                <c:pt idx="0">
                  <c:v>11033837.027951997</c:v>
                </c:pt>
                <c:pt idx="1">
                  <c:v>13037901.402577426</c:v>
                </c:pt>
                <c:pt idx="2">
                  <c:v>2004064.3746254409</c:v>
                </c:pt>
              </c:numCache>
            </c:numRef>
          </c:val>
          <c:extLst>
            <c:ext xmlns:c16="http://schemas.microsoft.com/office/drawing/2014/chart" uri="{C3380CC4-5D6E-409C-BE32-E72D297353CC}">
              <c16:uniqueId val="{00000000-0731-40AF-879C-F0BF85A4FCC5}"/>
            </c:ext>
          </c:extLst>
        </c:ser>
        <c:ser>
          <c:idx val="1"/>
          <c:order val="1"/>
          <c:tx>
            <c:strRef>
              <c:f>'What if Analysis'!$R$3</c:f>
              <c:strCache>
                <c:ptCount val="1"/>
                <c:pt idx="0">
                  <c:v>TotalProfit</c:v>
                </c:pt>
              </c:strCache>
            </c:strRef>
          </c:tx>
          <c:spPr>
            <a:solidFill>
              <a:schemeClr val="accent2"/>
            </a:solidFill>
            <a:ln>
              <a:noFill/>
            </a:ln>
            <a:effectLst/>
          </c:spPr>
          <c:invertIfNegative val="0"/>
          <c:cat>
            <c:strRef>
              <c:f>'What if Analysis'!$S$1:$U$1</c:f>
              <c:strCache>
                <c:ptCount val="3"/>
                <c:pt idx="0">
                  <c:v>BaseLine</c:v>
                </c:pt>
                <c:pt idx="1">
                  <c:v>Scenario</c:v>
                </c:pt>
                <c:pt idx="2">
                  <c:v>Difference</c:v>
                </c:pt>
              </c:strCache>
            </c:strRef>
          </c:cat>
          <c:val>
            <c:numRef>
              <c:f>'What if Analysis'!$S$3:$U$3</c:f>
              <c:numCache>
                <c:formatCode>0.00</c:formatCode>
                <c:ptCount val="3"/>
                <c:pt idx="0">
                  <c:v>3537641.8179519982</c:v>
                </c:pt>
                <c:pt idx="1">
                  <c:v>3723129.2346314373</c:v>
                </c:pt>
                <c:pt idx="2">
                  <c:v>185487.41667943972</c:v>
                </c:pt>
              </c:numCache>
            </c:numRef>
          </c:val>
          <c:extLst>
            <c:ext xmlns:c16="http://schemas.microsoft.com/office/drawing/2014/chart" uri="{C3380CC4-5D6E-409C-BE32-E72D297353CC}">
              <c16:uniqueId val="{00000001-0731-40AF-879C-F0BF85A4FCC5}"/>
            </c:ext>
          </c:extLst>
        </c:ser>
        <c:dLbls>
          <c:showLegendKey val="0"/>
          <c:showVal val="0"/>
          <c:showCatName val="0"/>
          <c:showSerName val="0"/>
          <c:showPercent val="0"/>
          <c:showBubbleSize val="0"/>
        </c:dLbls>
        <c:gapWidth val="219"/>
        <c:overlap val="-27"/>
        <c:axId val="375680336"/>
        <c:axId val="375685616"/>
      </c:barChart>
      <c:catAx>
        <c:axId val="37568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685616"/>
        <c:crosses val="autoZero"/>
        <c:auto val="1"/>
        <c:lblAlgn val="ctr"/>
        <c:lblOffset val="100"/>
        <c:noMultiLvlLbl val="0"/>
      </c:catAx>
      <c:valAx>
        <c:axId val="3756856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6803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[Excel_Assignment_1.xlsx]Profit By Region!PivotTable8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2"/>
                </a:solidFill>
              </a:rPr>
              <a:t>Profit By Region For Each Channel</a:t>
            </a:r>
          </a:p>
        </c:rich>
      </c:tx>
      <c:layout>
        <c:manualLayout>
          <c:xMode val="edge"/>
          <c:yMode val="edge"/>
          <c:x val="0.22379565253811359"/>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91426071741033"/>
          <c:y val="0.22161818314377368"/>
          <c:w val="0.67039223488021449"/>
          <c:h val="0.64422535724701091"/>
        </c:manualLayout>
      </c:layout>
      <c:barChart>
        <c:barDir val="col"/>
        <c:grouping val="stacked"/>
        <c:varyColors val="0"/>
        <c:ser>
          <c:idx val="0"/>
          <c:order val="0"/>
          <c:tx>
            <c:strRef>
              <c:f>'Profit By Region'!$B$3:$B$4</c:f>
              <c:strCache>
                <c:ptCount val="1"/>
                <c:pt idx="0">
                  <c:v>Direct</c:v>
                </c:pt>
              </c:strCache>
            </c:strRef>
          </c:tx>
          <c:spPr>
            <a:solidFill>
              <a:schemeClr val="accent4">
                <a:shade val="50000"/>
              </a:schemeClr>
            </a:solidFill>
            <a:ln>
              <a:noFill/>
            </a:ln>
            <a:effectLst/>
          </c:spPr>
          <c:invertIfNegative val="0"/>
          <c:cat>
            <c:strRef>
              <c:f>'Profit By Region'!$A$5:$A$9</c:f>
              <c:strCache>
                <c:ptCount val="4"/>
                <c:pt idx="0">
                  <c:v>Africa</c:v>
                </c:pt>
                <c:pt idx="1">
                  <c:v>Americas</c:v>
                </c:pt>
                <c:pt idx="2">
                  <c:v>Asia</c:v>
                </c:pt>
                <c:pt idx="3">
                  <c:v>Europe</c:v>
                </c:pt>
              </c:strCache>
            </c:strRef>
          </c:cat>
          <c:val>
            <c:numRef>
              <c:f>'Profit By Region'!$B$5:$B$9</c:f>
              <c:numCache>
                <c:formatCode>General</c:formatCode>
                <c:ptCount val="4"/>
                <c:pt idx="0">
                  <c:v>178727.35369999998</c:v>
                </c:pt>
                <c:pt idx="1">
                  <c:v>258674.92591000008</c:v>
                </c:pt>
                <c:pt idx="2">
                  <c:v>229541.94636</c:v>
                </c:pt>
                <c:pt idx="3">
                  <c:v>292716.95204</c:v>
                </c:pt>
              </c:numCache>
            </c:numRef>
          </c:val>
          <c:extLst>
            <c:ext xmlns:c16="http://schemas.microsoft.com/office/drawing/2014/chart" uri="{C3380CC4-5D6E-409C-BE32-E72D297353CC}">
              <c16:uniqueId val="{00000000-EEBE-44F3-AAAD-805F769D86A0}"/>
            </c:ext>
          </c:extLst>
        </c:ser>
        <c:ser>
          <c:idx val="1"/>
          <c:order val="1"/>
          <c:tx>
            <c:strRef>
              <c:f>'Profit By Region'!$C$3:$C$4</c:f>
              <c:strCache>
                <c:ptCount val="1"/>
                <c:pt idx="0">
                  <c:v>Distributor</c:v>
                </c:pt>
              </c:strCache>
            </c:strRef>
          </c:tx>
          <c:spPr>
            <a:solidFill>
              <a:schemeClr val="accent4">
                <a:shade val="70000"/>
              </a:schemeClr>
            </a:solidFill>
            <a:ln>
              <a:noFill/>
            </a:ln>
            <a:effectLst/>
          </c:spPr>
          <c:invertIfNegative val="0"/>
          <c:cat>
            <c:strRef>
              <c:f>'Profit By Region'!$A$5:$A$9</c:f>
              <c:strCache>
                <c:ptCount val="4"/>
                <c:pt idx="0">
                  <c:v>Africa</c:v>
                </c:pt>
                <c:pt idx="1">
                  <c:v>Americas</c:v>
                </c:pt>
                <c:pt idx="2">
                  <c:v>Asia</c:v>
                </c:pt>
                <c:pt idx="3">
                  <c:v>Europe</c:v>
                </c:pt>
              </c:strCache>
            </c:strRef>
          </c:cat>
          <c:val>
            <c:numRef>
              <c:f>'Profit By Region'!$C$5:$C$9</c:f>
              <c:numCache>
                <c:formatCode>General</c:formatCode>
                <c:ptCount val="4"/>
                <c:pt idx="0">
                  <c:v>202729.86446999997</c:v>
                </c:pt>
                <c:pt idx="1">
                  <c:v>175736.86191999997</c:v>
                </c:pt>
                <c:pt idx="2">
                  <c:v>151146.74599000002</c:v>
                </c:pt>
                <c:pt idx="3">
                  <c:v>105550.85219999998</c:v>
                </c:pt>
              </c:numCache>
            </c:numRef>
          </c:val>
          <c:extLst>
            <c:ext xmlns:c16="http://schemas.microsoft.com/office/drawing/2014/chart" uri="{C3380CC4-5D6E-409C-BE32-E72D297353CC}">
              <c16:uniqueId val="{00000003-9E25-4552-AD01-C2ED8FEFB408}"/>
            </c:ext>
          </c:extLst>
        </c:ser>
        <c:ser>
          <c:idx val="2"/>
          <c:order val="2"/>
          <c:tx>
            <c:strRef>
              <c:f>'Profit By Region'!$D$3:$D$4</c:f>
              <c:strCache>
                <c:ptCount val="1"/>
                <c:pt idx="0">
                  <c:v>Marketplace</c:v>
                </c:pt>
              </c:strCache>
            </c:strRef>
          </c:tx>
          <c:spPr>
            <a:solidFill>
              <a:schemeClr val="accent4">
                <a:shade val="90000"/>
              </a:schemeClr>
            </a:solidFill>
            <a:ln>
              <a:noFill/>
            </a:ln>
            <a:effectLst/>
          </c:spPr>
          <c:invertIfNegative val="0"/>
          <c:cat>
            <c:strRef>
              <c:f>'Profit By Region'!$A$5:$A$9</c:f>
              <c:strCache>
                <c:ptCount val="4"/>
                <c:pt idx="0">
                  <c:v>Africa</c:v>
                </c:pt>
                <c:pt idx="1">
                  <c:v>Americas</c:v>
                </c:pt>
                <c:pt idx="2">
                  <c:v>Asia</c:v>
                </c:pt>
                <c:pt idx="3">
                  <c:v>Europe</c:v>
                </c:pt>
              </c:strCache>
            </c:strRef>
          </c:cat>
          <c:val>
            <c:numRef>
              <c:f>'Profit By Region'!$D$5:$D$9</c:f>
              <c:numCache>
                <c:formatCode>General</c:formatCode>
                <c:ptCount val="4"/>
                <c:pt idx="0">
                  <c:v>164839.30456000008</c:v>
                </c:pt>
                <c:pt idx="1">
                  <c:v>96609.64751999994</c:v>
                </c:pt>
                <c:pt idx="2">
                  <c:v>132709.51272999999</c:v>
                </c:pt>
                <c:pt idx="3">
                  <c:v>187596.90425000002</c:v>
                </c:pt>
              </c:numCache>
            </c:numRef>
          </c:val>
          <c:extLst>
            <c:ext xmlns:c16="http://schemas.microsoft.com/office/drawing/2014/chart" uri="{C3380CC4-5D6E-409C-BE32-E72D297353CC}">
              <c16:uniqueId val="{00000004-9E25-4552-AD01-C2ED8FEFB408}"/>
            </c:ext>
          </c:extLst>
        </c:ser>
        <c:ser>
          <c:idx val="3"/>
          <c:order val="3"/>
          <c:tx>
            <c:strRef>
              <c:f>'Profit By Region'!$E$3:$E$4</c:f>
              <c:strCache>
                <c:ptCount val="1"/>
                <c:pt idx="0">
                  <c:v>Online</c:v>
                </c:pt>
              </c:strCache>
            </c:strRef>
          </c:tx>
          <c:spPr>
            <a:solidFill>
              <a:schemeClr val="accent4">
                <a:tint val="90000"/>
              </a:schemeClr>
            </a:solidFill>
            <a:ln>
              <a:noFill/>
            </a:ln>
            <a:effectLst/>
          </c:spPr>
          <c:invertIfNegative val="0"/>
          <c:cat>
            <c:strRef>
              <c:f>'Profit By Region'!$A$5:$A$9</c:f>
              <c:strCache>
                <c:ptCount val="4"/>
                <c:pt idx="0">
                  <c:v>Africa</c:v>
                </c:pt>
                <c:pt idx="1">
                  <c:v>Americas</c:v>
                </c:pt>
                <c:pt idx="2">
                  <c:v>Asia</c:v>
                </c:pt>
                <c:pt idx="3">
                  <c:v>Europe</c:v>
                </c:pt>
              </c:strCache>
            </c:strRef>
          </c:cat>
          <c:val>
            <c:numRef>
              <c:f>'Profit By Region'!$E$5:$E$9</c:f>
              <c:numCache>
                <c:formatCode>General</c:formatCode>
                <c:ptCount val="4"/>
                <c:pt idx="0">
                  <c:v>145453.94627000001</c:v>
                </c:pt>
                <c:pt idx="1">
                  <c:v>261943.84437000001</c:v>
                </c:pt>
                <c:pt idx="2">
                  <c:v>149042.38968999998</c:v>
                </c:pt>
                <c:pt idx="3">
                  <c:v>200067.16277</c:v>
                </c:pt>
              </c:numCache>
            </c:numRef>
          </c:val>
          <c:extLst>
            <c:ext xmlns:c16="http://schemas.microsoft.com/office/drawing/2014/chart" uri="{C3380CC4-5D6E-409C-BE32-E72D297353CC}">
              <c16:uniqueId val="{00000005-9E25-4552-AD01-C2ED8FEFB408}"/>
            </c:ext>
          </c:extLst>
        </c:ser>
        <c:ser>
          <c:idx val="4"/>
          <c:order val="4"/>
          <c:tx>
            <c:strRef>
              <c:f>'Profit By Region'!$F$3:$F$4</c:f>
              <c:strCache>
                <c:ptCount val="1"/>
                <c:pt idx="0">
                  <c:v>Retail</c:v>
                </c:pt>
              </c:strCache>
            </c:strRef>
          </c:tx>
          <c:spPr>
            <a:solidFill>
              <a:schemeClr val="accent4">
                <a:tint val="70000"/>
              </a:schemeClr>
            </a:solidFill>
            <a:ln>
              <a:noFill/>
            </a:ln>
            <a:effectLst/>
          </c:spPr>
          <c:invertIfNegative val="0"/>
          <c:cat>
            <c:strRef>
              <c:f>'Profit By Region'!$A$5:$A$9</c:f>
              <c:strCache>
                <c:ptCount val="4"/>
                <c:pt idx="0">
                  <c:v>Africa</c:v>
                </c:pt>
                <c:pt idx="1">
                  <c:v>Americas</c:v>
                </c:pt>
                <c:pt idx="2">
                  <c:v>Asia</c:v>
                </c:pt>
                <c:pt idx="3">
                  <c:v>Europe</c:v>
                </c:pt>
              </c:strCache>
            </c:strRef>
          </c:cat>
          <c:val>
            <c:numRef>
              <c:f>'Profit By Region'!$F$5:$F$9</c:f>
              <c:numCache>
                <c:formatCode>General</c:formatCode>
                <c:ptCount val="4"/>
                <c:pt idx="0">
                  <c:v>159130.72852599996</c:v>
                </c:pt>
                <c:pt idx="1">
                  <c:v>69035.709219999975</c:v>
                </c:pt>
                <c:pt idx="2">
                  <c:v>158051.77209000004</c:v>
                </c:pt>
                <c:pt idx="3">
                  <c:v>172743.83718599999</c:v>
                </c:pt>
              </c:numCache>
            </c:numRef>
          </c:val>
          <c:extLst>
            <c:ext xmlns:c16="http://schemas.microsoft.com/office/drawing/2014/chart" uri="{C3380CC4-5D6E-409C-BE32-E72D297353CC}">
              <c16:uniqueId val="{00000006-9E25-4552-AD01-C2ED8FEFB408}"/>
            </c:ext>
          </c:extLst>
        </c:ser>
        <c:ser>
          <c:idx val="5"/>
          <c:order val="5"/>
          <c:tx>
            <c:strRef>
              <c:f>'Profit By Region'!$G$3:$G$4</c:f>
              <c:strCache>
                <c:ptCount val="1"/>
                <c:pt idx="0">
                  <c:v>Unknown</c:v>
                </c:pt>
              </c:strCache>
            </c:strRef>
          </c:tx>
          <c:spPr>
            <a:solidFill>
              <a:schemeClr val="accent4">
                <a:tint val="50000"/>
              </a:schemeClr>
            </a:solidFill>
            <a:ln>
              <a:noFill/>
            </a:ln>
            <a:effectLst/>
          </c:spPr>
          <c:invertIfNegative val="0"/>
          <c:cat>
            <c:strRef>
              <c:f>'Profit By Region'!$A$5:$A$9</c:f>
              <c:strCache>
                <c:ptCount val="4"/>
                <c:pt idx="0">
                  <c:v>Africa</c:v>
                </c:pt>
                <c:pt idx="1">
                  <c:v>Americas</c:v>
                </c:pt>
                <c:pt idx="2">
                  <c:v>Asia</c:v>
                </c:pt>
                <c:pt idx="3">
                  <c:v>Europe</c:v>
                </c:pt>
              </c:strCache>
            </c:strRef>
          </c:cat>
          <c:val>
            <c:numRef>
              <c:f>'Profit By Region'!$G$5:$G$9</c:f>
              <c:numCache>
                <c:formatCode>General</c:formatCode>
                <c:ptCount val="4"/>
                <c:pt idx="0">
                  <c:v>16237.344229999999</c:v>
                </c:pt>
                <c:pt idx="1">
                  <c:v>777.95999999999913</c:v>
                </c:pt>
                <c:pt idx="2">
                  <c:v>20547.545489999997</c:v>
                </c:pt>
                <c:pt idx="3">
                  <c:v>8028.7064599999994</c:v>
                </c:pt>
              </c:numCache>
            </c:numRef>
          </c:val>
          <c:extLst>
            <c:ext xmlns:c16="http://schemas.microsoft.com/office/drawing/2014/chart" uri="{C3380CC4-5D6E-409C-BE32-E72D297353CC}">
              <c16:uniqueId val="{00000007-9E25-4552-AD01-C2ED8FEFB408}"/>
            </c:ext>
          </c:extLst>
        </c:ser>
        <c:dLbls>
          <c:showLegendKey val="0"/>
          <c:showVal val="0"/>
          <c:showCatName val="0"/>
          <c:showSerName val="0"/>
          <c:showPercent val="0"/>
          <c:showBubbleSize val="0"/>
        </c:dLbls>
        <c:gapWidth val="150"/>
        <c:overlap val="100"/>
        <c:axId val="1336696415"/>
        <c:axId val="1336709375"/>
      </c:barChart>
      <c:catAx>
        <c:axId val="1336696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709375"/>
        <c:crosses val="autoZero"/>
        <c:auto val="1"/>
        <c:lblAlgn val="ctr"/>
        <c:lblOffset val="100"/>
        <c:noMultiLvlLbl val="0"/>
      </c:catAx>
      <c:valAx>
        <c:axId val="1336709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696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[Excel_Assignment_1.xlsx]Monthly Revenue!PivotTable7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solidFill>
              </a:rPr>
              <a:t>Total Monthly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Revenue'!$B$3</c:f>
              <c:strCache>
                <c:ptCount val="1"/>
                <c:pt idx="0">
                  <c:v>Total</c:v>
                </c:pt>
              </c:strCache>
            </c:strRef>
          </c:tx>
          <c:spPr>
            <a:ln w="28575" cap="rnd">
              <a:solidFill>
                <a:schemeClr val="accent4"/>
              </a:solidFill>
              <a:round/>
            </a:ln>
            <a:effectLst/>
          </c:spPr>
          <c:marker>
            <c:symbol val="none"/>
          </c:marker>
          <c:cat>
            <c:strRef>
              <c:f>'Monthly Revenue'!$A$4:$A$16</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'Monthly Revenue'!$B$4:$B$16</c:f>
              <c:numCache>
                <c:formatCode>General</c:formatCode>
                <c:ptCount val="12"/>
                <c:pt idx="0">
                  <c:v>674482.02280000004</c:v>
                </c:pt>
                <c:pt idx="1">
                  <c:v>981150.49683600024</c:v>
                </c:pt>
                <c:pt idx="2">
                  <c:v>799302.77273000008</c:v>
                </c:pt>
                <c:pt idx="3">
                  <c:v>947246.5773799998</c:v>
                </c:pt>
                <c:pt idx="4">
                  <c:v>1262901.8977500002</c:v>
                </c:pt>
                <c:pt idx="5">
                  <c:v>1328878.2549099999</c:v>
                </c:pt>
                <c:pt idx="6">
                  <c:v>1323460.0091499998</c:v>
                </c:pt>
                <c:pt idx="7">
                  <c:v>1090009.5832699998</c:v>
                </c:pt>
                <c:pt idx="8">
                  <c:v>661159.42946000001</c:v>
                </c:pt>
                <c:pt idx="9">
                  <c:v>663847.32345999999</c:v>
                </c:pt>
                <c:pt idx="10">
                  <c:v>543953.69134999998</c:v>
                </c:pt>
                <c:pt idx="11">
                  <c:v>757444.96885599999</c:v>
                </c:pt>
              </c:numCache>
            </c:numRef>
          </c:val>
          <c:smooth val="0"/>
          <c:extLst>
            <c:ext xmlns:c16="http://schemas.microsoft.com/office/drawing/2014/chart" uri="{C3380CC4-5D6E-409C-BE32-E72D297353CC}">
              <c16:uniqueId val="{00000000-509F-4180-B909-A84D22D1D7B2}"/>
            </c:ext>
          </c:extLst>
        </c:ser>
        <c:dLbls>
          <c:showLegendKey val="0"/>
          <c:showVal val="0"/>
          <c:showCatName val="0"/>
          <c:showSerName val="0"/>
          <c:showPercent val="0"/>
          <c:showBubbleSize val="0"/>
        </c:dLbls>
        <c:smooth val="0"/>
        <c:axId val="1687775775"/>
        <c:axId val="1687776255"/>
      </c:lineChart>
      <c:catAx>
        <c:axId val="168777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776255"/>
        <c:crosses val="autoZero"/>
        <c:auto val="1"/>
        <c:lblAlgn val="ctr"/>
        <c:lblOffset val="100"/>
        <c:noMultiLvlLbl val="0"/>
      </c:catAx>
      <c:valAx>
        <c:axId val="1687776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775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[Excel_Assignment_1.xlsx]Top 10 SKUs!PivotTable9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600" b="1">
                <a:solidFill>
                  <a:schemeClr val="tx2"/>
                </a:solidFill>
              </a:rPr>
              <a:t>Top 10 SKU By Revenue</a:t>
            </a:r>
          </a:p>
        </c:rich>
      </c:tx>
      <c:layout>
        <c:manualLayout>
          <c:xMode val="edge"/>
          <c:yMode val="edge"/>
          <c:x val="0.2738888888888889"/>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88648293963255"/>
          <c:y val="0.20050707203266258"/>
          <c:w val="0.70415048118985124"/>
          <c:h val="0.50148403324584423"/>
        </c:manualLayout>
      </c:layout>
      <c:barChart>
        <c:barDir val="col"/>
        <c:grouping val="clustered"/>
        <c:varyColors val="0"/>
        <c:ser>
          <c:idx val="0"/>
          <c:order val="0"/>
          <c:tx>
            <c:strRef>
              <c:f>'Top 10 SKUs'!$B$3</c:f>
              <c:strCache>
                <c:ptCount val="1"/>
                <c:pt idx="0">
                  <c:v>Total</c:v>
                </c:pt>
              </c:strCache>
            </c:strRef>
          </c:tx>
          <c:spPr>
            <a:solidFill>
              <a:schemeClr val="accent4"/>
            </a:solidFill>
            <a:ln>
              <a:noFill/>
            </a:ln>
            <a:effectLst/>
          </c:spPr>
          <c:invertIfNegative val="0"/>
          <c:cat>
            <c:strRef>
              <c:f>'Top 10 SKUs'!$A$4:$A$14</c:f>
              <c:strCache>
                <c:ptCount val="10"/>
                <c:pt idx="0">
                  <c:v>CMP-8851</c:v>
                </c:pt>
                <c:pt idx="1">
                  <c:v>NET-2365</c:v>
                </c:pt>
                <c:pt idx="2">
                  <c:v>LAP-8910</c:v>
                </c:pt>
                <c:pt idx="3">
                  <c:v>MON-6962</c:v>
                </c:pt>
                <c:pt idx="4">
                  <c:v>MON-2266</c:v>
                </c:pt>
                <c:pt idx="5">
                  <c:v>MON-6699</c:v>
                </c:pt>
                <c:pt idx="6">
                  <c:v>CMP-3938</c:v>
                </c:pt>
                <c:pt idx="7">
                  <c:v>LAP-3904</c:v>
                </c:pt>
                <c:pt idx="8">
                  <c:v>NET-5987</c:v>
                </c:pt>
                <c:pt idx="9">
                  <c:v>NET-5523</c:v>
                </c:pt>
              </c:strCache>
            </c:strRef>
          </c:cat>
          <c:val>
            <c:numRef>
              <c:f>'Top 10 SKUs'!$B$4:$B$14</c:f>
              <c:numCache>
                <c:formatCode>0.00</c:formatCode>
                <c:ptCount val="10"/>
                <c:pt idx="0">
                  <c:v>139277.83032000001</c:v>
                </c:pt>
                <c:pt idx="1">
                  <c:v>109244</c:v>
                </c:pt>
                <c:pt idx="2">
                  <c:v>102122.94203999999</c:v>
                </c:pt>
                <c:pt idx="3">
                  <c:v>92715.25</c:v>
                </c:pt>
                <c:pt idx="4">
                  <c:v>87404.929919999995</c:v>
                </c:pt>
                <c:pt idx="5">
                  <c:v>85637.740319999997</c:v>
                </c:pt>
                <c:pt idx="6">
                  <c:v>84136.119600000005</c:v>
                </c:pt>
                <c:pt idx="7">
                  <c:v>82514.711519999997</c:v>
                </c:pt>
                <c:pt idx="8">
                  <c:v>82141.339799999987</c:v>
                </c:pt>
                <c:pt idx="9">
                  <c:v>79548.755999999994</c:v>
                </c:pt>
              </c:numCache>
            </c:numRef>
          </c:val>
          <c:extLst>
            <c:ext xmlns:c16="http://schemas.microsoft.com/office/drawing/2014/chart" uri="{C3380CC4-5D6E-409C-BE32-E72D297353CC}">
              <c16:uniqueId val="{00000000-4898-4B8C-A72A-115473B7AF9E}"/>
            </c:ext>
          </c:extLst>
        </c:ser>
        <c:dLbls>
          <c:showLegendKey val="0"/>
          <c:showVal val="0"/>
          <c:showCatName val="0"/>
          <c:showSerName val="0"/>
          <c:showPercent val="0"/>
          <c:showBubbleSize val="0"/>
        </c:dLbls>
        <c:gapWidth val="219"/>
        <c:overlap val="-27"/>
        <c:axId val="177349135"/>
        <c:axId val="177349615"/>
      </c:barChart>
      <c:catAx>
        <c:axId val="177349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49615"/>
        <c:crosses val="autoZero"/>
        <c:auto val="1"/>
        <c:lblAlgn val="ctr"/>
        <c:lblOffset val="100"/>
        <c:noMultiLvlLbl val="0"/>
      </c:catAx>
      <c:valAx>
        <c:axId val="17734961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349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Discount Distribution </cx:v>
        </cx:txData>
      </cx:tx>
      <cx:txPr>
        <a:bodyPr spcFirstLastPara="1" vertOverflow="ellipsis" horzOverflow="overflow" wrap="square" lIns="0" tIns="0" rIns="0" bIns="0" anchor="ctr" anchorCtr="1"/>
        <a:lstStyle/>
        <a:p>
          <a:pPr algn="ctr" rtl="0">
            <a:defRPr/>
          </a:pPr>
          <a:r>
            <a:rPr lang="en-US" sz="1600" b="1" i="0" u="none" strike="noStrike" baseline="0">
              <a:solidFill>
                <a:schemeClr val="tx2"/>
              </a:solidFill>
              <a:latin typeface="Calibri"/>
            </a:rPr>
            <a:t>Discount Distribution </a:t>
          </a:r>
        </a:p>
      </cx:txPr>
    </cx:title>
    <cx:plotArea>
      <cx:plotAreaRegion>
        <cx:series layoutId="boxWhisker" uniqueId="{2E54376B-C705-47F9-A75D-7FB8815F1364}">
          <cx:tx>
            <cx:txData>
              <cx:f>_xlchart.v1.0</cx:f>
              <cx:v>DiscountPct</cx:v>
            </cx:txData>
          </cx:tx>
          <cx:dataId val="0"/>
          <cx:layoutPr>
            <cx:visibility meanLine="0" meanMarker="1" nonoutliers="0" outliers="1"/>
            <cx:statistics quartileMethod="exclusive"/>
          </cx:layoutPr>
        </cx:series>
      </cx:plotAreaRegion>
      <cx:axis id="0">
        <cx:catScaling gapWidth="1.5"/>
        <cx:tickLabels/>
      </cx:axis>
      <cx:axis id="1">
        <cx:valScaling/>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Discount</cx:v>
        </cx:txData>
      </cx:tx>
      <cx:txPr>
        <a:bodyPr spcFirstLastPara="1" vertOverflow="ellipsis" horzOverflow="overflow" wrap="square" lIns="0" tIns="0" rIns="0" bIns="0" anchor="ctr" anchorCtr="1"/>
        <a:lstStyle/>
        <a:p>
          <a:pPr algn="ctr" rtl="0">
            <a:defRPr/>
          </a:pPr>
          <a:r>
            <a:rPr lang="en-US" sz="1600" b="1" i="0" u="none" strike="noStrike" baseline="0">
              <a:solidFill>
                <a:schemeClr val="tx2"/>
              </a:solidFill>
              <a:latin typeface="Calibri"/>
            </a:rPr>
            <a:t>Discount</a:t>
          </a:r>
        </a:p>
      </cx:txPr>
    </cx:title>
    <cx:plotArea>
      <cx:plotAreaRegion>
        <cx:series layoutId="boxWhisker" uniqueId="{2E54376B-C705-47F9-A75D-7FB8815F1364}">
          <cx:tx>
            <cx:txData>
              <cx:f>_xlchart.v1.2</cx:f>
              <cx:v>DiscountPct</cx:v>
            </cx:txData>
          </cx:tx>
          <cx:dataId val="0"/>
          <cx:layoutPr>
            <cx:visibility meanLine="0" meanMarker="1" nonoutliers="0" outliers="1"/>
            <cx:statistics quartileMethod="exclusive"/>
          </cx:layoutPr>
        </cx:series>
      </cx:plotAreaRegion>
      <cx:axis id="0">
        <cx:catScaling gapWidth="1"/>
        <cx:tickLabels/>
      </cx:axis>
      <cx:axis id="1">
        <cx:valScaling/>
        <cx:title>
          <cx:tx>
            <cx:txData>
              <cx:v>Discount</cx:v>
            </cx:txData>
          </cx:tx>
        </cx:title>
        <cx:majorGridlines/>
        <cx:tickLabels/>
      </cx:axis>
    </cx:plotArea>
  </cx:chart>
</cx: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374">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Scroll" dx="31" fmlaLink="$D$2" horiz="1" max="25" page="10" val="12"/>
</file>

<file path=xl/ctrlProps/ctrlProp2.xml><?xml version="1.0" encoding="utf-8"?>
<formControlPr xmlns="http://schemas.microsoft.com/office/spreadsheetml/2009/9/main" objectType="Scroll" dx="31" fmlaLink="$D$3" horiz="1" max="15" page="10" val="9"/>
</file>

<file path=xl/ctrlProps/ctrlProp3.xml><?xml version="1.0" encoding="utf-8"?>
<formControlPr xmlns="http://schemas.microsoft.com/office/spreadsheetml/2009/9/main" objectType="Scroll" dx="31" fmlaLink="$D$4" horiz="1" max="20" page="10" val="14"/>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microsoft.com/office/2014/relationships/chartEx" Target="../charts/chartEx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175459</xdr:colOff>
      <xdr:row>0</xdr:row>
      <xdr:rowOff>64142</xdr:rowOff>
    </xdr:from>
    <xdr:to>
      <xdr:col>15</xdr:col>
      <xdr:colOff>523685</xdr:colOff>
      <xdr:row>4</xdr:row>
      <xdr:rowOff>96213</xdr:rowOff>
    </xdr:to>
    <xdr:sp macro="" textlink="">
      <xdr:nvSpPr>
        <xdr:cNvPr id="2" name="Rectangle: Rounded Corners 1">
          <a:extLst>
            <a:ext uri="{FF2B5EF4-FFF2-40B4-BE49-F238E27FC236}">
              <a16:creationId xmlns:a16="http://schemas.microsoft.com/office/drawing/2014/main" id="{61759AE4-23AE-FF34-080E-855A6146E9F6}"/>
            </a:ext>
          </a:extLst>
        </xdr:cNvPr>
        <xdr:cNvSpPr/>
      </xdr:nvSpPr>
      <xdr:spPr>
        <a:xfrm>
          <a:off x="1394146" y="64142"/>
          <a:ext cx="8269691" cy="776111"/>
        </a:xfrm>
        <a:prstGeom prst="roundRect">
          <a:avLst/>
        </a:prstGeom>
        <a:solidFill>
          <a:schemeClr val="accent4">
            <a:lumMod val="60000"/>
            <a:lumOff val="40000"/>
          </a:schemeClr>
        </a:solidFill>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r>
            <a:rPr lang="en-GB" sz="3200" b="1">
              <a:solidFill>
                <a:schemeClr val="tx2"/>
              </a:solidFill>
            </a:rPr>
            <a:t>Sales Performance and Profitability Dashboard</a:t>
          </a:r>
        </a:p>
      </xdr:txBody>
    </xdr:sp>
    <xdr:clientData/>
  </xdr:twoCellAnchor>
  <xdr:twoCellAnchor>
    <xdr:from>
      <xdr:col>9</xdr:col>
      <xdr:colOff>462114</xdr:colOff>
      <xdr:row>23</xdr:row>
      <xdr:rowOff>18395</xdr:rowOff>
    </xdr:from>
    <xdr:to>
      <xdr:col>15</xdr:col>
      <xdr:colOff>564444</xdr:colOff>
      <xdr:row>36</xdr:row>
      <xdr:rowOff>12044</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23B5A82B-959D-460C-933B-500B7C8BA95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948514" y="4253845"/>
              <a:ext cx="3759930" cy="238759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454059</xdr:colOff>
      <xdr:row>10</xdr:row>
      <xdr:rowOff>20915</xdr:rowOff>
    </xdr:from>
    <xdr:to>
      <xdr:col>15</xdr:col>
      <xdr:colOff>546806</xdr:colOff>
      <xdr:row>23</xdr:row>
      <xdr:rowOff>8215</xdr:rowOff>
    </xdr:to>
    <xdr:graphicFrame macro="">
      <xdr:nvGraphicFramePr>
        <xdr:cNvPr id="4" name="Chart 3">
          <a:extLst>
            <a:ext uri="{FF2B5EF4-FFF2-40B4-BE49-F238E27FC236}">
              <a16:creationId xmlns:a16="http://schemas.microsoft.com/office/drawing/2014/main" id="{72999021-64A7-45B0-AA91-BEAE867D9C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514269</xdr:colOff>
      <xdr:row>23</xdr:row>
      <xdr:rowOff>7346</xdr:rowOff>
    </xdr:from>
    <xdr:to>
      <xdr:col>9</xdr:col>
      <xdr:colOff>437505</xdr:colOff>
      <xdr:row>36</xdr:row>
      <xdr:rowOff>5502</xdr:rowOff>
    </xdr:to>
    <xdr:graphicFrame macro="">
      <xdr:nvGraphicFramePr>
        <xdr:cNvPr id="5" name="Chart 4">
          <a:extLst>
            <a:ext uri="{FF2B5EF4-FFF2-40B4-BE49-F238E27FC236}">
              <a16:creationId xmlns:a16="http://schemas.microsoft.com/office/drawing/2014/main" id="{68F96EBC-5C75-4F9C-AB87-66F54F66A3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519340</xdr:colOff>
      <xdr:row>10</xdr:row>
      <xdr:rowOff>12519</xdr:rowOff>
    </xdr:from>
    <xdr:to>
      <xdr:col>9</xdr:col>
      <xdr:colOff>416921</xdr:colOff>
      <xdr:row>23</xdr:row>
      <xdr:rowOff>2278</xdr:rowOff>
    </xdr:to>
    <xdr:graphicFrame macro="">
      <xdr:nvGraphicFramePr>
        <xdr:cNvPr id="6" name="Chart 5">
          <a:extLst>
            <a:ext uri="{FF2B5EF4-FFF2-40B4-BE49-F238E27FC236}">
              <a16:creationId xmlns:a16="http://schemas.microsoft.com/office/drawing/2014/main" id="{3842EE58-80BE-4CD7-A1A4-1EB6B814EB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165228</xdr:colOff>
      <xdr:row>4</xdr:row>
      <xdr:rowOff>165321</xdr:rowOff>
    </xdr:from>
    <xdr:to>
      <xdr:col>5</xdr:col>
      <xdr:colOff>227908</xdr:colOff>
      <xdr:row>9</xdr:row>
      <xdr:rowOff>115454</xdr:rowOff>
    </xdr:to>
    <xdr:sp macro="" textlink="">
      <xdr:nvSpPr>
        <xdr:cNvPr id="7" name="Rectangle: Rounded Corners 6">
          <a:extLst>
            <a:ext uri="{FF2B5EF4-FFF2-40B4-BE49-F238E27FC236}">
              <a16:creationId xmlns:a16="http://schemas.microsoft.com/office/drawing/2014/main" id="{B0945E27-B728-A556-F221-6B134BCF1995}"/>
            </a:ext>
          </a:extLst>
        </xdr:cNvPr>
        <xdr:cNvSpPr/>
      </xdr:nvSpPr>
      <xdr:spPr>
        <a:xfrm>
          <a:off x="1383915" y="909361"/>
          <a:ext cx="1890710" cy="880184"/>
        </a:xfrm>
        <a:prstGeom prst="roundRect">
          <a:avLst/>
        </a:prstGeom>
        <a:solidFill>
          <a:schemeClr val="accent4">
            <a:lumMod val="60000"/>
            <a:lumOff val="40000"/>
          </a:schemeClr>
        </a:solidFill>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r>
            <a:rPr lang="en-GB" sz="1800" b="1">
              <a:solidFill>
                <a:schemeClr val="tx2"/>
              </a:solidFill>
            </a:rPr>
            <a:t>Gross</a:t>
          </a:r>
          <a:r>
            <a:rPr lang="en-GB" sz="1800" b="1" baseline="0">
              <a:solidFill>
                <a:schemeClr val="tx2"/>
              </a:solidFill>
            </a:rPr>
            <a:t> Profit</a:t>
          </a:r>
        </a:p>
        <a:p>
          <a:pPr algn="l"/>
          <a:r>
            <a:rPr lang="en-GB" sz="1800" b="1" i="0" u="none" strike="noStrike">
              <a:solidFill>
                <a:schemeClr val="tx2"/>
              </a:solidFill>
              <a:effectLst/>
              <a:latin typeface="+mn-lt"/>
              <a:ea typeface="+mn-ea"/>
              <a:cs typeface="+mn-cs"/>
            </a:rPr>
            <a:t>$3,</a:t>
          </a:r>
          <a:r>
            <a:rPr lang="en-GB" sz="1800" b="1" i="0" u="none" strike="noStrike" baseline="0">
              <a:solidFill>
                <a:schemeClr val="tx2"/>
              </a:solidFill>
              <a:effectLst/>
              <a:latin typeface="+mn-lt"/>
              <a:ea typeface="+mn-ea"/>
              <a:cs typeface="+mn-cs"/>
            </a:rPr>
            <a:t> </a:t>
          </a:r>
          <a:r>
            <a:rPr lang="en-GB" sz="1800" b="1" i="0" u="none" strike="noStrike">
              <a:solidFill>
                <a:schemeClr val="tx2"/>
              </a:solidFill>
              <a:effectLst/>
              <a:latin typeface="+mn-lt"/>
              <a:ea typeface="+mn-ea"/>
              <a:cs typeface="+mn-cs"/>
            </a:rPr>
            <a:t>537,642</a:t>
          </a:r>
          <a:r>
            <a:rPr lang="en-GB" sz="1800" b="1">
              <a:solidFill>
                <a:schemeClr val="tx2"/>
              </a:solidFill>
              <a:effectLst/>
            </a:rPr>
            <a:t> </a:t>
          </a:r>
          <a:endParaRPr lang="en-GB" sz="1800" b="1">
            <a:solidFill>
              <a:schemeClr val="tx2"/>
            </a:solidFill>
          </a:endParaRPr>
        </a:p>
      </xdr:txBody>
    </xdr:sp>
    <xdr:clientData/>
  </xdr:twoCellAnchor>
  <xdr:twoCellAnchor>
    <xdr:from>
      <xdr:col>5</xdr:col>
      <xdr:colOff>303559</xdr:colOff>
      <xdr:row>4</xdr:row>
      <xdr:rowOff>173184</xdr:rowOff>
    </xdr:from>
    <xdr:to>
      <xdr:col>8</xdr:col>
      <xdr:colOff>461818</xdr:colOff>
      <xdr:row>9</xdr:row>
      <xdr:rowOff>153941</xdr:rowOff>
    </xdr:to>
    <xdr:sp macro="" textlink="">
      <xdr:nvSpPr>
        <xdr:cNvPr id="8" name="Rectangle: Rounded Corners 7">
          <a:extLst>
            <a:ext uri="{FF2B5EF4-FFF2-40B4-BE49-F238E27FC236}">
              <a16:creationId xmlns:a16="http://schemas.microsoft.com/office/drawing/2014/main" id="{C7FF3519-B0DD-16F4-BB3C-A704189AD369}"/>
            </a:ext>
          </a:extLst>
        </xdr:cNvPr>
        <xdr:cNvSpPr/>
      </xdr:nvSpPr>
      <xdr:spPr>
        <a:xfrm>
          <a:off x="3350276" y="917224"/>
          <a:ext cx="1986289" cy="910808"/>
        </a:xfrm>
        <a:prstGeom prst="roundRect">
          <a:avLst/>
        </a:prstGeom>
        <a:solidFill>
          <a:schemeClr val="accent4">
            <a:lumMod val="60000"/>
            <a:lumOff val="40000"/>
          </a:schemeClr>
        </a:solidFill>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r>
            <a:rPr lang="en-GB" sz="1800" b="1">
              <a:solidFill>
                <a:schemeClr val="tx2"/>
              </a:solidFill>
            </a:rPr>
            <a:t>Profit Margin</a:t>
          </a:r>
        </a:p>
        <a:p>
          <a:pPr algn="l"/>
          <a:r>
            <a:rPr lang="en-GB" sz="1800" b="1">
              <a:solidFill>
                <a:schemeClr val="tx2"/>
              </a:solidFill>
            </a:rPr>
            <a:t>32%</a:t>
          </a:r>
        </a:p>
      </xdr:txBody>
    </xdr:sp>
    <xdr:clientData/>
  </xdr:twoCellAnchor>
  <xdr:twoCellAnchor>
    <xdr:from>
      <xdr:col>0</xdr:col>
      <xdr:colOff>0</xdr:colOff>
      <xdr:row>0</xdr:row>
      <xdr:rowOff>44898</xdr:rowOff>
    </xdr:from>
    <xdr:to>
      <xdr:col>2</xdr:col>
      <xdr:colOff>153938</xdr:colOff>
      <xdr:row>9</xdr:row>
      <xdr:rowOff>128283</xdr:rowOff>
    </xdr:to>
    <xdr:sp macro="" textlink="">
      <xdr:nvSpPr>
        <xdr:cNvPr id="9" name="Rectangle: Rounded Corners 8">
          <a:extLst>
            <a:ext uri="{FF2B5EF4-FFF2-40B4-BE49-F238E27FC236}">
              <a16:creationId xmlns:a16="http://schemas.microsoft.com/office/drawing/2014/main" id="{269E80A3-5209-3ABB-2FAF-8C9E84BE23E7}"/>
            </a:ext>
          </a:extLst>
        </xdr:cNvPr>
        <xdr:cNvSpPr/>
      </xdr:nvSpPr>
      <xdr:spPr>
        <a:xfrm>
          <a:off x="0" y="44898"/>
          <a:ext cx="1372625" cy="1757476"/>
        </a:xfrm>
        <a:prstGeom prst="roundRect">
          <a:avLst/>
        </a:prstGeom>
        <a:solidFill>
          <a:schemeClr val="accent4">
            <a:lumMod val="60000"/>
            <a:lumOff val="40000"/>
          </a:schemeClr>
        </a:solidFill>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r>
            <a:rPr lang="en-GB" sz="1800" b="1" i="0" u="none" strike="noStrike">
              <a:solidFill>
                <a:schemeClr val="tx2"/>
              </a:solidFill>
              <a:effectLst/>
              <a:latin typeface="+mn-lt"/>
              <a:ea typeface="+mn-ea"/>
              <a:cs typeface="+mn-cs"/>
            </a:rPr>
            <a:t>TOTAL Revenue</a:t>
          </a:r>
          <a:r>
            <a:rPr lang="en-GB" sz="1800">
              <a:effectLst/>
            </a:rPr>
            <a:t> </a:t>
          </a:r>
        </a:p>
        <a:p>
          <a:pPr algn="l"/>
          <a:endParaRPr lang="en-GB" sz="1800" b="1" i="0" u="none" strike="noStrike">
            <a:solidFill>
              <a:schemeClr val="tx2"/>
            </a:solidFill>
            <a:effectLst/>
            <a:latin typeface="+mn-lt"/>
            <a:ea typeface="+mn-ea"/>
            <a:cs typeface="+mn-cs"/>
          </a:endParaRPr>
        </a:p>
        <a:p>
          <a:pPr algn="l"/>
          <a:endParaRPr lang="en-GB" sz="1800" b="1" i="0" u="none" strike="noStrike">
            <a:solidFill>
              <a:schemeClr val="tx2"/>
            </a:solidFill>
            <a:effectLst/>
            <a:latin typeface="+mn-lt"/>
            <a:ea typeface="+mn-ea"/>
            <a:cs typeface="+mn-cs"/>
          </a:endParaRPr>
        </a:p>
        <a:p>
          <a:pPr algn="l"/>
          <a:r>
            <a:rPr lang="en-GB" sz="1600" b="1" i="0" u="none" strike="noStrike">
              <a:solidFill>
                <a:schemeClr val="tx2"/>
              </a:solidFill>
              <a:effectLst/>
              <a:latin typeface="+mn-lt"/>
              <a:ea typeface="+mn-ea"/>
              <a:cs typeface="+mn-cs"/>
            </a:rPr>
            <a:t>$11,033,387</a:t>
          </a:r>
          <a:r>
            <a:rPr lang="en-GB" sz="1600" b="1">
              <a:solidFill>
                <a:schemeClr val="tx2"/>
              </a:solidFill>
              <a:effectLst/>
            </a:rPr>
            <a:t> </a:t>
          </a:r>
          <a:endParaRPr lang="en-GB" sz="1600" b="1">
            <a:solidFill>
              <a:schemeClr val="tx2"/>
            </a:solidFill>
          </a:endParaRPr>
        </a:p>
      </xdr:txBody>
    </xdr:sp>
    <xdr:clientData/>
  </xdr:twoCellAnchor>
  <xdr:twoCellAnchor>
    <xdr:from>
      <xdr:col>8</xdr:col>
      <xdr:colOff>557888</xdr:colOff>
      <xdr:row>4</xdr:row>
      <xdr:rowOff>176945</xdr:rowOff>
    </xdr:from>
    <xdr:to>
      <xdr:col>12</xdr:col>
      <xdr:colOff>180216</xdr:colOff>
      <xdr:row>9</xdr:row>
      <xdr:rowOff>147525</xdr:rowOff>
    </xdr:to>
    <xdr:sp macro="" textlink="">
      <xdr:nvSpPr>
        <xdr:cNvPr id="10" name="Rectangle: Rounded Corners 9">
          <a:extLst>
            <a:ext uri="{FF2B5EF4-FFF2-40B4-BE49-F238E27FC236}">
              <a16:creationId xmlns:a16="http://schemas.microsoft.com/office/drawing/2014/main" id="{4111C251-56F2-A5CB-0C9A-81A4742D1503}"/>
            </a:ext>
          </a:extLst>
        </xdr:cNvPr>
        <xdr:cNvSpPr/>
      </xdr:nvSpPr>
      <xdr:spPr>
        <a:xfrm>
          <a:off x="5432635" y="920985"/>
          <a:ext cx="2059702" cy="900631"/>
        </a:xfrm>
        <a:prstGeom prst="roundRect">
          <a:avLst/>
        </a:prstGeom>
        <a:solidFill>
          <a:schemeClr val="accent4">
            <a:lumMod val="60000"/>
            <a:lumOff val="40000"/>
          </a:schemeClr>
        </a:solidFill>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r>
            <a:rPr lang="en-GB" sz="1700" b="1">
              <a:solidFill>
                <a:schemeClr val="tx2"/>
              </a:solidFill>
            </a:rPr>
            <a:t>AVG ORDER VALUE</a:t>
          </a:r>
        </a:p>
        <a:p>
          <a:pPr algn="l"/>
          <a:r>
            <a:rPr lang="en-GB" sz="1800" b="1">
              <a:solidFill>
                <a:schemeClr val="tx2"/>
              </a:solidFill>
            </a:rPr>
            <a:t>15 Units</a:t>
          </a:r>
        </a:p>
      </xdr:txBody>
    </xdr:sp>
    <xdr:clientData/>
  </xdr:twoCellAnchor>
  <xdr:twoCellAnchor>
    <xdr:from>
      <xdr:col>12</xdr:col>
      <xdr:colOff>258594</xdr:colOff>
      <xdr:row>4</xdr:row>
      <xdr:rowOff>162785</xdr:rowOff>
    </xdr:from>
    <xdr:to>
      <xdr:col>15</xdr:col>
      <xdr:colOff>513131</xdr:colOff>
      <xdr:row>9</xdr:row>
      <xdr:rowOff>121869</xdr:rowOff>
    </xdr:to>
    <xdr:sp macro="" textlink="">
      <xdr:nvSpPr>
        <xdr:cNvPr id="11" name="Rectangle: Rounded Corners 10">
          <a:extLst>
            <a:ext uri="{FF2B5EF4-FFF2-40B4-BE49-F238E27FC236}">
              <a16:creationId xmlns:a16="http://schemas.microsoft.com/office/drawing/2014/main" id="{2842FCAD-6C3E-4C20-8ACC-E21BA534E70F}"/>
            </a:ext>
          </a:extLst>
        </xdr:cNvPr>
        <xdr:cNvSpPr/>
      </xdr:nvSpPr>
      <xdr:spPr>
        <a:xfrm>
          <a:off x="7570715" y="906825"/>
          <a:ext cx="2082568" cy="889135"/>
        </a:xfrm>
        <a:prstGeom prst="roundRect">
          <a:avLst/>
        </a:prstGeom>
        <a:solidFill>
          <a:schemeClr val="accent4">
            <a:lumMod val="60000"/>
            <a:lumOff val="40000"/>
          </a:schemeClr>
        </a:solidFill>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r>
            <a:rPr lang="en-GB" sz="1800" b="1">
              <a:solidFill>
                <a:schemeClr val="tx2"/>
              </a:solidFill>
            </a:rPr>
            <a:t>On - Time Orders</a:t>
          </a:r>
        </a:p>
        <a:p>
          <a:pPr algn="l"/>
          <a:r>
            <a:rPr lang="en-GB" sz="1800" b="1">
              <a:solidFill>
                <a:schemeClr val="tx2"/>
              </a:solidFill>
            </a:rPr>
            <a:t>27%</a:t>
          </a:r>
        </a:p>
      </xdr:txBody>
    </xdr:sp>
    <xdr:clientData/>
  </xdr:twoCellAnchor>
  <xdr:twoCellAnchor editAs="oneCell">
    <xdr:from>
      <xdr:col>0</xdr:col>
      <xdr:colOff>0</xdr:colOff>
      <xdr:row>10</xdr:row>
      <xdr:rowOff>0</xdr:rowOff>
    </xdr:from>
    <xdr:to>
      <xdr:col>2</xdr:col>
      <xdr:colOff>487475</xdr:colOff>
      <xdr:row>14</xdr:row>
      <xdr:rowOff>121869</xdr:rowOff>
    </xdr:to>
    <mc:AlternateContent xmlns:mc="http://schemas.openxmlformats.org/markup-compatibility/2006" xmlns:a14="http://schemas.microsoft.com/office/drawing/2010/main">
      <mc:Choice Requires="a14">
        <xdr:graphicFrame macro="">
          <xdr:nvGraphicFramePr>
            <xdr:cNvPr id="12" name="Salesperson 1">
              <a:extLst>
                <a:ext uri="{FF2B5EF4-FFF2-40B4-BE49-F238E27FC236}">
                  <a16:creationId xmlns:a16="http://schemas.microsoft.com/office/drawing/2014/main" id="{73164644-5669-44D9-8823-85400315A06C}"/>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0" y="1852083"/>
              <a:ext cx="1704558" cy="86270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115455</xdr:rowOff>
    </xdr:from>
    <xdr:to>
      <xdr:col>2</xdr:col>
      <xdr:colOff>487475</xdr:colOff>
      <xdr:row>19</xdr:row>
      <xdr:rowOff>76969</xdr:rowOff>
    </xdr:to>
    <mc:AlternateContent xmlns:mc="http://schemas.openxmlformats.org/markup-compatibility/2006" xmlns:a14="http://schemas.microsoft.com/office/drawing/2010/main">
      <mc:Choice Requires="a14">
        <xdr:graphicFrame macro="">
          <xdr:nvGraphicFramePr>
            <xdr:cNvPr id="13" name="Region 1">
              <a:extLst>
                <a:ext uri="{FF2B5EF4-FFF2-40B4-BE49-F238E27FC236}">
                  <a16:creationId xmlns:a16="http://schemas.microsoft.com/office/drawing/2014/main" id="{05AAE22F-FF64-4B52-ABCE-24A243C7686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2708372"/>
              <a:ext cx="1704558" cy="88755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32069</xdr:rowOff>
    </xdr:from>
    <xdr:to>
      <xdr:col>2</xdr:col>
      <xdr:colOff>493889</xdr:colOff>
      <xdr:row>29</xdr:row>
      <xdr:rowOff>109039</xdr:rowOff>
    </xdr:to>
    <mc:AlternateContent xmlns:mc="http://schemas.openxmlformats.org/markup-compatibility/2006" xmlns:a14="http://schemas.microsoft.com/office/drawing/2010/main">
      <mc:Choice Requires="a14">
        <xdr:graphicFrame macro="">
          <xdr:nvGraphicFramePr>
            <xdr:cNvPr id="14" name="Channel 1">
              <a:extLst>
                <a:ext uri="{FF2B5EF4-FFF2-40B4-BE49-F238E27FC236}">
                  <a16:creationId xmlns:a16="http://schemas.microsoft.com/office/drawing/2014/main" id="{4EC17C9C-CF28-4FA7-89E3-474ABD1A4854}"/>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0" y="4477069"/>
              <a:ext cx="1710972" cy="100301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6414</xdr:colOff>
      <xdr:row>29</xdr:row>
      <xdr:rowOff>134696</xdr:rowOff>
    </xdr:from>
    <xdr:to>
      <xdr:col>2</xdr:col>
      <xdr:colOff>481061</xdr:colOff>
      <xdr:row>36</xdr:row>
      <xdr:rowOff>6413</xdr:rowOff>
    </xdr:to>
    <mc:AlternateContent xmlns:mc="http://schemas.openxmlformats.org/markup-compatibility/2006" xmlns:a14="http://schemas.microsoft.com/office/drawing/2010/main">
      <mc:Choice Requires="a14">
        <xdr:graphicFrame macro="">
          <xdr:nvGraphicFramePr>
            <xdr:cNvPr id="15" name="ProductCategory 1">
              <a:extLst>
                <a:ext uri="{FF2B5EF4-FFF2-40B4-BE49-F238E27FC236}">
                  <a16:creationId xmlns:a16="http://schemas.microsoft.com/office/drawing/2014/main" id="{1D2D6140-4915-4D1C-A2CE-C758545AB0F1}"/>
                </a:ext>
              </a:extLst>
            </xdr:cNvPr>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mlns="">
        <xdr:sp macro="" textlink="">
          <xdr:nvSpPr>
            <xdr:cNvPr id="0" name=""/>
            <xdr:cNvSpPr>
              <a:spLocks noTextEdit="1"/>
            </xdr:cNvSpPr>
          </xdr:nvSpPr>
          <xdr:spPr>
            <a:xfrm>
              <a:off x="6414" y="5505738"/>
              <a:ext cx="1691730" cy="11681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76970</xdr:rowOff>
    </xdr:from>
    <xdr:to>
      <xdr:col>2</xdr:col>
      <xdr:colOff>493889</xdr:colOff>
      <xdr:row>24</xdr:row>
      <xdr:rowOff>6415</xdr:rowOff>
    </xdr:to>
    <mc:AlternateContent xmlns:mc="http://schemas.openxmlformats.org/markup-compatibility/2006" xmlns:a14="http://schemas.microsoft.com/office/drawing/2010/main">
      <mc:Choice Requires="a14">
        <xdr:graphicFrame macro="">
          <xdr:nvGraphicFramePr>
            <xdr:cNvPr id="17" name="Country 1">
              <a:extLst>
                <a:ext uri="{FF2B5EF4-FFF2-40B4-BE49-F238E27FC236}">
                  <a16:creationId xmlns:a16="http://schemas.microsoft.com/office/drawing/2014/main" id="{F1E2A0D0-CDDA-4DF4-B1C2-19D89AA7D220}"/>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0" y="3595928"/>
              <a:ext cx="1710972" cy="85548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573265</xdr:colOff>
      <xdr:row>0</xdr:row>
      <xdr:rowOff>79375</xdr:rowOff>
    </xdr:from>
    <xdr:to>
      <xdr:col>25</xdr:col>
      <xdr:colOff>396874</xdr:colOff>
      <xdr:row>36</xdr:row>
      <xdr:rowOff>31750</xdr:rowOff>
    </xdr:to>
    <xdr:sp macro="" textlink="">
      <xdr:nvSpPr>
        <xdr:cNvPr id="16" name="TextBox 15">
          <a:extLst>
            <a:ext uri="{FF2B5EF4-FFF2-40B4-BE49-F238E27FC236}">
              <a16:creationId xmlns:a16="http://schemas.microsoft.com/office/drawing/2014/main" id="{722485FA-7173-6DCA-4C42-EE8E6D98F2B2}"/>
            </a:ext>
          </a:extLst>
        </xdr:cNvPr>
        <xdr:cNvSpPr txBox="1"/>
      </xdr:nvSpPr>
      <xdr:spPr>
        <a:xfrm>
          <a:off x="9780765" y="79375"/>
          <a:ext cx="6088942" cy="6429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2000" b="1"/>
        </a:p>
        <a:p>
          <a:pPr algn="ctr"/>
          <a:r>
            <a:rPr lang="en-GB" sz="2000" b="1"/>
            <a:t>INSIGHTS</a:t>
          </a:r>
        </a:p>
        <a:p>
          <a:r>
            <a:rPr lang="en-GB" sz="1600" b="1" baseline="0">
              <a:solidFill>
                <a:schemeClr val="dk1"/>
              </a:solidFill>
              <a:effectLst/>
              <a:latin typeface="+mn-lt"/>
              <a:ea typeface="+mn-ea"/>
              <a:cs typeface="+mn-cs"/>
            </a:rPr>
            <a:t>-  </a:t>
          </a:r>
          <a:r>
            <a:rPr lang="en-GB" sz="1600" b="1">
              <a:effectLst/>
            </a:rPr>
            <a:t>Revenue generation varied month to month, with January and November having the least revenue generated and peaking in May, June, and July (mid-year).</a:t>
          </a:r>
          <a:endParaRPr lang="en-GB" sz="1600">
            <a:effectLst/>
          </a:endParaRPr>
        </a:p>
        <a:p>
          <a:r>
            <a:rPr lang="en-GB" sz="1600" b="1">
              <a:effectLst/>
            </a:rPr>
            <a:t>-  By region, Europe has the highest profit contribution, then Africa and the Americas, with Asia having the least profit contribution.</a:t>
          </a:r>
          <a:endParaRPr lang="en-GB" sz="1600">
            <a:effectLst/>
          </a:endParaRPr>
        </a:p>
        <a:p>
          <a:r>
            <a:rPr lang="en-GB" sz="1600" b="1">
              <a:effectLst/>
            </a:rPr>
            <a:t>- CMP-38851 SKU was the highest revenue generator.</a:t>
          </a:r>
          <a:endParaRPr lang="en-GB" sz="1600">
            <a:effectLst/>
          </a:endParaRPr>
        </a:p>
        <a:p>
          <a:r>
            <a:rPr lang="en-GB" sz="1600" b="1">
              <a:effectLst/>
            </a:rPr>
            <a:t>- Direct sales channel contributed the highest profit for every region.</a:t>
          </a:r>
          <a:endParaRPr lang="en-GB" sz="1600">
            <a:effectLst/>
          </a:endParaRPr>
        </a:p>
        <a:p>
          <a:r>
            <a:rPr lang="en-GB" sz="1600" b="1">
              <a:effectLst/>
            </a:rPr>
            <a:t>- Online sales contributed varying profit per region, with the Americas leading in profit contributed by sales made online and Africa with the least profit from online sales.</a:t>
          </a:r>
          <a:endParaRPr lang="en-GB" sz="1600">
            <a:effectLst/>
          </a:endParaRPr>
        </a:p>
        <a:p>
          <a:r>
            <a:rPr lang="en-GB" sz="1600" b="1">
              <a:effectLst/>
            </a:rPr>
            <a:t>-  Discount was normally distributed across the products offered with a few outliers.</a:t>
          </a:r>
          <a:endParaRPr lang="en-GB" sz="1600">
            <a:effectLst/>
          </a:endParaRPr>
        </a:p>
        <a:p>
          <a:r>
            <a:rPr lang="en-GB" sz="1600" b="1">
              <a:effectLst/>
            </a:rPr>
            <a:t>- Asia's revenue generation peaked in May and remained uniform for the rest of the year.</a:t>
          </a:r>
          <a:endParaRPr lang="en-GB" sz="1600">
            <a:effectLst/>
          </a:endParaRPr>
        </a:p>
        <a:p>
          <a:r>
            <a:rPr lang="en-GB" sz="1600" b="1">
              <a:effectLst/>
            </a:rPr>
            <a:t>-  Europe's revenue generation varied throughout the year, with instances of high and low subsequently for each month, hitting rock bottom in September.</a:t>
          </a:r>
          <a:endParaRPr lang="en-GB" sz="1600">
            <a:effectLst/>
          </a:endParaRPr>
        </a:p>
        <a:p>
          <a:r>
            <a:rPr lang="en-GB" sz="1600" b="1">
              <a:effectLst/>
            </a:rPr>
            <a:t>- Africa's revenue generation also remained uniform for all the months, peaking in June and July and hitting rock bottom in September.</a:t>
          </a:r>
          <a:endParaRPr lang="en-GB" sz="1600">
            <a:effectLst/>
          </a:endParaRPr>
        </a:p>
        <a:p>
          <a:r>
            <a:rPr lang="en-GB" sz="1600" b="1">
              <a:effectLst/>
            </a:rPr>
            <a:t>-  Finally, Americas had the highest variation in revenue generation for each month, with instances of high and low, with the lowest in Jan and Oct and the highest in July.</a:t>
          </a:r>
          <a:endParaRPr lang="en-GB" sz="1600">
            <a:effectLs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24</xdr:col>
      <xdr:colOff>508000</xdr:colOff>
      <xdr:row>1</xdr:row>
      <xdr:rowOff>0</xdr:rowOff>
    </xdr:from>
    <xdr:to>
      <xdr:col>32</xdr:col>
      <xdr:colOff>254000</xdr:colOff>
      <xdr:row>45</xdr:row>
      <xdr:rowOff>107950</xdr:rowOff>
    </xdr:to>
    <xdr:sp macro="" textlink="">
      <xdr:nvSpPr>
        <xdr:cNvPr id="3" name="Rectangle: Rounded Corners 2">
          <a:extLst>
            <a:ext uri="{FF2B5EF4-FFF2-40B4-BE49-F238E27FC236}">
              <a16:creationId xmlns:a16="http://schemas.microsoft.com/office/drawing/2014/main" id="{BE8AE704-AFB2-A6B9-685E-C5EF2C4B6DE4}"/>
            </a:ext>
          </a:extLst>
        </xdr:cNvPr>
        <xdr:cNvSpPr/>
      </xdr:nvSpPr>
      <xdr:spPr>
        <a:xfrm>
          <a:off x="23399750" y="184150"/>
          <a:ext cx="4622800" cy="82105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r>
            <a:rPr lang="en-GB" sz="1400" b="1">
              <a:effectLst/>
            </a:rPr>
            <a:t>Duplicates</a:t>
          </a:r>
          <a:endParaRPr lang="en-GB" sz="1400">
            <a:effectLst/>
          </a:endParaRPr>
        </a:p>
        <a:p>
          <a:r>
            <a:rPr lang="en-GB" sz="1400" b="1">
              <a:effectLst/>
            </a:rPr>
            <a:t>- </a:t>
          </a:r>
          <a:r>
            <a:rPr lang="en-GB" sz="1400">
              <a:effectLst/>
            </a:rPr>
            <a:t>Sorted the data by order date, then counted the number of duplicates in the OrderID column (=IF(COUNTIF($A$2:2, A2)=1, "Original", "Duplicate").</a:t>
          </a:r>
        </a:p>
        <a:p>
          <a:r>
            <a:rPr lang="en-GB" sz="1400">
              <a:effectLst/>
            </a:rPr>
            <a:t>- The criteria applied is that the oldest OrderID is the original, and subsequent similar OrderIDs are duplicates.</a:t>
          </a:r>
        </a:p>
        <a:p>
          <a:r>
            <a:rPr lang="en-GB" sz="1400">
              <a:effectLst/>
            </a:rPr>
            <a:t>-Next, filtered the duplicate column and deleted all rows with duplicates.</a:t>
          </a:r>
        </a:p>
        <a:p>
          <a:r>
            <a:rPr lang="en-GB" sz="1400" b="1">
              <a:effectLst/>
            </a:rPr>
            <a:t>MISSING VALUES</a:t>
          </a:r>
          <a:endParaRPr lang="en-GB" sz="1400">
            <a:effectLst/>
          </a:endParaRPr>
        </a:p>
        <a:p>
          <a:r>
            <a:rPr lang="en-GB" sz="1400">
              <a:effectLst/>
            </a:rPr>
            <a:t>- Missing values were handled using business-appropriate placeholders. City and Channel fields were replaced with “Unknown” where data was missing to avoid inaccurate assumptions while still retaining the sales records for analysis. Missing salesperson values were labeled as “Unassigned” to reflect incomplete attribution without removing valid transactions.</a:t>
          </a:r>
        </a:p>
        <a:p>
          <a:r>
            <a:rPr lang="en-GB" sz="1400" b="1">
              <a:effectLst/>
            </a:rPr>
            <a:t>Negative Unit Price</a:t>
          </a:r>
          <a:endParaRPr lang="en-GB" sz="1400">
            <a:effectLst/>
          </a:endParaRPr>
        </a:p>
        <a:p>
          <a:r>
            <a:rPr lang="en-GB" sz="1400">
              <a:effectLst/>
            </a:rPr>
            <a:t>Negative UnitPrice values were treated as data entry errors rather than unit prices, as unit prices cannot be negative in standard sales records and no return indicator was present in the dataset. These values were corrected by calculating the price by assuming a 20% markup above the unit cost.</a:t>
          </a:r>
        </a:p>
        <a:p>
          <a:r>
            <a:rPr lang="en-GB" sz="1400" b="1">
              <a:effectLst/>
            </a:rPr>
            <a:t>DISCOUNT &gt; 30%</a:t>
          </a:r>
          <a:endParaRPr lang="en-GB" sz="1400">
            <a:effectLst/>
          </a:endParaRPr>
        </a:p>
        <a:p>
          <a:r>
            <a:rPr lang="en-GB" sz="1400">
              <a:effectLst/>
            </a:rPr>
            <a:t>-  A discount value greater than 30% was considered a data entry error; the discounts greater than 30% were flagged and capped at 30%.</a:t>
          </a:r>
        </a:p>
        <a:p>
          <a:r>
            <a:rPr lang="en-GB" sz="1400" b="1">
              <a:effectLst/>
            </a:rPr>
            <a:t>Required Date Fixed</a:t>
          </a:r>
          <a:endParaRPr lang="en-GB" sz="1400">
            <a:effectLst/>
          </a:endParaRPr>
        </a:p>
        <a:p>
          <a:r>
            <a:rPr lang="en-GB" sz="1400">
              <a:effectLst/>
            </a:rPr>
            <a:t>- RequiredDate values earlier than OrderDate were flagged as invalid, as orders cannot be required before being placed. These records were corrected by imputing a RequiredDate equal to the OrderDate plus a standard processing period of five calendar days.</a:t>
          </a:r>
        </a:p>
      </xdr:txBody>
    </xdr:sp>
    <xdr:clientData/>
  </xdr:twoCellAnchor>
  <xdr:twoCellAnchor>
    <xdr:from>
      <xdr:col>18</xdr:col>
      <xdr:colOff>339725</xdr:colOff>
      <xdr:row>4</xdr:row>
      <xdr:rowOff>22225</xdr:rowOff>
    </xdr:from>
    <xdr:to>
      <xdr:col>24</xdr:col>
      <xdr:colOff>155575</xdr:colOff>
      <xdr:row>19</xdr:row>
      <xdr:rowOff>3175</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2ADA3CAE-AC8A-C425-129C-D8EE9AA4BFB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8475325" y="758825"/>
              <a:ext cx="457200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19050</xdr:colOff>
          <xdr:row>1</xdr:row>
          <xdr:rowOff>0</xdr:rowOff>
        </xdr:from>
        <xdr:to>
          <xdr:col>0</xdr:col>
          <xdr:colOff>1225550</xdr:colOff>
          <xdr:row>2</xdr:row>
          <xdr:rowOff>0</xdr:rowOff>
        </xdr:to>
        <xdr:sp macro="" textlink="">
          <xdr:nvSpPr>
            <xdr:cNvPr id="8193" name="Scroll Bar 1" hidden="1">
              <a:extLst>
                <a:ext uri="{63B3BB69-23CF-44E3-9099-C40C66FF867C}">
                  <a14:compatExt spid="_x0000_s8193"/>
                </a:ext>
                <a:ext uri="{FF2B5EF4-FFF2-40B4-BE49-F238E27FC236}">
                  <a16:creationId xmlns:a16="http://schemas.microsoft.com/office/drawing/2014/main" id="{00000000-0008-0000-0500-0000012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2</xdr:row>
          <xdr:rowOff>25400</xdr:rowOff>
        </xdr:from>
        <xdr:to>
          <xdr:col>1</xdr:col>
          <xdr:colOff>12700</xdr:colOff>
          <xdr:row>3</xdr:row>
          <xdr:rowOff>12700</xdr:rowOff>
        </xdr:to>
        <xdr:sp macro="" textlink="">
          <xdr:nvSpPr>
            <xdr:cNvPr id="8194" name="Scroll Bar 2" hidden="1">
              <a:extLst>
                <a:ext uri="{63B3BB69-23CF-44E3-9099-C40C66FF867C}">
                  <a14:compatExt spid="_x0000_s8194"/>
                </a:ext>
                <a:ext uri="{FF2B5EF4-FFF2-40B4-BE49-F238E27FC236}">
                  <a16:creationId xmlns:a16="http://schemas.microsoft.com/office/drawing/2014/main" id="{00000000-0008-0000-0500-0000022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12700</xdr:colOff>
          <xdr:row>3</xdr:row>
          <xdr:rowOff>25400</xdr:rowOff>
        </xdr:from>
        <xdr:to>
          <xdr:col>1</xdr:col>
          <xdr:colOff>19050</xdr:colOff>
          <xdr:row>4</xdr:row>
          <xdr:rowOff>31750</xdr:rowOff>
        </xdr:to>
        <xdr:sp macro="" textlink="">
          <xdr:nvSpPr>
            <xdr:cNvPr id="8195" name="Scroll Bar 3" hidden="1">
              <a:extLst>
                <a:ext uri="{63B3BB69-23CF-44E3-9099-C40C66FF867C}">
                  <a14:compatExt spid="_x0000_s8195"/>
                </a:ext>
                <a:ext uri="{FF2B5EF4-FFF2-40B4-BE49-F238E27FC236}">
                  <a16:creationId xmlns:a16="http://schemas.microsoft.com/office/drawing/2014/main" id="{00000000-0008-0000-0500-0000032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16</xdr:col>
      <xdr:colOff>578884</xdr:colOff>
      <xdr:row>3</xdr:row>
      <xdr:rowOff>108838</xdr:rowOff>
    </xdr:from>
    <xdr:to>
      <xdr:col>22</xdr:col>
      <xdr:colOff>565593</xdr:colOff>
      <xdr:row>19</xdr:row>
      <xdr:rowOff>103373</xdr:rowOff>
    </xdr:to>
    <xdr:graphicFrame macro="">
      <xdr:nvGraphicFramePr>
        <xdr:cNvPr id="3" name="Chart 2">
          <a:extLst>
            <a:ext uri="{FF2B5EF4-FFF2-40B4-BE49-F238E27FC236}">
              <a16:creationId xmlns:a16="http://schemas.microsoft.com/office/drawing/2014/main" id="{AD989C2B-6C30-D22A-61D6-6F5008C91A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260350</xdr:colOff>
      <xdr:row>11</xdr:row>
      <xdr:rowOff>63500</xdr:rowOff>
    </xdr:from>
    <xdr:to>
      <xdr:col>4</xdr:col>
      <xdr:colOff>349250</xdr:colOff>
      <xdr:row>16</xdr:row>
      <xdr:rowOff>38100</xdr:rowOff>
    </xdr:to>
    <xdr:sp macro="" textlink="">
      <xdr:nvSpPr>
        <xdr:cNvPr id="2" name="TextBox 1">
          <a:extLst>
            <a:ext uri="{FF2B5EF4-FFF2-40B4-BE49-F238E27FC236}">
              <a16:creationId xmlns:a16="http://schemas.microsoft.com/office/drawing/2014/main" id="{44E07D51-EB3D-247C-AF7B-FE04BABC69BB}"/>
            </a:ext>
          </a:extLst>
        </xdr:cNvPr>
        <xdr:cNvSpPr txBox="1"/>
      </xdr:nvSpPr>
      <xdr:spPr>
        <a:xfrm>
          <a:off x="260350" y="2089150"/>
          <a:ext cx="4013200" cy="895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Online Retail</a:t>
          </a:r>
          <a:r>
            <a:rPr lang="en-GB" sz="1100" baseline="0"/>
            <a:t> Cannibalizes in the Americas(Highest)</a:t>
          </a:r>
          <a:endParaRPr lang="en-GB"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222250</xdr:colOff>
      <xdr:row>4</xdr:row>
      <xdr:rowOff>146050</xdr:rowOff>
    </xdr:from>
    <xdr:to>
      <xdr:col>8</xdr:col>
      <xdr:colOff>44450</xdr:colOff>
      <xdr:row>19</xdr:row>
      <xdr:rowOff>127000</xdr:rowOff>
    </xdr:to>
    <xdr:graphicFrame macro="">
      <xdr:nvGraphicFramePr>
        <xdr:cNvPr id="2" name="Chart 1">
          <a:extLst>
            <a:ext uri="{FF2B5EF4-FFF2-40B4-BE49-F238E27FC236}">
              <a16:creationId xmlns:a16="http://schemas.microsoft.com/office/drawing/2014/main" id="{C125F77E-8177-A81D-46C3-71A2BD47F9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139700</xdr:colOff>
      <xdr:row>1</xdr:row>
      <xdr:rowOff>88900</xdr:rowOff>
    </xdr:from>
    <xdr:to>
      <xdr:col>9</xdr:col>
      <xdr:colOff>444500</xdr:colOff>
      <xdr:row>16</xdr:row>
      <xdr:rowOff>69850</xdr:rowOff>
    </xdr:to>
    <xdr:graphicFrame macro="">
      <xdr:nvGraphicFramePr>
        <xdr:cNvPr id="3" name="Chart 2">
          <a:extLst>
            <a:ext uri="{FF2B5EF4-FFF2-40B4-BE49-F238E27FC236}">
              <a16:creationId xmlns:a16="http://schemas.microsoft.com/office/drawing/2014/main" id="{B9486F23-3062-4780-47F8-50F41CBE34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88900</xdr:colOff>
      <xdr:row>0</xdr:row>
      <xdr:rowOff>88900</xdr:rowOff>
    </xdr:from>
    <xdr:to>
      <xdr:col>13</xdr:col>
      <xdr:colOff>88900</xdr:colOff>
      <xdr:row>14</xdr:row>
      <xdr:rowOff>34925</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C24F5BB0-3550-A8C8-0663-F65F5BF0253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169150" y="8890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44450</xdr:colOff>
      <xdr:row>4</xdr:row>
      <xdr:rowOff>0</xdr:rowOff>
    </xdr:from>
    <xdr:to>
      <xdr:col>19</xdr:col>
      <xdr:colOff>44450</xdr:colOff>
      <xdr:row>17</xdr:row>
      <xdr:rowOff>130175</xdr:rowOff>
    </xdr:to>
    <mc:AlternateContent xmlns:mc="http://schemas.openxmlformats.org/markup-compatibility/2006" xmlns:a14="http://schemas.microsoft.com/office/drawing/2010/main">
      <mc:Choice Requires="a14">
        <xdr:graphicFrame macro="">
          <xdr:nvGraphicFramePr>
            <xdr:cNvPr id="5" name="Country">
              <a:extLst>
                <a:ext uri="{FF2B5EF4-FFF2-40B4-BE49-F238E27FC236}">
                  <a16:creationId xmlns:a16="http://schemas.microsoft.com/office/drawing/2014/main" id="{618C1C5A-EF14-56D1-8E19-D6BA6612ED1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782300" y="73660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425450</xdr:colOff>
      <xdr:row>10</xdr:row>
      <xdr:rowOff>177800</xdr:rowOff>
    </xdr:from>
    <xdr:to>
      <xdr:col>12</xdr:col>
      <xdr:colOff>425450</xdr:colOff>
      <xdr:row>24</xdr:row>
      <xdr:rowOff>123825</xdr:rowOff>
    </xdr:to>
    <mc:AlternateContent xmlns:mc="http://schemas.openxmlformats.org/markup-compatibility/2006" xmlns:a14="http://schemas.microsoft.com/office/drawing/2010/main">
      <mc:Choice Requires="a14">
        <xdr:graphicFrame macro="">
          <xdr:nvGraphicFramePr>
            <xdr:cNvPr id="6" name="Channel">
              <a:extLst>
                <a:ext uri="{FF2B5EF4-FFF2-40B4-BE49-F238E27FC236}">
                  <a16:creationId xmlns:a16="http://schemas.microsoft.com/office/drawing/2014/main" id="{42E40DDB-6619-89F2-DF04-81643227E560}"/>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6896100" y="201930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596900</xdr:colOff>
      <xdr:row>5</xdr:row>
      <xdr:rowOff>82550</xdr:rowOff>
    </xdr:from>
    <xdr:to>
      <xdr:col>15</xdr:col>
      <xdr:colOff>596900</xdr:colOff>
      <xdr:row>19</xdr:row>
      <xdr:rowOff>28575</xdr:rowOff>
    </xdr:to>
    <mc:AlternateContent xmlns:mc="http://schemas.openxmlformats.org/markup-compatibility/2006" xmlns:a14="http://schemas.microsoft.com/office/drawing/2010/main">
      <mc:Choice Requires="a14">
        <xdr:graphicFrame macro="">
          <xdr:nvGraphicFramePr>
            <xdr:cNvPr id="7" name="ProductCategory">
              <a:extLst>
                <a:ext uri="{FF2B5EF4-FFF2-40B4-BE49-F238E27FC236}">
                  <a16:creationId xmlns:a16="http://schemas.microsoft.com/office/drawing/2014/main" id="{1DBF972D-DE0F-99E4-EA85-45D9514EF345}"/>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8896350" y="100330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558800</xdr:colOff>
      <xdr:row>12</xdr:row>
      <xdr:rowOff>158750</xdr:rowOff>
    </xdr:from>
    <xdr:to>
      <xdr:col>8</xdr:col>
      <xdr:colOff>558800</xdr:colOff>
      <xdr:row>26</xdr:row>
      <xdr:rowOff>104775</xdr:rowOff>
    </xdr:to>
    <mc:AlternateContent xmlns:mc="http://schemas.openxmlformats.org/markup-compatibility/2006" xmlns:a14="http://schemas.microsoft.com/office/drawing/2010/main">
      <mc:Choice Requires="a14">
        <xdr:graphicFrame macro="">
          <xdr:nvGraphicFramePr>
            <xdr:cNvPr id="9" name="Salesperson">
              <a:extLst>
                <a:ext uri="{FF2B5EF4-FFF2-40B4-BE49-F238E27FC236}">
                  <a16:creationId xmlns:a16="http://schemas.microsoft.com/office/drawing/2014/main" id="{9953871D-891D-542D-1EFE-A95C0911A32A}"/>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4591050" y="236855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419100</xdr:colOff>
      <xdr:row>1</xdr:row>
      <xdr:rowOff>177800</xdr:rowOff>
    </xdr:from>
    <xdr:to>
      <xdr:col>9</xdr:col>
      <xdr:colOff>412750</xdr:colOff>
      <xdr:row>16</xdr:row>
      <xdr:rowOff>158750</xdr:rowOff>
    </xdr:to>
    <xdr:graphicFrame macro="">
      <xdr:nvGraphicFramePr>
        <xdr:cNvPr id="2" name="Chart 1">
          <a:extLst>
            <a:ext uri="{FF2B5EF4-FFF2-40B4-BE49-F238E27FC236}">
              <a16:creationId xmlns:a16="http://schemas.microsoft.com/office/drawing/2014/main" id="{38778911-8BFA-105F-3574-291A24620A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1" refreshedDate="46046.504188888888" createdVersion="8" refreshedVersion="8" minRefreshableVersion="3" recordCount="631" xr:uid="{0F35FDA1-80BB-4715-9DBA-FD7B64A5CF23}">
  <cacheSource type="worksheet">
    <worksheetSource ref="A1:AC632" sheet="Part A (2&amp;3)"/>
  </cacheSource>
  <cacheFields count="34">
    <cacheField name="OrderID" numFmtId="49">
      <sharedItems count="631">
        <s v="ORD-2023-723587"/>
        <s v="ORD-2023-689428"/>
        <s v="ORD-2023-884192"/>
        <s v="ORD-2023-700699"/>
        <s v="ORD-2023-382017"/>
        <s v="ORD-2023-112666"/>
        <s v="ORD-2023-780206"/>
        <s v="ORD-2023-586275"/>
        <s v="ORD-2023-521818"/>
        <s v="ORD-2023-613317"/>
        <s v="ORD-2023-811823"/>
        <s v="ORD-2023-430904"/>
        <s v="ORD-2023-856322"/>
        <s v="ORD-2023-575584"/>
        <s v="ORD-2023-855675"/>
        <s v="ORD-2023-271836"/>
        <s v="ORD-2023-159379"/>
        <s v="ORD-2023-960380"/>
        <s v="ORD-2023-480975"/>
        <s v="ORD-2023-884625"/>
        <s v="ORD-2023-848013"/>
        <s v="ORD-2023-156396"/>
        <s v="ORD-2023-562894"/>
        <s v="ORD-2023-735274"/>
        <s v="ORD-2023-744942"/>
        <s v="ORD-2023-286994"/>
        <s v="ORD-2023-619493"/>
        <s v="ORD-2023-373538"/>
        <s v="ORD-2023-422918"/>
        <s v="ORD-2023-888245"/>
        <s v="ORD-2023-472078"/>
        <s v="ORD-2023-869884"/>
        <s v="ORD-2023-139236"/>
        <s v="ORD-2023-276806"/>
        <s v="ORD-2023-854471"/>
        <s v="ORD-2023-949710"/>
        <s v="ORD-2023-281890"/>
        <s v="ORD-2023-946143"/>
        <s v="ORD-2023-799597"/>
        <s v="ORD-2023-933238"/>
        <s v="ORD-2023-548874"/>
        <s v="ORD-2023-835010"/>
        <s v="ORD-2023-240507"/>
        <s v="ORD-2023-864121"/>
        <s v="ORD-2023-419187"/>
        <s v="ORD-2023-613287"/>
        <s v="ORD-2023-727290"/>
        <s v="ORD-2023-987700"/>
        <s v="ORD-2023-868734"/>
        <s v="ORD-2023-545150"/>
        <s v="ORD-2023-294716"/>
        <s v="ORD-2023-867285"/>
        <s v="ORD-2023-766015"/>
        <s v="ORD-2023-867166"/>
        <s v="ORD-2023-356427"/>
        <s v="ORD-2023-897079"/>
        <s v="ORD-2023-701153"/>
        <s v="ORD-2023-609394"/>
        <s v="ORD-2023-664790"/>
        <s v="ORD-2023-157993"/>
        <s v="ORD-2023-308124"/>
        <s v="ORD-2023-390998"/>
        <s v="ORD-2023-501220"/>
        <s v="ORD-2023-747341"/>
        <s v="ORD-2023-256951"/>
        <s v="ORD-2023-809913"/>
        <s v="ORD-2023-752962"/>
        <s v="ORD-2023-107265"/>
        <s v="ORD-2023-937291"/>
        <s v="ORD-2023-340056"/>
        <s v="ORD-2023-125739"/>
        <s v="ORD-2023-906481"/>
        <s v="ORD-2023-880296"/>
        <s v="ORD-2023-573656"/>
        <s v="ORD-2023-378676"/>
        <s v="ORD-2023-177794"/>
        <s v="ORD-2023-898009"/>
        <s v="ORD-2023-363031"/>
        <s v="ORD-2023-632893"/>
        <s v="ORD-2023-144816"/>
        <s v="ORD-2023-957692"/>
        <s v="ORD-2023-913592"/>
        <s v="ORD-2023-472050"/>
        <s v="ORD-2023-867836"/>
        <s v="ORD-2023-251563"/>
        <s v="ORD-2023-931633"/>
        <s v="ORD-2023-184577"/>
        <s v="ORD-2023-704111"/>
        <s v="ORD-2023-382272"/>
        <s v="ORD-2023-638181"/>
        <s v="ORD-2023-676553"/>
        <s v="ORD-2023-603650"/>
        <s v="ORD-2023-588455"/>
        <s v="ORD-2023-172095"/>
        <s v="ORD-2023-521280"/>
        <s v="ORD-2023-927385"/>
        <s v="ORD-2023-349264"/>
        <s v="ORD-2023-868460"/>
        <s v="ORD-2023-244375"/>
        <s v="ORD-2023-386663"/>
        <s v="ORD-2023-427304"/>
        <s v="ORD-2023-536542"/>
        <s v="ORD-2023-769774"/>
        <s v="ORD-2023-290279"/>
        <s v="ORD-2023-715175"/>
        <s v="ORD-2023-173313"/>
        <s v="ORD-2023-651638"/>
        <s v="ORD-2023-602648"/>
        <s v="ORD-2023-594955"/>
        <s v="ORD-2023-434071"/>
        <s v="ORD-2023-399631"/>
        <s v="ORD-2023-128295"/>
        <s v="ORD-2023-921939"/>
        <s v="ORD-2023-374486"/>
        <s v="ORD-2023-610470"/>
        <s v="ORD-2023-890605"/>
        <s v="ORD-2023-258768"/>
        <s v="ORD-2023-159821"/>
        <s v="ORD-2023-215819"/>
        <s v="ORD-2023-453699"/>
        <s v="ORD-2023-920483"/>
        <s v="ORD-2023-497686"/>
        <s v="ORD-2023-309373"/>
        <s v="ORD-2023-621393"/>
        <s v="ORD-2023-286720"/>
        <s v="ORD-2023-539967"/>
        <s v="ORD-2023-292714"/>
        <s v="ORD-2023-825084"/>
        <s v="ORD-2023-479747"/>
        <s v="ORD-2023-569862"/>
        <s v="ORD-2023-369150"/>
        <s v="ORD-2023-594700"/>
        <s v="ORD-2023-825836"/>
        <s v="ORD-2023-109927"/>
        <s v="ORD-2023-369160"/>
        <s v="ORD-2023-261081"/>
        <s v="ORD-2023-660608"/>
        <s v="ORD-2023-912395"/>
        <s v="ORD-2023-290237"/>
        <s v="ORD-2023-451931"/>
        <s v="ORD-2023-713614"/>
        <s v="ORD-2023-253245"/>
        <s v="ORD-2023-885216"/>
        <s v="ORD-2023-548934"/>
        <s v="ORD-2023-630430"/>
        <s v="ORD-2023-197661"/>
        <s v="ORD-2023-867175"/>
        <s v="ORD-2023-883066"/>
        <s v="ORD-2023-133848"/>
        <s v="ORD-2023-274037"/>
        <s v="ORD-2023-525643"/>
        <s v="ORD-2023-749324"/>
        <s v="ORD-2023-343322"/>
        <s v="ORD-2023-334213"/>
        <s v="ORD-2023-603238"/>
        <s v="ORD-2023-375011"/>
        <s v="ORD-2023-640022"/>
        <s v="ORD-2023-732585"/>
        <s v="ORD-2023-713375"/>
        <s v="ORD-2023-664749"/>
        <s v="ORD-2023-987081"/>
        <s v="ORD-2023-243704"/>
        <s v="ORD-2023-235230"/>
        <s v="ORD-2023-944052"/>
        <s v="ORD-2023-488227"/>
        <s v="ORD-2023-755337"/>
        <s v="ORD-2023-192324"/>
        <s v="ORD-2023-552115"/>
        <s v="ORD-2023-722117"/>
        <s v="ORD-2023-517216"/>
        <s v="ORD-2023-842820"/>
        <s v="ORD-2023-450877"/>
        <s v="ORD-2023-271918"/>
        <s v="ORD-2023-132101"/>
        <s v="ORD-2023-619385"/>
        <s v="ORD-2023-568013"/>
        <s v="ORD-2023-302041"/>
        <s v="ORD-2023-474313"/>
        <s v="ORD-2023-166668"/>
        <s v="ORD-2023-304451"/>
        <s v="ORD-2023-368449"/>
        <s v="ORD-2023-502205"/>
        <s v="ORD-2023-888140"/>
        <s v="ORD-2023-623293"/>
        <s v="ORD-2023-925146"/>
        <s v="ORD-2023-378104"/>
        <s v="ORD-2023-667815"/>
        <s v="ORD-2023-659070"/>
        <s v="ORD-2023-163610"/>
        <s v="ORD-2023-597666"/>
        <s v="ORD-2023-406606"/>
        <s v="ORD-2023-835226"/>
        <s v="ORD-2023-211715"/>
        <s v="ORD-2023-842488"/>
        <s v="ORD-2023-653343"/>
        <s v="ORD-2023-619570"/>
        <s v="ORD-2023-181257"/>
        <s v="ORD-2023-576840"/>
        <s v="ORD-2023-561823"/>
        <s v="ORD-2023-455933"/>
        <s v="ORD-2023-975863"/>
        <s v="ORD-2023-964434"/>
        <s v="ORD-2023-825495"/>
        <s v="ORD-2023-191563"/>
        <s v="ORD-2023-573146"/>
        <s v="ORD-2023-212701"/>
        <s v="ORD-2023-239789"/>
        <s v="ORD-2023-581799"/>
        <s v="ORD-2023-824839"/>
        <s v="ORD-2023-596758"/>
        <s v="ORD-2023-961864"/>
        <s v="ORD-2023-674887"/>
        <s v="ORD-2023-728177"/>
        <s v="ORD-2023-195665"/>
        <s v="ORD-2023-126505"/>
        <s v="ORD-2023-431328"/>
        <s v="ORD-2023-208944"/>
        <s v="ORD-2023-841426"/>
        <s v="ORD-2023-249805"/>
        <s v="ORD-2023-967239"/>
        <s v="ORD-2023-580751"/>
        <s v="ORD-2023-813340"/>
        <s v="ORD-2023-974506"/>
        <s v="ORD-2023-178249"/>
        <s v="ORD-2023-808024"/>
        <s v="ORD-2024-921935"/>
        <s v="ORD-2024-719055"/>
        <s v="ORD-2024-105586"/>
        <s v="ORD-2024-355095"/>
        <s v="ORD-2024-872291"/>
        <s v="ORD-2024-885858"/>
        <s v="ORD-2024-296582"/>
        <s v="ORD-2024-281211"/>
        <s v="ORD-2024-999607"/>
        <s v="ORD-2024-153053"/>
        <s v="ORD-2024-851883"/>
        <s v="ORD-2024-366010"/>
        <s v="ORD-2024-206311"/>
        <s v="ORD-2024-749242"/>
        <s v="ORD-2024-892173"/>
        <s v="ORD-2024-890180"/>
        <s v="ORD-2024-604471"/>
        <s v="ORD-2024-207669"/>
        <s v="ORD-2024-499009"/>
        <s v="ORD-2024-532184"/>
        <s v="ORD-2024-210687"/>
        <s v="ORD-2024-277241"/>
        <s v="ORD-2024-838925"/>
        <s v="ORD-2024-764468"/>
        <s v="ORD-2024-331408"/>
        <s v="ORD-2024-960952"/>
        <s v="ORD-2024-760799"/>
        <s v="ORD-2024-647571"/>
        <s v="ORD-2024-979401"/>
        <s v="ORD-2024-968374"/>
        <s v="ORD-2024-232632"/>
        <s v="ORD-2024-544865"/>
        <s v="ORD-2024-647473"/>
        <s v="ORD-2024-201376"/>
        <s v="ORD-2024-206121"/>
        <s v="ORD-2024-129345"/>
        <s v="ORD-2024-468655"/>
        <s v="ORD-2024-437164"/>
        <s v="ORD-2024-811752"/>
        <s v="ORD-2024-515105"/>
        <s v="ORD-2024-197852"/>
        <s v="ORD-2024-516704"/>
        <s v="ORD-2024-792137"/>
        <s v="ORD-2024-961501"/>
        <s v="ORD-2024-868223"/>
        <s v="ORD-2024-419248"/>
        <s v="ORD-2024-853298"/>
        <s v="ORD-2024-692673"/>
        <s v="ORD-2024-356812"/>
        <s v="ORD-2024-343877"/>
        <s v="ORD-2024-251426"/>
        <s v="ORD-2024-907733"/>
        <s v="ORD-2024-906395"/>
        <s v="ORD-2024-275203"/>
        <s v="ORD-2024-687073"/>
        <s v="ORD-2024-243988"/>
        <s v="ORD-2024-220234"/>
        <s v="ORD-2024-834983"/>
        <s v="ORD-2024-287210"/>
        <s v="ORD-2024-446030"/>
        <s v="ORD-2024-207096"/>
        <s v="ORD-2024-948800"/>
        <s v="ORD-2024-897622"/>
        <s v="ORD-2024-745822"/>
        <s v="ORD-2024-219735"/>
        <s v="ORD-2024-510591"/>
        <s v="ORD-2024-211453"/>
        <s v="ORD-2024-310809"/>
        <s v="ORD-2024-594592"/>
        <s v="ORD-2024-332076"/>
        <s v="ORD-2024-939873"/>
        <s v="ORD-2024-364080"/>
        <s v="ORD-2024-629525"/>
        <s v="ORD-2024-599522"/>
        <s v="ORD-2024-247032"/>
        <s v="ORD-2024-833375"/>
        <s v="ORD-2024-567435"/>
        <s v="ORD-2024-855600"/>
        <s v="ORD-2024-851993"/>
        <s v="ORD-2024-402240"/>
        <s v="ORD-2024-589570"/>
        <s v="ORD-2024-202166"/>
        <s v="ORD-2024-527858"/>
        <s v="ORD-2024-641220"/>
        <s v="ORD-2024-973420"/>
        <s v="ORD-2024-548345"/>
        <s v="ORD-2024-690270"/>
        <s v="ORD-2024-500109"/>
        <s v="ORD-2024-375848"/>
        <s v="ORD-2024-555229"/>
        <s v="ORD-2024-503082"/>
        <s v="ORD-2024-389336"/>
        <s v="ORD-2024-155337"/>
        <s v="ORD-2024-347736"/>
        <s v="ORD-2024-329104"/>
        <s v="ORD-2024-970848"/>
        <s v="ORD-2024-403664"/>
        <s v="ORD-2024-578646"/>
        <s v="ORD-2024-638884"/>
        <s v="ORD-2024-819979"/>
        <s v="ORD-2024-605518"/>
        <s v="ORD-2024-166150"/>
        <s v="ORD-2024-819778"/>
        <s v="ORD-2024-886939"/>
        <s v="ORD-2024-134084"/>
        <s v="ORD-2024-713332"/>
        <s v="ORD-2024-465898"/>
        <s v="ORD-2024-584090"/>
        <s v="ORD-2024-626925"/>
        <s v="ORD-2024-427031"/>
        <s v="ORD-2024-909942"/>
        <s v="ORD-2024-223618"/>
        <s v="ORD-2024-566589"/>
        <s v="ORD-2024-389102"/>
        <s v="ORD-2024-580808"/>
        <s v="ORD-2024-572312"/>
        <s v="ORD-2024-878493"/>
        <s v="ORD-2024-704056"/>
        <s v="ORD-2024-787018"/>
        <s v="ORD-2024-341535"/>
        <s v="ORD-2024-919471"/>
        <s v="ORD-2024-215294"/>
        <s v="ORD-2024-451005"/>
        <s v="ORD-2024-442776"/>
        <s v="ORD-2024-892879"/>
        <s v="ORD-2024-468615"/>
        <s v="ORD-2024-571797"/>
        <s v="ORD-2024-892908"/>
        <s v="ORD-2024-202877"/>
        <s v="ORD-2024-605629"/>
        <s v="ORD-2024-398783"/>
        <s v="ORD-2024-855073"/>
        <s v="ORD-2024-678110"/>
        <s v="ORD-2024-798002"/>
        <s v="ORD-2024-901115"/>
        <s v="ORD-2024-817997"/>
        <s v="ORD-2024-301260"/>
        <s v="ORD-2024-947056"/>
        <s v="ORD-2024-689872"/>
        <s v="ORD-2024-433936"/>
        <s v="ORD-2024-136321"/>
        <s v="ORD-2024-915495"/>
        <s v="ORD-2024-307849"/>
        <s v="ORD-2024-212990"/>
        <s v="ORD-2024-626750"/>
        <s v="ORD-2024-286833"/>
        <s v="ORD-2024-353078"/>
        <s v="ORD-2024-585443"/>
        <s v="ORD-2024-993481"/>
        <s v="ORD-2024-792353"/>
        <s v="ORD-2024-550400"/>
        <s v="ORD-2024-745424"/>
        <s v="ORD-2024-167215"/>
        <s v="ORD-2024-635626"/>
        <s v="ORD-2024-553449"/>
        <s v="ORD-2024-446699"/>
        <s v="ORD-2024-542244"/>
        <s v="ORD-2024-536442"/>
        <s v="ORD-2024-664046"/>
        <s v="ORD-2024-423853"/>
        <s v="ORD-2024-207792"/>
        <s v="ORD-2024-569164"/>
        <s v="ORD-2024-972999"/>
        <s v="ORD-2024-594527"/>
        <s v="ORD-2024-862371"/>
        <s v="ORD-2024-581530"/>
        <s v="ORD-2024-988736"/>
        <s v="ORD-2024-500890"/>
        <s v="ORD-2024-728474"/>
        <s v="ORD-2024-687100"/>
        <s v="ORD-2024-805860"/>
        <s v="ORD-2024-771210"/>
        <s v="ORD-2024-777623"/>
        <s v="ORD-2024-444710"/>
        <s v="ORD-2024-438404"/>
        <s v="ORD-2024-510520"/>
        <s v="ORD-2024-686712"/>
        <s v="ORD-2024-237478"/>
        <s v="ORD-2024-997336"/>
        <s v="ORD-2024-500511"/>
        <s v="ORD-2024-942981"/>
        <s v="ORD-2024-964950"/>
        <s v="ORD-2024-720756"/>
        <s v="ORD-2024-756884"/>
        <s v="ORD-2024-966651"/>
        <s v="ORD-2024-792558"/>
        <s v="ORD-2024-260775"/>
        <s v="ORD-2024-741404"/>
        <s v="ORD-2024-640340"/>
        <s v="ORD-2024-358795"/>
        <s v="ORD-2024-668926"/>
        <s v="ORD-2024-732543"/>
        <s v="ORD-2024-998320"/>
        <s v="ORD-2024-250862"/>
        <s v="ORD-2024-350100"/>
        <s v="ORD-2024-333192"/>
        <s v="ORD-2024-357368"/>
        <s v="ORD-2024-381197"/>
        <s v="ORD-2024-247979"/>
        <s v="ORD-2024-588972"/>
        <s v="ORD-2024-925626"/>
        <s v="ORD-2024-766980"/>
        <s v="ORD-2024-170021"/>
        <s v="ORD-2024-468501"/>
        <s v="ORD-2024-225829"/>
        <s v="ORD-2024-320972"/>
        <s v="ORD-2024-496601"/>
        <s v="ORD-2024-776337"/>
        <s v="ORD-2024-371409"/>
        <s v="ORD-2024-783321"/>
        <s v="ORD-2024-192263"/>
        <s v="ORD-2024-508213"/>
        <s v="ORD-2024-961756"/>
        <s v="ORD-2024-266562"/>
        <s v="ORD-2024-788105"/>
        <s v="ORD-2024-655710"/>
        <s v="ORD-2024-331226"/>
        <s v="ORD-2024-866535"/>
        <s v="ORD-2024-478165"/>
        <s v="ORD-2024-140633"/>
        <s v="ORD-2024-382152"/>
        <s v="ORD-2024-206081"/>
        <s v="ORD-2024-837651"/>
        <s v="ORD-2024-102866"/>
        <s v="ORD-2024-836421"/>
        <s v="ORD-2024-800947"/>
        <s v="ORD-2024-289089"/>
        <s v="ORD-2024-930679"/>
        <s v="ORD-2024-390951"/>
        <s v="ORD-2024-164288"/>
        <s v="ORD-2024-902741"/>
        <s v="ORD-2024-972318"/>
        <s v="ORD-2024-336584"/>
        <s v="ORD-2024-170313"/>
        <s v="ORD-2024-474999"/>
        <s v="ORD-2024-257550"/>
        <s v="ORD-2024-651852"/>
        <s v="ORD-2024-165942"/>
        <s v="ORD-2025-515515"/>
        <s v="ORD-2025-137394"/>
        <s v="ORD-2025-636162"/>
        <s v="ORD-2025-354346"/>
        <s v="ORD-2025-149156"/>
        <s v="ORD-2025-653781"/>
        <s v="ORD-2025-542939"/>
        <s v="ORD-2025-649239"/>
        <s v="ORD-2025-909340"/>
        <s v="ORD-2025-578007"/>
        <s v="ORD-2025-146850"/>
        <s v="ORD-2025-939953"/>
        <s v="ORD-2025-415018"/>
        <s v="ORD-2025-328504"/>
        <s v="ORD-2025-564184"/>
        <s v="ORD-2025-192876"/>
        <s v="ORD-2025-898843"/>
        <s v="ORD-2025-964661"/>
        <s v="ORD-2025-659650"/>
        <s v="ORD-2025-915869"/>
        <s v="ORD-2025-460466"/>
        <s v="ORD-2025-931538"/>
        <s v="ORD-2025-650719"/>
        <s v="ORD-2025-766923"/>
        <s v="ORD-2025-332931"/>
        <s v="ORD-2025-281062"/>
        <s v="ORD-2025-337268"/>
        <s v="ORD-2025-705398"/>
        <s v="ORD-2025-484073"/>
        <s v="ORD-2025-881624"/>
        <s v="ORD-2025-276968"/>
        <s v="ORD-2025-728935"/>
        <s v="ORD-2025-501927"/>
        <s v="ORD-2025-487261"/>
        <s v="ORD-2025-512310"/>
        <s v="ORD-2025-680118"/>
        <s v="ORD-2025-683247"/>
        <s v="ORD-2025-926547"/>
        <s v="ORD-2025-532859"/>
        <s v="ORD-2025-685236"/>
        <s v="ORD-2025-222035"/>
        <s v="ORD-2025-624006"/>
        <s v="ORD-2025-125517"/>
        <s v="ORD-2025-947929"/>
        <s v="ORD-2025-331237"/>
        <s v="ORD-2025-177994"/>
        <s v="ORD-2025-330203"/>
        <s v="ORD-2025-944081"/>
        <s v="ORD-2025-168148"/>
        <s v="ORD-2025-752845"/>
        <s v="ORD-2025-473192"/>
        <s v="ORD-2025-662997"/>
        <s v="ORD-2025-861401"/>
        <s v="ORD-2025-541048"/>
        <s v="ORD-2025-269934"/>
        <s v="ORD-2025-765220"/>
        <s v="ORD-2025-548982"/>
        <s v="ORD-2025-640677"/>
        <s v="ORD-2025-138578"/>
        <s v="ORD-2025-306251"/>
        <s v="ORD-2025-487025"/>
        <s v="ORD-2025-608069"/>
        <s v="ORD-2025-169093"/>
        <s v="ORD-2025-845715"/>
        <s v="ORD-2025-246470"/>
        <s v="ORD-2025-440093"/>
        <s v="ORD-2025-246692"/>
        <s v="ORD-2025-907040"/>
        <s v="ORD-2025-946490"/>
        <s v="ORD-2025-778145"/>
        <s v="ORD-2025-488349"/>
        <s v="ORD-2025-757957"/>
        <s v="ORD-2025-526650"/>
        <s v="ORD-2025-323492"/>
        <s v="ORD-2025-474368"/>
        <s v="ORD-2025-626047"/>
        <s v="ORD-2025-252117"/>
        <s v="ORD-2025-762301"/>
        <s v="ORD-2025-673091"/>
        <s v="ORD-2025-191328"/>
        <s v="ORD-2025-866565"/>
        <s v="ORD-2025-114382"/>
        <s v="ORD-2025-874124"/>
        <s v="ORD-2025-254721"/>
        <s v="ORD-2025-509940"/>
        <s v="ORD-2025-752192"/>
        <s v="ORD-2025-983096"/>
        <s v="ORD-2025-828263"/>
        <s v="ORD-2025-364852"/>
        <s v="ORD-2025-779530"/>
        <s v="ORD-2025-997421"/>
        <s v="ORD-2025-745263"/>
        <s v="ORD-2025-700847"/>
        <s v="ORD-2025-486350"/>
        <s v="ORD-2025-820255"/>
        <s v="ORD-2025-398335"/>
        <s v="ORD-2025-231184"/>
        <s v="ORD-2025-795385"/>
        <s v="ORD-2025-698069"/>
        <s v="ORD-2025-411385"/>
        <s v="ORD-2025-639542"/>
        <s v="ORD-2025-526752"/>
        <s v="ORD-2025-417942"/>
        <s v="ORD-2025-580047"/>
        <s v="ORD-2025-485946"/>
        <s v="ORD-2025-856556"/>
        <s v="ORD-2025-480172"/>
        <s v="ORD-2025-184082"/>
        <s v="ORD-2025-262434"/>
        <s v="ORD-2025-908258"/>
        <s v="ORD-2025-278048"/>
        <s v="ORD-2025-718992"/>
        <s v="ORD-2025-678328"/>
        <s v="ORD-2025-306903"/>
        <s v="ORD-2025-312803"/>
        <s v="ORD-2025-591006"/>
        <s v="ORD-2025-929414"/>
        <s v="ORD-2025-184754"/>
        <s v="ORD-2025-188059"/>
        <s v="ORD-2025-650841"/>
        <s v="ORD-2025-779659"/>
        <s v="ORD-2025-956101"/>
        <s v="ORD-2025-155182"/>
        <s v="ORD-2025-150713"/>
        <s v="ORD-2025-586799"/>
        <s v="ORD-2025-678688"/>
        <s v="ORD-2025-132174"/>
        <s v="ORD-2025-649633"/>
        <s v="ORD-2025-843974"/>
        <s v="ORD-2025-629393"/>
        <s v="ORD-2025-541501"/>
        <s v="ORD-2025-789245"/>
        <s v="ORD-2025-703623"/>
        <s v="ORD-2025-474710"/>
        <s v="ORD-2025-496178"/>
        <s v="ORD-2025-262491"/>
        <s v="ORD-2025-418232"/>
        <s v="ORD-2025-646342"/>
        <s v="ORD-2025-281413"/>
        <s v="ORD-2025-537785"/>
        <s v="ORD-2025-635337"/>
        <s v="ORD-2025-419532"/>
        <s v="ORD-2025-863978"/>
        <s v="ORD-2025-822030"/>
        <s v="ORD-2025-289139"/>
        <s v="ORD-2025-189846"/>
        <s v="ORD-2025-683043"/>
        <s v="ORD-2025-949776"/>
        <s v="ORD-2025-960931"/>
        <s v="ORD-2025-652467"/>
        <s v="ORD-2025-677880"/>
        <s v="ORD-2025-762212"/>
        <s v="ORD-2025-922513"/>
        <s v="ORD-2025-803803"/>
        <s v="ORD-2025-417336"/>
        <s v="ORD-2025-993993"/>
        <s v="ORD-2025-840976"/>
        <s v="ORD-2025-898022"/>
        <s v="ORD-2025-233883"/>
        <s v="ORD-2025-823055"/>
        <s v="ORD-2025-779574"/>
        <s v="ORD-2025-725646"/>
        <s v="ORD-2025-244832"/>
        <s v="ORD-2025-248586"/>
        <s v="ORD-2025-737787"/>
        <s v="ORD-2025-588029"/>
        <s v="ORD-2025-667201"/>
        <s v="ORD-2025-831576"/>
      </sharedItems>
    </cacheField>
    <cacheField name="Duplicate" numFmtId="0">
      <sharedItems/>
    </cacheField>
    <cacheField name="OrderDate" numFmtId="14">
      <sharedItems containsSemiMixedTypes="0" containsNonDate="0" containsDate="1" containsString="0" minDate="2023-01-02T00:00:00" maxDate="2025-09-16T00:00:00" count="468">
        <d v="2023-01-02T00:00:00"/>
        <d v="2023-01-07T00:00:00"/>
        <d v="2023-01-10T00:00:00"/>
        <d v="2023-01-12T00:00:00"/>
        <d v="2023-01-13T00:00:00"/>
        <d v="2023-01-15T00:00:00"/>
        <d v="2023-01-19T00:00:00"/>
        <d v="2023-01-20T00:00:00"/>
        <d v="2023-01-22T00:00:00"/>
        <d v="2023-01-26T00:00:00"/>
        <d v="2023-01-27T00:00:00"/>
        <d v="2023-01-29T00:00:00"/>
        <d v="2023-01-30T00:00:00"/>
        <d v="2023-02-05T00:00:00"/>
        <d v="2023-02-07T00:00:00"/>
        <d v="2023-02-08T00:00:00"/>
        <d v="2023-02-11T00:00:00"/>
        <d v="2023-02-15T00:00:00"/>
        <d v="2023-02-19T00:00:00"/>
        <d v="2023-02-20T00:00:00"/>
        <d v="2023-02-21T00:00:00"/>
        <d v="2023-02-23T00:00:00"/>
        <d v="2023-02-24T00:00:00"/>
        <d v="2023-02-27T00:00:00"/>
        <d v="2023-02-28T00:00:00"/>
        <d v="2023-03-02T00:00:00"/>
        <d v="2023-03-03T00:00:00"/>
        <d v="2023-03-04T00:00:00"/>
        <d v="2023-03-06T00:00:00"/>
        <d v="2023-03-07T00:00:00"/>
        <d v="2023-03-13T00:00:00"/>
        <d v="2023-03-14T00:00:00"/>
        <d v="2023-03-17T00:00:00"/>
        <d v="2023-03-19T00:00:00"/>
        <d v="2023-03-23T00:00:00"/>
        <d v="2023-03-25T00:00:00"/>
        <d v="2023-03-27T00:00:00"/>
        <d v="2023-03-31T00:00:00"/>
        <d v="2023-04-03T00:00:00"/>
        <d v="2023-04-05T00:00:00"/>
        <d v="2023-04-06T00:00:00"/>
        <d v="2023-04-10T00:00:00"/>
        <d v="2023-04-12T00:00:00"/>
        <d v="2023-04-13T00:00:00"/>
        <d v="2023-04-14T00:00:00"/>
        <d v="2023-04-16T00:00:00"/>
        <d v="2023-04-18T00:00:00"/>
        <d v="2023-04-19T00:00:00"/>
        <d v="2023-04-21T00:00:00"/>
        <d v="2023-04-22T00:00:00"/>
        <d v="2023-04-23T00:00:00"/>
        <d v="2023-04-26T00:00:00"/>
        <d v="2023-05-01T00:00:00"/>
        <d v="2023-05-02T00:00:00"/>
        <d v="2023-05-03T00:00:00"/>
        <d v="2023-05-04T00:00:00"/>
        <d v="2023-05-06T00:00:00"/>
        <d v="2023-05-07T00:00:00"/>
        <d v="2023-05-10T00:00:00"/>
        <d v="2023-05-11T00:00:00"/>
        <d v="2023-05-14T00:00:00"/>
        <d v="2023-05-17T00:00:00"/>
        <d v="2023-05-20T00:00:00"/>
        <d v="2023-05-23T00:00:00"/>
        <d v="2023-05-24T00:00:00"/>
        <d v="2023-05-27T00:00:00"/>
        <d v="2023-05-29T00:00:00"/>
        <d v="2023-06-01T00:00:00"/>
        <d v="2023-06-03T00:00:00"/>
        <d v="2023-06-05T00:00:00"/>
        <d v="2023-06-09T00:00:00"/>
        <d v="2023-06-10T00:00:00"/>
        <d v="2023-06-13T00:00:00"/>
        <d v="2023-06-14T00:00:00"/>
        <d v="2023-06-15T00:00:00"/>
        <d v="2023-06-17T00:00:00"/>
        <d v="2023-06-20T00:00:00"/>
        <d v="2023-06-22T00:00:00"/>
        <d v="2023-06-23T00:00:00"/>
        <d v="2023-06-24T00:00:00"/>
        <d v="2023-06-29T00:00:00"/>
        <d v="2023-07-01T00:00:00"/>
        <d v="2023-07-02T00:00:00"/>
        <d v="2023-07-03T00:00:00"/>
        <d v="2023-07-05T00:00:00"/>
        <d v="2023-07-07T00:00:00"/>
        <d v="2023-07-08T00:00:00"/>
        <d v="2023-07-09T00:00:00"/>
        <d v="2023-07-10T00:00:00"/>
        <d v="2023-07-14T00:00:00"/>
        <d v="2023-07-16T00:00:00"/>
        <d v="2023-07-18T00:00:00"/>
        <d v="2023-07-19T00:00:00"/>
        <d v="2023-07-22T00:00:00"/>
        <d v="2023-07-24T00:00:00"/>
        <d v="2023-07-25T00:00:00"/>
        <d v="2023-07-26T00:00:00"/>
        <d v="2023-07-30T00:00:00"/>
        <d v="2023-08-02T00:00:00"/>
        <d v="2023-08-03T00:00:00"/>
        <d v="2023-08-04T00:00:00"/>
        <d v="2023-08-08T00:00:00"/>
        <d v="2023-08-10T00:00:00"/>
        <d v="2023-08-12T00:00:00"/>
        <d v="2023-08-15T00:00:00"/>
        <d v="2023-08-17T00:00:00"/>
        <d v="2023-08-19T00:00:00"/>
        <d v="2023-08-21T00:00:00"/>
        <d v="2023-08-23T00:00:00"/>
        <d v="2023-08-24T00:00:00"/>
        <d v="2023-08-25T00:00:00"/>
        <d v="2023-08-26T00:00:00"/>
        <d v="2023-08-27T00:00:00"/>
        <d v="2023-08-29T00:00:00"/>
        <d v="2023-08-30T00:00:00"/>
        <d v="2023-09-08T00:00:00"/>
        <d v="2023-09-14T00:00:00"/>
        <d v="2023-09-17T00:00:00"/>
        <d v="2023-09-18T00:00:00"/>
        <d v="2023-09-19T00:00:00"/>
        <d v="2023-09-20T00:00:00"/>
        <d v="2023-09-21T00:00:00"/>
        <d v="2023-09-25T00:00:00"/>
        <d v="2023-09-30T00:00:00"/>
        <d v="2023-10-04T00:00:00"/>
        <d v="2023-10-05T00:00:00"/>
        <d v="2023-10-07T00:00:00"/>
        <d v="2023-10-09T00:00:00"/>
        <d v="2023-10-11T00:00:00"/>
        <d v="2023-10-12T00:00:00"/>
        <d v="2023-10-15T00:00:00"/>
        <d v="2023-10-18T00:00:00"/>
        <d v="2023-10-21T00:00:00"/>
        <d v="2023-10-22T00:00:00"/>
        <d v="2023-10-25T00:00:00"/>
        <d v="2023-10-26T00:00:00"/>
        <d v="2023-10-30T00:00:00"/>
        <d v="2023-10-31T00:00:00"/>
        <d v="2023-11-10T00:00:00"/>
        <d v="2023-11-14T00:00:00"/>
        <d v="2023-11-15T00:00:00"/>
        <d v="2023-11-19T00:00:00"/>
        <d v="2023-11-20T00:00:00"/>
        <d v="2023-11-28T00:00:00"/>
        <d v="2023-11-30T00:00:00"/>
        <d v="2023-12-01T00:00:00"/>
        <d v="2023-12-02T00:00:00"/>
        <d v="2023-12-03T00:00:00"/>
        <d v="2023-12-05T00:00:00"/>
        <d v="2023-12-06T00:00:00"/>
        <d v="2023-12-07T00:00:00"/>
        <d v="2023-12-16T00:00:00"/>
        <d v="2023-12-18T00:00:00"/>
        <d v="2023-12-19T00:00:00"/>
        <d v="2023-12-20T00:00:00"/>
        <d v="2023-12-21T00:00:00"/>
        <d v="2023-12-22T00:00:00"/>
        <d v="2023-12-24T00:00:00"/>
        <d v="2023-12-26T00:00:00"/>
        <d v="2023-12-28T00:00:00"/>
        <d v="2023-12-29T00:00:00"/>
        <d v="2023-12-30T00:00:00"/>
        <d v="2024-01-01T00:00:00"/>
        <d v="2024-01-02T00:00:00"/>
        <d v="2024-01-08T00:00:00"/>
        <d v="2024-01-10T00:00:00"/>
        <d v="2024-01-11T00:00:00"/>
        <d v="2024-01-12T00:00:00"/>
        <d v="2024-01-13T00:00:00"/>
        <d v="2024-01-16T00:00:00"/>
        <d v="2024-01-18T00:00:00"/>
        <d v="2024-01-20T00:00:00"/>
        <d v="2024-01-21T00:00:00"/>
        <d v="2024-01-24T00:00:00"/>
        <d v="2024-01-25T00:00:00"/>
        <d v="2024-01-28T00:00:00"/>
        <d v="2024-02-01T00:00:00"/>
        <d v="2024-02-03T00:00:00"/>
        <d v="2024-02-06T00:00:00"/>
        <d v="2024-02-08T00:00:00"/>
        <d v="2024-02-11T00:00:00"/>
        <d v="2024-02-14T00:00:00"/>
        <d v="2024-02-16T00:00:00"/>
        <d v="2024-02-17T00:00:00"/>
        <d v="2024-02-18T00:00:00"/>
        <d v="2024-02-19T00:00:00"/>
        <d v="2024-02-20T00:00:00"/>
        <d v="2024-02-25T00:00:00"/>
        <d v="2024-02-27T00:00:00"/>
        <d v="2024-02-29T00:00:00"/>
        <d v="2024-03-01T00:00:00"/>
        <d v="2024-03-02T00:00:00"/>
        <d v="2024-03-03T00:00:00"/>
        <d v="2024-03-04T00:00:00"/>
        <d v="2024-03-06T00:00:00"/>
        <d v="2024-03-07T00:00:00"/>
        <d v="2024-03-09T00:00:00"/>
        <d v="2024-03-10T00:00:00"/>
        <d v="2024-03-11T00:00:00"/>
        <d v="2024-03-13T00:00:00"/>
        <d v="2024-03-15T00:00:00"/>
        <d v="2024-03-16T00:00:00"/>
        <d v="2024-03-18T00:00:00"/>
        <d v="2024-03-23T00:00:00"/>
        <d v="2024-03-26T00:00:00"/>
        <d v="2024-03-27T00:00:00"/>
        <d v="2024-03-30T00:00:00"/>
        <d v="2024-03-31T00:00:00"/>
        <d v="2024-04-03T00:00:00"/>
        <d v="2024-04-04T00:00:00"/>
        <d v="2024-04-05T00:00:00"/>
        <d v="2024-04-06T00:00:00"/>
        <d v="2024-04-09T00:00:00"/>
        <d v="2024-04-12T00:00:00"/>
        <d v="2024-04-16T00:00:00"/>
        <d v="2024-04-18T00:00:00"/>
        <d v="2024-04-19T00:00:00"/>
        <d v="2024-04-21T00:00:00"/>
        <d v="2024-04-24T00:00:00"/>
        <d v="2024-04-26T00:00:00"/>
        <d v="2024-04-29T00:00:00"/>
        <d v="2024-05-01T00:00:00"/>
        <d v="2024-05-04T00:00:00"/>
        <d v="2024-05-05T00:00:00"/>
        <d v="2024-05-07T00:00:00"/>
        <d v="2024-05-10T00:00:00"/>
        <d v="2024-05-12T00:00:00"/>
        <d v="2024-05-14T00:00:00"/>
        <d v="2024-05-17T00:00:00"/>
        <d v="2024-05-18T00:00:00"/>
        <d v="2024-05-19T00:00:00"/>
        <d v="2024-05-20T00:00:00"/>
        <d v="2024-05-21T00:00:00"/>
        <d v="2024-05-22T00:00:00"/>
        <d v="2024-05-23T00:00:00"/>
        <d v="2024-05-27T00:00:00"/>
        <d v="2024-05-28T00:00:00"/>
        <d v="2024-05-30T00:00:00"/>
        <d v="2024-06-02T00:00:00"/>
        <d v="2024-06-03T00:00:00"/>
        <d v="2024-06-04T00:00:00"/>
        <d v="2024-06-05T00:00:00"/>
        <d v="2024-06-06T00:00:00"/>
        <d v="2024-06-07T00:00:00"/>
        <d v="2024-06-08T00:00:00"/>
        <d v="2024-06-09T00:00:00"/>
        <d v="2024-06-10T00:00:00"/>
        <d v="2024-06-11T00:00:00"/>
        <d v="2024-06-15T00:00:00"/>
        <d v="2024-06-16T00:00:00"/>
        <d v="2024-06-19T00:00:00"/>
        <d v="2024-06-23T00:00:00"/>
        <d v="2024-06-25T00:00:00"/>
        <d v="2024-06-29T00:00:00"/>
        <d v="2024-06-30T00:00:00"/>
        <d v="2024-07-09T00:00:00"/>
        <d v="2024-07-11T00:00:00"/>
        <d v="2024-07-13T00:00:00"/>
        <d v="2024-07-15T00:00:00"/>
        <d v="2024-07-18T00:00:00"/>
        <d v="2024-07-19T00:00:00"/>
        <d v="2024-07-24T00:00:00"/>
        <d v="2024-07-25T00:00:00"/>
        <d v="2024-07-28T00:00:00"/>
        <d v="2024-07-29T00:00:00"/>
        <d v="2024-07-31T00:00:00"/>
        <d v="2024-08-03T00:00:00"/>
        <d v="2024-08-04T00:00:00"/>
        <d v="2024-08-07T00:00:00"/>
        <d v="2024-08-08T00:00:00"/>
        <d v="2024-08-10T00:00:00"/>
        <d v="2024-08-12T00:00:00"/>
        <d v="2024-08-14T00:00:00"/>
        <d v="2024-08-16T00:00:00"/>
        <d v="2024-08-17T00:00:00"/>
        <d v="2024-08-18T00:00:00"/>
        <d v="2024-08-19T00:00:00"/>
        <d v="2024-08-22T00:00:00"/>
        <d v="2024-08-23T00:00:00"/>
        <d v="2024-08-27T00:00:00"/>
        <d v="2024-08-28T00:00:00"/>
        <d v="2024-08-30T00:00:00"/>
        <d v="2024-08-31T00:00:00"/>
        <d v="2024-09-02T00:00:00"/>
        <d v="2024-09-03T00:00:00"/>
        <d v="2024-09-05T00:00:00"/>
        <d v="2024-09-06T00:00:00"/>
        <d v="2024-09-07T00:00:00"/>
        <d v="2024-09-09T00:00:00"/>
        <d v="2024-09-10T00:00:00"/>
        <d v="2024-09-13T00:00:00"/>
        <d v="2024-09-14T00:00:00"/>
        <d v="2024-09-19T00:00:00"/>
        <d v="2024-09-22T00:00:00"/>
        <d v="2024-09-23T00:00:00"/>
        <d v="2024-09-25T00:00:00"/>
        <d v="2024-10-02T00:00:00"/>
        <d v="2024-10-03T00:00:00"/>
        <d v="2024-10-04T00:00:00"/>
        <d v="2024-10-08T00:00:00"/>
        <d v="2024-10-09T00:00:00"/>
        <d v="2024-10-10T00:00:00"/>
        <d v="2024-10-11T00:00:00"/>
        <d v="2024-10-13T00:00:00"/>
        <d v="2024-10-14T00:00:00"/>
        <d v="2024-10-16T00:00:00"/>
        <d v="2024-10-17T00:00:00"/>
        <d v="2024-10-19T00:00:00"/>
        <d v="2024-10-22T00:00:00"/>
        <d v="2024-10-23T00:00:00"/>
        <d v="2024-10-24T00:00:00"/>
        <d v="2024-10-25T00:00:00"/>
        <d v="2024-10-27T00:00:00"/>
        <d v="2024-10-29T00:00:00"/>
        <d v="2024-10-30T00:00:00"/>
        <d v="2024-11-01T00:00:00"/>
        <d v="2024-11-02T00:00:00"/>
        <d v="2024-11-04T00:00:00"/>
        <d v="2024-11-05T00:00:00"/>
        <d v="2024-11-06T00:00:00"/>
        <d v="2024-11-07T00:00:00"/>
        <d v="2024-11-08T00:00:00"/>
        <d v="2024-11-11T00:00:00"/>
        <d v="2024-11-12T00:00:00"/>
        <d v="2024-11-17T00:00:00"/>
        <d v="2024-11-20T00:00:00"/>
        <d v="2024-11-21T00:00:00"/>
        <d v="2024-11-22T00:00:00"/>
        <d v="2024-11-25T00:00:00"/>
        <d v="2024-11-27T00:00:00"/>
        <d v="2024-11-30T00:00:00"/>
        <d v="2024-12-04T00:00:00"/>
        <d v="2024-12-05T00:00:00"/>
        <d v="2024-12-07T00:00:00"/>
        <d v="2024-12-08T00:00:00"/>
        <d v="2024-12-10T00:00:00"/>
        <d v="2024-12-12T00:00:00"/>
        <d v="2024-12-14T00:00:00"/>
        <d v="2024-12-15T00:00:00"/>
        <d v="2024-12-17T00:00:00"/>
        <d v="2024-12-20T00:00:00"/>
        <d v="2024-12-21T00:00:00"/>
        <d v="2024-12-23T00:00:00"/>
        <d v="2024-12-24T00:00:00"/>
        <d v="2024-12-27T00:00:00"/>
        <d v="2024-12-28T00:00:00"/>
        <d v="2024-12-29T00:00:00"/>
        <d v="2025-01-03T00:00:00"/>
        <d v="2025-01-04T00:00:00"/>
        <d v="2025-01-07T00:00:00"/>
        <d v="2025-01-09T00:00:00"/>
        <d v="2025-01-10T00:00:00"/>
        <d v="2025-01-11T00:00:00"/>
        <d v="2025-01-13T00:00:00"/>
        <d v="2025-01-17T00:00:00"/>
        <d v="2025-01-20T00:00:00"/>
        <d v="2025-01-21T00:00:00"/>
        <d v="2025-01-22T00:00:00"/>
        <d v="2025-01-27T00:00:00"/>
        <d v="2025-01-29T00:00:00"/>
        <d v="2025-01-31T00:00:00"/>
        <d v="2025-02-02T00:00:00"/>
        <d v="2025-02-04T00:00:00"/>
        <d v="2025-02-06T00:00:00"/>
        <d v="2025-02-07T00:00:00"/>
        <d v="2025-02-09T00:00:00"/>
        <d v="2025-02-12T00:00:00"/>
        <d v="2025-02-15T00:00:00"/>
        <d v="2025-02-16T00:00:00"/>
        <d v="2025-02-17T00:00:00"/>
        <d v="2025-02-19T00:00:00"/>
        <d v="2025-02-21T00:00:00"/>
        <d v="2025-02-25T00:00:00"/>
        <d v="2025-02-28T00:00:00"/>
        <d v="2025-03-03T00:00:00"/>
        <d v="2025-03-06T00:00:00"/>
        <d v="2025-03-08T00:00:00"/>
        <d v="2025-03-10T00:00:00"/>
        <d v="2025-03-11T00:00:00"/>
        <d v="2025-03-14T00:00:00"/>
        <d v="2025-03-15T00:00:00"/>
        <d v="2025-03-21T00:00:00"/>
        <d v="2025-03-23T00:00:00"/>
        <d v="2025-03-24T00:00:00"/>
        <d v="2025-03-25T00:00:00"/>
        <d v="2025-03-29T00:00:00"/>
        <d v="2025-03-30T00:00:00"/>
        <d v="2025-03-31T00:00:00"/>
        <d v="2025-04-01T00:00:00"/>
        <d v="2025-04-04T00:00:00"/>
        <d v="2025-04-06T00:00:00"/>
        <d v="2025-04-07T00:00:00"/>
        <d v="2025-04-09T00:00:00"/>
        <d v="2025-04-10T00:00:00"/>
        <d v="2025-04-11T00:00:00"/>
        <d v="2025-04-12T00:00:00"/>
        <d v="2025-04-13T00:00:00"/>
        <d v="2025-04-14T00:00:00"/>
        <d v="2025-04-16T00:00:00"/>
        <d v="2025-04-17T00:00:00"/>
        <d v="2025-04-22T00:00:00"/>
        <d v="2025-04-23T00:00:00"/>
        <d v="2025-04-24T00:00:00"/>
        <d v="2025-04-27T00:00:00"/>
        <d v="2025-04-28T00:00:00"/>
        <d v="2025-05-02T00:00:00"/>
        <d v="2025-05-07T00:00:00"/>
        <d v="2025-05-10T00:00:00"/>
        <d v="2025-05-12T00:00:00"/>
        <d v="2025-05-14T00:00:00"/>
        <d v="2025-05-15T00:00:00"/>
        <d v="2025-05-16T00:00:00"/>
        <d v="2025-05-17T00:00:00"/>
        <d v="2025-05-18T00:00:00"/>
        <d v="2025-05-19T00:00:00"/>
        <d v="2025-05-21T00:00:00"/>
        <d v="2025-05-27T00:00:00"/>
        <d v="2025-05-29T00:00:00"/>
        <d v="2025-06-01T00:00:00"/>
        <d v="2025-06-03T00:00:00"/>
        <d v="2025-06-05T00:00:00"/>
        <d v="2025-06-09T00:00:00"/>
        <d v="2025-06-14T00:00:00"/>
        <d v="2025-06-15T00:00:00"/>
        <d v="2025-06-17T00:00:00"/>
        <d v="2025-06-19T00:00:00"/>
        <d v="2025-06-21T00:00:00"/>
        <d v="2025-06-22T00:00:00"/>
        <d v="2025-06-24T00:00:00"/>
        <d v="2025-06-25T00:00:00"/>
        <d v="2025-06-26T00:00:00"/>
        <d v="2025-06-27T00:00:00"/>
        <d v="2025-07-03T00:00:00"/>
        <d v="2025-07-09T00:00:00"/>
        <d v="2025-07-11T00:00:00"/>
        <d v="2025-07-14T00:00:00"/>
        <d v="2025-07-16T00:00:00"/>
        <d v="2025-07-17T00:00:00"/>
        <d v="2025-07-19T00:00:00"/>
        <d v="2025-07-20T00:00:00"/>
        <d v="2025-07-21T00:00:00"/>
        <d v="2025-07-22T00:00:00"/>
        <d v="2025-07-23T00:00:00"/>
        <d v="2025-07-24T00:00:00"/>
        <d v="2025-07-27T00:00:00"/>
        <d v="2025-08-01T00:00:00"/>
        <d v="2025-08-02T00:00:00"/>
        <d v="2025-08-03T00:00:00"/>
        <d v="2025-08-05T00:00:00"/>
        <d v="2025-08-06T00:00:00"/>
        <d v="2025-08-07T00:00:00"/>
        <d v="2025-08-10T00:00:00"/>
        <d v="2025-08-11T00:00:00"/>
        <d v="2025-08-13T00:00:00"/>
        <d v="2025-08-14T00:00:00"/>
        <d v="2025-08-20T00:00:00"/>
        <d v="2025-08-21T00:00:00"/>
        <d v="2025-08-25T00:00:00"/>
        <d v="2025-08-28T00:00:00"/>
        <d v="2025-08-30T00:00:00"/>
        <d v="2025-09-01T00:00:00"/>
        <d v="2025-09-02T00:00:00"/>
        <d v="2025-09-08T00:00:00"/>
        <d v="2025-09-10T00:00:00"/>
        <d v="2025-09-11T00:00:00"/>
        <d v="2025-09-12T00:00:00"/>
        <d v="2025-09-14T00:00:00"/>
        <d v="2025-09-15T00:00:00"/>
      </sharedItems>
      <fieldGroup par="33"/>
    </cacheField>
    <cacheField name="FixedRequiredDate" numFmtId="14">
      <sharedItems containsSemiMixedTypes="0" containsNonDate="0" containsDate="1" containsString="0" minDate="2023-01-05T00:00:00" maxDate="2025-10-06T00:00:00"/>
    </cacheField>
    <cacheField name="LeadTimeDays" numFmtId="0">
      <sharedItems containsSemiMixedTypes="0" containsString="0" containsNumber="1" containsInteger="1" minValue="1" maxValue="30"/>
    </cacheField>
    <cacheField name="Region" numFmtId="0">
      <sharedItems count="4">
        <s v="Americas"/>
        <s v="Africa"/>
        <s v="Europe"/>
        <s v="Asia"/>
      </sharedItems>
    </cacheField>
    <cacheField name="Country" numFmtId="0">
      <sharedItems count="12">
        <s v="Canada"/>
        <s v="South Africa"/>
        <s v="France"/>
        <s v="China"/>
        <s v="USA"/>
        <s v="Nigeria"/>
        <s v="United Kingdom"/>
        <s v="Kenya"/>
        <s v="Germany"/>
        <s v="Brazil"/>
        <s v="India"/>
        <s v="Japan"/>
      </sharedItems>
    </cacheField>
    <cacheField name="City" numFmtId="0">
      <sharedItems/>
    </cacheField>
    <cacheField name="CustomerSegment" numFmtId="0">
      <sharedItems/>
    </cacheField>
    <cacheField name="Channel" numFmtId="0">
      <sharedItems count="6">
        <s v="Distributor"/>
        <s v="Online"/>
        <s v="Direct"/>
        <s v="Retail"/>
        <s v="Marketplace"/>
        <s v="Unknown"/>
      </sharedItems>
    </cacheField>
    <cacheField name="Salesperson" numFmtId="0">
      <sharedItems count="16">
        <s v="B. Chen"/>
        <s v="A. Patel"/>
        <s v="D. Smith"/>
        <s v="M. Rossi"/>
        <s v="H. Kim"/>
        <s v="O. Wang"/>
        <s v="G. Dubois"/>
        <s v="F. Müller"/>
        <s v="N. Brown"/>
        <s v="L. Okafor"/>
        <s v="K. Singh"/>
        <s v="C. Otieno"/>
        <s v="I. Johnson"/>
        <s v="J. Njeri"/>
        <s v="E. Garcia"/>
        <s v="Unassigned"/>
      </sharedItems>
    </cacheField>
    <cacheField name="ProductCategory" numFmtId="0">
      <sharedItems count="7">
        <s v="Laptops"/>
        <s v="Printers"/>
        <s v="Phones"/>
        <s v="Accessories"/>
        <s v="Networking"/>
        <s v="Monitors"/>
        <s v="Components"/>
      </sharedItems>
    </cacheField>
    <cacheField name="SKU" numFmtId="0">
      <sharedItems count="629">
        <s v="LAP-8555"/>
        <s v="PRN-4787"/>
        <s v="LAP-4551"/>
        <s v="PRN-1641"/>
        <s v="PHN-3159"/>
        <s v="PRN-6276"/>
        <s v="ACC-3645"/>
        <s v="NET-6036"/>
        <s v="NET-4155"/>
        <s v="MON-2537"/>
        <s v="NET-8787"/>
        <s v="LAP-9782"/>
        <s v="MON-7207"/>
        <s v="NET-3460"/>
        <s v="PHN-2036"/>
        <s v="CMP-2693"/>
        <s v="NET-5018"/>
        <s v="ACC-8242"/>
        <s v="LAP-3393"/>
        <s v="MON-6699"/>
        <s v="MON-9906"/>
        <s v="NET-2499"/>
        <s v="PHN-4854"/>
        <s v="PRN-7410"/>
        <s v="PRN-1060"/>
        <s v="CMP-1632"/>
        <s v="NET-1282"/>
        <s v="NET-9666"/>
        <s v="LAP-3679"/>
        <s v="NET-5195"/>
        <s v="PRN-9624"/>
        <s v="MON-2828"/>
        <s v="NET-7349"/>
        <s v="LAP-6160"/>
        <s v="MON-2073"/>
        <s v="PRN-7049"/>
        <s v="CMP-2574"/>
        <s v="CMP-8230"/>
        <s v="CMP-8675"/>
        <s v="PHN-8483"/>
        <s v="ACC-9150"/>
        <s v="ACC-2988"/>
        <s v="MON-9227"/>
        <s v="PRN-4506"/>
        <s v="LAP-7819"/>
        <s v="PHN-8014"/>
        <s v="ACC-4815"/>
        <s v="MON-5259"/>
        <s v="PRN-8970"/>
        <s v="MON-4373"/>
        <s v="PRN-5067"/>
        <s v="MON-3043"/>
        <s v="NET-1816"/>
        <s v="LAP-3565"/>
        <s v="MON-6053"/>
        <s v="PHN-1784"/>
        <s v="PRN-7019"/>
        <s v="ACC-1731"/>
        <s v="PRN-9249"/>
        <s v="LAP-1482"/>
        <s v="NET-2062"/>
        <s v="MON-1663"/>
        <s v="LAP-9766"/>
        <s v="PHN-7132"/>
        <s v="NET-2439"/>
        <s v="CMP-7371"/>
        <s v="CMP-8604"/>
        <s v="ACC-7713"/>
        <s v="LAP-1698"/>
        <s v="CMP-4945"/>
        <s v="CMP-5633"/>
        <s v="MON-2266"/>
        <s v="MON-5086"/>
        <s v="MON-4830"/>
        <s v="PHN-5366"/>
        <s v="NET-5941"/>
        <s v="PHN-1670"/>
        <s v="PHN-6131"/>
        <s v="CMP-9392"/>
        <s v="ACC-2364"/>
        <s v="ACC-9283"/>
        <s v="MON-2465"/>
        <s v="LAP-6499"/>
        <s v="NET-3255"/>
        <s v="PHN-8970"/>
        <s v="PRN-9488"/>
        <s v="PRN-1923"/>
        <s v="ACC-5206"/>
        <s v="CMP-5208"/>
        <s v="CMP-4630"/>
        <s v="LAP-2806"/>
        <s v="CMP-6925"/>
        <s v="PRN-1271"/>
        <s v="MON-6882"/>
        <s v="ACC-1882"/>
        <s v="CMP-8545"/>
        <s v="PHN-1924"/>
        <s v="ACC-4587"/>
        <s v="CMP-1223"/>
        <s v="PRN-3690"/>
        <s v="MON-9194"/>
        <s v="PHN-2337"/>
        <s v="PRN-8008"/>
        <s v="CMP-5820"/>
        <s v="MON-5424"/>
        <s v="ACC-3833"/>
        <s v="PRN-6536"/>
        <s v="MON-4326"/>
        <s v="NET-3828"/>
        <s v="NET-1228"/>
        <s v="ACC-3385"/>
        <s v="PRN-2542"/>
        <s v="PHN-4677"/>
        <s v="PRN-6490"/>
        <s v="PHN-6818"/>
        <s v="ACC-2903"/>
        <s v="MON-2990"/>
        <s v="LAP-3904"/>
        <s v="NET-6533"/>
        <s v="LAP-4666"/>
        <s v="CMP-7256"/>
        <s v="LAP-6342"/>
        <s v="NET-2394"/>
        <s v="ACC-9445"/>
        <s v="LAP-1989"/>
        <s v="CMP-6649"/>
        <s v="PRN-1504"/>
        <s v="MON-1018"/>
        <s v="ACC-5334"/>
        <s v="LAP-1178"/>
        <s v="CMP-8659"/>
        <s v="NET-1699"/>
        <s v="MON-7869"/>
        <s v="PRN-2301"/>
        <s v="MON-3307"/>
        <s v="ACC-1238"/>
        <s v="ACC-8178"/>
        <s v="ACC-7078"/>
        <s v="NET-1645"/>
        <s v="NET-5423"/>
        <s v="NET-3689"/>
        <s v="ACC-3951"/>
        <s v="NET-4735"/>
        <s v="MON-3773"/>
        <s v="NET-9125"/>
        <s v="MON-7511"/>
        <s v="NET-2894"/>
        <s v="CMP-6352"/>
        <s v="PHN-2013"/>
        <s v="PHN-1234"/>
        <s v="PHN-8072"/>
        <s v="MON-2296"/>
        <s v="PRN-9669"/>
        <s v="MON-5517"/>
        <s v="CMP-2136"/>
        <s v="ACC-1492"/>
        <s v="PRN-4732"/>
        <s v="PHN-3971"/>
        <s v="CMP-7063"/>
        <s v="PRN-5107"/>
        <s v="PRN-9975"/>
        <s v="PRN-7079"/>
        <s v="NET-9989"/>
        <s v="ACC-3068"/>
        <s v="ACC-3415"/>
        <s v="ACC-4766"/>
        <s v="PRN-4432"/>
        <s v="LAP-4932"/>
        <s v="CMP-1009"/>
        <s v="PRN-5005"/>
        <s v="ACC-1375"/>
        <s v="CMP-5211"/>
        <s v="ACC-3551"/>
        <s v="LAP-6750"/>
        <s v="LAP-5763"/>
        <s v="PRN-1786"/>
        <s v="ACC-5079"/>
        <s v="CMP-4807"/>
        <s v="PRN-6520"/>
        <s v="MON-7602"/>
        <s v="CMP-2096"/>
        <s v="NET-8856"/>
        <s v="ACC-3567"/>
        <s v="PHN-8478"/>
        <s v="PRN-4983"/>
        <s v="PHN-8891"/>
        <s v="ACC-8557"/>
        <s v="MON-8697"/>
        <s v="LAP-9024"/>
        <s v="PHN-5938"/>
        <s v="ACC-2867"/>
        <s v="LAP-7320"/>
        <s v="LAP-2378"/>
        <s v="ACC-4124"/>
        <s v="ACC-5260"/>
        <s v="NET-4104"/>
        <s v="ACC-1060"/>
        <s v="MON-3745"/>
        <s v="NET-2460"/>
        <s v="PHN-9184"/>
        <s v="NET-3033"/>
        <s v="PHN-2447"/>
        <s v="LAP-1525"/>
        <s v="LAP-4899"/>
        <s v="LAP-3604"/>
        <s v="MON-4278"/>
        <s v="PHN-4644"/>
        <s v="PHN-6506"/>
        <s v="PRN-8041"/>
        <s v="PRN-8175"/>
        <s v="CMP-1940"/>
        <s v="ACC-9644"/>
        <s v="NET-6014"/>
        <s v="PHN-7274"/>
        <s v="MON-6065"/>
        <s v="MON-1572"/>
        <s v="CMP-4792"/>
        <s v="CMP-4531"/>
        <s v="CMP-1555"/>
        <s v="PHN-3014"/>
        <s v="LAP-1946"/>
        <s v="LAP-2942"/>
        <s v="PRN-1654"/>
        <s v="PHN-7924"/>
        <s v="ACC-6594"/>
        <s v="ACC-3103"/>
        <s v="NET-4554"/>
        <s v="NET-1893"/>
        <s v="LAP-3581"/>
        <s v="PRN-6585"/>
        <s v="PRN-6776"/>
        <s v="NET-1412"/>
        <s v="PRN-7816"/>
        <s v="PRN-8604"/>
        <s v="CMP-5138"/>
        <s v="CMP-8141"/>
        <s v="LAP-9931"/>
        <s v="CMP-2410"/>
        <s v="MON-4195"/>
        <s v="PRN-6660"/>
        <s v="PRN-8392"/>
        <s v="MON-8973"/>
        <s v="LAP-5689"/>
        <s v="LAP-7056"/>
        <s v="NET-9569"/>
        <s v="ACC-7938"/>
        <s v="ACC-6223"/>
        <s v="CMP-1470"/>
        <s v="NET-8761"/>
        <s v="PRN-4906"/>
        <s v="CMP-9264"/>
        <s v="LAP-5531"/>
        <s v="MON-2462"/>
        <s v="CMP-5911"/>
        <s v="PHN-5082"/>
        <s v="ACC-1021"/>
        <s v="LAP-2774"/>
        <s v="PHN-1717"/>
        <s v="PRN-7089"/>
        <s v="CMP-9801"/>
        <s v="PRN-5384"/>
        <s v="PRN-6308"/>
        <s v="NET-9177"/>
        <s v="MON-3350"/>
        <s v="LAP-8469"/>
        <s v="NET-7588"/>
        <s v="PHN-7852"/>
        <s v="PRN-7976"/>
        <s v="CMP-3223"/>
        <s v="PHN-4915"/>
        <s v="MON-8422"/>
        <s v="PHN-4741"/>
        <s v="CMP-7617"/>
        <s v="PRN-6911"/>
        <s v="MON-5749"/>
        <s v="PHN-3398"/>
        <s v="LAP-8633"/>
        <s v="CMP-8002"/>
        <s v="CMP-8270"/>
        <s v="MON-7099"/>
        <s v="CMP-9001"/>
        <s v="MON-4361"/>
        <s v="PRN-8758"/>
        <s v="ACC-2761"/>
        <s v="PHN-4346"/>
        <s v="MON-5444"/>
        <s v="NET-5523"/>
        <s v="LAP-2846"/>
        <s v="MON-8651"/>
        <s v="PHN-5445"/>
        <s v="NET-3850"/>
        <s v="ACC-6543"/>
        <s v="CMP-6529"/>
        <s v="CMP-8196"/>
        <s v="PRN-1086"/>
        <s v="LAP-8489"/>
        <s v="PRN-2641"/>
        <s v="LAP-9932"/>
        <s v="PRN-7303"/>
        <s v="ACC-2990"/>
        <s v="MON-6190"/>
        <s v="PHN-9107"/>
        <s v="LAP-5009"/>
        <s v="CMP-6811"/>
        <s v="NET-4228"/>
        <s v="MON-6892"/>
        <s v="CMP-3313"/>
        <s v="LAP-9100"/>
        <s v="LAP-1066"/>
        <s v="PRN-5813"/>
        <s v="NET-2365"/>
        <s v="PHN-7974"/>
        <s v="LAP-4987"/>
        <s v="PRN-1725"/>
        <s v="ACC-7354"/>
        <s v="MON-4271"/>
        <s v="CMP-5946"/>
        <s v="CMP-8101"/>
        <s v="MON-6870"/>
        <s v="MON-2100"/>
        <s v="PRN-3785"/>
        <s v="NET-1166"/>
        <s v="ACC-7240"/>
        <s v="ACC-5177"/>
        <s v="PHN-9399"/>
        <s v="PHN-4356"/>
        <s v="ACC-9820"/>
        <s v="PHN-6866"/>
        <s v="MON-5386"/>
        <s v="PRN-4097"/>
        <s v="LAP-1739"/>
        <s v="NET-6578"/>
        <s v="CMP-2040"/>
        <s v="MON-8688"/>
        <s v="MON-1389"/>
        <s v="CMP-6392"/>
        <s v="LAP-9230"/>
        <s v="PHN-2436"/>
        <s v="PRN-4453"/>
        <s v="PHN-6832"/>
        <s v="PHN-9677"/>
        <s v="LAP-4607"/>
        <s v="ACC-7838"/>
        <s v="ACC-7671"/>
        <s v="NET-5987"/>
        <s v="NET-4241"/>
        <s v="ACC-8683"/>
        <s v="ACC-9162"/>
        <s v="LAP-6577"/>
        <s v="CMP-5825"/>
        <s v="ACC-3721"/>
        <s v="PHN-7815"/>
        <s v="NET-9575"/>
        <s v="MON-6287"/>
        <s v="ACC-2735"/>
        <s v="MON-7622"/>
        <s v="PHN-6854"/>
        <s v="LAP-9901"/>
        <s v="LAP-9815"/>
        <s v="ACC-6626"/>
        <s v="NET-4675"/>
        <s v="PRN-2829"/>
        <s v="MON-1564"/>
        <s v="LAP-1969"/>
        <s v="MON-8867"/>
        <s v="NET-7924"/>
        <s v="NET-8957"/>
        <s v="PRN-1183"/>
        <s v="LAP-7979"/>
        <s v="PRN-5591"/>
        <s v="PHN-2341"/>
        <s v="MON-2849"/>
        <s v="PHN-3077"/>
        <s v="CMP-5435"/>
        <s v="PRN-9793"/>
        <s v="PRN-4892"/>
        <s v="CMP-1559"/>
        <s v="MON-9967"/>
        <s v="CMP-3875"/>
        <s v="ACC-4490"/>
        <s v="LAP-7009"/>
        <s v="PHN-6111"/>
        <s v="CMP-7563"/>
        <s v="PRN-1141"/>
        <s v="PRN-3917"/>
        <s v="MON-5249"/>
        <s v="MON-3504"/>
        <s v="LAP-4483"/>
        <s v="NET-9835"/>
        <s v="NET-7998"/>
        <s v="PRN-3014"/>
        <s v="CMP-3093"/>
        <s v="NET-1145"/>
        <s v="PRN-6068"/>
        <s v="PHN-8804"/>
        <s v="LAP-5150"/>
        <s v="PRN-2749"/>
        <s v="MON-6341"/>
        <s v="PHN-4568"/>
        <s v="PRN-9557"/>
        <s v="CMP-3978"/>
        <s v="PHN-7488"/>
        <s v="ACC-9038"/>
        <s v="MON-9733"/>
        <s v="CMP-1072"/>
        <s v="CMP-8127"/>
        <s v="PRN-5666"/>
        <s v="CMP-5006"/>
        <s v="NET-5268"/>
        <s v="NET-6387"/>
        <s v="MON-4330"/>
        <s v="MON-8129"/>
        <s v="MON-8758"/>
        <s v="PRN-9322"/>
        <s v="PHN-9789"/>
        <s v="NET-3728"/>
        <s v="PRN-3143"/>
        <s v="CMP-9498"/>
        <s v="MON-8939"/>
        <s v="PRN-4893"/>
        <s v="CMP-4610"/>
        <s v="PRN-2409"/>
        <s v="MON-5188"/>
        <s v="NET-8561"/>
        <s v="PRN-2293"/>
        <s v="MON-1118"/>
        <s v="CMP-2015"/>
        <s v="ACC-6348"/>
        <s v="PRN-9960"/>
        <s v="NET-2628"/>
        <s v="NET-2932"/>
        <s v="LAP-5078"/>
        <s v="PRN-1371"/>
        <s v="PRN-4911"/>
        <s v="MON-7943"/>
        <s v="CMP-3938"/>
        <s v="ACC-7047"/>
        <s v="PRN-5569"/>
        <s v="PRN-4170"/>
        <s v="ACC-1075"/>
        <s v="PHN-1919"/>
        <s v="PRN-5492"/>
        <s v="ACC-2386"/>
        <s v="NET-4491"/>
        <s v="CMP-2335"/>
        <s v="PRN-6791"/>
        <s v="MON-4789"/>
        <s v="LAP-8347"/>
        <s v="CMP-3720"/>
        <s v="NET-1846"/>
        <s v="ACC-5780"/>
        <s v="MON-4215"/>
        <s v="PRN-9378"/>
        <s v="PRN-4788"/>
        <s v="PHN-8057"/>
        <s v="NET-9832"/>
        <s v="MON-8629"/>
        <s v="CMP-6919"/>
        <s v="LAP-8214"/>
        <s v="ACC-8620"/>
        <s v="LAP-8825"/>
        <s v="MON-6310"/>
        <s v="PHN-7019"/>
        <s v="CMP-1156"/>
        <s v="NET-7901"/>
        <s v="PHN-2875"/>
        <s v="LAP-7353"/>
        <s v="PHN-6307"/>
        <s v="MON-1593"/>
        <s v="ACC-4511"/>
        <s v="CMP-8658"/>
        <s v="LAP-3779"/>
        <s v="ACC-1659"/>
        <s v="ACC-5422"/>
        <s v="PRN-2991"/>
        <s v="PHN-8368"/>
        <s v="PHN-1671"/>
        <s v="ACC-9591"/>
        <s v="MON-4959"/>
        <s v="NET-2502"/>
        <s v="NET-5482"/>
        <s v="PRN-1882"/>
        <s v="LAP-6989"/>
        <s v="MON-5179"/>
        <s v="ACC-3989"/>
        <s v="ACC-5144"/>
        <s v="ACC-1604"/>
        <s v="ACC-5150"/>
        <s v="CMP-5065"/>
        <s v="MON-1436"/>
        <s v="PHN-5887"/>
        <s v="PHN-1044"/>
        <s v="LAP-3017"/>
        <s v="ACC-4056"/>
        <s v="CMP-3693"/>
        <s v="LAP-8119"/>
        <s v="NET-6269"/>
        <s v="PRN-9867"/>
        <s v="PHN-3007"/>
        <s v="PRN-5264"/>
        <s v="NET-8430"/>
        <s v="PRN-5815"/>
        <s v="CMP-3259"/>
        <s v="CMP-7055"/>
        <s v="PRN-3159"/>
        <s v="NET-8329"/>
        <s v="PHN-4395"/>
        <s v="NET-7166"/>
        <s v="ACC-9533"/>
        <s v="PHN-4556"/>
        <s v="PRN-8763"/>
        <s v="MON-7106"/>
        <s v="LAP-7136"/>
        <s v="MON-9319"/>
        <s v="PHN-3803"/>
        <s v="PRN-8657"/>
        <s v="MON-4925"/>
        <s v="NET-9716"/>
        <s v="LAP-4517"/>
        <s v="MON-5276"/>
        <s v="NET-5270"/>
        <s v="CMP-3743"/>
        <s v="NET-3432"/>
        <s v="CMP-6495"/>
        <s v="MON-6962"/>
        <s v="PRN-6178"/>
        <s v="LAP-3490"/>
        <s v="PHN-4566"/>
        <s v="NET-8610"/>
        <s v="MON-2842"/>
        <s v="MON-9216"/>
        <s v="MON-3371"/>
        <s v="PHN-2787"/>
        <s v="PHN-8350"/>
        <s v="PHN-3854"/>
        <s v="PHN-8776"/>
        <s v="NET-1966"/>
        <s v="PHN-2462"/>
        <s v="ACC-2252"/>
        <s v="PHN-5683"/>
        <s v="CMP-9307"/>
        <s v="PRN-8850"/>
        <s v="CMP-2865"/>
        <s v="PRN-2407"/>
        <s v="PHN-6480"/>
        <s v="PHN-3800"/>
        <s v="PRN-6131"/>
        <s v="LAP-9016"/>
        <s v="ACC-3349"/>
        <s v="NET-3749"/>
        <s v="MON-2993"/>
        <s v="CMP-3731"/>
        <s v="LAP-3385"/>
        <s v="LAP-7099"/>
        <s v="ACC-1249"/>
        <s v="PRN-9787"/>
        <s v="LAP-1619"/>
        <s v="CMP-4093"/>
        <s v="CMP-4159"/>
        <s v="PRN-6429"/>
        <s v="ACC-2902"/>
        <s v="ACC-1770"/>
        <s v="PHN-3482"/>
        <s v="PHN-5675"/>
        <s v="ACC-3961"/>
        <s v="MON-5891"/>
        <s v="ACC-7906"/>
        <s v="LAP-1990"/>
        <s v="NET-6370"/>
        <s v="PHN-7379"/>
        <s v="PHN-3819"/>
        <s v="PHN-5316"/>
        <s v="CMP-8390"/>
        <s v="ACC-8094"/>
        <s v="PRN-3775"/>
        <s v="LAP-1308"/>
        <s v="PHN-5383"/>
        <s v="LAP-7523"/>
        <s v="MON-7626"/>
        <s v="NET-3535"/>
        <s v="LAP-8910"/>
        <s v="CMP-1220"/>
        <s v="LAP-2218"/>
        <s v="PHN-7636"/>
        <s v="PRN-5753"/>
        <s v="MON-7868"/>
        <s v="NET-1612"/>
        <s v="CMP-8851"/>
        <s v="ACC-1028"/>
        <s v="ACC-8098"/>
        <s v="ACC-8999"/>
        <s v="NET-1804"/>
        <s v="PRN-5876"/>
        <s v="ACC-1596"/>
        <s v="NET-7966"/>
        <s v="CMP-5658"/>
        <s v="MON-1822"/>
        <s v="PHN-9234"/>
        <s v="LAP-4828"/>
        <s v="NET-3785"/>
        <s v="CMP-6346"/>
        <s v="LAP-3905"/>
        <s v="MON-4317"/>
        <s v="CMP-2854"/>
        <s v="NET-1336"/>
        <s v="PRN-2098"/>
        <s v="NET-6218"/>
        <s v="PHN-9465"/>
        <s v="PRN-9490"/>
        <s v="NET-5196"/>
        <s v="PRN-8137"/>
        <s v="MON-9662"/>
        <s v="CMP-4970"/>
        <s v="ACC-4483"/>
        <s v="LAP-7553"/>
        <s v="LAP-3220"/>
        <s v="CMP-5311"/>
        <s v="ACC-1663"/>
        <s v="PRN-1276"/>
        <s v="PHN-1197"/>
        <s v="MON-9274"/>
        <s v="CMP-6971"/>
        <s v="PHN-6954"/>
        <s v="LAP-3278"/>
        <s v="MON-2998"/>
        <s v="NET-9003"/>
        <s v="CMP-6898"/>
        <s v="ACC-6777"/>
        <s v="PHN-2859"/>
      </sharedItems>
    </cacheField>
    <cacheField name="UnitCost" numFmtId="0">
      <sharedItems containsSemiMixedTypes="0" containsString="0" containsNumber="1" minValue="5.34" maxValue="1495.79"/>
    </cacheField>
    <cacheField name="UnitPrice" numFmtId="0">
      <sharedItems containsSemiMixedTypes="0" containsString="0" containsNumber="1" minValue="4.22" maxValue="3661.07"/>
    </cacheField>
    <cacheField name="DiscountPct" numFmtId="9">
      <sharedItems containsSemiMixedTypes="0" containsString="0" containsNumber="1" minValue="0" maxValue="0.3"/>
    </cacheField>
    <cacheField name="Quantity" numFmtId="0">
      <sharedItems containsSemiMixedTypes="0" containsString="0" containsNumber="1" containsInteger="1" minValue="2" maxValue="61"/>
    </cacheField>
    <cacheField name="GrossRevenue" numFmtId="0">
      <sharedItems containsSemiMixedTypes="0" containsString="0" containsNumber="1" minValue="18.659839999999999" maxValue="139277.83032000001"/>
    </cacheField>
    <cacheField name="CostofGoods" numFmtId="0">
      <sharedItems containsSemiMixedTypes="0" containsString="0" containsNumber="1" minValue="22" maxValue="83258.290000000008"/>
    </cacheField>
    <cacheField name="GrossProfit" numFmtId="0">
      <sharedItems containsSemiMixedTypes="0" containsString="0" containsNumber="1" minValue="-15655.657510000005" maxValue="65188.659999999996"/>
    </cacheField>
    <cacheField name="MarginPct" numFmtId="10">
      <sharedItems containsSemiMixedTypes="0" containsString="0" containsNumber="1" minValue="-0.87167486187856302" maxValue="0.59672531214528945"/>
    </cacheField>
    <cacheField name="OrderDateNew" numFmtId="0">
      <sharedItems count="33">
        <s v="Jan-2023"/>
        <s v="Feb-2023"/>
        <s v="Mar-2023"/>
        <s v="Apr-2023"/>
        <s v="May-2023"/>
        <s v="Jun-2023"/>
        <s v="Jul-2023"/>
        <s v="Aug-2023"/>
        <s v="Sept-2023"/>
        <s v="Oct-2023"/>
        <s v="Nov-2023"/>
        <s v="Dec-2023"/>
        <s v="Jan-2024"/>
        <s v="Feb-2024"/>
        <s v="Mar-2024"/>
        <s v="Apr-2024"/>
        <s v="May-2024"/>
        <s v="Jun-2024"/>
        <s v="Jul-2024"/>
        <s v="Aug-2024"/>
        <s v="Sept-2024"/>
        <s v="Oct-2024"/>
        <s v="Nov-2024"/>
        <s v="Dec-2024"/>
        <s v="Jan-2025"/>
        <s v="Feb-2025"/>
        <s v="Mar-2025"/>
        <s v="Apr-2025"/>
        <s v="May-2025"/>
        <s v="Jun-2025"/>
        <s v="Jul-2025"/>
        <s v="Aug-2025"/>
        <s v="Sept-2025"/>
      </sharedItems>
    </cacheField>
    <cacheField name="OrderDateNew2" numFmtId="165">
      <sharedItems containsSemiMixedTypes="0" containsNonDate="0" containsDate="1" containsString="0" minDate="2023-01-01T00:00:00" maxDate="2025-09-02T00:00:00" count="33">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sharedItems>
    </cacheField>
    <cacheField name="Quarters" numFmtId="14">
      <sharedItems/>
    </cacheField>
    <cacheField name="RegionHierachy" numFmtId="0">
      <sharedItems/>
    </cacheField>
    <cacheField name="ProductCategory2" numFmtId="0">
      <sharedItems/>
    </cacheField>
    <cacheField name="PriceBand" numFmtId="0">
      <sharedItems/>
    </cacheField>
    <cacheField name="CohortStart" numFmtId="165">
      <sharedItems containsSemiMixedTypes="0" containsNonDate="0" containsDate="1" containsString="0" minDate="2023-01-01T00:00:00" maxDate="2023-03-02T00:00:00" count="3">
        <d v="2023-01-01T00:00:00"/>
        <d v="2023-02-01T00:00:00"/>
        <d v="2023-03-01T00:00:00"/>
      </sharedItems>
      <fieldGroup par="30"/>
    </cacheField>
    <cacheField name="MonthsSinceStart" numFmtId="0">
      <sharedItems containsSemiMixedTypes="0" containsString="0" containsNumber="1" containsInteger="1" minValue="0" maxValue="32" count="33">
        <n v="0"/>
        <n v="1"/>
        <n v="2"/>
        <n v="3"/>
        <n v="4"/>
        <n v="5"/>
        <n v="6"/>
        <n v="7"/>
        <n v="8"/>
        <n v="9"/>
        <n v="10"/>
        <n v="11"/>
        <n v="12"/>
        <n v="13"/>
        <n v="14"/>
        <n v="15"/>
        <n v="16"/>
        <n v="17"/>
        <n v="18"/>
        <n v="19"/>
        <n v="20"/>
        <n v="21"/>
        <n v="22"/>
        <n v="23"/>
        <n v="24"/>
        <n v="25"/>
        <n v="26"/>
        <n v="27"/>
        <n v="28"/>
        <n v="29"/>
        <n v="30"/>
        <n v="31"/>
        <n v="32"/>
      </sharedItems>
    </cacheField>
    <cacheField name="Days (CohortStart)" numFmtId="0" databaseField="0">
      <fieldGroup base="27">
        <rangePr groupBy="days" startDate="2023-01-01T00:00:00" endDate="2023-03-02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3/2023"/>
        </groupItems>
      </fieldGroup>
    </cacheField>
    <cacheField name="Months (CohortStart)" numFmtId="0" databaseField="0">
      <fieldGroup base="27">
        <rangePr groupBy="months" startDate="2023-01-01T00:00:00" endDate="2023-03-02T00:00:00"/>
        <groupItems count="14">
          <s v="&lt;01/01/2023"/>
          <s v="Jan"/>
          <s v="Feb"/>
          <s v="Mar"/>
          <s v="Apr"/>
          <s v="May"/>
          <s v="Jun"/>
          <s v="Jul"/>
          <s v="Aug"/>
          <s v="Sept"/>
          <s v="Oct"/>
          <s v="Nov"/>
          <s v="Dec"/>
          <s v="&gt;02/03/2023"/>
        </groupItems>
      </fieldGroup>
    </cacheField>
    <cacheField name="Months (OrderDate)" numFmtId="0" databaseField="0">
      <fieldGroup base="2">
        <rangePr groupBy="months" startDate="2023-01-02T00:00:00" endDate="2025-09-16T00:00:00"/>
        <groupItems count="14">
          <s v="&lt;02/01/2023"/>
          <s v="Jan"/>
          <s v="Feb"/>
          <s v="Mar"/>
          <s v="Apr"/>
          <s v="May"/>
          <s v="Jun"/>
          <s v="Jul"/>
          <s v="Aug"/>
          <s v="Sept"/>
          <s v="Oct"/>
          <s v="Nov"/>
          <s v="Dec"/>
          <s v="&gt;16/09/2025"/>
        </groupItems>
      </fieldGroup>
    </cacheField>
    <cacheField name="Quarters (OrderDate)" numFmtId="0" databaseField="0">
      <fieldGroup base="2">
        <rangePr groupBy="quarters" startDate="2023-01-02T00:00:00" endDate="2025-09-16T00:00:00"/>
        <groupItems count="6">
          <s v="&lt;02/01/2023"/>
          <s v="Qtr1"/>
          <s v="Qtr2"/>
          <s v="Qtr3"/>
          <s v="Qtr4"/>
          <s v="&gt;16/09/2025"/>
        </groupItems>
      </fieldGroup>
    </cacheField>
    <cacheField name="Years (OrderDate)" numFmtId="0" databaseField="0">
      <fieldGroup base="2">
        <rangePr groupBy="years" startDate="2023-01-02T00:00:00" endDate="2025-09-16T00:00:00"/>
        <groupItems count="5">
          <s v="&lt;02/01/2023"/>
          <s v="2023"/>
          <s v="2024"/>
          <s v="2025"/>
          <s v="&gt;16/09/2025"/>
        </groupItems>
      </fieldGroup>
    </cacheField>
  </cacheFields>
  <extLst>
    <ext xmlns:x14="http://schemas.microsoft.com/office/spreadsheetml/2009/9/main" uri="{725AE2AE-9491-48be-B2B4-4EB974FC3084}">
      <x14:pivotCacheDefinition pivotCacheId="73199293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1" refreshedDate="46047.480740046296" createdVersion="8" refreshedVersion="8" minRefreshableVersion="3" recordCount="632" xr:uid="{840B2366-EBCD-44DA-99D5-D192DC1BC09B}">
  <cacheSource type="worksheet">
    <worksheetSource ref="A1:AC633" sheet="Part A (2&amp;3)"/>
  </cacheSource>
  <cacheFields count="29">
    <cacheField name="OrderID" numFmtId="0">
      <sharedItems containsBlank="1"/>
    </cacheField>
    <cacheField name="Duplicate" numFmtId="0">
      <sharedItems containsBlank="1"/>
    </cacheField>
    <cacheField name="OrderDate" numFmtId="0">
      <sharedItems containsNonDate="0" containsDate="1" containsString="0" containsBlank="1" minDate="2023-01-02T00:00:00" maxDate="2025-09-16T00:00:00"/>
    </cacheField>
    <cacheField name="FixedRequiredDate" numFmtId="0">
      <sharedItems containsNonDate="0" containsDate="1" containsString="0" containsBlank="1" minDate="2023-01-05T00:00:00" maxDate="2025-10-06T00:00:00"/>
    </cacheField>
    <cacheField name="LeadTimeDays" numFmtId="0">
      <sharedItems containsSemiMixedTypes="0" containsString="0" containsNumber="1" minValue="0.27258320126782887" maxValue="30"/>
    </cacheField>
    <cacheField name="Region" numFmtId="0">
      <sharedItems containsBlank="1" count="5">
        <s v="Americas"/>
        <s v="Africa"/>
        <s v="Europe"/>
        <s v="Asia"/>
        <m/>
      </sharedItems>
    </cacheField>
    <cacheField name="Country" numFmtId="0">
      <sharedItems containsBlank="1"/>
    </cacheField>
    <cacheField name="City" numFmtId="0">
      <sharedItems containsBlank="1"/>
    </cacheField>
    <cacheField name="CustomerSegment" numFmtId="0">
      <sharedItems containsBlank="1"/>
    </cacheField>
    <cacheField name="Channel" numFmtId="0">
      <sharedItems containsBlank="1" count="7">
        <s v="Distributor"/>
        <s v="Online"/>
        <s v="Direct"/>
        <s v="Retail"/>
        <s v="Marketplace"/>
        <s v="Unknown"/>
        <m/>
      </sharedItems>
    </cacheField>
    <cacheField name="Salesperson" numFmtId="0">
      <sharedItems containsBlank="1"/>
    </cacheField>
    <cacheField name="ProductCategory" numFmtId="0">
      <sharedItems containsBlank="1" count="8">
        <s v="Laptops"/>
        <s v="Printers"/>
        <s v="Phones"/>
        <s v="Accessories"/>
        <s v="Networking"/>
        <s v="Monitors"/>
        <s v="Components"/>
        <m/>
      </sharedItems>
    </cacheField>
    <cacheField name="SKU" numFmtId="0">
      <sharedItems containsBlank="1" count="630">
        <s v="LAP-8555"/>
        <s v="PRN-4787"/>
        <s v="LAP-4551"/>
        <s v="PRN-1641"/>
        <s v="PHN-3159"/>
        <s v="PRN-6276"/>
        <s v="ACC-3645"/>
        <s v="NET-6036"/>
        <s v="NET-4155"/>
        <s v="MON-2537"/>
        <s v="NET-8787"/>
        <s v="LAP-9782"/>
        <s v="MON-7207"/>
        <s v="NET-3460"/>
        <s v="PHN-2036"/>
        <s v="CMP-2693"/>
        <s v="NET-5018"/>
        <s v="ACC-8242"/>
        <s v="LAP-3393"/>
        <s v="MON-6699"/>
        <s v="MON-9906"/>
        <s v="NET-2499"/>
        <s v="PHN-4854"/>
        <s v="PRN-7410"/>
        <s v="PRN-1060"/>
        <s v="CMP-1632"/>
        <s v="NET-1282"/>
        <s v="NET-9666"/>
        <s v="LAP-3679"/>
        <s v="NET-5195"/>
        <s v="PRN-9624"/>
        <s v="MON-2828"/>
        <s v="NET-7349"/>
        <s v="LAP-6160"/>
        <s v="MON-2073"/>
        <s v="PRN-7049"/>
        <s v="CMP-2574"/>
        <s v="CMP-8230"/>
        <s v="CMP-8675"/>
        <s v="PHN-8483"/>
        <s v="ACC-9150"/>
        <s v="ACC-2988"/>
        <s v="MON-9227"/>
        <s v="PRN-4506"/>
        <s v="LAP-7819"/>
        <s v="PHN-8014"/>
        <s v="ACC-4815"/>
        <s v="MON-5259"/>
        <s v="PRN-8970"/>
        <s v="MON-4373"/>
        <s v="PRN-5067"/>
        <s v="MON-3043"/>
        <s v="NET-1816"/>
        <s v="LAP-3565"/>
        <s v="MON-6053"/>
        <s v="PHN-1784"/>
        <s v="PRN-7019"/>
        <s v="ACC-1731"/>
        <s v="PRN-9249"/>
        <s v="LAP-1482"/>
        <s v="NET-2062"/>
        <s v="MON-1663"/>
        <s v="LAP-9766"/>
        <s v="PHN-7132"/>
        <s v="NET-2439"/>
        <s v="CMP-7371"/>
        <s v="CMP-8604"/>
        <s v="ACC-7713"/>
        <s v="LAP-1698"/>
        <s v="CMP-4945"/>
        <s v="CMP-5633"/>
        <s v="MON-2266"/>
        <s v="MON-5086"/>
        <s v="MON-4830"/>
        <s v="PHN-5366"/>
        <s v="NET-5941"/>
        <s v="PHN-1670"/>
        <s v="PHN-6131"/>
        <s v="CMP-9392"/>
        <s v="ACC-2364"/>
        <s v="ACC-9283"/>
        <s v="MON-2465"/>
        <s v="LAP-6499"/>
        <s v="NET-3255"/>
        <s v="PHN-8970"/>
        <s v="PRN-9488"/>
        <s v="PRN-1923"/>
        <s v="ACC-5206"/>
        <s v="CMP-5208"/>
        <s v="CMP-4630"/>
        <s v="LAP-2806"/>
        <s v="CMP-6925"/>
        <s v="PRN-1271"/>
        <s v="MON-6882"/>
        <s v="ACC-1882"/>
        <s v="CMP-8545"/>
        <s v="PHN-1924"/>
        <s v="ACC-4587"/>
        <s v="CMP-1223"/>
        <s v="PRN-3690"/>
        <s v="MON-9194"/>
        <s v="PHN-2337"/>
        <s v="PRN-8008"/>
        <s v="CMP-5820"/>
        <s v="MON-5424"/>
        <s v="ACC-3833"/>
        <s v="PRN-6536"/>
        <s v="MON-4326"/>
        <s v="NET-3828"/>
        <s v="NET-1228"/>
        <s v="ACC-3385"/>
        <s v="PRN-2542"/>
        <s v="PHN-4677"/>
        <s v="PRN-6490"/>
        <s v="PHN-6818"/>
        <s v="ACC-2903"/>
        <s v="MON-2990"/>
        <s v="LAP-3904"/>
        <s v="NET-6533"/>
        <s v="LAP-4666"/>
        <s v="CMP-7256"/>
        <s v="LAP-6342"/>
        <s v="NET-2394"/>
        <s v="ACC-9445"/>
        <s v="LAP-1989"/>
        <s v="CMP-6649"/>
        <s v="PRN-1504"/>
        <s v="MON-1018"/>
        <s v="ACC-5334"/>
        <s v="LAP-1178"/>
        <s v="CMP-8659"/>
        <s v="NET-1699"/>
        <s v="MON-7869"/>
        <s v="PRN-2301"/>
        <s v="MON-3307"/>
        <s v="ACC-1238"/>
        <s v="ACC-8178"/>
        <s v="ACC-7078"/>
        <s v="NET-1645"/>
        <s v="NET-5423"/>
        <s v="NET-3689"/>
        <s v="ACC-3951"/>
        <s v="NET-4735"/>
        <s v="MON-3773"/>
        <s v="NET-9125"/>
        <s v="MON-7511"/>
        <s v="NET-2894"/>
        <s v="CMP-6352"/>
        <s v="PHN-2013"/>
        <s v="PHN-1234"/>
        <s v="PHN-8072"/>
        <s v="MON-2296"/>
        <s v="PRN-9669"/>
        <s v="MON-5517"/>
        <s v="CMP-2136"/>
        <s v="ACC-1492"/>
        <s v="PRN-4732"/>
        <s v="PHN-3971"/>
        <s v="CMP-7063"/>
        <s v="PRN-5107"/>
        <s v="PRN-9975"/>
        <s v="PRN-7079"/>
        <s v="NET-9989"/>
        <s v="ACC-3068"/>
        <s v="ACC-3415"/>
        <s v="ACC-4766"/>
        <s v="PRN-4432"/>
        <s v="LAP-4932"/>
        <s v="CMP-1009"/>
        <s v="PRN-5005"/>
        <s v="ACC-1375"/>
        <s v="CMP-5211"/>
        <s v="ACC-3551"/>
        <s v="LAP-6750"/>
        <s v="LAP-5763"/>
        <s v="PRN-1786"/>
        <s v="ACC-5079"/>
        <s v="CMP-4807"/>
        <s v="PRN-6520"/>
        <s v="MON-7602"/>
        <s v="CMP-2096"/>
        <s v="NET-8856"/>
        <s v="ACC-3567"/>
        <s v="PHN-8478"/>
        <s v="PRN-4983"/>
        <s v="PHN-8891"/>
        <s v="ACC-8557"/>
        <s v="MON-8697"/>
        <s v="LAP-9024"/>
        <s v="PHN-5938"/>
        <s v="ACC-2867"/>
        <s v="LAP-7320"/>
        <s v="LAP-2378"/>
        <s v="ACC-4124"/>
        <s v="ACC-5260"/>
        <s v="NET-4104"/>
        <s v="ACC-1060"/>
        <s v="MON-3745"/>
        <s v="NET-2460"/>
        <s v="PHN-9184"/>
        <s v="NET-3033"/>
        <s v="PHN-2447"/>
        <s v="LAP-1525"/>
        <s v="LAP-4899"/>
        <s v="LAP-3604"/>
        <s v="MON-4278"/>
        <s v="PHN-4644"/>
        <s v="PHN-6506"/>
        <s v="PRN-8041"/>
        <s v="PRN-8175"/>
        <s v="CMP-1940"/>
        <s v="ACC-9644"/>
        <s v="NET-6014"/>
        <s v="PHN-7274"/>
        <s v="MON-6065"/>
        <s v="MON-1572"/>
        <s v="CMP-4792"/>
        <s v="CMP-4531"/>
        <s v="CMP-1555"/>
        <s v="PHN-3014"/>
        <s v="LAP-1946"/>
        <s v="LAP-2942"/>
        <s v="PRN-1654"/>
        <s v="PHN-7924"/>
        <s v="ACC-6594"/>
        <s v="ACC-3103"/>
        <s v="NET-4554"/>
        <s v="NET-1893"/>
        <s v="LAP-3581"/>
        <s v="PRN-6585"/>
        <s v="PRN-6776"/>
        <s v="NET-1412"/>
        <s v="PRN-7816"/>
        <s v="PRN-8604"/>
        <s v="CMP-5138"/>
        <s v="CMP-8141"/>
        <s v="LAP-9931"/>
        <s v="CMP-2410"/>
        <s v="MON-4195"/>
        <s v="PRN-6660"/>
        <s v="PRN-8392"/>
        <s v="MON-8973"/>
        <s v="LAP-5689"/>
        <s v="LAP-7056"/>
        <s v="NET-9569"/>
        <s v="ACC-7938"/>
        <s v="ACC-6223"/>
        <s v="CMP-1470"/>
        <s v="NET-8761"/>
        <s v="PRN-4906"/>
        <s v="CMP-9264"/>
        <s v="LAP-5531"/>
        <s v="MON-2462"/>
        <s v="CMP-5911"/>
        <s v="PHN-5082"/>
        <s v="ACC-1021"/>
        <s v="LAP-2774"/>
        <s v="PHN-1717"/>
        <s v="PRN-7089"/>
        <s v="CMP-9801"/>
        <s v="PRN-5384"/>
        <s v="PRN-6308"/>
        <s v="NET-9177"/>
        <s v="MON-3350"/>
        <s v="LAP-8469"/>
        <s v="NET-7588"/>
        <s v="PHN-7852"/>
        <s v="PRN-7976"/>
        <s v="CMP-3223"/>
        <s v="PHN-4915"/>
        <s v="MON-8422"/>
        <s v="PHN-4741"/>
        <s v="CMP-7617"/>
        <s v="PRN-6911"/>
        <s v="MON-5749"/>
        <s v="PHN-3398"/>
        <s v="LAP-8633"/>
        <s v="CMP-8002"/>
        <s v="CMP-8270"/>
        <s v="MON-7099"/>
        <s v="CMP-9001"/>
        <s v="MON-4361"/>
        <s v="PRN-8758"/>
        <s v="ACC-2761"/>
        <s v="PHN-4346"/>
        <s v="MON-5444"/>
        <s v="NET-5523"/>
        <s v="LAP-2846"/>
        <s v="MON-8651"/>
        <s v="PHN-5445"/>
        <s v="NET-3850"/>
        <s v="ACC-6543"/>
        <s v="CMP-6529"/>
        <s v="CMP-8196"/>
        <s v="PRN-1086"/>
        <s v="LAP-8489"/>
        <s v="PRN-2641"/>
        <s v="LAP-9932"/>
        <s v="PRN-7303"/>
        <s v="ACC-2990"/>
        <s v="MON-6190"/>
        <s v="PHN-9107"/>
        <s v="LAP-5009"/>
        <s v="CMP-6811"/>
        <s v="NET-4228"/>
        <s v="MON-6892"/>
        <s v="CMP-3313"/>
        <s v="LAP-9100"/>
        <s v="LAP-1066"/>
        <s v="PRN-5813"/>
        <s v="NET-2365"/>
        <s v="PHN-7974"/>
        <s v="LAP-4987"/>
        <s v="PRN-1725"/>
        <s v="ACC-7354"/>
        <s v="MON-4271"/>
        <s v="CMP-5946"/>
        <s v="CMP-8101"/>
        <s v="MON-6870"/>
        <s v="MON-2100"/>
        <s v="PRN-3785"/>
        <s v="NET-1166"/>
        <s v="ACC-7240"/>
        <s v="ACC-5177"/>
        <s v="PHN-9399"/>
        <s v="PHN-4356"/>
        <s v="ACC-9820"/>
        <s v="PHN-6866"/>
        <s v="MON-5386"/>
        <s v="PRN-4097"/>
        <s v="LAP-1739"/>
        <s v="NET-6578"/>
        <s v="CMP-2040"/>
        <s v="MON-8688"/>
        <s v="MON-1389"/>
        <s v="CMP-6392"/>
        <s v="LAP-9230"/>
        <s v="PHN-2436"/>
        <s v="PRN-4453"/>
        <s v="PHN-6832"/>
        <s v="PHN-9677"/>
        <s v="LAP-4607"/>
        <s v="ACC-7838"/>
        <s v="ACC-7671"/>
        <s v="NET-5987"/>
        <s v="NET-4241"/>
        <s v="ACC-8683"/>
        <s v="ACC-9162"/>
        <s v="LAP-6577"/>
        <s v="CMP-5825"/>
        <s v="ACC-3721"/>
        <s v="PHN-7815"/>
        <s v="NET-9575"/>
        <s v="MON-6287"/>
        <s v="ACC-2735"/>
        <s v="MON-7622"/>
        <s v="PHN-6854"/>
        <s v="LAP-9901"/>
        <s v="LAP-9815"/>
        <s v="ACC-6626"/>
        <s v="NET-4675"/>
        <s v="PRN-2829"/>
        <s v="MON-1564"/>
        <s v="LAP-1969"/>
        <s v="MON-8867"/>
        <s v="NET-7924"/>
        <s v="NET-8957"/>
        <s v="PRN-1183"/>
        <s v="LAP-7979"/>
        <s v="PRN-5591"/>
        <s v="PHN-2341"/>
        <s v="MON-2849"/>
        <s v="PHN-3077"/>
        <s v="CMP-5435"/>
        <s v="PRN-9793"/>
        <s v="PRN-4892"/>
        <s v="CMP-1559"/>
        <s v="MON-9967"/>
        <s v="CMP-3875"/>
        <s v="ACC-4490"/>
        <s v="LAP-7009"/>
        <s v="PHN-6111"/>
        <s v="CMP-7563"/>
        <s v="PRN-1141"/>
        <s v="PRN-3917"/>
        <s v="MON-5249"/>
        <s v="MON-3504"/>
        <s v="LAP-4483"/>
        <s v="NET-9835"/>
        <s v="NET-7998"/>
        <s v="PRN-3014"/>
        <s v="CMP-3093"/>
        <s v="NET-1145"/>
        <s v="PRN-6068"/>
        <s v="PHN-8804"/>
        <s v="LAP-5150"/>
        <s v="PRN-2749"/>
        <s v="MON-6341"/>
        <s v="PHN-4568"/>
        <s v="PRN-9557"/>
        <s v="CMP-3978"/>
        <s v="PHN-7488"/>
        <s v="ACC-9038"/>
        <s v="MON-9733"/>
        <s v="CMP-1072"/>
        <s v="CMP-8127"/>
        <s v="PRN-5666"/>
        <s v="CMP-5006"/>
        <s v="NET-5268"/>
        <s v="NET-6387"/>
        <s v="MON-4330"/>
        <s v="MON-8129"/>
        <s v="MON-8758"/>
        <s v="PRN-9322"/>
        <s v="PHN-9789"/>
        <s v="NET-3728"/>
        <s v="PRN-3143"/>
        <s v="CMP-9498"/>
        <s v="MON-8939"/>
        <s v="PRN-4893"/>
        <s v="CMP-4610"/>
        <s v="PRN-2409"/>
        <s v="MON-5188"/>
        <s v="NET-8561"/>
        <s v="PRN-2293"/>
        <s v="MON-1118"/>
        <s v="CMP-2015"/>
        <s v="ACC-6348"/>
        <s v="PRN-9960"/>
        <s v="NET-2628"/>
        <s v="NET-2932"/>
        <s v="LAP-5078"/>
        <s v="PRN-1371"/>
        <s v="PRN-4911"/>
        <s v="MON-7943"/>
        <s v="CMP-3938"/>
        <s v="ACC-7047"/>
        <s v="PRN-5569"/>
        <s v="PRN-4170"/>
        <s v="ACC-1075"/>
        <s v="PHN-1919"/>
        <s v="PRN-5492"/>
        <s v="ACC-2386"/>
        <s v="NET-4491"/>
        <s v="CMP-2335"/>
        <s v="PRN-6791"/>
        <s v="MON-4789"/>
        <s v="LAP-8347"/>
        <s v="CMP-3720"/>
        <s v="NET-1846"/>
        <s v="ACC-5780"/>
        <s v="MON-4215"/>
        <s v="PRN-9378"/>
        <s v="PRN-4788"/>
        <s v="PHN-8057"/>
        <s v="NET-9832"/>
        <s v="MON-8629"/>
        <s v="CMP-6919"/>
        <s v="LAP-8214"/>
        <s v="ACC-8620"/>
        <s v="LAP-8825"/>
        <s v="MON-6310"/>
        <s v="PHN-7019"/>
        <s v="CMP-1156"/>
        <s v="NET-7901"/>
        <s v="PHN-2875"/>
        <s v="LAP-7353"/>
        <s v="PHN-6307"/>
        <s v="MON-1593"/>
        <s v="ACC-4511"/>
        <s v="CMP-8658"/>
        <s v="LAP-3779"/>
        <s v="ACC-1659"/>
        <s v="ACC-5422"/>
        <s v="PRN-2991"/>
        <s v="PHN-8368"/>
        <s v="PHN-1671"/>
        <s v="ACC-9591"/>
        <s v="MON-4959"/>
        <s v="NET-2502"/>
        <s v="NET-5482"/>
        <s v="PRN-1882"/>
        <s v="LAP-6989"/>
        <s v="MON-5179"/>
        <s v="ACC-3989"/>
        <s v="ACC-5144"/>
        <s v="ACC-1604"/>
        <s v="ACC-5150"/>
        <s v="CMP-5065"/>
        <s v="MON-1436"/>
        <s v="PHN-5887"/>
        <s v="PHN-1044"/>
        <s v="LAP-3017"/>
        <s v="ACC-4056"/>
        <s v="CMP-3693"/>
        <s v="LAP-8119"/>
        <s v="NET-6269"/>
        <s v="PRN-9867"/>
        <s v="PHN-3007"/>
        <s v="PRN-5264"/>
        <s v="NET-8430"/>
        <s v="PRN-5815"/>
        <s v="CMP-3259"/>
        <s v="CMP-7055"/>
        <s v="PRN-3159"/>
        <s v="NET-8329"/>
        <s v="PHN-4395"/>
        <s v="NET-7166"/>
        <s v="ACC-9533"/>
        <s v="PHN-4556"/>
        <s v="PRN-8763"/>
        <s v="MON-7106"/>
        <s v="LAP-7136"/>
        <s v="MON-9319"/>
        <s v="PHN-3803"/>
        <s v="PRN-8657"/>
        <s v="MON-4925"/>
        <s v="NET-9716"/>
        <s v="LAP-4517"/>
        <s v="MON-5276"/>
        <s v="NET-5270"/>
        <s v="CMP-3743"/>
        <s v="NET-3432"/>
        <s v="CMP-6495"/>
        <s v="MON-6962"/>
        <s v="PRN-6178"/>
        <s v="LAP-3490"/>
        <s v="PHN-4566"/>
        <s v="NET-8610"/>
        <s v="MON-2842"/>
        <s v="MON-9216"/>
        <s v="MON-3371"/>
        <s v="PHN-2787"/>
        <s v="PHN-8350"/>
        <s v="PHN-3854"/>
        <s v="PHN-8776"/>
        <s v="NET-1966"/>
        <s v="PHN-2462"/>
        <s v="ACC-2252"/>
        <s v="PHN-5683"/>
        <s v="CMP-9307"/>
        <s v="PRN-8850"/>
        <s v="CMP-2865"/>
        <s v="PRN-2407"/>
        <s v="PHN-6480"/>
        <s v="PHN-3800"/>
        <s v="PRN-6131"/>
        <s v="LAP-9016"/>
        <s v="ACC-3349"/>
        <s v="NET-3749"/>
        <s v="MON-2993"/>
        <s v="CMP-3731"/>
        <s v="LAP-3385"/>
        <s v="LAP-7099"/>
        <s v="ACC-1249"/>
        <s v="PRN-9787"/>
        <s v="LAP-1619"/>
        <s v="CMP-4093"/>
        <s v="CMP-4159"/>
        <s v="PRN-6429"/>
        <s v="ACC-2902"/>
        <s v="ACC-1770"/>
        <s v="PHN-3482"/>
        <s v="PHN-5675"/>
        <s v="ACC-3961"/>
        <s v="MON-5891"/>
        <s v="ACC-7906"/>
        <s v="LAP-1990"/>
        <s v="NET-6370"/>
        <s v="PHN-7379"/>
        <s v="PHN-3819"/>
        <s v="PHN-5316"/>
        <s v="CMP-8390"/>
        <s v="ACC-8094"/>
        <s v="PRN-3775"/>
        <s v="LAP-1308"/>
        <s v="PHN-5383"/>
        <s v="LAP-7523"/>
        <s v="MON-7626"/>
        <s v="NET-3535"/>
        <s v="LAP-8910"/>
        <s v="CMP-1220"/>
        <s v="LAP-2218"/>
        <s v="PHN-7636"/>
        <s v="PRN-5753"/>
        <s v="MON-7868"/>
        <s v="NET-1612"/>
        <s v="CMP-8851"/>
        <s v="ACC-1028"/>
        <s v="ACC-8098"/>
        <s v="ACC-8999"/>
        <s v="NET-1804"/>
        <s v="PRN-5876"/>
        <s v="ACC-1596"/>
        <s v="NET-7966"/>
        <s v="CMP-5658"/>
        <s v="MON-1822"/>
        <s v="PHN-9234"/>
        <s v="LAP-4828"/>
        <s v="NET-3785"/>
        <s v="CMP-6346"/>
        <s v="LAP-3905"/>
        <s v="MON-4317"/>
        <s v="CMP-2854"/>
        <s v="NET-1336"/>
        <s v="PRN-2098"/>
        <s v="NET-6218"/>
        <s v="PHN-9465"/>
        <s v="PRN-9490"/>
        <s v="NET-5196"/>
        <s v="PRN-8137"/>
        <s v="MON-9662"/>
        <s v="CMP-4970"/>
        <s v="ACC-4483"/>
        <s v="LAP-7553"/>
        <s v="LAP-3220"/>
        <s v="CMP-5311"/>
        <s v="ACC-1663"/>
        <s v="PRN-1276"/>
        <s v="PHN-1197"/>
        <s v="MON-9274"/>
        <s v="CMP-6971"/>
        <s v="PHN-6954"/>
        <s v="LAP-3278"/>
        <s v="MON-2998"/>
        <s v="NET-9003"/>
        <s v="CMP-6898"/>
        <s v="ACC-6777"/>
        <s v="PHN-2859"/>
        <m/>
      </sharedItems>
    </cacheField>
    <cacheField name="UnitCost" numFmtId="0">
      <sharedItems containsString="0" containsBlank="1" containsNumber="1" minValue="5.34" maxValue="1495.79"/>
    </cacheField>
    <cacheField name="UnitPrice" numFmtId="0">
      <sharedItems containsString="0" containsBlank="1" containsNumber="1" minValue="4.22" maxValue="3661.07"/>
    </cacheField>
    <cacheField name="DiscountPct" numFmtId="0">
      <sharedItems containsString="0" containsBlank="1" containsNumber="1" minValue="0" maxValue="0.3"/>
    </cacheField>
    <cacheField name="Quantity" numFmtId="0">
      <sharedItems containsSemiMixedTypes="0" containsString="0" containsNumber="1" minValue="2" maxValue="61"/>
    </cacheField>
    <cacheField name="GrossRevenue" numFmtId="2">
      <sharedItems containsSemiMixedTypes="0" containsString="0" containsNumber="1" minValue="18.659839999999999" maxValue="11033837.027951997"/>
    </cacheField>
    <cacheField name="CostofGoods" numFmtId="0">
      <sharedItems containsString="0" containsBlank="1" containsNumber="1" minValue="22" maxValue="83258.290000000008"/>
    </cacheField>
    <cacheField name="GrossProfit" numFmtId="2">
      <sharedItems containsSemiMixedTypes="0" containsString="0" containsNumber="1" minValue="-15655.657510000005" maxValue="3537641.8179519982"/>
    </cacheField>
    <cacheField name="MarginPct" numFmtId="10">
      <sharedItems containsSemiMixedTypes="0" containsString="0" containsNumber="1" minValue="-0.87167486187856302" maxValue="0.59672531214528945"/>
    </cacheField>
    <cacheField name="OrderDateNew" numFmtId="0">
      <sharedItems containsBlank="1"/>
    </cacheField>
    <cacheField name="OrderDateNew2" numFmtId="0">
      <sharedItems containsNonDate="0" containsDate="1" containsString="0" containsBlank="1" minDate="2023-01-01T00:00:00" maxDate="2025-09-02T00:00:00"/>
    </cacheField>
    <cacheField name="Quarters" numFmtId="0">
      <sharedItems containsBlank="1"/>
    </cacheField>
    <cacheField name="RegionHierachy" numFmtId="0">
      <sharedItems containsBlank="1"/>
    </cacheField>
    <cacheField name="ProductCategory2" numFmtId="0">
      <sharedItems containsBlank="1"/>
    </cacheField>
    <cacheField name="PriceBand" numFmtId="0">
      <sharedItems containsBlank="1"/>
    </cacheField>
    <cacheField name="CohortStart" numFmtId="0">
      <sharedItems containsNonDate="0" containsDate="1" containsString="0" containsBlank="1" minDate="2023-01-01T00:00:00" maxDate="2023-03-02T00:00:00"/>
    </cacheField>
    <cacheField name="MonthsSinceStart" numFmtId="0">
      <sharedItems containsString="0" containsBlank="1" containsNumber="1" containsInteger="1" minValue="0" maxValue="3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1">
  <r>
    <x v="0"/>
    <s v="Original"/>
    <x v="0"/>
    <d v="2023-01-05T00:00:00"/>
    <n v="3"/>
    <x v="0"/>
    <x v="0"/>
    <s v="Toronto"/>
    <s v="Corporate"/>
    <x v="0"/>
    <x v="0"/>
    <x v="0"/>
    <x v="0"/>
    <n v="315.87"/>
    <n v="591.67999999999995"/>
    <n v="0"/>
    <n v="7"/>
    <n v="4141.7599999999993"/>
    <n v="2211.09"/>
    <n v="1930.6699999999992"/>
    <n v="0.46614724175229844"/>
    <x v="0"/>
    <x v="0"/>
    <s v="Q1-2023"/>
    <s v="Americas → Canada → Toronto"/>
    <s v="Laptops"/>
    <s v="Low"/>
    <x v="0"/>
    <x v="0"/>
  </r>
  <r>
    <x v="1"/>
    <s v="Original"/>
    <x v="1"/>
    <d v="2023-01-30T00:00:00"/>
    <n v="23"/>
    <x v="1"/>
    <x v="1"/>
    <s v="Cape Town"/>
    <s v="Consumer"/>
    <x v="1"/>
    <x v="1"/>
    <x v="1"/>
    <x v="1"/>
    <n v="299.02"/>
    <n v="724.7"/>
    <n v="0.14000000000000001"/>
    <n v="5"/>
    <n v="3116.21"/>
    <n v="1495.1"/>
    <n v="1621.1100000000001"/>
    <n v="0.52021847051386139"/>
    <x v="0"/>
    <x v="0"/>
    <s v="Q1-2023"/>
    <s v="Africa → South Africa → Cape Town"/>
    <s v="Printers"/>
    <s v="Low"/>
    <x v="0"/>
    <x v="0"/>
  </r>
  <r>
    <x v="2"/>
    <s v="Original"/>
    <x v="2"/>
    <d v="2023-01-29T00:00:00"/>
    <n v="19"/>
    <x v="2"/>
    <x v="2"/>
    <s v="Lyon"/>
    <s v="Non-Profit"/>
    <x v="2"/>
    <x v="2"/>
    <x v="0"/>
    <x v="2"/>
    <n v="401.66"/>
    <n v="772.09"/>
    <n v="8.8999999999999996E-2"/>
    <n v="14"/>
    <n v="9847.2358600000007"/>
    <n v="5623.2400000000007"/>
    <n v="4223.99586"/>
    <n v="0.42895244107619046"/>
    <x v="0"/>
    <x v="0"/>
    <s v="Q1-2023"/>
    <s v="Europe → France → Lyon"/>
    <s v="Laptops"/>
    <s v="Low"/>
    <x v="0"/>
    <x v="0"/>
  </r>
  <r>
    <x v="3"/>
    <s v="Original"/>
    <x v="3"/>
    <d v="2023-01-26T00:00:00"/>
    <n v="14"/>
    <x v="3"/>
    <x v="3"/>
    <s v="Shenzhen"/>
    <s v="Non-Profit"/>
    <x v="3"/>
    <x v="3"/>
    <x v="1"/>
    <x v="3"/>
    <n v="1083.0899999999999"/>
    <n v="1425.87"/>
    <n v="0"/>
    <n v="8"/>
    <n v="11406.96"/>
    <n v="8664.7199999999993"/>
    <n v="2742.24"/>
    <n v="0.24040059752992909"/>
    <x v="0"/>
    <x v="0"/>
    <s v="Q1-2023"/>
    <s v="Asia → China → Shenzhen"/>
    <s v="Printers"/>
    <s v="Medium"/>
    <x v="0"/>
    <x v="0"/>
  </r>
  <r>
    <x v="4"/>
    <s v="Original"/>
    <x v="4"/>
    <d v="2023-01-19T00:00:00"/>
    <n v="6"/>
    <x v="0"/>
    <x v="4"/>
    <s v="Chicago"/>
    <s v="Corporate"/>
    <x v="2"/>
    <x v="4"/>
    <x v="2"/>
    <x v="4"/>
    <n v="833.57"/>
    <n v="881.57"/>
    <n v="5.7000000000000002E-2"/>
    <n v="18"/>
    <n v="14963.769179999999"/>
    <n v="15004.26"/>
    <n v="-40.490820000000895"/>
    <n v="-2.7059238560107821E-3"/>
    <x v="0"/>
    <x v="0"/>
    <s v="Q1-2023"/>
    <s v="Americas → USA → Chicago"/>
    <s v="Phones"/>
    <s v="Medium"/>
    <x v="0"/>
    <x v="0"/>
  </r>
  <r>
    <x v="5"/>
    <s v="Original"/>
    <x v="5"/>
    <d v="2023-01-20T00:00:00"/>
    <n v="5"/>
    <x v="1"/>
    <x v="5"/>
    <s v="Abuja"/>
    <s v="Education"/>
    <x v="1"/>
    <x v="5"/>
    <x v="1"/>
    <x v="5"/>
    <n v="28.38"/>
    <n v="47.22"/>
    <n v="0.19400000000000001"/>
    <n v="18"/>
    <n v="685.06776000000002"/>
    <n v="510.84"/>
    <n v="174.22776000000005"/>
    <n v="0.25432193743871417"/>
    <x v="0"/>
    <x v="0"/>
    <s v="Q1-2023"/>
    <s v="Africa → Nigeria → Abuja"/>
    <s v="Printers"/>
    <s v="Low"/>
    <x v="0"/>
    <x v="0"/>
  </r>
  <r>
    <x v="6"/>
    <s v="Original"/>
    <x v="6"/>
    <d v="2023-02-03T00:00:00"/>
    <n v="15"/>
    <x v="2"/>
    <x v="6"/>
    <s v="London"/>
    <s v="Enterprise"/>
    <x v="0"/>
    <x v="6"/>
    <x v="3"/>
    <x v="6"/>
    <n v="873.06"/>
    <n v="2101.5500000000002"/>
    <n v="6.6000000000000003E-2"/>
    <n v="10"/>
    <n v="19628.476999999999"/>
    <n v="8730.5999999999985"/>
    <n v="10897.877"/>
    <n v="0.55520746719167269"/>
    <x v="0"/>
    <x v="0"/>
    <s v="Q1-2023"/>
    <s v="Europe → United Kingdom → London"/>
    <s v="Accessories"/>
    <s v="High"/>
    <x v="0"/>
    <x v="0"/>
  </r>
  <r>
    <x v="7"/>
    <s v="Original"/>
    <x v="7"/>
    <d v="2023-02-03T00:00:00"/>
    <n v="14"/>
    <x v="1"/>
    <x v="7"/>
    <s v="Kisumu"/>
    <s v="Corporate"/>
    <x v="3"/>
    <x v="3"/>
    <x v="4"/>
    <x v="7"/>
    <n v="884.36"/>
    <n v="1545.34"/>
    <n v="0.24299999999999999"/>
    <n v="41"/>
    <n v="47962.717579999997"/>
    <n v="36258.76"/>
    <n v="11703.957579999995"/>
    <n v="0.24402198562827965"/>
    <x v="0"/>
    <x v="0"/>
    <s v="Q1-2023"/>
    <s v="Africa → Kenya → Kisumu"/>
    <s v="Networking"/>
    <s v="Medium"/>
    <x v="0"/>
    <x v="0"/>
  </r>
  <r>
    <x v="8"/>
    <s v="Original"/>
    <x v="8"/>
    <d v="2023-01-30T00:00:00"/>
    <n v="8"/>
    <x v="0"/>
    <x v="4"/>
    <s v="San Francisco"/>
    <s v="Small Business"/>
    <x v="1"/>
    <x v="1"/>
    <x v="4"/>
    <x v="8"/>
    <n v="413.52"/>
    <n v="1004.34"/>
    <n v="0.111"/>
    <n v="18"/>
    <n v="16071.44868"/>
    <n v="7443.36"/>
    <n v="8628.0886800000007"/>
    <n v="0.53685817948304593"/>
    <x v="0"/>
    <x v="0"/>
    <s v="Q1-2023"/>
    <s v="Americas → USA → San Francisco"/>
    <s v="Networking"/>
    <s v="Medium"/>
    <x v="0"/>
    <x v="0"/>
  </r>
  <r>
    <x v="9"/>
    <s v="Original"/>
    <x v="8"/>
    <d v="2023-01-27T00:00:00"/>
    <n v="5"/>
    <x v="2"/>
    <x v="8"/>
    <s v="Munich"/>
    <s v="Corporate"/>
    <x v="2"/>
    <x v="7"/>
    <x v="5"/>
    <x v="9"/>
    <n v="150.86000000000001"/>
    <n v="346.96"/>
    <n v="0.19600000000000001"/>
    <n v="8"/>
    <n v="2231.6467200000002"/>
    <n v="1206.8800000000001"/>
    <n v="1024.7667200000001"/>
    <n v="0.45919755614365343"/>
    <x v="0"/>
    <x v="0"/>
    <s v="Q1-2023"/>
    <s v="Europe → Germany → Munich"/>
    <s v="Monitors"/>
    <s v="Low"/>
    <x v="0"/>
    <x v="0"/>
  </r>
  <r>
    <x v="10"/>
    <s v="Original"/>
    <x v="9"/>
    <d v="2023-02-15T00:00:00"/>
    <n v="20"/>
    <x v="2"/>
    <x v="8"/>
    <s v="Berlin"/>
    <s v="Small Business"/>
    <x v="1"/>
    <x v="5"/>
    <x v="4"/>
    <x v="10"/>
    <n v="492.62"/>
    <n v="366.7"/>
    <n v="8.8999999999999996E-2"/>
    <n v="10"/>
    <n v="3340.6370000000002"/>
    <n v="4926.2"/>
    <n v="-1585.5629999999996"/>
    <n v="-0.47462894052840809"/>
    <x v="0"/>
    <x v="0"/>
    <s v="Q1-2023"/>
    <s v="Europe → Germany → Berlin"/>
    <s v="Networking"/>
    <s v="Low"/>
    <x v="0"/>
    <x v="0"/>
  </r>
  <r>
    <x v="11"/>
    <s v="Original"/>
    <x v="10"/>
    <d v="2023-01-31T00:00:00"/>
    <n v="4"/>
    <x v="2"/>
    <x v="6"/>
    <s v="Manchester"/>
    <s v="Enterprise"/>
    <x v="1"/>
    <x v="8"/>
    <x v="0"/>
    <x v="11"/>
    <n v="941.2"/>
    <n v="668.02"/>
    <n v="0.22"/>
    <n v="16"/>
    <n v="8336.8896000000004"/>
    <n v="15059.2"/>
    <n v="-6722.3104000000003"/>
    <n v="-0.80633314371825193"/>
    <x v="0"/>
    <x v="0"/>
    <s v="Q1-2023"/>
    <s v="Europe → United Kingdom → Manchester"/>
    <s v="Laptops"/>
    <s v="Low"/>
    <x v="0"/>
    <x v="0"/>
  </r>
  <r>
    <x v="12"/>
    <s v="Original"/>
    <x v="11"/>
    <d v="2023-02-06T00:00:00"/>
    <n v="8"/>
    <x v="0"/>
    <x v="9"/>
    <s v="Brasília"/>
    <s v="Corporate"/>
    <x v="4"/>
    <x v="2"/>
    <x v="5"/>
    <x v="12"/>
    <n v="41.84"/>
    <n v="86.2"/>
    <n v="0.22600000000000001"/>
    <n v="27"/>
    <n v="1801.4076000000002"/>
    <n v="1129.68"/>
    <n v="671.72760000000017"/>
    <n v="0.37289039970742882"/>
    <x v="0"/>
    <x v="0"/>
    <s v="Q1-2023"/>
    <s v="Americas → Brazil → Brasília"/>
    <s v="Monitors"/>
    <s v="Low"/>
    <x v="0"/>
    <x v="0"/>
  </r>
  <r>
    <x v="13"/>
    <s v="Original"/>
    <x v="12"/>
    <d v="2023-02-21T00:00:00"/>
    <n v="22"/>
    <x v="2"/>
    <x v="8"/>
    <s v="Munich"/>
    <s v="Small Business"/>
    <x v="4"/>
    <x v="6"/>
    <x v="4"/>
    <x v="13"/>
    <n v="1142.8800000000001"/>
    <n v="1465.29"/>
    <n v="0.186"/>
    <n v="7"/>
    <n v="8349.2224200000001"/>
    <n v="8000.1600000000008"/>
    <n v="349.06241999999929"/>
    <n v="4.1807775915017401E-2"/>
    <x v="0"/>
    <x v="0"/>
    <s v="Q1-2023"/>
    <s v="Europe → Germany → Munich"/>
    <s v="Networking"/>
    <s v="Medium"/>
    <x v="0"/>
    <x v="0"/>
  </r>
  <r>
    <x v="14"/>
    <s v="Original"/>
    <x v="13"/>
    <d v="2023-02-28T00:00:00"/>
    <n v="23"/>
    <x v="0"/>
    <x v="4"/>
    <s v="Austin"/>
    <s v="Non-Profit"/>
    <x v="0"/>
    <x v="9"/>
    <x v="2"/>
    <x v="14"/>
    <n v="1214.49"/>
    <n v="1533.95"/>
    <n v="0"/>
    <n v="11"/>
    <n v="16873.45"/>
    <n v="13359.39"/>
    <n v="3514.0600000000013"/>
    <n v="0.20825972163369086"/>
    <x v="1"/>
    <x v="1"/>
    <s v="Q1-2023"/>
    <s v="Americas → USA → Austin"/>
    <s v="Phones"/>
    <s v="Medium"/>
    <x v="0"/>
    <x v="1"/>
  </r>
  <r>
    <x v="15"/>
    <s v="Original"/>
    <x v="14"/>
    <d v="2023-02-12T00:00:00"/>
    <n v="5"/>
    <x v="0"/>
    <x v="9"/>
    <s v="São Paulo"/>
    <s v="Education"/>
    <x v="1"/>
    <x v="8"/>
    <x v="6"/>
    <x v="15"/>
    <n v="948.55"/>
    <n v="2089.16"/>
    <n v="7.0000000000000001E-3"/>
    <n v="12"/>
    <n v="24894.430559999997"/>
    <n v="11382.599999999999"/>
    <n v="13511.830559999999"/>
    <n v="0.54276519912492427"/>
    <x v="1"/>
    <x v="1"/>
    <s v="Q1-2023"/>
    <s v="Americas → Brazil → São Paulo"/>
    <s v="Components"/>
    <s v="High"/>
    <x v="0"/>
    <x v="1"/>
  </r>
  <r>
    <x v="16"/>
    <s v="Original"/>
    <x v="15"/>
    <d v="2023-02-11T00:00:00"/>
    <n v="3"/>
    <x v="1"/>
    <x v="1"/>
    <s v="Cape Town"/>
    <s v="Corporate"/>
    <x v="2"/>
    <x v="3"/>
    <x v="4"/>
    <x v="16"/>
    <n v="1410.05"/>
    <n v="2763.95"/>
    <n v="0.161"/>
    <n v="26"/>
    <n v="60292.805299999993"/>
    <n v="36661.299999999996"/>
    <n v="23631.505299999997"/>
    <n v="0.39194569206750779"/>
    <x v="1"/>
    <x v="1"/>
    <s v="Q1-2023"/>
    <s v="Africa → South Africa → Cape Town"/>
    <s v="Networking"/>
    <s v="High"/>
    <x v="0"/>
    <x v="1"/>
  </r>
  <r>
    <x v="17"/>
    <s v="Original"/>
    <x v="16"/>
    <d v="2023-02-12T00:00:00"/>
    <n v="1"/>
    <x v="1"/>
    <x v="5"/>
    <s v="Port Harcourt"/>
    <s v="Non-Profit"/>
    <x v="2"/>
    <x v="2"/>
    <x v="3"/>
    <x v="17"/>
    <n v="944.61"/>
    <n v="839.04"/>
    <n v="5.8999999999999997E-2"/>
    <n v="6"/>
    <n v="4737.2198399999997"/>
    <n v="5667.66"/>
    <n v="-930.44016000000011"/>
    <n v="-0.19641059343363726"/>
    <x v="1"/>
    <x v="1"/>
    <s v="Q1-2023"/>
    <s v="Africa → Nigeria → Port Harcourt"/>
    <s v="Accessories"/>
    <s v="Medium"/>
    <x v="0"/>
    <x v="1"/>
  </r>
  <r>
    <x v="18"/>
    <s v="Original"/>
    <x v="17"/>
    <d v="2023-02-26T00:00:00"/>
    <n v="11"/>
    <x v="1"/>
    <x v="1"/>
    <s v="Johannesburg"/>
    <s v="Non-Profit"/>
    <x v="3"/>
    <x v="10"/>
    <x v="0"/>
    <x v="18"/>
    <n v="498.5"/>
    <n v="755.87"/>
    <n v="0.13"/>
    <n v="40"/>
    <n v="26304.275999999998"/>
    <n v="19940"/>
    <n v="6364.275999999998"/>
    <n v="0.24194834330357537"/>
    <x v="1"/>
    <x v="1"/>
    <s v="Q1-2023"/>
    <s v="Africa → South Africa → Johannesburg"/>
    <s v="Laptops"/>
    <s v="Low"/>
    <x v="0"/>
    <x v="1"/>
  </r>
  <r>
    <x v="19"/>
    <s v="Original"/>
    <x v="18"/>
    <d v="2023-03-12T00:00:00"/>
    <n v="21"/>
    <x v="2"/>
    <x v="8"/>
    <s v="Berlin"/>
    <s v="Small Business"/>
    <x v="2"/>
    <x v="9"/>
    <x v="5"/>
    <x v="19"/>
    <n v="1234.81"/>
    <n v="2055.2399999999998"/>
    <n v="5.2999999999999999E-2"/>
    <n v="44"/>
    <n v="85637.740319999997"/>
    <n v="54331.64"/>
    <n v="31306.100319999998"/>
    <n v="0.36556429680441616"/>
    <x v="1"/>
    <x v="1"/>
    <s v="Q1-2023"/>
    <s v="Europe → Germany → Berlin"/>
    <s v="Monitors"/>
    <s v="High"/>
    <x v="0"/>
    <x v="1"/>
  </r>
  <r>
    <x v="20"/>
    <s v="Original"/>
    <x v="19"/>
    <d v="2023-03-04T00:00:00"/>
    <n v="12"/>
    <x v="3"/>
    <x v="10"/>
    <s v="Delhi"/>
    <s v="Consumer"/>
    <x v="0"/>
    <x v="3"/>
    <x v="5"/>
    <x v="20"/>
    <n v="299.75"/>
    <n v="523.01"/>
    <n v="0.157"/>
    <n v="50"/>
    <n v="22044.871499999997"/>
    <n v="14987.5"/>
    <n v="7057.3714999999975"/>
    <n v="0.32013665854210122"/>
    <x v="1"/>
    <x v="1"/>
    <s v="Q1-2023"/>
    <s v="Asia → India → Delhi"/>
    <s v="Monitors"/>
    <s v="Low"/>
    <x v="1"/>
    <x v="0"/>
  </r>
  <r>
    <x v="21"/>
    <s v="Original"/>
    <x v="20"/>
    <d v="2023-03-12T00:00:00"/>
    <n v="19"/>
    <x v="1"/>
    <x v="7"/>
    <s v="Nakuru"/>
    <s v="Corporate"/>
    <x v="1"/>
    <x v="7"/>
    <x v="4"/>
    <x v="21"/>
    <n v="352.65"/>
    <n v="485.86"/>
    <n v="4.1000000000000002E-2"/>
    <n v="6"/>
    <n v="2795.6384399999997"/>
    <n v="2115.8999999999996"/>
    <n v="679.73844000000008"/>
    <n v="0.24314247159943908"/>
    <x v="1"/>
    <x v="1"/>
    <s v="Q1-2023"/>
    <s v="Africa → Kenya → Nakuru"/>
    <s v="Networking"/>
    <s v="Low"/>
    <x v="0"/>
    <x v="1"/>
  </r>
  <r>
    <x v="22"/>
    <s v="Original"/>
    <x v="21"/>
    <d v="2023-03-25T00:00:00"/>
    <n v="30"/>
    <x v="0"/>
    <x v="0"/>
    <s v="Montreal"/>
    <s v="Enterprise"/>
    <x v="1"/>
    <x v="2"/>
    <x v="2"/>
    <x v="22"/>
    <n v="1242.6600000000001"/>
    <n v="1794.07"/>
    <n v="8.8999999999999996E-2"/>
    <n v="16"/>
    <n v="26150.364320000001"/>
    <n v="19882.560000000001"/>
    <n v="6267.8043199999993"/>
    <n v="0.23968325042440553"/>
    <x v="1"/>
    <x v="1"/>
    <s v="Q1-2023"/>
    <s v="Americas → Canada → Montreal"/>
    <s v="Phones"/>
    <s v="High"/>
    <x v="0"/>
    <x v="1"/>
  </r>
  <r>
    <x v="23"/>
    <s v="Original"/>
    <x v="21"/>
    <d v="2023-03-08T00:00:00"/>
    <n v="13"/>
    <x v="2"/>
    <x v="6"/>
    <s v="Manchester"/>
    <s v="Small Business"/>
    <x v="2"/>
    <x v="11"/>
    <x v="1"/>
    <x v="23"/>
    <n v="307.37"/>
    <n v="462.61"/>
    <n v="0.188"/>
    <n v="11"/>
    <n v="4132.0325200000007"/>
    <n v="3381.07"/>
    <n v="750.9625200000005"/>
    <n v="0.18174167709599739"/>
    <x v="1"/>
    <x v="1"/>
    <s v="Q1-2023"/>
    <s v="Europe → United Kingdom → Manchester"/>
    <s v="Printers"/>
    <s v="Low"/>
    <x v="0"/>
    <x v="1"/>
  </r>
  <r>
    <x v="24"/>
    <s v="Original"/>
    <x v="21"/>
    <d v="2023-03-18T00:00:00"/>
    <n v="23"/>
    <x v="3"/>
    <x v="3"/>
    <s v="Beijing"/>
    <s v="Education"/>
    <x v="0"/>
    <x v="10"/>
    <x v="1"/>
    <x v="24"/>
    <n v="770.11"/>
    <n v="1667.82"/>
    <n v="6.9000000000000006E-2"/>
    <n v="7"/>
    <n v="10869.182940000001"/>
    <n v="5390.77"/>
    <n v="5478.4129400000002"/>
    <n v="0.50403171703355287"/>
    <x v="1"/>
    <x v="1"/>
    <s v="Q1-2023"/>
    <s v="Asia → China → Beijing"/>
    <s v="Printers"/>
    <s v="High"/>
    <x v="0"/>
    <x v="1"/>
  </r>
  <r>
    <x v="25"/>
    <s v="Original"/>
    <x v="22"/>
    <d v="2023-03-09T00:00:00"/>
    <n v="13"/>
    <x v="0"/>
    <x v="4"/>
    <s v="New York"/>
    <s v="Enterprise"/>
    <x v="1"/>
    <x v="3"/>
    <x v="6"/>
    <x v="25"/>
    <n v="6.85"/>
    <n v="10.18"/>
    <n v="4.7E-2"/>
    <n v="10"/>
    <n v="97.0154"/>
    <n v="68.5"/>
    <n v="28.5154"/>
    <n v="0.2939265312517394"/>
    <x v="1"/>
    <x v="1"/>
    <s v="Q1-2023"/>
    <s v="Americas → USA → New York"/>
    <s v="Components"/>
    <s v="Low"/>
    <x v="0"/>
    <x v="1"/>
  </r>
  <r>
    <x v="26"/>
    <s v="Original"/>
    <x v="23"/>
    <d v="2023-03-06T00:00:00"/>
    <n v="7"/>
    <x v="0"/>
    <x v="4"/>
    <s v="San Francisco"/>
    <s v="Non-Profit"/>
    <x v="1"/>
    <x v="9"/>
    <x v="4"/>
    <x v="26"/>
    <n v="1015.91"/>
    <n v="2331.48"/>
    <n v="0.14599999999999999"/>
    <n v="26"/>
    <n v="51768.181920000003"/>
    <n v="26413.66"/>
    <n v="25354.521920000003"/>
    <n v="0.48977037592669626"/>
    <x v="1"/>
    <x v="1"/>
    <s v="Q1-2023"/>
    <s v="Americas → USA → San Francisco"/>
    <s v="Networking"/>
    <s v="High"/>
    <x v="0"/>
    <x v="1"/>
  </r>
  <r>
    <x v="27"/>
    <s v="Original"/>
    <x v="24"/>
    <d v="2023-03-25T00:00:00"/>
    <n v="25"/>
    <x v="1"/>
    <x v="7"/>
    <s v="Nairobi"/>
    <s v="Corporate"/>
    <x v="3"/>
    <x v="12"/>
    <x v="4"/>
    <x v="27"/>
    <n v="1460.76"/>
    <n v="1752.912"/>
    <n v="0.13100000000000001"/>
    <n v="12"/>
    <n v="18279.366335999999"/>
    <n v="17529.12"/>
    <n v="750.24633600000016"/>
    <n v="4.1043344840813206E-2"/>
    <x v="1"/>
    <x v="1"/>
    <s v="Q1-2023"/>
    <s v="Africa → Kenya → Nairobi"/>
    <s v="Networking"/>
    <s v="High"/>
    <x v="0"/>
    <x v="1"/>
  </r>
  <r>
    <x v="28"/>
    <s v="Original"/>
    <x v="24"/>
    <d v="2023-03-20T00:00:00"/>
    <n v="20"/>
    <x v="2"/>
    <x v="8"/>
    <s v="Berlin"/>
    <s v="Small Business"/>
    <x v="2"/>
    <x v="4"/>
    <x v="0"/>
    <x v="28"/>
    <n v="1200.78"/>
    <n v="2001.17"/>
    <n v="0.29199999999999998"/>
    <n v="18"/>
    <n v="25502.910479999999"/>
    <n v="21614.04"/>
    <n v="3888.8704799999978"/>
    <n v="0.15248732034132906"/>
    <x v="1"/>
    <x v="1"/>
    <s v="Q1-2023"/>
    <s v="Europe → Germany → Berlin"/>
    <s v="Laptops"/>
    <s v="High"/>
    <x v="0"/>
    <x v="1"/>
  </r>
  <r>
    <x v="29"/>
    <s v="Original"/>
    <x v="24"/>
    <d v="2023-03-07T00:00:00"/>
    <n v="7"/>
    <x v="2"/>
    <x v="2"/>
    <s v="Marseille"/>
    <s v="Corporate"/>
    <x v="3"/>
    <x v="10"/>
    <x v="4"/>
    <x v="29"/>
    <n v="1299.81"/>
    <n v="3149.13"/>
    <n v="0.10299999999999999"/>
    <n v="14"/>
    <n v="39546.774539999999"/>
    <n v="18197.34"/>
    <n v="21349.434539999998"/>
    <n v="0.53985273864511729"/>
    <x v="1"/>
    <x v="1"/>
    <s v="Q1-2023"/>
    <s v="Europe → France → Marseille"/>
    <s v="Networking"/>
    <s v="High"/>
    <x v="0"/>
    <x v="1"/>
  </r>
  <r>
    <x v="30"/>
    <s v="Original"/>
    <x v="24"/>
    <d v="2023-03-06T00:00:00"/>
    <n v="6"/>
    <x v="2"/>
    <x v="8"/>
    <s v="Frankfurt"/>
    <s v="Small Business"/>
    <x v="4"/>
    <x v="2"/>
    <x v="1"/>
    <x v="30"/>
    <n v="880.02"/>
    <n v="1251.21"/>
    <n v="0.123"/>
    <n v="29"/>
    <n v="31822.023930000003"/>
    <n v="25520.579999999998"/>
    <n v="6301.4439300000049"/>
    <n v="0.19802146915172672"/>
    <x v="1"/>
    <x v="1"/>
    <s v="Q1-2023"/>
    <s v="Europe → Germany → Frankfurt"/>
    <s v="Printers"/>
    <s v="Medium"/>
    <x v="0"/>
    <x v="1"/>
  </r>
  <r>
    <x v="31"/>
    <s v="Original"/>
    <x v="25"/>
    <d v="2023-03-05T00:00:00"/>
    <n v="3"/>
    <x v="0"/>
    <x v="9"/>
    <s v="Brasília"/>
    <s v="Enterprise"/>
    <x v="2"/>
    <x v="6"/>
    <x v="5"/>
    <x v="31"/>
    <n v="1473.58"/>
    <n v="3436.52"/>
    <n v="0.108"/>
    <n v="8"/>
    <n v="24523.006720000001"/>
    <n v="11788.64"/>
    <n v="12734.366720000002"/>
    <n v="0.51928243813652564"/>
    <x v="2"/>
    <x v="2"/>
    <s v="Q1-2023"/>
    <s v="Americas → Brazil → Brasília"/>
    <s v="Monitors"/>
    <s v="High"/>
    <x v="0"/>
    <x v="2"/>
  </r>
  <r>
    <x v="32"/>
    <s v="Original"/>
    <x v="26"/>
    <d v="2023-03-20T00:00:00"/>
    <n v="17"/>
    <x v="3"/>
    <x v="11"/>
    <s v="Nagoya"/>
    <s v="Small Business"/>
    <x v="1"/>
    <x v="2"/>
    <x v="4"/>
    <x v="32"/>
    <n v="1171.17"/>
    <n v="2030.64"/>
    <n v="0.157"/>
    <n v="11"/>
    <n v="18830.12472"/>
    <n v="12882.87"/>
    <n v="5947.254719999999"/>
    <n v="0.31583724528830415"/>
    <x v="2"/>
    <x v="2"/>
    <s v="Q1-2023"/>
    <s v="Asia → Japan → Nagoya"/>
    <s v="Networking"/>
    <s v="High"/>
    <x v="2"/>
    <x v="0"/>
  </r>
  <r>
    <x v="33"/>
    <s v="Original"/>
    <x v="27"/>
    <d v="2023-03-24T00:00:00"/>
    <n v="20"/>
    <x v="0"/>
    <x v="0"/>
    <s v="Montreal"/>
    <s v="Consumer"/>
    <x v="0"/>
    <x v="12"/>
    <x v="0"/>
    <x v="33"/>
    <n v="481.71"/>
    <n v="912.45"/>
    <n v="0.20300000000000001"/>
    <n v="24"/>
    <n v="17453.3436"/>
    <n v="11561.039999999999"/>
    <n v="5892.3036000000011"/>
    <n v="0.33760313983619739"/>
    <x v="2"/>
    <x v="2"/>
    <s v="Q1-2023"/>
    <s v="Americas → Canada → Montreal"/>
    <s v="Laptops"/>
    <s v="Medium"/>
    <x v="0"/>
    <x v="2"/>
  </r>
  <r>
    <x v="34"/>
    <s v="Original"/>
    <x v="28"/>
    <d v="2023-04-04T00:00:00"/>
    <n v="29"/>
    <x v="3"/>
    <x v="3"/>
    <s v="Beijing"/>
    <s v="Small Business"/>
    <x v="2"/>
    <x v="11"/>
    <x v="5"/>
    <x v="34"/>
    <n v="1126.29"/>
    <n v="2050.87"/>
    <n v="6.4000000000000001E-2"/>
    <n v="7"/>
    <n v="13437.300239999999"/>
    <n v="7884.03"/>
    <n v="5553.2702399999989"/>
    <n v="0.41327276616690373"/>
    <x v="2"/>
    <x v="2"/>
    <s v="Q1-2023"/>
    <s v="Asia → China → Beijing"/>
    <s v="Monitors"/>
    <s v="High"/>
    <x v="0"/>
    <x v="2"/>
  </r>
  <r>
    <x v="35"/>
    <s v="Original"/>
    <x v="29"/>
    <d v="2023-04-01T00:00:00"/>
    <n v="25"/>
    <x v="1"/>
    <x v="7"/>
    <s v="Nairobi"/>
    <s v="Consumer"/>
    <x v="4"/>
    <x v="2"/>
    <x v="1"/>
    <x v="35"/>
    <n v="1024.0999999999999"/>
    <n v="918.19"/>
    <n v="0.189"/>
    <n v="10"/>
    <n v="7446.5209000000004"/>
    <n v="10241"/>
    <n v="-2794.4790999999996"/>
    <n v="-0.37527311579827827"/>
    <x v="2"/>
    <x v="2"/>
    <s v="Q1-2023"/>
    <s v="Africa → Kenya → Nairobi"/>
    <s v="Printers"/>
    <s v="Medium"/>
    <x v="0"/>
    <x v="2"/>
  </r>
  <r>
    <x v="36"/>
    <s v="Original"/>
    <x v="30"/>
    <d v="2023-04-04T00:00:00"/>
    <n v="22"/>
    <x v="1"/>
    <x v="1"/>
    <s v="Durban"/>
    <s v="Small Business"/>
    <x v="3"/>
    <x v="1"/>
    <x v="6"/>
    <x v="36"/>
    <n v="1113.7"/>
    <n v="1620.6"/>
    <n v="0.13900000000000001"/>
    <n v="11"/>
    <n v="15348.702599999999"/>
    <n v="12250.7"/>
    <n v="3098.002599999998"/>
    <n v="0.20184133348182787"/>
    <x v="2"/>
    <x v="2"/>
    <s v="Q1-2023"/>
    <s v="Africa → South Africa → Durban"/>
    <s v="Components"/>
    <s v="Medium"/>
    <x v="0"/>
    <x v="2"/>
  </r>
  <r>
    <x v="37"/>
    <s v="Original"/>
    <x v="31"/>
    <d v="2023-03-30T00:00:00"/>
    <n v="16"/>
    <x v="1"/>
    <x v="1"/>
    <s v="Cape Town"/>
    <s v="Consumer"/>
    <x v="0"/>
    <x v="10"/>
    <x v="6"/>
    <x v="37"/>
    <n v="1309.77"/>
    <n v="1589.07"/>
    <n v="0.10199999999999999"/>
    <n v="10"/>
    <n v="14269.848599999999"/>
    <n v="13097.7"/>
    <n v="1172.1485999999986"/>
    <n v="8.2141628328137886E-2"/>
    <x v="2"/>
    <x v="2"/>
    <s v="Q1-2023"/>
    <s v="Africa → South Africa → Cape Town"/>
    <s v="Components"/>
    <s v="Medium"/>
    <x v="0"/>
    <x v="2"/>
  </r>
  <r>
    <x v="38"/>
    <s v="Original"/>
    <x v="31"/>
    <d v="2023-03-18T00:00:00"/>
    <n v="4"/>
    <x v="2"/>
    <x v="8"/>
    <s v="Frankfurt"/>
    <s v="Enterprise"/>
    <x v="2"/>
    <x v="1"/>
    <x v="6"/>
    <x v="38"/>
    <n v="472.33"/>
    <n v="360.34"/>
    <n v="0.16500000000000001"/>
    <n v="14"/>
    <n v="4212.3745999999992"/>
    <n v="6612.62"/>
    <n v="-2400.2454000000007"/>
    <n v="-0.56980815523861561"/>
    <x v="2"/>
    <x v="2"/>
    <s v="Q1-2023"/>
    <s v="Europe → Germany → Frankfurt"/>
    <s v="Components"/>
    <s v="Low"/>
    <x v="0"/>
    <x v="2"/>
  </r>
  <r>
    <x v="39"/>
    <s v="Original"/>
    <x v="32"/>
    <d v="2023-04-06T00:00:00"/>
    <n v="20"/>
    <x v="2"/>
    <x v="8"/>
    <s v="Munich"/>
    <s v="Consumer"/>
    <x v="3"/>
    <x v="5"/>
    <x v="2"/>
    <x v="39"/>
    <n v="692.18"/>
    <n v="1159.3499999999999"/>
    <n v="0.112"/>
    <n v="2"/>
    <n v="2059.0056"/>
    <n v="1384.36"/>
    <n v="674.64560000000006"/>
    <n v="0.32765602968734037"/>
    <x v="2"/>
    <x v="2"/>
    <s v="Q1-2023"/>
    <s v="Europe → Germany → Munich"/>
    <s v="Phones"/>
    <s v="Medium"/>
    <x v="0"/>
    <x v="2"/>
  </r>
  <r>
    <x v="40"/>
    <s v="Original"/>
    <x v="33"/>
    <d v="2023-04-09T00:00:00"/>
    <n v="21"/>
    <x v="2"/>
    <x v="6"/>
    <s v="Manchester"/>
    <s v="Consumer"/>
    <x v="3"/>
    <x v="9"/>
    <x v="3"/>
    <x v="40"/>
    <n v="1082.17"/>
    <n v="1234.0999999999999"/>
    <n v="0.189"/>
    <n v="16"/>
    <n v="16013.681599999998"/>
    <n v="17314.72"/>
    <n v="-1301.0384000000031"/>
    <n v="-8.124542703534228E-2"/>
    <x v="2"/>
    <x v="2"/>
    <s v="Q1-2023"/>
    <s v="Europe → United Kingdom → Manchester"/>
    <s v="Accessories"/>
    <s v="Medium"/>
    <x v="0"/>
    <x v="2"/>
  </r>
  <r>
    <x v="41"/>
    <s v="Original"/>
    <x v="34"/>
    <d v="2023-04-15T00:00:00"/>
    <n v="23"/>
    <x v="1"/>
    <x v="7"/>
    <s v="Mombasa"/>
    <s v="Small Business"/>
    <x v="3"/>
    <x v="11"/>
    <x v="3"/>
    <x v="41"/>
    <n v="875.36"/>
    <n v="1178.6199999999999"/>
    <n v="0.151"/>
    <n v="53"/>
    <n v="53034.364139999991"/>
    <n v="46394.080000000002"/>
    <n v="6640.2841399999888"/>
    <n v="0.12520719815685888"/>
    <x v="2"/>
    <x v="2"/>
    <s v="Q1-2023"/>
    <s v="Africa → Kenya → Mombasa"/>
    <s v="Accessories"/>
    <s v="Medium"/>
    <x v="0"/>
    <x v="2"/>
  </r>
  <r>
    <x v="42"/>
    <s v="Original"/>
    <x v="35"/>
    <d v="2023-03-26T00:00:00"/>
    <n v="1"/>
    <x v="3"/>
    <x v="11"/>
    <s v="Osaka"/>
    <s v="Small Business"/>
    <x v="0"/>
    <x v="12"/>
    <x v="5"/>
    <x v="42"/>
    <n v="135.12"/>
    <n v="301.7"/>
    <n v="0.14000000000000001"/>
    <n v="47"/>
    <n v="12194.714"/>
    <n v="6350.64"/>
    <n v="5844.0739999999996"/>
    <n v="0.47923009920527859"/>
    <x v="2"/>
    <x v="2"/>
    <s v="Q1-2023"/>
    <s v="Asia → Japan → Osaka"/>
    <s v="Monitors"/>
    <s v="Low"/>
    <x v="2"/>
    <x v="0"/>
  </r>
  <r>
    <x v="43"/>
    <s v="Original"/>
    <x v="36"/>
    <d v="2023-04-22T00:00:00"/>
    <n v="26"/>
    <x v="3"/>
    <x v="10"/>
    <s v="Delhi"/>
    <s v="Non-Profit"/>
    <x v="4"/>
    <x v="13"/>
    <x v="1"/>
    <x v="43"/>
    <n v="178.53"/>
    <n v="199.37"/>
    <n v="0.10100000000000001"/>
    <n v="37"/>
    <n v="6631.6443100000006"/>
    <n v="6605.61"/>
    <n v="26.034310000000914"/>
    <n v="3.9257699573457538E-3"/>
    <x v="2"/>
    <x v="2"/>
    <s v="Q1-2023"/>
    <s v="Asia → India → Delhi"/>
    <s v="Printers"/>
    <s v="Low"/>
    <x v="1"/>
    <x v="1"/>
  </r>
  <r>
    <x v="44"/>
    <s v="Original"/>
    <x v="37"/>
    <d v="2023-04-05T00:00:00"/>
    <n v="5"/>
    <x v="1"/>
    <x v="7"/>
    <s v="Nakuru"/>
    <s v="Education"/>
    <x v="4"/>
    <x v="0"/>
    <x v="0"/>
    <x v="44"/>
    <n v="533.26"/>
    <n v="385.72"/>
    <n v="0"/>
    <n v="15"/>
    <n v="5785.8"/>
    <n v="7998.9"/>
    <n v="-2213.0999999999995"/>
    <n v="-0.38250544436378708"/>
    <x v="2"/>
    <x v="2"/>
    <s v="Q1-2023"/>
    <s v="Africa → Kenya → Nakuru"/>
    <s v="Laptops"/>
    <s v="Low"/>
    <x v="0"/>
    <x v="2"/>
  </r>
  <r>
    <x v="45"/>
    <s v="Original"/>
    <x v="37"/>
    <d v="2023-04-12T00:00:00"/>
    <n v="12"/>
    <x v="1"/>
    <x v="7"/>
    <s v="Mombasa"/>
    <s v="Small Business"/>
    <x v="1"/>
    <x v="11"/>
    <x v="2"/>
    <x v="45"/>
    <n v="304.22000000000003"/>
    <n v="393.31"/>
    <n v="0.26500000000000001"/>
    <n v="15"/>
    <n v="4336.2427499999994"/>
    <n v="4563.3"/>
    <n v="-227.05725000000075"/>
    <n v="-5.2362670424759034E-2"/>
    <x v="2"/>
    <x v="2"/>
    <s v="Q1-2023"/>
    <s v="Africa → Kenya → Mombasa"/>
    <s v="Phones"/>
    <s v="Low"/>
    <x v="0"/>
    <x v="2"/>
  </r>
  <r>
    <x v="46"/>
    <s v="Original"/>
    <x v="38"/>
    <d v="2023-04-16T00:00:00"/>
    <n v="13"/>
    <x v="2"/>
    <x v="2"/>
    <s v="Marseille"/>
    <s v="Non-Profit"/>
    <x v="4"/>
    <x v="3"/>
    <x v="3"/>
    <x v="46"/>
    <n v="790.54"/>
    <n v="601.49"/>
    <n v="0"/>
    <n v="15"/>
    <n v="9022.35"/>
    <n v="11858.099999999999"/>
    <n v="-2835.7499999999982"/>
    <n v="-0.31430281467688553"/>
    <x v="3"/>
    <x v="3"/>
    <s v="Q2-2023"/>
    <s v="Europe → France → Marseille"/>
    <s v="Accessories"/>
    <s v="Low"/>
    <x v="0"/>
    <x v="3"/>
  </r>
  <r>
    <x v="47"/>
    <s v="Original"/>
    <x v="39"/>
    <d v="2023-04-16T00:00:00"/>
    <n v="11"/>
    <x v="0"/>
    <x v="0"/>
    <s v="Vancouver"/>
    <s v="Non-Profit"/>
    <x v="1"/>
    <x v="5"/>
    <x v="5"/>
    <x v="47"/>
    <n v="213.1"/>
    <n v="501.31"/>
    <n v="5.6000000000000001E-2"/>
    <n v="15"/>
    <n v="7098.5495999999994"/>
    <n v="3196.5"/>
    <n v="3902.0495999999994"/>
    <n v="0.54969674368409005"/>
    <x v="3"/>
    <x v="3"/>
    <s v="Q2-2023"/>
    <s v="Americas → Canada → Vancouver"/>
    <s v="Monitors"/>
    <s v="Low"/>
    <x v="0"/>
    <x v="3"/>
  </r>
  <r>
    <x v="48"/>
    <s v="Original"/>
    <x v="40"/>
    <d v="2023-04-27T00:00:00"/>
    <n v="21"/>
    <x v="2"/>
    <x v="6"/>
    <s v="Manchester"/>
    <s v="Enterprise"/>
    <x v="0"/>
    <x v="12"/>
    <x v="1"/>
    <x v="48"/>
    <n v="1084.79"/>
    <n v="2484.9899999999998"/>
    <n v="3.4000000000000002E-2"/>
    <n v="18"/>
    <n v="43209.006119999991"/>
    <n v="19526.22"/>
    <n v="23682.78611999999"/>
    <n v="0.54809837685755114"/>
    <x v="3"/>
    <x v="3"/>
    <s v="Q2-2023"/>
    <s v="Europe → United Kingdom → Manchester"/>
    <s v="Printers"/>
    <s v="High"/>
    <x v="0"/>
    <x v="3"/>
  </r>
  <r>
    <x v="49"/>
    <s v="Original"/>
    <x v="40"/>
    <d v="2023-04-08T00:00:00"/>
    <n v="2"/>
    <x v="1"/>
    <x v="5"/>
    <s v="Abuja"/>
    <s v="Small Business"/>
    <x v="4"/>
    <x v="10"/>
    <x v="5"/>
    <x v="49"/>
    <n v="720.35"/>
    <n v="1571.66"/>
    <n v="0.107"/>
    <n v="23"/>
    <n v="32280.32474"/>
    <n v="16568.05"/>
    <n v="15712.274740000001"/>
    <n v="0.4867446305622265"/>
    <x v="3"/>
    <x v="3"/>
    <s v="Q2-2023"/>
    <s v="Africa → Nigeria → Abuja"/>
    <s v="Monitors"/>
    <s v="Medium"/>
    <x v="0"/>
    <x v="3"/>
  </r>
  <r>
    <x v="50"/>
    <s v="Original"/>
    <x v="41"/>
    <d v="2023-04-25T00:00:00"/>
    <n v="15"/>
    <x v="2"/>
    <x v="6"/>
    <s v="London"/>
    <s v="Small Business"/>
    <x v="3"/>
    <x v="2"/>
    <x v="1"/>
    <x v="50"/>
    <n v="405.66"/>
    <n v="962.51"/>
    <n v="0.19"/>
    <n v="7"/>
    <n v="5457.4317000000001"/>
    <n v="2839.6200000000003"/>
    <n v="2617.8116999999997"/>
    <n v="0.47967832561239376"/>
    <x v="3"/>
    <x v="3"/>
    <s v="Q2-2023"/>
    <s v="Europe → United Kingdom → London"/>
    <s v="Printers"/>
    <s v="Medium"/>
    <x v="0"/>
    <x v="3"/>
  </r>
  <r>
    <x v="51"/>
    <s v="Original"/>
    <x v="42"/>
    <d v="2023-04-17T00:00:00"/>
    <n v="5"/>
    <x v="2"/>
    <x v="2"/>
    <s v="Lyon"/>
    <s v="Enterprise"/>
    <x v="2"/>
    <x v="14"/>
    <x v="5"/>
    <x v="51"/>
    <n v="1087.81"/>
    <n v="2323.87"/>
    <n v="9.4E-2"/>
    <n v="13"/>
    <n v="27370.540859999997"/>
    <n v="14141.529999999999"/>
    <n v="13229.010859999999"/>
    <n v="0.48333026839572651"/>
    <x v="3"/>
    <x v="3"/>
    <s v="Q2-2023"/>
    <s v="Europe → France → Lyon"/>
    <s v="Monitors"/>
    <s v="High"/>
    <x v="0"/>
    <x v="3"/>
  </r>
  <r>
    <x v="52"/>
    <s v="Original"/>
    <x v="43"/>
    <d v="2023-04-20T00:00:00"/>
    <n v="7"/>
    <x v="0"/>
    <x v="4"/>
    <s v="San Francisco"/>
    <s v="Education"/>
    <x v="4"/>
    <x v="6"/>
    <x v="4"/>
    <x v="52"/>
    <n v="32.1"/>
    <n v="70.599999999999994"/>
    <n v="0.28199999999999997"/>
    <n v="22"/>
    <n v="1115.1975999999997"/>
    <n v="706.2"/>
    <n v="408.99759999999969"/>
    <n v="0.36674899587301818"/>
    <x v="3"/>
    <x v="3"/>
    <s v="Q2-2023"/>
    <s v="Americas → USA → San Francisco"/>
    <s v="Networking"/>
    <s v="Low"/>
    <x v="0"/>
    <x v="3"/>
  </r>
  <r>
    <x v="53"/>
    <s v="Original"/>
    <x v="43"/>
    <d v="2023-04-20T00:00:00"/>
    <n v="7"/>
    <x v="2"/>
    <x v="2"/>
    <s v="Lyon"/>
    <s v="Small Business"/>
    <x v="1"/>
    <x v="1"/>
    <x v="0"/>
    <x v="53"/>
    <n v="227.02"/>
    <n v="434.72"/>
    <n v="9.8000000000000004E-2"/>
    <n v="10"/>
    <n v="3921.1744000000008"/>
    <n v="2270.2000000000003"/>
    <n v="1650.9744000000005"/>
    <n v="0.42104079838938052"/>
    <x v="3"/>
    <x v="3"/>
    <s v="Q2-2023"/>
    <s v="Europe → France → Lyon"/>
    <s v="Laptops"/>
    <s v="Low"/>
    <x v="0"/>
    <x v="3"/>
  </r>
  <r>
    <x v="54"/>
    <s v="Original"/>
    <x v="43"/>
    <d v="2023-05-02T00:00:00"/>
    <n v="19"/>
    <x v="0"/>
    <x v="0"/>
    <s v="Montreal"/>
    <s v="Consumer"/>
    <x v="0"/>
    <x v="14"/>
    <x v="5"/>
    <x v="54"/>
    <n v="671.05"/>
    <n v="1645.48"/>
    <n v="0.13700000000000001"/>
    <n v="6"/>
    <n v="8520.2954399999999"/>
    <n v="4026.2999999999997"/>
    <n v="4493.9954400000006"/>
    <n v="0.52744596377517172"/>
    <x v="3"/>
    <x v="3"/>
    <s v="Q2-2023"/>
    <s v="Americas → Canada → Montreal"/>
    <s v="Monitors"/>
    <s v="High"/>
    <x v="0"/>
    <x v="3"/>
  </r>
  <r>
    <x v="55"/>
    <s v="Original"/>
    <x v="44"/>
    <d v="2023-05-14T00:00:00"/>
    <n v="30"/>
    <x v="1"/>
    <x v="7"/>
    <s v="Nakuru"/>
    <s v="Consumer"/>
    <x v="4"/>
    <x v="3"/>
    <x v="2"/>
    <x v="55"/>
    <n v="209.25"/>
    <n v="434.8"/>
    <n v="0"/>
    <n v="9"/>
    <n v="3913.2000000000003"/>
    <n v="1883.25"/>
    <n v="2029.9500000000003"/>
    <n v="0.51874425022999082"/>
    <x v="3"/>
    <x v="3"/>
    <s v="Q2-2023"/>
    <s v="Africa → Kenya → Nakuru"/>
    <s v="Phones"/>
    <s v="Low"/>
    <x v="0"/>
    <x v="3"/>
  </r>
  <r>
    <x v="56"/>
    <s v="Original"/>
    <x v="44"/>
    <d v="2023-05-13T00:00:00"/>
    <n v="29"/>
    <x v="2"/>
    <x v="8"/>
    <s v="Frankfurt"/>
    <s v="Consumer"/>
    <x v="2"/>
    <x v="13"/>
    <x v="1"/>
    <x v="56"/>
    <n v="1320.33"/>
    <n v="2645.23"/>
    <n v="0.155"/>
    <n v="25"/>
    <n v="55880.483749999999"/>
    <n v="33008.25"/>
    <n v="22872.233749999999"/>
    <n v="0.40930629470436536"/>
    <x v="3"/>
    <x v="3"/>
    <s v="Q2-2023"/>
    <s v="Europe → Germany → Frankfurt"/>
    <s v="Printers"/>
    <s v="High"/>
    <x v="0"/>
    <x v="3"/>
  </r>
  <r>
    <x v="57"/>
    <s v="Original"/>
    <x v="45"/>
    <d v="2023-04-19T00:00:00"/>
    <n v="3"/>
    <x v="2"/>
    <x v="8"/>
    <s v="Munich"/>
    <s v="Corporate"/>
    <x v="2"/>
    <x v="0"/>
    <x v="3"/>
    <x v="57"/>
    <n v="553.61"/>
    <n v="699.47"/>
    <n v="0.02"/>
    <n v="33"/>
    <n v="22620.859800000002"/>
    <n v="18269.13"/>
    <n v="4351.729800000001"/>
    <n v="0.19237685209472014"/>
    <x v="3"/>
    <x v="3"/>
    <s v="Q2-2023"/>
    <s v="Europe → Germany → Munich"/>
    <s v="Accessories"/>
    <s v="Low"/>
    <x v="0"/>
    <x v="3"/>
  </r>
  <r>
    <x v="58"/>
    <s v="Original"/>
    <x v="45"/>
    <d v="2023-04-23T00:00:00"/>
    <n v="7"/>
    <x v="0"/>
    <x v="4"/>
    <s v="Austin"/>
    <s v="Corporate"/>
    <x v="0"/>
    <x v="5"/>
    <x v="1"/>
    <x v="58"/>
    <n v="1099.1500000000001"/>
    <n v="1431.37"/>
    <n v="0.104"/>
    <n v="8"/>
    <n v="10260.060159999999"/>
    <n v="8793.2000000000007"/>
    <n v="1466.8601599999984"/>
    <n v="0.14296798821109433"/>
    <x v="3"/>
    <x v="3"/>
    <s v="Q2-2023"/>
    <s v="Americas → USA → Austin"/>
    <s v="Printers"/>
    <s v="Medium"/>
    <x v="0"/>
    <x v="3"/>
  </r>
  <r>
    <x v="59"/>
    <s v="Original"/>
    <x v="46"/>
    <d v="2023-05-18T00:00:00"/>
    <n v="30"/>
    <x v="3"/>
    <x v="3"/>
    <s v="Shenzhen"/>
    <s v="Non-Profit"/>
    <x v="3"/>
    <x v="4"/>
    <x v="0"/>
    <x v="59"/>
    <n v="329.03"/>
    <n v="391.15"/>
    <n v="0.19700000000000001"/>
    <n v="46"/>
    <n v="14448.298699999998"/>
    <n v="15135.38"/>
    <n v="-687.08130000000165"/>
    <n v="-4.7554477815440081E-2"/>
    <x v="3"/>
    <x v="3"/>
    <s v="Q2-2023"/>
    <s v="Asia → China → Shenzhen"/>
    <s v="Laptops"/>
    <s v="Low"/>
    <x v="0"/>
    <x v="3"/>
  </r>
  <r>
    <x v="60"/>
    <s v="Original"/>
    <x v="47"/>
    <d v="2023-04-30T00:00:00"/>
    <n v="11"/>
    <x v="3"/>
    <x v="10"/>
    <s v="Delhi"/>
    <s v="Small Business"/>
    <x v="3"/>
    <x v="1"/>
    <x v="4"/>
    <x v="60"/>
    <n v="826.55"/>
    <n v="1397.05"/>
    <n v="0.16900000000000001"/>
    <n v="28"/>
    <n v="32506.559399999998"/>
    <n v="23143.399999999998"/>
    <n v="9363.1594000000005"/>
    <n v="0.28803907804527601"/>
    <x v="3"/>
    <x v="3"/>
    <s v="Q2-2023"/>
    <s v="Asia → India → Delhi"/>
    <s v="Networking"/>
    <s v="Medium"/>
    <x v="1"/>
    <x v="2"/>
  </r>
  <r>
    <x v="61"/>
    <s v="Original"/>
    <x v="47"/>
    <d v="2023-04-28T00:00:00"/>
    <n v="9"/>
    <x v="2"/>
    <x v="8"/>
    <s v="Berlin"/>
    <s v="Education"/>
    <x v="1"/>
    <x v="14"/>
    <x v="5"/>
    <x v="61"/>
    <n v="1178.42"/>
    <n v="2446.56"/>
    <n v="2.9000000000000001E-2"/>
    <n v="11"/>
    <n v="26131.70736"/>
    <n v="12962.62"/>
    <n v="13169.08736"/>
    <n v="0.5039505141618883"/>
    <x v="3"/>
    <x v="3"/>
    <s v="Q2-2023"/>
    <s v="Europe → Germany → Berlin"/>
    <s v="Monitors"/>
    <s v="High"/>
    <x v="0"/>
    <x v="3"/>
  </r>
  <r>
    <x v="62"/>
    <s v="Original"/>
    <x v="47"/>
    <d v="2023-05-07T00:00:00"/>
    <n v="18"/>
    <x v="2"/>
    <x v="6"/>
    <s v="Birmingham"/>
    <s v="Enterprise"/>
    <x v="3"/>
    <x v="8"/>
    <x v="0"/>
    <x v="62"/>
    <n v="1089.1500000000001"/>
    <n v="1088.2"/>
    <n v="5.0999999999999997E-2"/>
    <n v="15"/>
    <n v="15490.527"/>
    <n v="16337.250000000002"/>
    <n v="-846.72300000000178"/>
    <n v="-5.4660696824582002E-2"/>
    <x v="3"/>
    <x v="3"/>
    <s v="Q2-2023"/>
    <s v="Europe → United Kingdom → Birmingham"/>
    <s v="Laptops"/>
    <s v="Medium"/>
    <x v="0"/>
    <x v="3"/>
  </r>
  <r>
    <x v="63"/>
    <s v="Original"/>
    <x v="47"/>
    <d v="2023-04-28T00:00:00"/>
    <n v="9"/>
    <x v="0"/>
    <x v="9"/>
    <s v="Rio de Janeiro"/>
    <s v="Corporate"/>
    <x v="0"/>
    <x v="3"/>
    <x v="2"/>
    <x v="63"/>
    <n v="1013.54"/>
    <n v="927.93"/>
    <n v="0.17499999999999999"/>
    <n v="16"/>
    <n v="12248.675999999999"/>
    <n v="16216.64"/>
    <n v="-3967.9639999999999"/>
    <n v="-0.32395044166406234"/>
    <x v="3"/>
    <x v="3"/>
    <s v="Q2-2023"/>
    <s v="Americas → Brazil → Rio de Janeiro"/>
    <s v="Phones"/>
    <s v="Medium"/>
    <x v="0"/>
    <x v="3"/>
  </r>
  <r>
    <x v="64"/>
    <s v="Original"/>
    <x v="47"/>
    <d v="2023-05-07T00:00:00"/>
    <n v="18"/>
    <x v="2"/>
    <x v="6"/>
    <s v="London"/>
    <s v="Non-Profit"/>
    <x v="2"/>
    <x v="4"/>
    <x v="4"/>
    <x v="64"/>
    <n v="516.96"/>
    <n v="745.38"/>
    <n v="0.19700000000000001"/>
    <n v="4"/>
    <n v="2394.1605599999998"/>
    <n v="2067.84"/>
    <n v="326.32055999999966"/>
    <n v="0.13629852794835101"/>
    <x v="3"/>
    <x v="3"/>
    <s v="Q2-2023"/>
    <s v="Europe → United Kingdom → London"/>
    <s v="Networking"/>
    <s v="Low"/>
    <x v="0"/>
    <x v="3"/>
  </r>
  <r>
    <x v="65"/>
    <s v="Original"/>
    <x v="48"/>
    <d v="2023-05-10T00:00:00"/>
    <n v="19"/>
    <x v="3"/>
    <x v="3"/>
    <s v="Shanghai"/>
    <s v="Corporate"/>
    <x v="3"/>
    <x v="1"/>
    <x v="6"/>
    <x v="65"/>
    <n v="882.33"/>
    <n v="1880.15"/>
    <n v="0.05"/>
    <n v="5"/>
    <n v="8930.7124999999996"/>
    <n v="4411.6500000000005"/>
    <n v="4519.0624999999991"/>
    <n v="0.50601365792482955"/>
    <x v="3"/>
    <x v="3"/>
    <s v="Q2-2023"/>
    <s v="Asia → China → Shanghai"/>
    <s v="Components"/>
    <s v="High"/>
    <x v="0"/>
    <x v="3"/>
  </r>
  <r>
    <x v="66"/>
    <s v="Original"/>
    <x v="48"/>
    <d v="2023-04-28T00:00:00"/>
    <n v="7"/>
    <x v="3"/>
    <x v="11"/>
    <s v="Nagoya"/>
    <s v="Small Business"/>
    <x v="2"/>
    <x v="3"/>
    <x v="6"/>
    <x v="66"/>
    <n v="607.04"/>
    <n v="1229.3399999999999"/>
    <n v="0.14699999999999999"/>
    <n v="7"/>
    <n v="7340.3891399999993"/>
    <n v="4249.28"/>
    <n v="3091.1091399999996"/>
    <n v="0.42110970972310058"/>
    <x v="3"/>
    <x v="3"/>
    <s v="Q2-2023"/>
    <s v="Asia → Japan → Nagoya"/>
    <s v="Components"/>
    <s v="Medium"/>
    <x v="2"/>
    <x v="1"/>
  </r>
  <r>
    <x v="67"/>
    <s v="Original"/>
    <x v="49"/>
    <d v="2023-05-14T00:00:00"/>
    <n v="22"/>
    <x v="3"/>
    <x v="11"/>
    <s v="Nagoya"/>
    <s v="Enterprise"/>
    <x v="3"/>
    <x v="1"/>
    <x v="3"/>
    <x v="67"/>
    <n v="1209.22"/>
    <n v="1404.33"/>
    <n v="0.10299999999999999"/>
    <n v="11"/>
    <n v="13856.52411"/>
    <n v="13301.42"/>
    <n v="555.10411000000022"/>
    <n v="4.0060848275751328E-2"/>
    <x v="3"/>
    <x v="3"/>
    <s v="Q2-2023"/>
    <s v="Asia → Japan → Nagoya"/>
    <s v="Accessories"/>
    <s v="Medium"/>
    <x v="2"/>
    <x v="1"/>
  </r>
  <r>
    <x v="68"/>
    <s v="Original"/>
    <x v="50"/>
    <d v="2023-04-28T00:00:00"/>
    <n v="5"/>
    <x v="1"/>
    <x v="7"/>
    <s v="Nairobi"/>
    <s v="Small Business"/>
    <x v="2"/>
    <x v="14"/>
    <x v="0"/>
    <x v="68"/>
    <n v="756.51"/>
    <n v="850.8"/>
    <n v="7.3999999999999996E-2"/>
    <n v="9"/>
    <n v="7090.5672000000004"/>
    <n v="6808.59"/>
    <n v="281.97720000000027"/>
    <n v="3.9767932810791252E-2"/>
    <x v="3"/>
    <x v="3"/>
    <s v="Q2-2023"/>
    <s v="Africa → Kenya → Nairobi"/>
    <s v="Laptops"/>
    <s v="Medium"/>
    <x v="0"/>
    <x v="3"/>
  </r>
  <r>
    <x v="69"/>
    <s v="Original"/>
    <x v="51"/>
    <d v="2023-05-03T00:00:00"/>
    <n v="7"/>
    <x v="2"/>
    <x v="2"/>
    <s v="Marseille"/>
    <s v="Consumer"/>
    <x v="2"/>
    <x v="3"/>
    <x v="6"/>
    <x v="69"/>
    <n v="81.489999999999995"/>
    <n v="113.08"/>
    <n v="0.121"/>
    <n v="5"/>
    <n v="496.98660000000001"/>
    <n v="407.45"/>
    <n v="89.536600000000021"/>
    <n v="0.18015898215364362"/>
    <x v="3"/>
    <x v="3"/>
    <s v="Q2-2023"/>
    <s v="Europe → France → Marseille"/>
    <s v="Components"/>
    <s v="Low"/>
    <x v="0"/>
    <x v="3"/>
  </r>
  <r>
    <x v="70"/>
    <s v="Original"/>
    <x v="52"/>
    <d v="2023-05-18T00:00:00"/>
    <n v="17"/>
    <x v="1"/>
    <x v="5"/>
    <s v="Port Harcourt"/>
    <s v="Corporate"/>
    <x v="2"/>
    <x v="7"/>
    <x v="6"/>
    <x v="70"/>
    <n v="327.97"/>
    <n v="299.94"/>
    <n v="4.9000000000000002E-2"/>
    <n v="3"/>
    <n v="855.72881999999993"/>
    <n v="983.91000000000008"/>
    <n v="-128.18118000000015"/>
    <n v="-0.14979182306843442"/>
    <x v="4"/>
    <x v="4"/>
    <s v="Q2-2023"/>
    <s v="Africa → Nigeria → Port Harcourt"/>
    <s v="Components"/>
    <s v="Low"/>
    <x v="0"/>
    <x v="4"/>
  </r>
  <r>
    <x v="71"/>
    <s v="Original"/>
    <x v="53"/>
    <d v="2023-05-18T00:00:00"/>
    <n v="16"/>
    <x v="3"/>
    <x v="10"/>
    <s v="Delhi"/>
    <s v="Small Business"/>
    <x v="4"/>
    <x v="10"/>
    <x v="5"/>
    <x v="71"/>
    <n v="1463.92"/>
    <n v="2252.2399999999998"/>
    <n v="0.11799999999999999"/>
    <n v="44"/>
    <n v="87404.929919999995"/>
    <n v="64412.480000000003"/>
    <n v="22992.449919999992"/>
    <n v="0.26305667130040061"/>
    <x v="4"/>
    <x v="4"/>
    <s v="Q2-2023"/>
    <s v="Asia → India → Delhi"/>
    <s v="Monitors"/>
    <s v="High"/>
    <x v="1"/>
    <x v="3"/>
  </r>
  <r>
    <x v="72"/>
    <s v="Original"/>
    <x v="53"/>
    <d v="2023-05-19T00:00:00"/>
    <n v="17"/>
    <x v="3"/>
    <x v="3"/>
    <s v="Shanghai"/>
    <s v="Non-Profit"/>
    <x v="2"/>
    <x v="13"/>
    <x v="5"/>
    <x v="72"/>
    <n v="714.28"/>
    <n v="757.59"/>
    <n v="0.13600000000000001"/>
    <n v="12"/>
    <n v="7854.6931199999999"/>
    <n v="8571.36"/>
    <n v="-716.66688000000067"/>
    <n v="-9.1240595787910383E-2"/>
    <x v="4"/>
    <x v="4"/>
    <s v="Q2-2023"/>
    <s v="Asia → China → Shanghai"/>
    <s v="Monitors"/>
    <s v="Low"/>
    <x v="0"/>
    <x v="4"/>
  </r>
  <r>
    <x v="73"/>
    <s v="Original"/>
    <x v="53"/>
    <d v="2023-05-16T00:00:00"/>
    <n v="14"/>
    <x v="3"/>
    <x v="10"/>
    <s v="Bengaluru"/>
    <s v="Non-Profit"/>
    <x v="3"/>
    <x v="9"/>
    <x v="5"/>
    <x v="73"/>
    <n v="475.37"/>
    <n v="963.73"/>
    <n v="4.1000000000000002E-2"/>
    <n v="22"/>
    <n v="20332.775539999999"/>
    <n v="10458.14"/>
    <n v="9874.6355399999993"/>
    <n v="0.48565113604750881"/>
    <x v="4"/>
    <x v="4"/>
    <s v="Q2-2023"/>
    <s v="Asia → India → Bengaluru"/>
    <s v="Monitors"/>
    <s v="Medium"/>
    <x v="1"/>
    <x v="3"/>
  </r>
  <r>
    <x v="74"/>
    <s v="Original"/>
    <x v="54"/>
    <d v="2023-05-16T00:00:00"/>
    <n v="13"/>
    <x v="0"/>
    <x v="4"/>
    <s v="New York"/>
    <s v="Corporate"/>
    <x v="4"/>
    <x v="9"/>
    <x v="2"/>
    <x v="74"/>
    <n v="64.5"/>
    <n v="123.62"/>
    <n v="0"/>
    <n v="3"/>
    <n v="370.86"/>
    <n v="193.5"/>
    <n v="177.36"/>
    <n v="0.47823976702798904"/>
    <x v="4"/>
    <x v="4"/>
    <s v="Q2-2023"/>
    <s v="Americas → USA → New York"/>
    <s v="Phones"/>
    <s v="Low"/>
    <x v="0"/>
    <x v="4"/>
  </r>
  <r>
    <x v="75"/>
    <s v="Original"/>
    <x v="55"/>
    <d v="2023-05-26T00:00:00"/>
    <n v="22"/>
    <x v="0"/>
    <x v="4"/>
    <s v="San Francisco"/>
    <s v="Enterprise"/>
    <x v="1"/>
    <x v="13"/>
    <x v="4"/>
    <x v="75"/>
    <n v="249.71"/>
    <n v="361.33"/>
    <n v="9.4E-2"/>
    <n v="12"/>
    <n v="3928.3797600000003"/>
    <n v="2996.52"/>
    <n v="931.85976000000028"/>
    <n v="0.23721223937881206"/>
    <x v="4"/>
    <x v="4"/>
    <s v="Q2-2023"/>
    <s v="Americas → USA → San Francisco"/>
    <s v="Networking"/>
    <s v="Low"/>
    <x v="0"/>
    <x v="4"/>
  </r>
  <r>
    <x v="76"/>
    <s v="Original"/>
    <x v="55"/>
    <d v="2023-05-16T00:00:00"/>
    <n v="12"/>
    <x v="1"/>
    <x v="5"/>
    <s v="Abuja"/>
    <s v="Small Business"/>
    <x v="4"/>
    <x v="13"/>
    <x v="2"/>
    <x v="76"/>
    <n v="77.739999999999995"/>
    <n v="147.12"/>
    <n v="0"/>
    <n v="15"/>
    <n v="2206.8000000000002"/>
    <n v="1166.0999999999999"/>
    <n v="1040.7000000000003"/>
    <n v="0.47158781946710177"/>
    <x v="4"/>
    <x v="4"/>
    <s v="Q2-2023"/>
    <s v="Africa → Nigeria → Abuja"/>
    <s v="Phones"/>
    <s v="Low"/>
    <x v="0"/>
    <x v="4"/>
  </r>
  <r>
    <x v="77"/>
    <s v="Original"/>
    <x v="56"/>
    <d v="2023-05-14T00:00:00"/>
    <n v="8"/>
    <x v="3"/>
    <x v="11"/>
    <s v="Osaka"/>
    <s v="Enterprise"/>
    <x v="4"/>
    <x v="0"/>
    <x v="2"/>
    <x v="77"/>
    <n v="291.18"/>
    <n v="479.54"/>
    <n v="0.14099999999999999"/>
    <n v="22"/>
    <n v="9062.34692"/>
    <n v="6405.96"/>
    <n v="2656.3869199999999"/>
    <n v="0.29312350801066001"/>
    <x v="4"/>
    <x v="4"/>
    <s v="Q2-2023"/>
    <s v="Asia → Japan → Osaka"/>
    <s v="Phones"/>
    <s v="Low"/>
    <x v="2"/>
    <x v="2"/>
  </r>
  <r>
    <x v="78"/>
    <s v="Original"/>
    <x v="57"/>
    <d v="2023-05-12T00:00:00"/>
    <n v="5"/>
    <x v="1"/>
    <x v="5"/>
    <s v="Port Harcourt"/>
    <s v="Non-Profit"/>
    <x v="4"/>
    <x v="1"/>
    <x v="6"/>
    <x v="78"/>
    <n v="1269.6500000000001"/>
    <n v="2462.77"/>
    <n v="0.107"/>
    <n v="8"/>
    <n v="17594.028880000002"/>
    <n v="10157.200000000001"/>
    <n v="7436.8288800000009"/>
    <n v="0.42269050089225502"/>
    <x v="4"/>
    <x v="4"/>
    <s v="Q2-2023"/>
    <s v="Africa → Nigeria → Port Harcourt"/>
    <s v="Components"/>
    <s v="High"/>
    <x v="0"/>
    <x v="4"/>
  </r>
  <r>
    <x v="79"/>
    <s v="Original"/>
    <x v="57"/>
    <d v="2023-05-29T00:00:00"/>
    <n v="22"/>
    <x v="1"/>
    <x v="1"/>
    <s v="Durban"/>
    <s v="Education"/>
    <x v="0"/>
    <x v="10"/>
    <x v="3"/>
    <x v="79"/>
    <n v="653.86"/>
    <n v="931.84"/>
    <n v="0.121"/>
    <n v="12"/>
    <n v="9829.0483199999999"/>
    <n v="7846.32"/>
    <n v="1982.7283200000002"/>
    <n v="0.20172129136506273"/>
    <x v="4"/>
    <x v="4"/>
    <s v="Q2-2023"/>
    <s v="Africa → South Africa → Durban"/>
    <s v="Accessories"/>
    <s v="Medium"/>
    <x v="0"/>
    <x v="4"/>
  </r>
  <r>
    <x v="80"/>
    <s v="Original"/>
    <x v="57"/>
    <d v="2023-05-20T00:00:00"/>
    <n v="13"/>
    <x v="3"/>
    <x v="10"/>
    <s v="Mumbai"/>
    <s v="Enterprise"/>
    <x v="3"/>
    <x v="2"/>
    <x v="3"/>
    <x v="80"/>
    <n v="1443.28"/>
    <n v="2580.5700000000002"/>
    <n v="0"/>
    <n v="18"/>
    <n v="46450.26"/>
    <n v="25979.040000000001"/>
    <n v="20471.22"/>
    <n v="0.4407127107577008"/>
    <x v="4"/>
    <x v="4"/>
    <s v="Q2-2023"/>
    <s v="Asia → India → Mumbai"/>
    <s v="Accessories"/>
    <s v="High"/>
    <x v="1"/>
    <x v="3"/>
  </r>
  <r>
    <x v="81"/>
    <s v="Original"/>
    <x v="58"/>
    <d v="2023-05-14T00:00:00"/>
    <n v="4"/>
    <x v="3"/>
    <x v="10"/>
    <s v="Delhi"/>
    <s v="Non-Profit"/>
    <x v="0"/>
    <x v="11"/>
    <x v="5"/>
    <x v="81"/>
    <n v="622.6"/>
    <n v="833.69"/>
    <n v="0.20899999999999999"/>
    <n v="14"/>
    <n v="9232.2830599999998"/>
    <n v="8716.4"/>
    <n v="515.88306000000011"/>
    <n v="5.5878167582959715E-2"/>
    <x v="4"/>
    <x v="4"/>
    <s v="Q2-2023"/>
    <s v="Asia → India → Delhi"/>
    <s v="Monitors"/>
    <s v="Medium"/>
    <x v="1"/>
    <x v="3"/>
  </r>
  <r>
    <x v="82"/>
    <s v="Original"/>
    <x v="58"/>
    <d v="2023-05-27T00:00:00"/>
    <n v="17"/>
    <x v="3"/>
    <x v="10"/>
    <s v="Mumbai"/>
    <s v="Consumer"/>
    <x v="3"/>
    <x v="3"/>
    <x v="0"/>
    <x v="82"/>
    <n v="1286.1600000000001"/>
    <n v="3101.11"/>
    <n v="0.1"/>
    <n v="23"/>
    <n v="64192.976999999999"/>
    <n v="29581.68"/>
    <n v="34611.296999999999"/>
    <n v="0.53917575749758417"/>
    <x v="4"/>
    <x v="4"/>
    <s v="Q2-2023"/>
    <s v="Asia → India → Mumbai"/>
    <s v="Laptops"/>
    <s v="High"/>
    <x v="1"/>
    <x v="3"/>
  </r>
  <r>
    <x v="83"/>
    <s v="Original"/>
    <x v="59"/>
    <d v="2023-05-28T00:00:00"/>
    <n v="17"/>
    <x v="3"/>
    <x v="3"/>
    <s v="Shenzhen"/>
    <s v="Enterprise"/>
    <x v="4"/>
    <x v="14"/>
    <x v="4"/>
    <x v="83"/>
    <n v="1331.19"/>
    <n v="2903.09"/>
    <n v="0.14299999999999999"/>
    <n v="8"/>
    <n v="19903.585040000002"/>
    <n v="10649.52"/>
    <n v="9254.0650400000013"/>
    <n v="0.46494463290920784"/>
    <x v="4"/>
    <x v="4"/>
    <s v="Q2-2023"/>
    <s v="Asia → China → Shenzhen"/>
    <s v="Networking"/>
    <s v="High"/>
    <x v="0"/>
    <x v="4"/>
  </r>
  <r>
    <x v="84"/>
    <s v="Original"/>
    <x v="59"/>
    <d v="2023-06-07T00:00:00"/>
    <n v="27"/>
    <x v="1"/>
    <x v="7"/>
    <s v="Mombasa"/>
    <s v="Corporate"/>
    <x v="1"/>
    <x v="13"/>
    <x v="2"/>
    <x v="84"/>
    <n v="12.85"/>
    <n v="15.41"/>
    <n v="0.13700000000000001"/>
    <n v="39"/>
    <n v="518.65436999999997"/>
    <n v="501.15"/>
    <n v="17.504369999999994"/>
    <n v="3.3749585489851353E-2"/>
    <x v="4"/>
    <x v="4"/>
    <s v="Q2-2023"/>
    <s v="Africa → Kenya → Mombasa"/>
    <s v="Phones"/>
    <s v="Low"/>
    <x v="0"/>
    <x v="4"/>
  </r>
  <r>
    <x v="85"/>
    <s v="Original"/>
    <x v="60"/>
    <d v="2023-05-22T00:00:00"/>
    <n v="8"/>
    <x v="1"/>
    <x v="7"/>
    <s v="Mombasa"/>
    <s v="Small Business"/>
    <x v="0"/>
    <x v="7"/>
    <x v="1"/>
    <x v="85"/>
    <n v="432.01"/>
    <n v="913.78"/>
    <n v="4.9000000000000002E-2"/>
    <n v="12"/>
    <n v="10428.057360000001"/>
    <n v="5184.12"/>
    <n v="5243.9373600000008"/>
    <n v="0.50286809699711899"/>
    <x v="4"/>
    <x v="4"/>
    <s v="Q2-2023"/>
    <s v="Africa → Kenya → Mombasa"/>
    <s v="Printers"/>
    <s v="Medium"/>
    <x v="0"/>
    <x v="4"/>
  </r>
  <r>
    <x v="86"/>
    <s v="Original"/>
    <x v="61"/>
    <d v="2023-06-03T00:00:00"/>
    <n v="17"/>
    <x v="3"/>
    <x v="3"/>
    <s v="Beijing"/>
    <s v="Non-Profit"/>
    <x v="0"/>
    <x v="3"/>
    <x v="1"/>
    <x v="86"/>
    <n v="979.59"/>
    <n v="2210.94"/>
    <n v="0.15"/>
    <n v="11"/>
    <n v="20672.289000000001"/>
    <n v="10775.49"/>
    <n v="9896.7990000000009"/>
    <n v="0.47874712858358359"/>
    <x v="4"/>
    <x v="4"/>
    <s v="Q2-2023"/>
    <s v="Asia → China → Beijing"/>
    <s v="Printers"/>
    <s v="High"/>
    <x v="0"/>
    <x v="4"/>
  </r>
  <r>
    <x v="87"/>
    <s v="Original"/>
    <x v="61"/>
    <d v="2023-06-15T00:00:00"/>
    <n v="29"/>
    <x v="1"/>
    <x v="1"/>
    <s v="Durban"/>
    <s v="Enterprise"/>
    <x v="3"/>
    <x v="10"/>
    <x v="3"/>
    <x v="87"/>
    <n v="40.89"/>
    <n v="62.82"/>
    <n v="0.129"/>
    <n v="17"/>
    <n v="930.17574000000002"/>
    <n v="695.13"/>
    <n v="235.04574000000002"/>
    <n v="0.25268960465470752"/>
    <x v="4"/>
    <x v="4"/>
    <s v="Q2-2023"/>
    <s v="Africa → South Africa → Durban"/>
    <s v="Accessories"/>
    <s v="Low"/>
    <x v="0"/>
    <x v="4"/>
  </r>
  <r>
    <x v="88"/>
    <s v="Original"/>
    <x v="62"/>
    <d v="2023-05-26T00:00:00"/>
    <n v="6"/>
    <x v="1"/>
    <x v="1"/>
    <s v="Durban"/>
    <s v="Corporate"/>
    <x v="0"/>
    <x v="1"/>
    <x v="6"/>
    <x v="88"/>
    <n v="917.88"/>
    <n v="1347.92"/>
    <n v="0.3"/>
    <n v="5"/>
    <n v="4717.72"/>
    <n v="4589.3999999999996"/>
    <n v="128.32000000000062"/>
    <n v="2.7199579457873848E-2"/>
    <x v="4"/>
    <x v="4"/>
    <s v="Q2-2023"/>
    <s v="Africa → South Africa → Durban"/>
    <s v="Components"/>
    <s v="Medium"/>
    <x v="0"/>
    <x v="4"/>
  </r>
  <r>
    <x v="89"/>
    <s v="Original"/>
    <x v="62"/>
    <d v="2023-06-07T00:00:00"/>
    <n v="18"/>
    <x v="1"/>
    <x v="5"/>
    <s v="Port Harcourt"/>
    <s v="Enterprise"/>
    <x v="0"/>
    <x v="14"/>
    <x v="6"/>
    <x v="89"/>
    <n v="1120.06"/>
    <n v="2068.21"/>
    <n v="7.8E-2"/>
    <n v="12"/>
    <n v="22882.675440000003"/>
    <n v="13440.72"/>
    <n v="9441.9554400000034"/>
    <n v="0.41262462795303284"/>
    <x v="4"/>
    <x v="4"/>
    <s v="Q2-2023"/>
    <s v="Africa → Nigeria → Port Harcourt"/>
    <s v="Components"/>
    <s v="High"/>
    <x v="0"/>
    <x v="4"/>
  </r>
  <r>
    <x v="90"/>
    <s v="Original"/>
    <x v="62"/>
    <d v="2023-06-19T00:00:00"/>
    <n v="30"/>
    <x v="3"/>
    <x v="10"/>
    <s v="Delhi"/>
    <s v="Non-Profit"/>
    <x v="4"/>
    <x v="4"/>
    <x v="0"/>
    <x v="90"/>
    <n v="1161.2"/>
    <n v="878.73"/>
    <n v="0.19"/>
    <n v="31"/>
    <n v="22064.910300000003"/>
    <n v="35997.200000000004"/>
    <n v="-13932.289700000001"/>
    <n v="-0.63142290227212028"/>
    <x v="4"/>
    <x v="4"/>
    <s v="Q2-2023"/>
    <s v="Asia → India → Delhi"/>
    <s v="Laptops"/>
    <s v="Medium"/>
    <x v="1"/>
    <x v="3"/>
  </r>
  <r>
    <x v="91"/>
    <s v="Original"/>
    <x v="63"/>
    <d v="2023-06-10T00:00:00"/>
    <n v="18"/>
    <x v="3"/>
    <x v="3"/>
    <s v="Shanghai"/>
    <s v="Corporate"/>
    <x v="0"/>
    <x v="14"/>
    <x v="6"/>
    <x v="91"/>
    <n v="54.62"/>
    <n v="48.94"/>
    <n v="0.14799999999999999"/>
    <n v="16"/>
    <n v="667.15008"/>
    <n v="873.92"/>
    <n v="-206.76991999999996"/>
    <n v="-0.3099301434543783"/>
    <x v="4"/>
    <x v="4"/>
    <s v="Q2-2023"/>
    <s v="Asia → China → Shanghai"/>
    <s v="Components"/>
    <s v="Low"/>
    <x v="0"/>
    <x v="4"/>
  </r>
  <r>
    <x v="92"/>
    <s v="Original"/>
    <x v="63"/>
    <d v="2023-05-25T00:00:00"/>
    <n v="2"/>
    <x v="0"/>
    <x v="9"/>
    <s v="Rio de Janeiro"/>
    <s v="Enterprise"/>
    <x v="3"/>
    <x v="3"/>
    <x v="1"/>
    <x v="92"/>
    <n v="690.49"/>
    <n v="1290.29"/>
    <n v="4.2000000000000003E-2"/>
    <n v="22"/>
    <n v="27194.152039999997"/>
    <n v="15190.78"/>
    <n v="12003.372039999997"/>
    <n v="0.44139534199647718"/>
    <x v="4"/>
    <x v="4"/>
    <s v="Q2-2023"/>
    <s v="Americas → Brazil → Rio de Janeiro"/>
    <s v="Printers"/>
    <s v="Medium"/>
    <x v="0"/>
    <x v="4"/>
  </r>
  <r>
    <x v="93"/>
    <s v="Original"/>
    <x v="64"/>
    <d v="2023-06-21T00:00:00"/>
    <n v="28"/>
    <x v="0"/>
    <x v="4"/>
    <s v="Austin"/>
    <s v="Small Business"/>
    <x v="4"/>
    <x v="6"/>
    <x v="5"/>
    <x v="93"/>
    <n v="813.97"/>
    <n v="1568.83"/>
    <n v="1.7000000000000001E-2"/>
    <n v="15"/>
    <n v="23132.398349999996"/>
    <n v="12209.550000000001"/>
    <n v="10922.848349999995"/>
    <n v="0.4721883215364911"/>
    <x v="4"/>
    <x v="4"/>
    <s v="Q2-2023"/>
    <s v="Americas → USA → Austin"/>
    <s v="Monitors"/>
    <s v="Medium"/>
    <x v="0"/>
    <x v="4"/>
  </r>
  <r>
    <x v="94"/>
    <s v="Original"/>
    <x v="65"/>
    <d v="2023-06-19T00:00:00"/>
    <n v="23"/>
    <x v="2"/>
    <x v="8"/>
    <s v="Berlin"/>
    <s v="Education"/>
    <x v="3"/>
    <x v="5"/>
    <x v="3"/>
    <x v="94"/>
    <n v="1471.58"/>
    <n v="2576.65"/>
    <n v="4.0000000000000001E-3"/>
    <n v="7"/>
    <n v="17964.4038"/>
    <n v="10301.06"/>
    <n v="7663.3438000000006"/>
    <n v="0.4265849223451546"/>
    <x v="4"/>
    <x v="4"/>
    <s v="Q2-2023"/>
    <s v="Europe → Germany → Berlin"/>
    <s v="Accessories"/>
    <s v="High"/>
    <x v="0"/>
    <x v="4"/>
  </r>
  <r>
    <x v="95"/>
    <s v="Original"/>
    <x v="66"/>
    <d v="2023-06-20T00:00:00"/>
    <n v="22"/>
    <x v="2"/>
    <x v="6"/>
    <s v="London"/>
    <s v="Small Business"/>
    <x v="2"/>
    <x v="10"/>
    <x v="6"/>
    <x v="95"/>
    <n v="1295.3900000000001"/>
    <n v="2905.06"/>
    <n v="0.14799999999999999"/>
    <n v="8"/>
    <n v="19800.88896"/>
    <n v="10363.120000000001"/>
    <n v="9437.7689599999994"/>
    <n v="0.47663359857556614"/>
    <x v="4"/>
    <x v="4"/>
    <s v="Q2-2023"/>
    <s v="Europe → United Kingdom → London"/>
    <s v="Components"/>
    <s v="High"/>
    <x v="0"/>
    <x v="4"/>
  </r>
  <r>
    <x v="96"/>
    <s v="Original"/>
    <x v="67"/>
    <d v="2023-06-08T00:00:00"/>
    <n v="7"/>
    <x v="2"/>
    <x v="8"/>
    <s v="Frankfurt"/>
    <s v="Consumer"/>
    <x v="1"/>
    <x v="1"/>
    <x v="2"/>
    <x v="96"/>
    <n v="804.17"/>
    <n v="1072.29"/>
    <n v="3.2000000000000001E-2"/>
    <n v="5"/>
    <n v="5189.8836000000001"/>
    <n v="4020.85"/>
    <n v="1169.0336000000002"/>
    <n v="0.2252523736755869"/>
    <x v="5"/>
    <x v="5"/>
    <s v="Q2-2023"/>
    <s v="Europe → Germany → Frankfurt"/>
    <s v="Phones"/>
    <s v="Medium"/>
    <x v="0"/>
    <x v="5"/>
  </r>
  <r>
    <x v="97"/>
    <s v="Original"/>
    <x v="67"/>
    <d v="2023-06-08T00:00:00"/>
    <n v="7"/>
    <x v="3"/>
    <x v="10"/>
    <s v="Bengaluru"/>
    <s v="Corporate"/>
    <x v="3"/>
    <x v="14"/>
    <x v="3"/>
    <x v="97"/>
    <n v="669.37"/>
    <n v="997.2"/>
    <n v="8.2000000000000003E-2"/>
    <n v="5"/>
    <n v="4577.1480000000001"/>
    <n v="3346.85"/>
    <n v="1230.2980000000002"/>
    <n v="0.26879139586484863"/>
    <x v="5"/>
    <x v="5"/>
    <s v="Q2-2023"/>
    <s v="Asia → India → Bengaluru"/>
    <s v="Accessories"/>
    <s v="Medium"/>
    <x v="1"/>
    <x v="4"/>
  </r>
  <r>
    <x v="98"/>
    <s v="Original"/>
    <x v="68"/>
    <d v="2023-07-01T00:00:00"/>
    <n v="28"/>
    <x v="0"/>
    <x v="9"/>
    <s v="Brasília"/>
    <s v="Small Business"/>
    <x v="4"/>
    <x v="1"/>
    <x v="6"/>
    <x v="98"/>
    <n v="860.4"/>
    <n v="2066.6"/>
    <n v="0.01"/>
    <n v="3"/>
    <n v="6137.8019999999988"/>
    <n v="2581.1999999999998"/>
    <n v="3556.601999999999"/>
    <n v="0.57945857491004105"/>
    <x v="5"/>
    <x v="5"/>
    <s v="Q2-2023"/>
    <s v="Americas → Brazil → Brasília"/>
    <s v="Components"/>
    <s v="High"/>
    <x v="0"/>
    <x v="5"/>
  </r>
  <r>
    <x v="99"/>
    <s v="Original"/>
    <x v="69"/>
    <d v="2023-06-28T00:00:00"/>
    <n v="23"/>
    <x v="2"/>
    <x v="6"/>
    <s v="Birmingham"/>
    <s v="Corporate"/>
    <x v="2"/>
    <x v="10"/>
    <x v="1"/>
    <x v="99"/>
    <n v="605.82000000000005"/>
    <n v="771.12"/>
    <n v="0.13200000000000001"/>
    <n v="19"/>
    <n v="12717.311040000001"/>
    <n v="11510.580000000002"/>
    <n v="1206.7310399999988"/>
    <n v="9.4888851597986767E-2"/>
    <x v="5"/>
    <x v="5"/>
    <s v="Q2-2023"/>
    <s v="Europe → United Kingdom → Birmingham"/>
    <s v="Printers"/>
    <s v="Low"/>
    <x v="0"/>
    <x v="5"/>
  </r>
  <r>
    <x v="100"/>
    <s v="Original"/>
    <x v="70"/>
    <d v="2023-06-19T00:00:00"/>
    <n v="10"/>
    <x v="3"/>
    <x v="3"/>
    <s v="Beijing"/>
    <s v="Enterprise"/>
    <x v="3"/>
    <x v="7"/>
    <x v="5"/>
    <x v="100"/>
    <n v="339.61"/>
    <n v="621.02"/>
    <n v="7.0999999999999994E-2"/>
    <n v="10"/>
    <n v="5769.2758000000003"/>
    <n v="3396.1000000000004"/>
    <n v="2373.1758"/>
    <n v="0.41134726129750981"/>
    <x v="5"/>
    <x v="5"/>
    <s v="Q2-2023"/>
    <s v="Asia → China → Beijing"/>
    <s v="Monitors"/>
    <s v="Low"/>
    <x v="0"/>
    <x v="5"/>
  </r>
  <r>
    <x v="101"/>
    <s v="Original"/>
    <x v="71"/>
    <d v="2023-06-18T00:00:00"/>
    <n v="8"/>
    <x v="1"/>
    <x v="7"/>
    <s v="Nakuru"/>
    <s v="Enterprise"/>
    <x v="2"/>
    <x v="4"/>
    <x v="2"/>
    <x v="101"/>
    <n v="894.23"/>
    <n v="1421.55"/>
    <n v="0.109"/>
    <n v="3"/>
    <n v="3799.8031499999997"/>
    <n v="2682.69"/>
    <n v="1117.1131499999997"/>
    <n v="0.29399237431549574"/>
    <x v="5"/>
    <x v="5"/>
    <s v="Q2-2023"/>
    <s v="Africa → Kenya → Nakuru"/>
    <s v="Phones"/>
    <s v="Medium"/>
    <x v="0"/>
    <x v="5"/>
  </r>
  <r>
    <x v="102"/>
    <s v="Original"/>
    <x v="72"/>
    <d v="2023-06-24T00:00:00"/>
    <n v="11"/>
    <x v="0"/>
    <x v="0"/>
    <s v="Toronto"/>
    <s v="Corporate"/>
    <x v="1"/>
    <x v="11"/>
    <x v="1"/>
    <x v="102"/>
    <n v="247.07"/>
    <n v="495.19"/>
    <n v="2.8000000000000001E-2"/>
    <n v="4"/>
    <n v="1925.29872"/>
    <n v="988.28"/>
    <n v="937.01872000000003"/>
    <n v="0.48668744764968214"/>
    <x v="5"/>
    <x v="5"/>
    <s v="Q2-2023"/>
    <s v="Americas → Canada → Toronto"/>
    <s v="Printers"/>
    <s v="Low"/>
    <x v="0"/>
    <x v="5"/>
  </r>
  <r>
    <x v="103"/>
    <s v="Original"/>
    <x v="73"/>
    <d v="2023-06-16T00:00:00"/>
    <n v="2"/>
    <x v="2"/>
    <x v="6"/>
    <s v="Manchester"/>
    <s v="Non-Profit"/>
    <x v="2"/>
    <x v="10"/>
    <x v="6"/>
    <x v="103"/>
    <n v="357.36"/>
    <n v="703.62"/>
    <n v="0.25700000000000001"/>
    <n v="20"/>
    <n v="10455.7932"/>
    <n v="7147.2000000000007"/>
    <n v="3308.5931999999993"/>
    <n v="0.31643636563125593"/>
    <x v="5"/>
    <x v="5"/>
    <s v="Q2-2023"/>
    <s v="Europe → United Kingdom → Manchester"/>
    <s v="Components"/>
    <s v="Low"/>
    <x v="0"/>
    <x v="5"/>
  </r>
  <r>
    <x v="104"/>
    <s v="Original"/>
    <x v="74"/>
    <d v="2023-06-23T00:00:00"/>
    <n v="8"/>
    <x v="0"/>
    <x v="4"/>
    <s v="San Francisco"/>
    <s v="Consumer"/>
    <x v="0"/>
    <x v="5"/>
    <x v="5"/>
    <x v="104"/>
    <n v="1097.0899999999999"/>
    <n v="2182.31"/>
    <n v="0.112"/>
    <n v="9"/>
    <n v="17441.021520000002"/>
    <n v="9873.81"/>
    <n v="7567.2115200000026"/>
    <n v="0.43387432962699546"/>
    <x v="5"/>
    <x v="5"/>
    <s v="Q2-2023"/>
    <s v="Americas → USA → San Francisco"/>
    <s v="Monitors"/>
    <s v="High"/>
    <x v="0"/>
    <x v="5"/>
  </r>
  <r>
    <x v="105"/>
    <s v="Original"/>
    <x v="74"/>
    <d v="2023-07-12T00:00:00"/>
    <n v="27"/>
    <x v="2"/>
    <x v="6"/>
    <s v="Manchester"/>
    <s v="Consumer"/>
    <x v="2"/>
    <x v="12"/>
    <x v="3"/>
    <x v="105"/>
    <n v="751.28"/>
    <n v="1111.8800000000001"/>
    <n v="0.13500000000000001"/>
    <n v="7"/>
    <n v="6732.4334000000008"/>
    <n v="5258.96"/>
    <n v="1473.4734000000008"/>
    <n v="0.21886193482433863"/>
    <x v="5"/>
    <x v="5"/>
    <s v="Q2-2023"/>
    <s v="Europe → United Kingdom → Manchester"/>
    <s v="Accessories"/>
    <s v="Medium"/>
    <x v="0"/>
    <x v="5"/>
  </r>
  <r>
    <x v="106"/>
    <s v="Original"/>
    <x v="75"/>
    <d v="2023-06-24T00:00:00"/>
    <n v="7"/>
    <x v="0"/>
    <x v="4"/>
    <s v="San Francisco"/>
    <s v="Corporate"/>
    <x v="3"/>
    <x v="12"/>
    <x v="1"/>
    <x v="106"/>
    <n v="313.99"/>
    <n v="454.42"/>
    <n v="0.129"/>
    <n v="9"/>
    <n v="3562.1983800000003"/>
    <n v="2825.91"/>
    <n v="736.28838000000042"/>
    <n v="0.20669493988147858"/>
    <x v="5"/>
    <x v="5"/>
    <s v="Q2-2023"/>
    <s v="Americas → USA → San Francisco"/>
    <s v="Printers"/>
    <s v="Low"/>
    <x v="0"/>
    <x v="5"/>
  </r>
  <r>
    <x v="107"/>
    <s v="Original"/>
    <x v="76"/>
    <d v="2023-07-08T00:00:00"/>
    <n v="18"/>
    <x v="0"/>
    <x v="4"/>
    <s v="Austin"/>
    <s v="Non-Profit"/>
    <x v="2"/>
    <x v="7"/>
    <x v="5"/>
    <x v="107"/>
    <n v="337"/>
    <n v="511.03"/>
    <n v="0.108"/>
    <n v="7"/>
    <n v="3190.8713200000002"/>
    <n v="2359"/>
    <n v="831.8713200000002"/>
    <n v="0.26070349963219458"/>
    <x v="5"/>
    <x v="5"/>
    <s v="Q2-2023"/>
    <s v="Americas → USA → Austin"/>
    <s v="Monitors"/>
    <s v="Low"/>
    <x v="0"/>
    <x v="5"/>
  </r>
  <r>
    <x v="108"/>
    <s v="Original"/>
    <x v="76"/>
    <d v="2023-07-08T00:00:00"/>
    <n v="18"/>
    <x v="0"/>
    <x v="4"/>
    <s v="New York"/>
    <s v="Consumer"/>
    <x v="4"/>
    <x v="5"/>
    <x v="4"/>
    <x v="108"/>
    <n v="1145.53"/>
    <n v="1278.3"/>
    <n v="0.09"/>
    <n v="41"/>
    <n v="47693.373"/>
    <n v="46966.729999999996"/>
    <n v="726.64300000000367"/>
    <n v="1.5235722581416158E-2"/>
    <x v="5"/>
    <x v="5"/>
    <s v="Q2-2023"/>
    <s v="Americas → USA → New York"/>
    <s v="Networking"/>
    <s v="Medium"/>
    <x v="0"/>
    <x v="5"/>
  </r>
  <r>
    <x v="109"/>
    <s v="Original"/>
    <x v="76"/>
    <d v="2023-07-04T00:00:00"/>
    <n v="14"/>
    <x v="0"/>
    <x v="9"/>
    <s v="Brasília"/>
    <s v="Non-Profit"/>
    <x v="2"/>
    <x v="11"/>
    <x v="4"/>
    <x v="109"/>
    <n v="1292.8599999999999"/>
    <n v="2981.01"/>
    <n v="0.14199999999999999"/>
    <n v="12"/>
    <n v="30692.47896"/>
    <n v="15514.32"/>
    <n v="15178.158960000001"/>
    <n v="0.49452372288927687"/>
    <x v="5"/>
    <x v="5"/>
    <s v="Q2-2023"/>
    <s v="Americas → Brazil → Brasília"/>
    <s v="Networking"/>
    <s v="High"/>
    <x v="0"/>
    <x v="5"/>
  </r>
  <r>
    <x v="110"/>
    <s v="Original"/>
    <x v="77"/>
    <d v="2023-07-21T00:00:00"/>
    <n v="29"/>
    <x v="2"/>
    <x v="2"/>
    <s v="Lyon"/>
    <s v="Corporate"/>
    <x v="3"/>
    <x v="13"/>
    <x v="3"/>
    <x v="110"/>
    <n v="734.34"/>
    <n v="887.9"/>
    <n v="2.5000000000000001E-2"/>
    <n v="12"/>
    <n v="10388.429999999998"/>
    <n v="8812.08"/>
    <n v="1576.3499999999985"/>
    <n v="0.15174092716608753"/>
    <x v="5"/>
    <x v="5"/>
    <s v="Q2-2023"/>
    <s v="Europe → France → Lyon"/>
    <s v="Accessories"/>
    <s v="Medium"/>
    <x v="0"/>
    <x v="5"/>
  </r>
  <r>
    <x v="111"/>
    <s v="Original"/>
    <x v="78"/>
    <d v="2023-07-03T00:00:00"/>
    <n v="10"/>
    <x v="1"/>
    <x v="5"/>
    <s v="Abuja"/>
    <s v="Consumer"/>
    <x v="1"/>
    <x v="13"/>
    <x v="1"/>
    <x v="111"/>
    <n v="337.75"/>
    <n v="548.89"/>
    <n v="0"/>
    <n v="13"/>
    <n v="7135.57"/>
    <n v="4390.75"/>
    <n v="2744.8199999999997"/>
    <n v="0.38466723751571352"/>
    <x v="5"/>
    <x v="5"/>
    <s v="Q2-2023"/>
    <s v="Africa → Nigeria → Abuja"/>
    <s v="Printers"/>
    <s v="Low"/>
    <x v="0"/>
    <x v="5"/>
  </r>
  <r>
    <x v="112"/>
    <s v="Original"/>
    <x v="78"/>
    <d v="2023-07-18T00:00:00"/>
    <n v="25"/>
    <x v="0"/>
    <x v="0"/>
    <s v="Vancouver"/>
    <s v="Enterprise"/>
    <x v="1"/>
    <x v="8"/>
    <x v="2"/>
    <x v="112"/>
    <n v="807.02"/>
    <n v="1435.54"/>
    <n v="0"/>
    <n v="23"/>
    <n v="33017.42"/>
    <n v="18561.46"/>
    <n v="14455.96"/>
    <n v="0.43782827368098415"/>
    <x v="5"/>
    <x v="5"/>
    <s v="Q2-2023"/>
    <s v="Americas → Canada → Vancouver"/>
    <s v="Phones"/>
    <s v="Medium"/>
    <x v="0"/>
    <x v="5"/>
  </r>
  <r>
    <x v="113"/>
    <s v="Original"/>
    <x v="79"/>
    <d v="2023-06-30T00:00:00"/>
    <n v="6"/>
    <x v="0"/>
    <x v="9"/>
    <s v="Rio de Janeiro"/>
    <s v="Non-Profit"/>
    <x v="3"/>
    <x v="14"/>
    <x v="1"/>
    <x v="113"/>
    <n v="804.01"/>
    <n v="1405.07"/>
    <n v="9.6000000000000002E-2"/>
    <n v="8"/>
    <n v="10161.46624"/>
    <n v="6432.08"/>
    <n v="3729.3862399999998"/>
    <n v="0.36701260939287439"/>
    <x v="5"/>
    <x v="5"/>
    <s v="Q2-2023"/>
    <s v="Americas → Brazil → Rio de Janeiro"/>
    <s v="Printers"/>
    <s v="Medium"/>
    <x v="0"/>
    <x v="5"/>
  </r>
  <r>
    <x v="114"/>
    <s v="Original"/>
    <x v="79"/>
    <d v="2023-07-21T00:00:00"/>
    <n v="27"/>
    <x v="3"/>
    <x v="11"/>
    <s v="Nagoya"/>
    <s v="Consumer"/>
    <x v="4"/>
    <x v="13"/>
    <x v="2"/>
    <x v="114"/>
    <n v="554.76"/>
    <n v="728.69"/>
    <n v="0.22"/>
    <n v="7"/>
    <n v="3978.6474000000003"/>
    <n v="3883.3199999999997"/>
    <n v="95.32740000000058"/>
    <n v="2.395975074343119E-2"/>
    <x v="5"/>
    <x v="5"/>
    <s v="Q2-2023"/>
    <s v="Asia → Japan → Nagoya"/>
    <s v="Phones"/>
    <s v="Low"/>
    <x v="2"/>
    <x v="3"/>
  </r>
  <r>
    <x v="115"/>
    <s v="Original"/>
    <x v="79"/>
    <d v="2023-06-30T00:00:00"/>
    <n v="6"/>
    <x v="0"/>
    <x v="0"/>
    <s v="Toronto"/>
    <s v="Non-Profit"/>
    <x v="3"/>
    <x v="3"/>
    <x v="3"/>
    <x v="115"/>
    <n v="471.42"/>
    <n v="824.81"/>
    <n v="8.7999999999999995E-2"/>
    <n v="15"/>
    <n v="11283.400799999999"/>
    <n v="7071.3"/>
    <n v="4212.1007999999993"/>
    <n v="0.37330064531608231"/>
    <x v="5"/>
    <x v="5"/>
    <s v="Q2-2023"/>
    <s v="Americas → Canada → Toronto"/>
    <s v="Accessories"/>
    <s v="Medium"/>
    <x v="0"/>
    <x v="5"/>
  </r>
  <r>
    <x v="116"/>
    <s v="Original"/>
    <x v="80"/>
    <d v="2023-07-02T00:00:00"/>
    <n v="3"/>
    <x v="3"/>
    <x v="11"/>
    <s v="Nagoya"/>
    <s v="Education"/>
    <x v="4"/>
    <x v="7"/>
    <x v="5"/>
    <x v="116"/>
    <n v="55.65"/>
    <n v="83.57"/>
    <n v="6.6000000000000003E-2"/>
    <n v="8"/>
    <n v="624.43503999999996"/>
    <n v="445.2"/>
    <n v="179.23503999999997"/>
    <n v="0.2870355257449998"/>
    <x v="5"/>
    <x v="5"/>
    <s v="Q2-2023"/>
    <s v="Asia → Japan → Nagoya"/>
    <s v="Monitors"/>
    <s v="Low"/>
    <x v="2"/>
    <x v="3"/>
  </r>
  <r>
    <x v="117"/>
    <s v="Original"/>
    <x v="81"/>
    <d v="2023-07-08T00:00:00"/>
    <n v="7"/>
    <x v="1"/>
    <x v="5"/>
    <s v="Port Harcourt"/>
    <s v="Corporate"/>
    <x v="3"/>
    <x v="1"/>
    <x v="0"/>
    <x v="117"/>
    <n v="834.26"/>
    <n v="1780.56"/>
    <n v="1.4E-2"/>
    <n v="47"/>
    <n v="82514.711519999997"/>
    <n v="39210.22"/>
    <n v="43304.491519999996"/>
    <n v="0.5248093427497933"/>
    <x v="6"/>
    <x v="6"/>
    <s v="Q3-2023"/>
    <s v="Africa → Nigeria → Port Harcourt"/>
    <s v="Laptops"/>
    <s v="High"/>
    <x v="0"/>
    <x v="6"/>
  </r>
  <r>
    <x v="118"/>
    <s v="Original"/>
    <x v="81"/>
    <d v="2023-07-11T00:00:00"/>
    <n v="10"/>
    <x v="2"/>
    <x v="2"/>
    <s v="Paris"/>
    <s v="Corporate"/>
    <x v="2"/>
    <x v="7"/>
    <x v="4"/>
    <x v="118"/>
    <n v="479.5"/>
    <n v="656.66"/>
    <n v="0.14899999999999999"/>
    <n v="14"/>
    <n v="7823.4472399999995"/>
    <n v="6713"/>
    <n v="1110.4472399999995"/>
    <n v="0.14193835606412289"/>
    <x v="6"/>
    <x v="6"/>
    <s v="Q3-2023"/>
    <s v="Europe → France → Paris"/>
    <s v="Networking"/>
    <s v="Low"/>
    <x v="0"/>
    <x v="6"/>
  </r>
  <r>
    <x v="119"/>
    <s v="Original"/>
    <x v="81"/>
    <d v="2023-07-08T00:00:00"/>
    <n v="7"/>
    <x v="2"/>
    <x v="8"/>
    <s v="Frankfurt"/>
    <s v="Small Business"/>
    <x v="0"/>
    <x v="8"/>
    <x v="0"/>
    <x v="119"/>
    <n v="460.21"/>
    <n v="1139.1500000000001"/>
    <n v="0.115"/>
    <n v="14"/>
    <n v="14114.068500000001"/>
    <n v="6442.94"/>
    <n v="7671.1285000000016"/>
    <n v="0.54350937151821255"/>
    <x v="6"/>
    <x v="6"/>
    <s v="Q3-2023"/>
    <s v="Europe → Germany → Frankfurt"/>
    <s v="Laptops"/>
    <s v="Medium"/>
    <x v="0"/>
    <x v="6"/>
  </r>
  <r>
    <x v="120"/>
    <s v="Original"/>
    <x v="82"/>
    <d v="2023-08-01T00:00:00"/>
    <n v="30"/>
    <x v="2"/>
    <x v="6"/>
    <s v="Birmingham"/>
    <s v="Small Business"/>
    <x v="3"/>
    <x v="0"/>
    <x v="6"/>
    <x v="120"/>
    <n v="137.46"/>
    <n v="188.3"/>
    <n v="3.7999999999999999E-2"/>
    <n v="37"/>
    <n v="6702.3501999999999"/>
    <n v="5086.0200000000004"/>
    <n v="1616.3301999999994"/>
    <n v="0.24115872071262398"/>
    <x v="6"/>
    <x v="6"/>
    <s v="Q3-2023"/>
    <s v="Europe → United Kingdom → Birmingham"/>
    <s v="Components"/>
    <s v="Low"/>
    <x v="0"/>
    <x v="6"/>
  </r>
  <r>
    <x v="121"/>
    <s v="Original"/>
    <x v="83"/>
    <d v="2023-07-23T00:00:00"/>
    <n v="20"/>
    <x v="1"/>
    <x v="1"/>
    <s v="Johannesburg"/>
    <s v="Small Business"/>
    <x v="0"/>
    <x v="7"/>
    <x v="0"/>
    <x v="121"/>
    <n v="1001.96"/>
    <n v="1254.95"/>
    <n v="4.4999999999999998E-2"/>
    <n v="18"/>
    <n v="21572.590500000002"/>
    <n v="18035.28"/>
    <n v="3537.3105000000032"/>
    <n v="0.16397244920585699"/>
    <x v="6"/>
    <x v="6"/>
    <s v="Q3-2023"/>
    <s v="Africa → South Africa → Johannesburg"/>
    <s v="Laptops"/>
    <s v="Medium"/>
    <x v="0"/>
    <x v="6"/>
  </r>
  <r>
    <x v="122"/>
    <s v="Original"/>
    <x v="84"/>
    <d v="2023-07-14T00:00:00"/>
    <n v="9"/>
    <x v="0"/>
    <x v="9"/>
    <s v="Brasília"/>
    <s v="Enterprise"/>
    <x v="2"/>
    <x v="0"/>
    <x v="4"/>
    <x v="122"/>
    <n v="578.85"/>
    <n v="998.76"/>
    <n v="8.2000000000000003E-2"/>
    <n v="28"/>
    <n v="25672.127039999999"/>
    <n v="16207.800000000001"/>
    <n v="9464.3270399999983"/>
    <n v="0.36866158480960831"/>
    <x v="6"/>
    <x v="6"/>
    <s v="Q3-2023"/>
    <s v="Americas → Brazil → Brasília"/>
    <s v="Networking"/>
    <s v="Medium"/>
    <x v="0"/>
    <x v="6"/>
  </r>
  <r>
    <x v="123"/>
    <s v="Original"/>
    <x v="85"/>
    <d v="2023-07-13T00:00:00"/>
    <n v="6"/>
    <x v="1"/>
    <x v="1"/>
    <s v="Cape Town"/>
    <s v="Small Business"/>
    <x v="4"/>
    <x v="0"/>
    <x v="3"/>
    <x v="123"/>
    <n v="612.59"/>
    <n v="1424.74"/>
    <n v="4.3999999999999997E-2"/>
    <n v="15"/>
    <n v="20430.771599999996"/>
    <n v="9188.85"/>
    <n v="11241.921599999996"/>
    <n v="0.55024459281802152"/>
    <x v="6"/>
    <x v="6"/>
    <s v="Q3-2023"/>
    <s v="Africa → South Africa → Cape Town"/>
    <s v="Accessories"/>
    <s v="Medium"/>
    <x v="0"/>
    <x v="6"/>
  </r>
  <r>
    <x v="124"/>
    <s v="Original"/>
    <x v="86"/>
    <d v="2023-07-09T00:00:00"/>
    <n v="1"/>
    <x v="1"/>
    <x v="7"/>
    <s v="Nairobi"/>
    <s v="Consumer"/>
    <x v="1"/>
    <x v="2"/>
    <x v="0"/>
    <x v="124"/>
    <n v="1258.72"/>
    <n v="2797.41"/>
    <n v="0"/>
    <n v="7"/>
    <n v="19581.87"/>
    <n v="8811.0400000000009"/>
    <n v="10770.829999999998"/>
    <n v="0.55004093071805704"/>
    <x v="6"/>
    <x v="6"/>
    <s v="Q3-2023"/>
    <s v="Africa → Kenya → Nairobi"/>
    <s v="Laptops"/>
    <s v="High"/>
    <x v="0"/>
    <x v="6"/>
  </r>
  <r>
    <x v="125"/>
    <s v="Original"/>
    <x v="87"/>
    <d v="2023-07-19T00:00:00"/>
    <n v="10"/>
    <x v="3"/>
    <x v="11"/>
    <s v="Tokyo"/>
    <s v="Enterprise"/>
    <x v="0"/>
    <x v="8"/>
    <x v="6"/>
    <x v="125"/>
    <n v="141.26"/>
    <n v="206.88"/>
    <n v="0.107"/>
    <n v="9"/>
    <n v="1662.6945600000001"/>
    <n v="1271.3399999999999"/>
    <n v="391.35456000000022"/>
    <n v="0.23537369365062469"/>
    <x v="6"/>
    <x v="6"/>
    <s v="Q3-2023"/>
    <s v="Asia → Japan → Tokyo"/>
    <s v="Components"/>
    <s v="Low"/>
    <x v="2"/>
    <x v="4"/>
  </r>
  <r>
    <x v="126"/>
    <s v="Original"/>
    <x v="88"/>
    <d v="2023-08-01T00:00:00"/>
    <n v="22"/>
    <x v="2"/>
    <x v="2"/>
    <s v="Marseille"/>
    <s v="Consumer"/>
    <x v="4"/>
    <x v="0"/>
    <x v="1"/>
    <x v="126"/>
    <n v="1303.56"/>
    <n v="1791.37"/>
    <n v="0.126"/>
    <n v="22"/>
    <n v="34444.462359999998"/>
    <n v="28678.32"/>
    <n v="5766.142359999998"/>
    <n v="0.16740404596055358"/>
    <x v="6"/>
    <x v="6"/>
    <s v="Q3-2023"/>
    <s v="Europe → France → Marseille"/>
    <s v="Printers"/>
    <s v="High"/>
    <x v="0"/>
    <x v="6"/>
  </r>
  <r>
    <x v="127"/>
    <s v="Original"/>
    <x v="89"/>
    <d v="2023-07-21T00:00:00"/>
    <n v="7"/>
    <x v="1"/>
    <x v="1"/>
    <s v="Durban"/>
    <s v="Enterprise"/>
    <x v="4"/>
    <x v="15"/>
    <x v="5"/>
    <x v="127"/>
    <n v="620.74"/>
    <n v="1330.07"/>
    <n v="0.29899999999999999"/>
    <n v="28"/>
    <n v="26106.613960000002"/>
    <n v="17380.72"/>
    <n v="8725.8939600000012"/>
    <n v="0.33424073965967516"/>
    <x v="6"/>
    <x v="6"/>
    <s v="Q3-2023"/>
    <s v="Africa → South Africa → Durban"/>
    <s v="Monitors"/>
    <s v="Medium"/>
    <x v="0"/>
    <x v="6"/>
  </r>
  <r>
    <x v="128"/>
    <s v="Original"/>
    <x v="89"/>
    <d v="2023-07-21T00:00:00"/>
    <n v="7"/>
    <x v="1"/>
    <x v="5"/>
    <s v="Lagos"/>
    <s v="Education"/>
    <x v="3"/>
    <x v="12"/>
    <x v="3"/>
    <x v="128"/>
    <n v="956.38"/>
    <n v="1454.22"/>
    <n v="3.9E-2"/>
    <n v="19"/>
    <n v="26552.60298"/>
    <n v="18171.22"/>
    <n v="8381.3829799999985"/>
    <n v="0.31565202802576603"/>
    <x v="6"/>
    <x v="6"/>
    <s v="Q3-2023"/>
    <s v="Africa → Nigeria → Lagos"/>
    <s v="Accessories"/>
    <s v="Medium"/>
    <x v="0"/>
    <x v="6"/>
  </r>
  <r>
    <x v="129"/>
    <s v="Original"/>
    <x v="90"/>
    <d v="2023-08-13T00:00:00"/>
    <n v="28"/>
    <x v="2"/>
    <x v="6"/>
    <s v="Manchester"/>
    <s v="Non-Profit"/>
    <x v="1"/>
    <x v="13"/>
    <x v="0"/>
    <x v="129"/>
    <n v="1039.03"/>
    <n v="2545.81"/>
    <n v="0.216"/>
    <n v="21"/>
    <n v="41914.215840000004"/>
    <n v="21819.63"/>
    <n v="20094.585840000003"/>
    <n v="0.47942172929364774"/>
    <x v="6"/>
    <x v="6"/>
    <s v="Q3-2023"/>
    <s v="Europe → United Kingdom → Manchester"/>
    <s v="Laptops"/>
    <s v="High"/>
    <x v="0"/>
    <x v="6"/>
  </r>
  <r>
    <x v="130"/>
    <s v="Original"/>
    <x v="91"/>
    <d v="2023-08-10T00:00:00"/>
    <n v="23"/>
    <x v="1"/>
    <x v="1"/>
    <s v="Johannesburg"/>
    <s v="Small Business"/>
    <x v="3"/>
    <x v="9"/>
    <x v="6"/>
    <x v="130"/>
    <n v="1271.56"/>
    <n v="995.47"/>
    <n v="0.192"/>
    <n v="13"/>
    <n v="10456.416880000001"/>
    <n v="16530.28"/>
    <n v="-6073.8631199999982"/>
    <n v="-0.58087423155607754"/>
    <x v="6"/>
    <x v="6"/>
    <s v="Q3-2023"/>
    <s v="Africa → South Africa → Johannesburg"/>
    <s v="Components"/>
    <s v="Medium"/>
    <x v="0"/>
    <x v="6"/>
  </r>
  <r>
    <x v="131"/>
    <s v="Original"/>
    <x v="91"/>
    <d v="2023-07-22T00:00:00"/>
    <n v="4"/>
    <x v="0"/>
    <x v="9"/>
    <s v="São Paulo"/>
    <s v="Consumer"/>
    <x v="2"/>
    <x v="7"/>
    <x v="4"/>
    <x v="131"/>
    <n v="1269.55"/>
    <n v="2071.1"/>
    <n v="0.129"/>
    <n v="22"/>
    <n v="39686.4182"/>
    <n v="27930.1"/>
    <n v="11756.318200000002"/>
    <n v="0.29623026549672354"/>
    <x v="6"/>
    <x v="6"/>
    <s v="Q3-2023"/>
    <s v="Americas → Brazil → São Paulo"/>
    <s v="Networking"/>
    <s v="High"/>
    <x v="0"/>
    <x v="6"/>
  </r>
  <r>
    <x v="132"/>
    <s v="Original"/>
    <x v="92"/>
    <d v="2023-07-31T00:00:00"/>
    <n v="12"/>
    <x v="0"/>
    <x v="9"/>
    <s v="Rio de Janeiro"/>
    <s v="Corporate"/>
    <x v="3"/>
    <x v="11"/>
    <x v="5"/>
    <x v="132"/>
    <n v="1334.64"/>
    <n v="2273.42"/>
    <n v="0.11799999999999999"/>
    <n v="14"/>
    <n v="28072.190160000002"/>
    <n v="18684.960000000003"/>
    <n v="9387.2301599999992"/>
    <n v="0.33439607335575267"/>
    <x v="6"/>
    <x v="6"/>
    <s v="Q3-2023"/>
    <s v="Americas → Brazil → Rio de Janeiro"/>
    <s v="Monitors"/>
    <s v="High"/>
    <x v="0"/>
    <x v="6"/>
  </r>
  <r>
    <x v="133"/>
    <s v="Original"/>
    <x v="93"/>
    <d v="2023-07-28T00:00:00"/>
    <n v="6"/>
    <x v="3"/>
    <x v="10"/>
    <s v="Delhi"/>
    <s v="Small Business"/>
    <x v="0"/>
    <x v="14"/>
    <x v="1"/>
    <x v="133"/>
    <n v="946.99"/>
    <n v="2132.19"/>
    <n v="0.16500000000000001"/>
    <n v="7"/>
    <n v="12462.65055"/>
    <n v="6628.93"/>
    <n v="5833.72055"/>
    <n v="0.46809629513362228"/>
    <x v="6"/>
    <x v="6"/>
    <s v="Q3-2023"/>
    <s v="Asia → India → Delhi"/>
    <s v="Printers"/>
    <s v="High"/>
    <x v="1"/>
    <x v="5"/>
  </r>
  <r>
    <x v="134"/>
    <s v="Original"/>
    <x v="94"/>
    <d v="2023-08-13T00:00:00"/>
    <n v="20"/>
    <x v="0"/>
    <x v="0"/>
    <s v="Montreal"/>
    <s v="Education"/>
    <x v="2"/>
    <x v="11"/>
    <x v="5"/>
    <x v="134"/>
    <n v="1082.3800000000001"/>
    <n v="1766.55"/>
    <n v="0.16400000000000001"/>
    <n v="20"/>
    <n v="29536.716"/>
    <n v="21647.600000000002"/>
    <n v="7889.1159999999982"/>
    <n v="0.26709523157550752"/>
    <x v="6"/>
    <x v="6"/>
    <s v="Q3-2023"/>
    <s v="Americas → Canada → Montreal"/>
    <s v="Monitors"/>
    <s v="High"/>
    <x v="0"/>
    <x v="6"/>
  </r>
  <r>
    <x v="135"/>
    <s v="Original"/>
    <x v="94"/>
    <d v="2023-08-19T00:00:00"/>
    <n v="26"/>
    <x v="1"/>
    <x v="7"/>
    <s v="Nairobi"/>
    <s v="Enterprise"/>
    <x v="0"/>
    <x v="3"/>
    <x v="3"/>
    <x v="135"/>
    <n v="661.45"/>
    <n v="1634.86"/>
    <n v="0.3"/>
    <n v="24"/>
    <n v="27465.647999999997"/>
    <n v="15874.800000000001"/>
    <n v="11590.847999999996"/>
    <n v="0.42201254454291404"/>
    <x v="6"/>
    <x v="6"/>
    <s v="Q3-2023"/>
    <s v="Africa → Kenya → Nairobi"/>
    <s v="Accessories"/>
    <s v="High"/>
    <x v="0"/>
    <x v="6"/>
  </r>
  <r>
    <x v="136"/>
    <s v="Original"/>
    <x v="95"/>
    <d v="2023-08-10T00:00:00"/>
    <n v="16"/>
    <x v="1"/>
    <x v="5"/>
    <s v="Port Harcourt"/>
    <s v="Corporate"/>
    <x v="0"/>
    <x v="12"/>
    <x v="3"/>
    <x v="136"/>
    <n v="506.83"/>
    <n v="441.74"/>
    <n v="0.24"/>
    <n v="9"/>
    <n v="3021.5016000000001"/>
    <n v="4561.47"/>
    <n v="-1539.9684000000002"/>
    <n v="-0.50966989393618067"/>
    <x v="6"/>
    <x v="6"/>
    <s v="Q3-2023"/>
    <s v="Africa → Nigeria → Port Harcourt"/>
    <s v="Accessories"/>
    <s v="Low"/>
    <x v="0"/>
    <x v="6"/>
  </r>
  <r>
    <x v="137"/>
    <s v="Original"/>
    <x v="96"/>
    <d v="2023-08-25T00:00:00"/>
    <n v="30"/>
    <x v="0"/>
    <x v="4"/>
    <s v="New York"/>
    <s v="Consumer"/>
    <x v="3"/>
    <x v="3"/>
    <x v="3"/>
    <x v="137"/>
    <n v="1261.48"/>
    <n v="1643.18"/>
    <n v="0.151"/>
    <n v="23"/>
    <n v="32086.37586"/>
    <n v="29014.04"/>
    <n v="3072.3358599999992"/>
    <n v="9.5752037357079045E-2"/>
    <x v="6"/>
    <x v="6"/>
    <s v="Q3-2023"/>
    <s v="Americas → USA → New York"/>
    <s v="Accessories"/>
    <s v="High"/>
    <x v="0"/>
    <x v="6"/>
  </r>
  <r>
    <x v="138"/>
    <s v="Original"/>
    <x v="97"/>
    <d v="2023-08-07T00:00:00"/>
    <n v="8"/>
    <x v="3"/>
    <x v="11"/>
    <s v="Nagoya"/>
    <s v="Education"/>
    <x v="4"/>
    <x v="1"/>
    <x v="4"/>
    <x v="138"/>
    <n v="1352.44"/>
    <n v="2698.01"/>
    <n v="0.13100000000000001"/>
    <n v="13"/>
    <n v="30479.418970000002"/>
    <n v="17581.72"/>
    <n v="12897.698970000001"/>
    <n v="0.42316091992090887"/>
    <x v="6"/>
    <x v="6"/>
    <s v="Q3-2023"/>
    <s v="Asia → Japan → Nagoya"/>
    <s v="Networking"/>
    <s v="High"/>
    <x v="2"/>
    <x v="4"/>
  </r>
  <r>
    <x v="139"/>
    <s v="Original"/>
    <x v="97"/>
    <d v="2023-08-19T00:00:00"/>
    <n v="20"/>
    <x v="2"/>
    <x v="2"/>
    <s v="Paris"/>
    <s v="Enterprise"/>
    <x v="4"/>
    <x v="6"/>
    <x v="4"/>
    <x v="139"/>
    <n v="1418.51"/>
    <n v="2789.61"/>
    <n v="0.17100000000000001"/>
    <n v="8"/>
    <n v="18500.693520000001"/>
    <n v="11348.08"/>
    <n v="7152.6135200000008"/>
    <n v="0.38661326464695689"/>
    <x v="6"/>
    <x v="6"/>
    <s v="Q3-2023"/>
    <s v="Europe → France → Paris"/>
    <s v="Networking"/>
    <s v="High"/>
    <x v="0"/>
    <x v="6"/>
  </r>
  <r>
    <x v="140"/>
    <s v="Original"/>
    <x v="98"/>
    <d v="2023-08-19T00:00:00"/>
    <n v="17"/>
    <x v="0"/>
    <x v="0"/>
    <s v="Vancouver"/>
    <s v="Corporate"/>
    <x v="1"/>
    <x v="7"/>
    <x v="4"/>
    <x v="140"/>
    <n v="175.38"/>
    <n v="347.9"/>
    <n v="7.1999999999999995E-2"/>
    <n v="43"/>
    <n v="13882.6016"/>
    <n v="7541.34"/>
    <n v="6341.2615999999998"/>
    <n v="0.45677761148169804"/>
    <x v="7"/>
    <x v="7"/>
    <s v="Q3-2023"/>
    <s v="Americas → Canada → Vancouver"/>
    <s v="Networking"/>
    <s v="Low"/>
    <x v="0"/>
    <x v="7"/>
  </r>
  <r>
    <x v="141"/>
    <s v="Original"/>
    <x v="99"/>
    <d v="2023-08-14T00:00:00"/>
    <n v="11"/>
    <x v="0"/>
    <x v="9"/>
    <s v="Brasília"/>
    <s v="Corporate"/>
    <x v="2"/>
    <x v="13"/>
    <x v="3"/>
    <x v="141"/>
    <n v="232.73"/>
    <n v="334.19"/>
    <n v="0.13400000000000001"/>
    <n v="25"/>
    <n v="7235.2134999999998"/>
    <n v="5818.25"/>
    <n v="1416.9634999999998"/>
    <n v="0.1958426658729559"/>
    <x v="7"/>
    <x v="7"/>
    <s v="Q3-2023"/>
    <s v="Americas → Brazil → Brasília"/>
    <s v="Accessories"/>
    <s v="Low"/>
    <x v="0"/>
    <x v="7"/>
  </r>
  <r>
    <x v="142"/>
    <s v="Original"/>
    <x v="99"/>
    <d v="2023-08-10T00:00:00"/>
    <n v="7"/>
    <x v="3"/>
    <x v="3"/>
    <s v="Shanghai"/>
    <s v="Non-Profit"/>
    <x v="2"/>
    <x v="13"/>
    <x v="4"/>
    <x v="142"/>
    <n v="1021.97"/>
    <n v="2296.25"/>
    <n v="0.161"/>
    <n v="26"/>
    <n v="50090.397499999999"/>
    <n v="26571.22"/>
    <n v="23519.177499999998"/>
    <n v="0.46953465482081669"/>
    <x v="7"/>
    <x v="7"/>
    <s v="Q3-2023"/>
    <s v="Asia → China → Shanghai"/>
    <s v="Networking"/>
    <s v="High"/>
    <x v="0"/>
    <x v="7"/>
  </r>
  <r>
    <x v="143"/>
    <s v="Original"/>
    <x v="99"/>
    <d v="2023-08-30T00:00:00"/>
    <n v="27"/>
    <x v="3"/>
    <x v="3"/>
    <s v="Shanghai"/>
    <s v="Consumer"/>
    <x v="0"/>
    <x v="8"/>
    <x v="5"/>
    <x v="143"/>
    <n v="226.04"/>
    <n v="545.72"/>
    <n v="0.151"/>
    <n v="11"/>
    <n v="5096.4790800000001"/>
    <n v="2486.44"/>
    <n v="2610.03908"/>
    <n v="0.51212592831834014"/>
    <x v="7"/>
    <x v="7"/>
    <s v="Q3-2023"/>
    <s v="Asia → China → Shanghai"/>
    <s v="Monitors"/>
    <s v="Low"/>
    <x v="0"/>
    <x v="7"/>
  </r>
  <r>
    <x v="144"/>
    <s v="Original"/>
    <x v="100"/>
    <d v="2023-08-24T00:00:00"/>
    <n v="20"/>
    <x v="0"/>
    <x v="9"/>
    <s v="Brasília"/>
    <s v="Non-Profit"/>
    <x v="2"/>
    <x v="15"/>
    <x v="4"/>
    <x v="144"/>
    <n v="582.88"/>
    <n v="1044.1400000000001"/>
    <n v="0.216"/>
    <n v="10"/>
    <n v="8186.057600000001"/>
    <n v="5828.8"/>
    <n v="2357.2576000000008"/>
    <n v="0.28796005539956138"/>
    <x v="7"/>
    <x v="7"/>
    <s v="Q3-2023"/>
    <s v="Americas → Brazil → Brasília"/>
    <s v="Networking"/>
    <s v="Medium"/>
    <x v="0"/>
    <x v="7"/>
  </r>
  <r>
    <x v="145"/>
    <s v="Original"/>
    <x v="101"/>
    <d v="2023-08-22T00:00:00"/>
    <n v="14"/>
    <x v="2"/>
    <x v="6"/>
    <s v="Birmingham"/>
    <s v="Non-Profit"/>
    <x v="2"/>
    <x v="8"/>
    <x v="5"/>
    <x v="145"/>
    <n v="446.69"/>
    <n v="967.25"/>
    <n v="9.4E-2"/>
    <n v="10"/>
    <n v="8763.2849999999999"/>
    <n v="4466.8999999999996"/>
    <n v="4296.3850000000002"/>
    <n v="0.49027105702941309"/>
    <x v="7"/>
    <x v="7"/>
    <s v="Q3-2023"/>
    <s v="Europe → United Kingdom → Birmingham"/>
    <s v="Monitors"/>
    <s v="Medium"/>
    <x v="0"/>
    <x v="7"/>
  </r>
  <r>
    <x v="146"/>
    <s v="Original"/>
    <x v="102"/>
    <d v="2023-08-15T00:00:00"/>
    <n v="5"/>
    <x v="0"/>
    <x v="9"/>
    <s v="São Paulo"/>
    <s v="Education"/>
    <x v="2"/>
    <x v="6"/>
    <x v="4"/>
    <x v="146"/>
    <n v="1307.52"/>
    <n v="1921.65"/>
    <n v="0.123"/>
    <n v="13"/>
    <n v="21908.731650000002"/>
    <n v="16997.759999999998"/>
    <n v="4910.9716500000031"/>
    <n v="0.22415590863289445"/>
    <x v="7"/>
    <x v="7"/>
    <s v="Q3-2023"/>
    <s v="Americas → Brazil → São Paulo"/>
    <s v="Networking"/>
    <s v="High"/>
    <x v="0"/>
    <x v="7"/>
  </r>
  <r>
    <x v="147"/>
    <s v="Original"/>
    <x v="103"/>
    <d v="2023-09-06T00:00:00"/>
    <n v="25"/>
    <x v="3"/>
    <x v="3"/>
    <s v="Shanghai"/>
    <s v="Small Business"/>
    <x v="3"/>
    <x v="0"/>
    <x v="6"/>
    <x v="147"/>
    <n v="950.77"/>
    <n v="694.78"/>
    <n v="8.4000000000000005E-2"/>
    <n v="14"/>
    <n v="8909.8587200000002"/>
    <n v="13310.779999999999"/>
    <n v="-4400.9212799999987"/>
    <n v="-0.49393839097821279"/>
    <x v="7"/>
    <x v="7"/>
    <s v="Q3-2023"/>
    <s v="Asia → China → Shanghai"/>
    <s v="Components"/>
    <s v="Low"/>
    <x v="0"/>
    <x v="7"/>
  </r>
  <r>
    <x v="148"/>
    <s v="Original"/>
    <x v="104"/>
    <d v="2023-09-07T00:00:00"/>
    <n v="23"/>
    <x v="0"/>
    <x v="4"/>
    <s v="New York"/>
    <s v="Enterprise"/>
    <x v="1"/>
    <x v="10"/>
    <x v="2"/>
    <x v="148"/>
    <n v="590.33000000000004"/>
    <n v="973.04"/>
    <n v="0"/>
    <n v="26"/>
    <n v="25299.040000000001"/>
    <n v="15348.580000000002"/>
    <n v="9950.4599999999991"/>
    <n v="0.39331373838691108"/>
    <x v="7"/>
    <x v="7"/>
    <s v="Q3-2023"/>
    <s v="Americas → USA → New York"/>
    <s v="Phones"/>
    <s v="Medium"/>
    <x v="0"/>
    <x v="7"/>
  </r>
  <r>
    <x v="149"/>
    <s v="Original"/>
    <x v="104"/>
    <d v="2023-08-25T00:00:00"/>
    <n v="10"/>
    <x v="1"/>
    <x v="7"/>
    <s v="Nairobi"/>
    <s v="Small Business"/>
    <x v="3"/>
    <x v="8"/>
    <x v="2"/>
    <x v="149"/>
    <n v="91.85"/>
    <n v="111.29"/>
    <n v="0"/>
    <n v="6"/>
    <n v="667.74"/>
    <n v="551.09999999999991"/>
    <n v="116.6400000000001"/>
    <n v="0.17467876718483258"/>
    <x v="7"/>
    <x v="7"/>
    <s v="Q3-2023"/>
    <s v="Africa → Kenya → Nairobi"/>
    <s v="Phones"/>
    <s v="Low"/>
    <x v="0"/>
    <x v="7"/>
  </r>
  <r>
    <x v="150"/>
    <s v="Original"/>
    <x v="105"/>
    <d v="2023-09-03T00:00:00"/>
    <n v="17"/>
    <x v="1"/>
    <x v="1"/>
    <s v="Durban"/>
    <s v="Enterprise"/>
    <x v="3"/>
    <x v="1"/>
    <x v="2"/>
    <x v="150"/>
    <n v="676.37"/>
    <n v="1276.67"/>
    <n v="6.6000000000000003E-2"/>
    <n v="10"/>
    <n v="11924.0978"/>
    <n v="6763.7"/>
    <n v="5160.3977999999997"/>
    <n v="0.4327705027712872"/>
    <x v="7"/>
    <x v="7"/>
    <s v="Q3-2023"/>
    <s v="Africa → South Africa → Durban"/>
    <s v="Phones"/>
    <s v="Medium"/>
    <x v="0"/>
    <x v="7"/>
  </r>
  <r>
    <x v="151"/>
    <s v="Original"/>
    <x v="106"/>
    <d v="2023-09-07T00:00:00"/>
    <n v="19"/>
    <x v="1"/>
    <x v="1"/>
    <s v="Johannesburg"/>
    <s v="Enterprise"/>
    <x v="3"/>
    <x v="2"/>
    <x v="5"/>
    <x v="151"/>
    <n v="494.61"/>
    <n v="605.23"/>
    <n v="0.20399999999999999"/>
    <n v="18"/>
    <n v="8671.7354400000004"/>
    <n v="8902.98"/>
    <n v="-231.24455999999918"/>
    <n v="-2.6666468505639647E-2"/>
    <x v="7"/>
    <x v="7"/>
    <s v="Q3-2023"/>
    <s v="Africa → South Africa → Johannesburg"/>
    <s v="Monitors"/>
    <s v="Low"/>
    <x v="0"/>
    <x v="7"/>
  </r>
  <r>
    <x v="152"/>
    <s v="Original"/>
    <x v="106"/>
    <d v="2023-09-12T00:00:00"/>
    <n v="24"/>
    <x v="0"/>
    <x v="0"/>
    <s v="Vancouver"/>
    <s v="Enterprise"/>
    <x v="3"/>
    <x v="12"/>
    <x v="1"/>
    <x v="152"/>
    <n v="1183.95"/>
    <n v="1503.53"/>
    <n v="0.24099999999999999"/>
    <n v="16"/>
    <n v="18258.868320000001"/>
    <n v="18943.2"/>
    <n v="-684.33167999999932"/>
    <n v="-3.7479413729623705E-2"/>
    <x v="7"/>
    <x v="7"/>
    <s v="Q3-2023"/>
    <s v="Americas → Canada → Vancouver"/>
    <s v="Printers"/>
    <s v="Medium"/>
    <x v="0"/>
    <x v="7"/>
  </r>
  <r>
    <x v="153"/>
    <s v="Original"/>
    <x v="106"/>
    <d v="2023-08-23T00:00:00"/>
    <n v="4"/>
    <x v="1"/>
    <x v="5"/>
    <s v="Abuja"/>
    <s v="Small Business"/>
    <x v="1"/>
    <x v="13"/>
    <x v="5"/>
    <x v="153"/>
    <n v="790.63"/>
    <n v="1382.31"/>
    <n v="0.10100000000000001"/>
    <n v="7"/>
    <n v="8698.8768300000011"/>
    <n v="5534.41"/>
    <n v="3164.4668300000012"/>
    <n v="0.36377878338116448"/>
    <x v="7"/>
    <x v="7"/>
    <s v="Q3-2023"/>
    <s v="Africa → Nigeria → Abuja"/>
    <s v="Monitors"/>
    <s v="Medium"/>
    <x v="0"/>
    <x v="7"/>
  </r>
  <r>
    <x v="154"/>
    <s v="Original"/>
    <x v="107"/>
    <d v="2023-09-04T00:00:00"/>
    <n v="14"/>
    <x v="0"/>
    <x v="0"/>
    <s v="Montreal"/>
    <s v="Education"/>
    <x v="0"/>
    <x v="7"/>
    <x v="6"/>
    <x v="154"/>
    <n v="178.19"/>
    <n v="284.43"/>
    <n v="8.8999999999999996E-2"/>
    <n v="8"/>
    <n v="2072.9258400000003"/>
    <n v="1425.52"/>
    <n v="647.40584000000035"/>
    <n v="0.31231500302972742"/>
    <x v="7"/>
    <x v="7"/>
    <s v="Q3-2023"/>
    <s v="Americas → Canada → Montreal"/>
    <s v="Components"/>
    <s v="Low"/>
    <x v="0"/>
    <x v="7"/>
  </r>
  <r>
    <x v="155"/>
    <s v="Original"/>
    <x v="108"/>
    <d v="2023-09-22T00:00:00"/>
    <n v="30"/>
    <x v="2"/>
    <x v="6"/>
    <s v="London"/>
    <s v="Consumer"/>
    <x v="0"/>
    <x v="5"/>
    <x v="3"/>
    <x v="155"/>
    <n v="209.81"/>
    <n v="523"/>
    <n v="5.8999999999999997E-2"/>
    <n v="15"/>
    <n v="7382.1450000000004"/>
    <n v="3147.15"/>
    <n v="4234.9950000000008"/>
    <n v="0.57368082041195356"/>
    <x v="7"/>
    <x v="7"/>
    <s v="Q3-2023"/>
    <s v="Europe → United Kingdom → London"/>
    <s v="Accessories"/>
    <s v="Low"/>
    <x v="0"/>
    <x v="7"/>
  </r>
  <r>
    <x v="156"/>
    <s v="Original"/>
    <x v="109"/>
    <d v="2023-09-20T00:00:00"/>
    <n v="27"/>
    <x v="1"/>
    <x v="1"/>
    <s v="Durban"/>
    <s v="Small Business"/>
    <x v="4"/>
    <x v="3"/>
    <x v="1"/>
    <x v="156"/>
    <n v="1399.64"/>
    <n v="3342.11"/>
    <n v="0"/>
    <n v="10"/>
    <n v="33421.1"/>
    <n v="13996.400000000001"/>
    <n v="19424.699999999997"/>
    <n v="0.58121067229983447"/>
    <x v="7"/>
    <x v="7"/>
    <s v="Q3-2023"/>
    <s v="Africa → South Africa → Durban"/>
    <s v="Printers"/>
    <s v="High"/>
    <x v="0"/>
    <x v="7"/>
  </r>
  <r>
    <x v="157"/>
    <s v="Original"/>
    <x v="110"/>
    <d v="2023-09-16T00:00:00"/>
    <n v="22"/>
    <x v="1"/>
    <x v="5"/>
    <s v="Abuja"/>
    <s v="Corporate"/>
    <x v="4"/>
    <x v="9"/>
    <x v="2"/>
    <x v="157"/>
    <n v="1196.83"/>
    <n v="2513.5100000000002"/>
    <n v="8.3000000000000004E-2"/>
    <n v="7"/>
    <n v="16134.22069"/>
    <n v="8377.81"/>
    <n v="7756.4106900000006"/>
    <n v="0.48074281609445374"/>
    <x v="7"/>
    <x v="7"/>
    <s v="Q3-2023"/>
    <s v="Africa → Nigeria → Abuja"/>
    <s v="Phones"/>
    <s v="High"/>
    <x v="0"/>
    <x v="7"/>
  </r>
  <r>
    <x v="158"/>
    <s v="Original"/>
    <x v="111"/>
    <d v="2023-09-10T00:00:00"/>
    <n v="15"/>
    <x v="1"/>
    <x v="1"/>
    <s v="Cape Town"/>
    <s v="Non-Profit"/>
    <x v="2"/>
    <x v="8"/>
    <x v="6"/>
    <x v="158"/>
    <n v="241.14"/>
    <n v="496.52"/>
    <n v="9.2999999999999999E-2"/>
    <n v="10"/>
    <n v="4503.4363999999996"/>
    <n v="2411.3999999999996"/>
    <n v="2092.0364"/>
    <n v="0.46454223268257994"/>
    <x v="7"/>
    <x v="7"/>
    <s v="Q3-2023"/>
    <s v="Africa → South Africa → Cape Town"/>
    <s v="Components"/>
    <s v="Low"/>
    <x v="0"/>
    <x v="7"/>
  </r>
  <r>
    <x v="159"/>
    <s v="Original"/>
    <x v="112"/>
    <d v="2023-09-11T00:00:00"/>
    <n v="15"/>
    <x v="2"/>
    <x v="6"/>
    <s v="London"/>
    <s v="Consumer"/>
    <x v="4"/>
    <x v="8"/>
    <x v="1"/>
    <x v="159"/>
    <n v="943.79"/>
    <n v="1913.76"/>
    <n v="9.0999999999999998E-2"/>
    <n v="9"/>
    <n v="15656.47056"/>
    <n v="8494.11"/>
    <n v="7162.3605599999992"/>
    <n v="0.45746967891338081"/>
    <x v="7"/>
    <x v="7"/>
    <s v="Q3-2023"/>
    <s v="Europe → United Kingdom → London"/>
    <s v="Printers"/>
    <s v="High"/>
    <x v="0"/>
    <x v="7"/>
  </r>
  <r>
    <x v="160"/>
    <s v="Original"/>
    <x v="113"/>
    <d v="2023-09-13T00:00:00"/>
    <n v="15"/>
    <x v="0"/>
    <x v="0"/>
    <s v="Vancouver"/>
    <s v="Small Business"/>
    <x v="4"/>
    <x v="5"/>
    <x v="1"/>
    <x v="160"/>
    <n v="1287.6400000000001"/>
    <n v="2717.15"/>
    <n v="3.2000000000000001E-2"/>
    <n v="7"/>
    <n v="18411.4084"/>
    <n v="9013.4800000000014"/>
    <n v="9397.9283999999989"/>
    <n v="0.51044049405802105"/>
    <x v="7"/>
    <x v="7"/>
    <s v="Q3-2023"/>
    <s v="Americas → Canada → Vancouver"/>
    <s v="Printers"/>
    <s v="High"/>
    <x v="0"/>
    <x v="7"/>
  </r>
  <r>
    <x v="161"/>
    <s v="Original"/>
    <x v="113"/>
    <d v="2023-09-19T00:00:00"/>
    <n v="21"/>
    <x v="2"/>
    <x v="2"/>
    <s v="Lyon"/>
    <s v="Small Business"/>
    <x v="2"/>
    <x v="0"/>
    <x v="1"/>
    <x v="161"/>
    <n v="784.46"/>
    <n v="1843.51"/>
    <n v="0.13800000000000001"/>
    <n v="23"/>
    <n v="36549.429260000004"/>
    <n v="18042.580000000002"/>
    <n v="18506.849260000003"/>
    <n v="0.50635125184441798"/>
    <x v="7"/>
    <x v="7"/>
    <s v="Q3-2023"/>
    <s v="Europe → France → Lyon"/>
    <s v="Printers"/>
    <s v="High"/>
    <x v="0"/>
    <x v="7"/>
  </r>
  <r>
    <x v="162"/>
    <s v="Original"/>
    <x v="114"/>
    <d v="2023-09-01T00:00:00"/>
    <n v="2"/>
    <x v="2"/>
    <x v="8"/>
    <s v="Munich"/>
    <s v="Corporate"/>
    <x v="2"/>
    <x v="8"/>
    <x v="4"/>
    <x v="162"/>
    <n v="44.42"/>
    <n v="41.9"/>
    <n v="0.14399999999999999"/>
    <n v="6"/>
    <n v="215.19839999999996"/>
    <n v="266.52"/>
    <n v="-51.321600000000018"/>
    <n v="-0.23848504449847224"/>
    <x v="7"/>
    <x v="7"/>
    <s v="Q3-2023"/>
    <s v="Europe → Germany → Munich"/>
    <s v="Networking"/>
    <s v="Low"/>
    <x v="0"/>
    <x v="7"/>
  </r>
  <r>
    <x v="163"/>
    <s v="Original"/>
    <x v="114"/>
    <d v="2023-09-03T00:00:00"/>
    <n v="4"/>
    <x v="3"/>
    <x v="10"/>
    <s v="Delhi"/>
    <s v="Small Business"/>
    <x v="4"/>
    <x v="9"/>
    <x v="3"/>
    <x v="163"/>
    <n v="1082.25"/>
    <n v="2433.34"/>
    <n v="0.27"/>
    <n v="4"/>
    <n v="7105.3528000000006"/>
    <n v="4329"/>
    <n v="2776.3528000000006"/>
    <n v="0.3907410199251472"/>
    <x v="7"/>
    <x v="7"/>
    <s v="Q3-2023"/>
    <s v="Asia → India → Delhi"/>
    <s v="Accessories"/>
    <s v="High"/>
    <x v="1"/>
    <x v="6"/>
  </r>
  <r>
    <x v="164"/>
    <s v="Original"/>
    <x v="115"/>
    <d v="2023-10-02T00:00:00"/>
    <n v="24"/>
    <x v="0"/>
    <x v="0"/>
    <s v="Toronto"/>
    <s v="Education"/>
    <x v="2"/>
    <x v="1"/>
    <x v="3"/>
    <x v="164"/>
    <n v="1299.03"/>
    <n v="2451.2199999999998"/>
    <n v="0.20799999999999999"/>
    <n v="8"/>
    <n v="15530.929919999999"/>
    <n v="10392.24"/>
    <n v="5138.6899199999989"/>
    <n v="0.3308681416032041"/>
    <x v="8"/>
    <x v="8"/>
    <s v="Q3-2023"/>
    <s v="Americas → Canada → Toronto"/>
    <s v="Accessories"/>
    <s v="High"/>
    <x v="0"/>
    <x v="8"/>
  </r>
  <r>
    <x v="165"/>
    <s v="Original"/>
    <x v="115"/>
    <d v="2023-09-14T00:00:00"/>
    <n v="6"/>
    <x v="1"/>
    <x v="7"/>
    <s v="Nakuru"/>
    <s v="Education"/>
    <x v="2"/>
    <x v="12"/>
    <x v="3"/>
    <x v="165"/>
    <n v="251.03"/>
    <n v="411.48"/>
    <n v="0.16500000000000001"/>
    <n v="3"/>
    <n v="1030.7574"/>
    <n v="753.09"/>
    <n v="277.66739999999993"/>
    <n v="0.26938191275658069"/>
    <x v="8"/>
    <x v="8"/>
    <s v="Q3-2023"/>
    <s v="Africa → Kenya → Nakuru"/>
    <s v="Accessories"/>
    <s v="Low"/>
    <x v="0"/>
    <x v="8"/>
  </r>
  <r>
    <x v="166"/>
    <s v="Original"/>
    <x v="116"/>
    <d v="2023-09-16T00:00:00"/>
    <n v="2"/>
    <x v="2"/>
    <x v="2"/>
    <s v="Lyon"/>
    <s v="Non-Profit"/>
    <x v="2"/>
    <x v="0"/>
    <x v="1"/>
    <x v="166"/>
    <n v="376.83"/>
    <n v="732.88"/>
    <n v="0.188"/>
    <n v="25"/>
    <n v="14877.464000000002"/>
    <n v="9420.75"/>
    <n v="5456.7140000000018"/>
    <n v="0.36677716040852132"/>
    <x v="8"/>
    <x v="8"/>
    <s v="Q3-2023"/>
    <s v="Europe → France → Lyon"/>
    <s v="Printers"/>
    <s v="Low"/>
    <x v="0"/>
    <x v="8"/>
  </r>
  <r>
    <x v="167"/>
    <s v="Original"/>
    <x v="117"/>
    <d v="2023-10-02T00:00:00"/>
    <n v="15"/>
    <x v="0"/>
    <x v="9"/>
    <s v="Rio de Janeiro"/>
    <s v="Small Business"/>
    <x v="3"/>
    <x v="0"/>
    <x v="0"/>
    <x v="167"/>
    <n v="689.33"/>
    <n v="668.27"/>
    <n v="0.186"/>
    <n v="13"/>
    <n v="7071.6331400000008"/>
    <n v="8961.2900000000009"/>
    <n v="-1889.6568600000001"/>
    <n v="-0.26721647214861033"/>
    <x v="8"/>
    <x v="8"/>
    <s v="Q3-2023"/>
    <s v="Americas → Brazil → Rio de Janeiro"/>
    <s v="Laptops"/>
    <s v="Low"/>
    <x v="0"/>
    <x v="8"/>
  </r>
  <r>
    <x v="168"/>
    <s v="Original"/>
    <x v="118"/>
    <d v="2023-10-08T00:00:00"/>
    <n v="20"/>
    <x v="3"/>
    <x v="10"/>
    <s v="Delhi"/>
    <s v="Small Business"/>
    <x v="2"/>
    <x v="0"/>
    <x v="6"/>
    <x v="168"/>
    <n v="825.64"/>
    <n v="1108.43"/>
    <n v="0.114"/>
    <n v="7"/>
    <n v="6874.4828600000001"/>
    <n v="5779.48"/>
    <n v="1095.0028600000005"/>
    <n v="0.15928512475773349"/>
    <x v="8"/>
    <x v="8"/>
    <s v="Q3-2023"/>
    <s v="Asia → India → Delhi"/>
    <s v="Components"/>
    <s v="Medium"/>
    <x v="1"/>
    <x v="7"/>
  </r>
  <r>
    <x v="169"/>
    <s v="Original"/>
    <x v="119"/>
    <d v="2023-10-08T00:00:00"/>
    <n v="19"/>
    <x v="3"/>
    <x v="10"/>
    <s v="Bengaluru"/>
    <s v="Education"/>
    <x v="2"/>
    <x v="13"/>
    <x v="1"/>
    <x v="169"/>
    <n v="385.32"/>
    <n v="606.76"/>
    <n v="8.5999999999999993E-2"/>
    <n v="8"/>
    <n v="4436.6291200000005"/>
    <n v="3082.56"/>
    <n v="1354.0691200000006"/>
    <n v="0.30520223425842735"/>
    <x v="8"/>
    <x v="8"/>
    <s v="Q3-2023"/>
    <s v="Asia → India → Bengaluru"/>
    <s v="Printers"/>
    <s v="Low"/>
    <x v="1"/>
    <x v="7"/>
  </r>
  <r>
    <x v="170"/>
    <s v="Original"/>
    <x v="120"/>
    <d v="2023-09-28T00:00:00"/>
    <n v="8"/>
    <x v="3"/>
    <x v="10"/>
    <s v="Unknown"/>
    <s v="Corporate"/>
    <x v="5"/>
    <x v="0"/>
    <x v="3"/>
    <x v="170"/>
    <n v="1362.06"/>
    <n v="3398.37"/>
    <n v="0.157"/>
    <n v="11"/>
    <n v="31513.085009999999"/>
    <n v="14982.66"/>
    <n v="16530.425009999999"/>
    <n v="0.52455749745714919"/>
    <x v="8"/>
    <x v="8"/>
    <s v="Q3-2023"/>
    <s v="Asia → India → Unknown"/>
    <s v="Accessories"/>
    <s v="High"/>
    <x v="1"/>
    <x v="7"/>
  </r>
  <r>
    <x v="171"/>
    <s v="Original"/>
    <x v="121"/>
    <d v="2023-10-10T00:00:00"/>
    <n v="19"/>
    <x v="3"/>
    <x v="11"/>
    <s v="Tokyo"/>
    <s v="Education"/>
    <x v="1"/>
    <x v="2"/>
    <x v="6"/>
    <x v="171"/>
    <n v="845.63"/>
    <n v="2062.12"/>
    <n v="0.13400000000000001"/>
    <n v="5"/>
    <n v="8928.9795999999988"/>
    <n v="4228.1499999999996"/>
    <n v="4700.8295999999991"/>
    <n v="0.52646884757133949"/>
    <x v="8"/>
    <x v="8"/>
    <s v="Q3-2023"/>
    <s v="Asia → Japan → Tokyo"/>
    <s v="Components"/>
    <s v="High"/>
    <x v="2"/>
    <x v="6"/>
  </r>
  <r>
    <x v="172"/>
    <s v="Original"/>
    <x v="122"/>
    <d v="2023-10-02T00:00:00"/>
    <n v="7"/>
    <x v="0"/>
    <x v="4"/>
    <s v="New York"/>
    <s v="Education"/>
    <x v="4"/>
    <x v="12"/>
    <x v="3"/>
    <x v="172"/>
    <n v="145.58000000000001"/>
    <n v="228.15"/>
    <n v="0.20399999999999999"/>
    <n v="5"/>
    <n v="908.03700000000003"/>
    <n v="727.90000000000009"/>
    <n v="180.13699999999994"/>
    <n v="0.19838068272548359"/>
    <x v="8"/>
    <x v="8"/>
    <s v="Q3-2023"/>
    <s v="Americas → USA → New York"/>
    <s v="Accessories"/>
    <s v="Low"/>
    <x v="0"/>
    <x v="8"/>
  </r>
  <r>
    <x v="173"/>
    <s v="Original"/>
    <x v="122"/>
    <d v="2023-10-09T00:00:00"/>
    <n v="14"/>
    <x v="0"/>
    <x v="4"/>
    <s v="New York"/>
    <s v="Small Business"/>
    <x v="4"/>
    <x v="13"/>
    <x v="0"/>
    <x v="173"/>
    <n v="1279.56"/>
    <n v="3083.8"/>
    <n v="0.106"/>
    <n v="5"/>
    <n v="13784.586000000001"/>
    <n v="6397.7999999999993"/>
    <n v="7386.7860000000019"/>
    <n v="0.53587289455047848"/>
    <x v="8"/>
    <x v="8"/>
    <s v="Q3-2023"/>
    <s v="Americas → USA → New York"/>
    <s v="Laptops"/>
    <s v="High"/>
    <x v="0"/>
    <x v="8"/>
  </r>
  <r>
    <x v="174"/>
    <s v="Original"/>
    <x v="123"/>
    <d v="2023-10-03T00:00:00"/>
    <n v="3"/>
    <x v="3"/>
    <x v="3"/>
    <s v="Beijing"/>
    <s v="Non-Profit"/>
    <x v="3"/>
    <x v="13"/>
    <x v="0"/>
    <x v="174"/>
    <n v="1019.36"/>
    <n v="972.91"/>
    <n v="0.14699999999999999"/>
    <n v="17"/>
    <n v="14108.16791"/>
    <n v="17329.12"/>
    <n v="-3220.9520899999989"/>
    <n v="-0.22830406545678819"/>
    <x v="8"/>
    <x v="8"/>
    <s v="Q3-2023"/>
    <s v="Asia → China → Beijing"/>
    <s v="Laptops"/>
    <s v="Medium"/>
    <x v="0"/>
    <x v="8"/>
  </r>
  <r>
    <x v="175"/>
    <s v="Original"/>
    <x v="123"/>
    <d v="2023-10-30T00:00:00"/>
    <n v="30"/>
    <x v="3"/>
    <x v="11"/>
    <s v="Tokyo"/>
    <s v="Enterprise"/>
    <x v="1"/>
    <x v="2"/>
    <x v="1"/>
    <x v="175"/>
    <n v="649.13"/>
    <n v="975.43"/>
    <n v="0.157"/>
    <n v="27"/>
    <n v="22201.762229999997"/>
    <n v="17526.509999999998"/>
    <n v="4675.2522299999982"/>
    <n v="0.21058023149543473"/>
    <x v="8"/>
    <x v="8"/>
    <s v="Q3-2023"/>
    <s v="Asia → Japan → Tokyo"/>
    <s v="Printers"/>
    <s v="Medium"/>
    <x v="2"/>
    <x v="6"/>
  </r>
  <r>
    <x v="176"/>
    <s v="Original"/>
    <x v="124"/>
    <d v="2023-10-29T00:00:00"/>
    <n v="25"/>
    <x v="0"/>
    <x v="4"/>
    <s v="San Francisco"/>
    <s v="Small Business"/>
    <x v="0"/>
    <x v="5"/>
    <x v="3"/>
    <x v="176"/>
    <n v="1239.8399999999999"/>
    <n v="1482.75"/>
    <n v="6.7000000000000004E-2"/>
    <n v="4"/>
    <n v="5533.6230000000005"/>
    <n v="4959.3599999999997"/>
    <n v="574.26300000000083"/>
    <n v="0.10377703721413634"/>
    <x v="9"/>
    <x v="9"/>
    <s v="Q4-2023"/>
    <s v="Americas → USA → San Francisco"/>
    <s v="Accessories"/>
    <s v="Medium"/>
    <x v="0"/>
    <x v="9"/>
  </r>
  <r>
    <x v="177"/>
    <s v="Original"/>
    <x v="125"/>
    <d v="2023-10-06T00:00:00"/>
    <n v="1"/>
    <x v="3"/>
    <x v="10"/>
    <s v="Bengaluru"/>
    <s v="Non-Profit"/>
    <x v="1"/>
    <x v="12"/>
    <x v="6"/>
    <x v="177"/>
    <n v="1470.26"/>
    <n v="2562.5500000000002"/>
    <n v="0.17299999999999999"/>
    <n v="9"/>
    <n v="19073.059649999999"/>
    <n v="13232.34"/>
    <n v="5840.7196499999991"/>
    <n v="0.30622877279157462"/>
    <x v="9"/>
    <x v="9"/>
    <s v="Q4-2023"/>
    <s v="Asia → India → Bengaluru"/>
    <s v="Components"/>
    <s v="High"/>
    <x v="1"/>
    <x v="8"/>
  </r>
  <r>
    <x v="178"/>
    <s v="Original"/>
    <x v="125"/>
    <d v="2023-10-31T00:00:00"/>
    <n v="26"/>
    <x v="3"/>
    <x v="3"/>
    <s v="Shanghai"/>
    <s v="Consumer"/>
    <x v="5"/>
    <x v="13"/>
    <x v="1"/>
    <x v="178"/>
    <n v="649.91"/>
    <n v="1360.12"/>
    <n v="0.19400000000000001"/>
    <n v="9"/>
    <n v="9866.3104799999983"/>
    <n v="5849.19"/>
    <n v="4017.1204799999987"/>
    <n v="0.40715528749506769"/>
    <x v="9"/>
    <x v="9"/>
    <s v="Q4-2023"/>
    <s v="Asia → China → Shanghai"/>
    <s v="Printers"/>
    <s v="Medium"/>
    <x v="0"/>
    <x v="9"/>
  </r>
  <r>
    <x v="179"/>
    <s v="Original"/>
    <x v="126"/>
    <d v="2023-10-23T00:00:00"/>
    <n v="16"/>
    <x v="3"/>
    <x v="10"/>
    <s v="Hyderabad"/>
    <s v="Consumer"/>
    <x v="3"/>
    <x v="6"/>
    <x v="5"/>
    <x v="179"/>
    <n v="906.81"/>
    <n v="1395.56"/>
    <n v="0.185"/>
    <n v="6"/>
    <n v="6824.2884000000004"/>
    <n v="5440.86"/>
    <n v="1383.4284000000007"/>
    <n v="0.20272126834498974"/>
    <x v="9"/>
    <x v="9"/>
    <s v="Q4-2023"/>
    <s v="Asia → India → Hyderabad"/>
    <s v="Monitors"/>
    <s v="Medium"/>
    <x v="1"/>
    <x v="8"/>
  </r>
  <r>
    <x v="180"/>
    <s v="Original"/>
    <x v="127"/>
    <d v="2023-10-26T00:00:00"/>
    <n v="17"/>
    <x v="3"/>
    <x v="3"/>
    <s v="Shanghai"/>
    <s v="Consumer"/>
    <x v="4"/>
    <x v="11"/>
    <x v="6"/>
    <x v="180"/>
    <n v="1132.03"/>
    <n v="2137.21"/>
    <n v="0.3"/>
    <n v="35"/>
    <n v="52361.645000000004"/>
    <n v="39621.049999999996"/>
    <n v="12740.595000000008"/>
    <n v="0.24331922727026639"/>
    <x v="9"/>
    <x v="9"/>
    <s v="Q4-2023"/>
    <s v="Asia → China → Shanghai"/>
    <s v="Components"/>
    <s v="High"/>
    <x v="0"/>
    <x v="9"/>
  </r>
  <r>
    <x v="181"/>
    <s v="Original"/>
    <x v="127"/>
    <d v="2023-10-11T00:00:00"/>
    <n v="2"/>
    <x v="1"/>
    <x v="5"/>
    <s v="Port Harcourt"/>
    <s v="Education"/>
    <x v="4"/>
    <x v="10"/>
    <x v="4"/>
    <x v="181"/>
    <n v="391.16"/>
    <n v="902.47"/>
    <n v="4.0000000000000001E-3"/>
    <n v="12"/>
    <n v="10786.32144"/>
    <n v="4693.92"/>
    <n v="6092.4014399999996"/>
    <n v="0.56482661618139207"/>
    <x v="9"/>
    <x v="9"/>
    <s v="Q4-2023"/>
    <s v="Africa → Nigeria → Port Harcourt"/>
    <s v="Networking"/>
    <s v="Medium"/>
    <x v="0"/>
    <x v="9"/>
  </r>
  <r>
    <x v="182"/>
    <s v="Original"/>
    <x v="128"/>
    <d v="2023-10-13T00:00:00"/>
    <n v="2"/>
    <x v="0"/>
    <x v="9"/>
    <s v="Brasília"/>
    <s v="Consumer"/>
    <x v="0"/>
    <x v="15"/>
    <x v="3"/>
    <x v="182"/>
    <n v="715.94"/>
    <n v="550.07000000000005"/>
    <n v="0.14000000000000001"/>
    <n v="16"/>
    <n v="7568.9632000000001"/>
    <n v="11455.04"/>
    <n v="-3886.0768000000007"/>
    <n v="-0.51342260456491595"/>
    <x v="9"/>
    <x v="9"/>
    <s v="Q4-2023"/>
    <s v="Americas → Brazil → Brasília"/>
    <s v="Accessories"/>
    <s v="Low"/>
    <x v="0"/>
    <x v="9"/>
  </r>
  <r>
    <x v="183"/>
    <s v="Original"/>
    <x v="129"/>
    <d v="2023-10-29T00:00:00"/>
    <n v="17"/>
    <x v="3"/>
    <x v="11"/>
    <s v="Nagoya"/>
    <s v="Non-Profit"/>
    <x v="2"/>
    <x v="4"/>
    <x v="2"/>
    <x v="183"/>
    <n v="1102.19"/>
    <n v="1711.16"/>
    <n v="0.151"/>
    <n v="10"/>
    <n v="14527.748400000002"/>
    <n v="11021.900000000001"/>
    <n v="3505.8484000000008"/>
    <n v="0.24132083675127525"/>
    <x v="9"/>
    <x v="9"/>
    <s v="Q4-2023"/>
    <s v="Asia → Japan → Nagoya"/>
    <s v="Phones"/>
    <s v="High"/>
    <x v="2"/>
    <x v="7"/>
  </r>
  <r>
    <x v="184"/>
    <s v="Original"/>
    <x v="130"/>
    <d v="2023-11-13T00:00:00"/>
    <n v="29"/>
    <x v="3"/>
    <x v="3"/>
    <s v="Shenzhen"/>
    <s v="Non-Profit"/>
    <x v="0"/>
    <x v="13"/>
    <x v="1"/>
    <x v="184"/>
    <n v="986.44"/>
    <n v="790.61"/>
    <n v="7.1999999999999995E-2"/>
    <n v="6"/>
    <n v="4402.1164799999997"/>
    <n v="5918.64"/>
    <n v="-1516.5235200000006"/>
    <n v="-0.34449872621271499"/>
    <x v="9"/>
    <x v="9"/>
    <s v="Q4-2023"/>
    <s v="Asia → China → Shenzhen"/>
    <s v="Printers"/>
    <s v="Low"/>
    <x v="0"/>
    <x v="9"/>
  </r>
  <r>
    <x v="185"/>
    <s v="Original"/>
    <x v="131"/>
    <d v="2023-10-20T00:00:00"/>
    <n v="2"/>
    <x v="1"/>
    <x v="7"/>
    <s v="Kisumu"/>
    <s v="Consumer"/>
    <x v="3"/>
    <x v="13"/>
    <x v="2"/>
    <x v="185"/>
    <n v="774.12"/>
    <n v="908.3"/>
    <n v="0"/>
    <n v="30"/>
    <n v="27249"/>
    <n v="23223.599999999999"/>
    <n v="4025.4000000000015"/>
    <n v="0.14772652207420461"/>
    <x v="9"/>
    <x v="9"/>
    <s v="Q4-2023"/>
    <s v="Africa → Kenya → Kisumu"/>
    <s v="Phones"/>
    <s v="Medium"/>
    <x v="0"/>
    <x v="9"/>
  </r>
  <r>
    <x v="186"/>
    <s v="Original"/>
    <x v="132"/>
    <d v="2023-11-09T00:00:00"/>
    <n v="19"/>
    <x v="2"/>
    <x v="6"/>
    <s v="London"/>
    <s v="Non-Profit"/>
    <x v="2"/>
    <x v="1"/>
    <x v="3"/>
    <x v="186"/>
    <n v="1142.48"/>
    <n v="2105.5300000000002"/>
    <n v="0.20699999999999999"/>
    <n v="14"/>
    <n v="23375.594060000003"/>
    <n v="15994.720000000001"/>
    <n v="7380.8740600000019"/>
    <n v="0.31575129346680658"/>
    <x v="9"/>
    <x v="9"/>
    <s v="Q4-2023"/>
    <s v="Europe → United Kingdom → London"/>
    <s v="Accessories"/>
    <s v="High"/>
    <x v="0"/>
    <x v="9"/>
  </r>
  <r>
    <x v="187"/>
    <s v="Original"/>
    <x v="132"/>
    <d v="2023-10-27T00:00:00"/>
    <n v="6"/>
    <x v="2"/>
    <x v="6"/>
    <s v="Manchester"/>
    <s v="Enterprise"/>
    <x v="0"/>
    <x v="13"/>
    <x v="5"/>
    <x v="187"/>
    <n v="384.19"/>
    <n v="278.35000000000002"/>
    <n v="5.6000000000000001E-2"/>
    <n v="10"/>
    <n v="2627.6239999999998"/>
    <n v="3841.9"/>
    <n v="-1214.2760000000003"/>
    <n v="-0.46211938998882657"/>
    <x v="9"/>
    <x v="9"/>
    <s v="Q4-2023"/>
    <s v="Europe → United Kingdom → Manchester"/>
    <s v="Monitors"/>
    <s v="Low"/>
    <x v="0"/>
    <x v="9"/>
  </r>
  <r>
    <x v="188"/>
    <s v="Original"/>
    <x v="133"/>
    <d v="2023-11-16T00:00:00"/>
    <n v="25"/>
    <x v="0"/>
    <x v="0"/>
    <s v="Toronto"/>
    <s v="Small Business"/>
    <x v="4"/>
    <x v="12"/>
    <x v="0"/>
    <x v="188"/>
    <n v="1373.31"/>
    <n v="3154.14"/>
    <n v="0.2"/>
    <n v="11"/>
    <n v="27756.432000000001"/>
    <n v="15106.41"/>
    <n v="12650.022000000001"/>
    <n v="0.45575101295440279"/>
    <x v="9"/>
    <x v="9"/>
    <s v="Q4-2023"/>
    <s v="Americas → Canada → Toronto"/>
    <s v="Laptops"/>
    <s v="High"/>
    <x v="0"/>
    <x v="9"/>
  </r>
  <r>
    <x v="189"/>
    <s v="Original"/>
    <x v="134"/>
    <d v="2023-11-24T00:00:00"/>
    <n v="30"/>
    <x v="2"/>
    <x v="2"/>
    <s v="Paris"/>
    <s v="Enterprise"/>
    <x v="0"/>
    <x v="11"/>
    <x v="2"/>
    <x v="189"/>
    <n v="287.85000000000002"/>
    <n v="602.91999999999996"/>
    <n v="0.222"/>
    <n v="11"/>
    <n v="5159.7893599999998"/>
    <n v="3166.3500000000004"/>
    <n v="1993.4393599999994"/>
    <n v="0.38634122847216373"/>
    <x v="9"/>
    <x v="9"/>
    <s v="Q4-2023"/>
    <s v="Europe → France → Paris"/>
    <s v="Phones"/>
    <s v="Low"/>
    <x v="0"/>
    <x v="9"/>
  </r>
  <r>
    <x v="190"/>
    <s v="Original"/>
    <x v="134"/>
    <d v="2023-10-28T00:00:00"/>
    <n v="3"/>
    <x v="0"/>
    <x v="9"/>
    <s v="Brasília"/>
    <s v="Corporate"/>
    <x v="0"/>
    <x v="9"/>
    <x v="3"/>
    <x v="190"/>
    <n v="509.31"/>
    <n v="1145.9000000000001"/>
    <n v="5.7000000000000002E-2"/>
    <n v="8"/>
    <n v="8644.6696000000011"/>
    <n v="4074.48"/>
    <n v="4570.1896000000015"/>
    <n v="0.52867140231709964"/>
    <x v="9"/>
    <x v="9"/>
    <s v="Q4-2023"/>
    <s v="Americas → Brazil → Brasília"/>
    <s v="Accessories"/>
    <s v="Medium"/>
    <x v="0"/>
    <x v="9"/>
  </r>
  <r>
    <x v="191"/>
    <s v="Original"/>
    <x v="135"/>
    <d v="2023-11-05T00:00:00"/>
    <n v="10"/>
    <x v="1"/>
    <x v="1"/>
    <s v="Cape Town"/>
    <s v="Non-Profit"/>
    <x v="1"/>
    <x v="12"/>
    <x v="0"/>
    <x v="191"/>
    <n v="20.38"/>
    <n v="42.56"/>
    <n v="7.1999999999999995E-2"/>
    <n v="11"/>
    <n v="434.45248000000004"/>
    <n v="224.17999999999998"/>
    <n v="210.27248000000006"/>
    <n v="0.48399419885921713"/>
    <x v="9"/>
    <x v="9"/>
    <s v="Q4-2023"/>
    <s v="Africa → South Africa → Cape Town"/>
    <s v="Laptops"/>
    <s v="Low"/>
    <x v="0"/>
    <x v="9"/>
  </r>
  <r>
    <x v="192"/>
    <s v="Original"/>
    <x v="136"/>
    <d v="2023-11-14T00:00:00"/>
    <n v="15"/>
    <x v="3"/>
    <x v="10"/>
    <s v="Bengaluru"/>
    <s v="Corporate"/>
    <x v="1"/>
    <x v="7"/>
    <x v="0"/>
    <x v="192"/>
    <n v="953.46"/>
    <n v="2066.75"/>
    <n v="0.13800000000000001"/>
    <n v="5"/>
    <n v="8907.6924999999992"/>
    <n v="4767.3"/>
    <n v="4140.392499999999"/>
    <n v="0.46481089238318446"/>
    <x v="9"/>
    <x v="9"/>
    <s v="Q4-2023"/>
    <s v="Asia → India → Bengaluru"/>
    <s v="Laptops"/>
    <s v="High"/>
    <x v="1"/>
    <x v="8"/>
  </r>
  <r>
    <x v="193"/>
    <s v="Original"/>
    <x v="137"/>
    <d v="2023-11-02T00:00:00"/>
    <n v="2"/>
    <x v="1"/>
    <x v="7"/>
    <s v="Kisumu"/>
    <s v="Education"/>
    <x v="3"/>
    <x v="5"/>
    <x v="3"/>
    <x v="193"/>
    <n v="867.89"/>
    <n v="1349.94"/>
    <n v="0.184"/>
    <n v="10"/>
    <n v="11015.510400000003"/>
    <n v="8678.9"/>
    <n v="2336.6104000000032"/>
    <n v="0.21212003031652557"/>
    <x v="9"/>
    <x v="9"/>
    <s v="Q4-2023"/>
    <s v="Africa → Kenya → Kisumu"/>
    <s v="Accessories"/>
    <s v="Medium"/>
    <x v="0"/>
    <x v="9"/>
  </r>
  <r>
    <x v="194"/>
    <s v="Original"/>
    <x v="138"/>
    <d v="2023-11-28T00:00:00"/>
    <n v="18"/>
    <x v="0"/>
    <x v="9"/>
    <s v="Brasília"/>
    <s v="Education"/>
    <x v="4"/>
    <x v="9"/>
    <x v="3"/>
    <x v="194"/>
    <n v="388.51"/>
    <n v="776.46"/>
    <n v="0.157"/>
    <n v="12"/>
    <n v="7854.6693599999999"/>
    <n v="4662.12"/>
    <n v="3192.54936"/>
    <n v="0.40645241876864946"/>
    <x v="10"/>
    <x v="10"/>
    <s v="Q4-2023"/>
    <s v="Americas → Brazil → Brasília"/>
    <s v="Accessories"/>
    <s v="Low"/>
    <x v="0"/>
    <x v="10"/>
  </r>
  <r>
    <x v="195"/>
    <s v="Original"/>
    <x v="139"/>
    <d v="2023-11-30T00:00:00"/>
    <n v="16"/>
    <x v="0"/>
    <x v="9"/>
    <s v="São Paulo"/>
    <s v="Enterprise"/>
    <x v="2"/>
    <x v="10"/>
    <x v="4"/>
    <x v="195"/>
    <n v="1017.92"/>
    <n v="1175.25"/>
    <n v="7.4999999999999997E-2"/>
    <n v="15"/>
    <n v="16306.59375"/>
    <n v="15268.8"/>
    <n v="1037.7937500000007"/>
    <n v="6.3642583234159542E-2"/>
    <x v="10"/>
    <x v="10"/>
    <s v="Q4-2023"/>
    <s v="Americas → Brazil → São Paulo"/>
    <s v="Networking"/>
    <s v="Medium"/>
    <x v="0"/>
    <x v="10"/>
  </r>
  <r>
    <x v="196"/>
    <s v="Original"/>
    <x v="140"/>
    <d v="2023-12-06T00:00:00"/>
    <n v="21"/>
    <x v="2"/>
    <x v="6"/>
    <s v="Manchester"/>
    <s v="Education"/>
    <x v="2"/>
    <x v="4"/>
    <x v="3"/>
    <x v="196"/>
    <n v="1184.99"/>
    <n v="1154.3399999999999"/>
    <n v="2.8000000000000001E-2"/>
    <n v="5"/>
    <n v="5610.0923999999995"/>
    <n v="5924.95"/>
    <n v="-314.85760000000028"/>
    <n v="-5.6123424990290764E-2"/>
    <x v="10"/>
    <x v="10"/>
    <s v="Q4-2023"/>
    <s v="Europe → United Kingdom → Manchester"/>
    <s v="Accessories"/>
    <s v="Medium"/>
    <x v="0"/>
    <x v="10"/>
  </r>
  <r>
    <x v="197"/>
    <s v="Original"/>
    <x v="141"/>
    <d v="2023-12-13T00:00:00"/>
    <n v="24"/>
    <x v="2"/>
    <x v="2"/>
    <s v="Lyon"/>
    <s v="Non-Profit"/>
    <x v="2"/>
    <x v="4"/>
    <x v="5"/>
    <x v="197"/>
    <n v="1297.42"/>
    <n v="2742.97"/>
    <n v="6.9000000000000006E-2"/>
    <n v="9"/>
    <n v="22983.34563"/>
    <n v="11676.78"/>
    <n v="11306.565629999999"/>
    <n v="0.49194602961727291"/>
    <x v="10"/>
    <x v="10"/>
    <s v="Q4-2023"/>
    <s v="Europe → France → Lyon"/>
    <s v="Monitors"/>
    <s v="High"/>
    <x v="0"/>
    <x v="10"/>
  </r>
  <r>
    <x v="198"/>
    <s v="Original"/>
    <x v="141"/>
    <d v="2023-12-12T00:00:00"/>
    <n v="23"/>
    <x v="3"/>
    <x v="10"/>
    <s v="Delhi"/>
    <s v="Small Business"/>
    <x v="2"/>
    <x v="11"/>
    <x v="4"/>
    <x v="198"/>
    <n v="1349.04"/>
    <n v="2636.6"/>
    <n v="0.114"/>
    <n v="14"/>
    <n v="32704.386400000003"/>
    <n v="18886.559999999998"/>
    <n v="13817.826400000005"/>
    <n v="0.42250682312143928"/>
    <x v="10"/>
    <x v="10"/>
    <s v="Q4-2023"/>
    <s v="Asia → India → Delhi"/>
    <s v="Networking"/>
    <s v="High"/>
    <x v="1"/>
    <x v="9"/>
  </r>
  <r>
    <x v="199"/>
    <s v="Original"/>
    <x v="141"/>
    <d v="2023-12-19T00:00:00"/>
    <n v="30"/>
    <x v="3"/>
    <x v="11"/>
    <s v="Nagoya"/>
    <s v="Consumer"/>
    <x v="3"/>
    <x v="15"/>
    <x v="2"/>
    <x v="199"/>
    <n v="807.11"/>
    <n v="1853.86"/>
    <n v="0.13900000000000001"/>
    <n v="8"/>
    <n v="12769.38768"/>
    <n v="6456.88"/>
    <n v="6312.5076799999997"/>
    <n v="0.49434693645388639"/>
    <x v="10"/>
    <x v="10"/>
    <s v="Q4-2023"/>
    <s v="Asia → Japan → Nagoya"/>
    <s v="Phones"/>
    <s v="High"/>
    <x v="2"/>
    <x v="8"/>
  </r>
  <r>
    <x v="200"/>
    <s v="Original"/>
    <x v="142"/>
    <d v="2023-12-05T00:00:00"/>
    <n v="15"/>
    <x v="3"/>
    <x v="11"/>
    <s v="Tokyo"/>
    <s v="Enterprise"/>
    <x v="3"/>
    <x v="9"/>
    <x v="4"/>
    <x v="200"/>
    <n v="354.24"/>
    <n v="249.87"/>
    <n v="0"/>
    <n v="6"/>
    <n v="1499.22"/>
    <n v="2125.44"/>
    <n v="-626.22"/>
    <n v="-0.41769720254532355"/>
    <x v="10"/>
    <x v="10"/>
    <s v="Q4-2023"/>
    <s v="Asia → Japan → Tokyo"/>
    <s v="Networking"/>
    <s v="Low"/>
    <x v="2"/>
    <x v="8"/>
  </r>
  <r>
    <x v="201"/>
    <s v="Original"/>
    <x v="143"/>
    <d v="2023-12-07T00:00:00"/>
    <n v="9"/>
    <x v="3"/>
    <x v="10"/>
    <s v="Delhi"/>
    <s v="Enterprise"/>
    <x v="4"/>
    <x v="9"/>
    <x v="2"/>
    <x v="201"/>
    <n v="699.33"/>
    <n v="873.75"/>
    <n v="0.23499999999999999"/>
    <n v="10"/>
    <n v="6684.1875"/>
    <n v="6993.3"/>
    <n v="-309.11250000000018"/>
    <n v="-4.6245336475076469E-2"/>
    <x v="10"/>
    <x v="10"/>
    <s v="Q4-2023"/>
    <s v="Asia → India → Delhi"/>
    <s v="Phones"/>
    <s v="Medium"/>
    <x v="1"/>
    <x v="9"/>
  </r>
  <r>
    <x v="202"/>
    <s v="Original"/>
    <x v="144"/>
    <d v="2023-12-07T00:00:00"/>
    <n v="7"/>
    <x v="1"/>
    <x v="1"/>
    <s v="Durban"/>
    <s v="Small Business"/>
    <x v="4"/>
    <x v="14"/>
    <x v="0"/>
    <x v="202"/>
    <n v="275.56"/>
    <n v="630.72"/>
    <n v="0.107"/>
    <n v="23"/>
    <n v="12954.358080000002"/>
    <n v="6337.88"/>
    <n v="6616.4780800000017"/>
    <n v="0.5107530638831933"/>
    <x v="10"/>
    <x v="10"/>
    <s v="Q4-2023"/>
    <s v="Africa → South Africa → Durban"/>
    <s v="Laptops"/>
    <s v="Low"/>
    <x v="0"/>
    <x v="10"/>
  </r>
  <r>
    <x v="203"/>
    <s v="Original"/>
    <x v="144"/>
    <d v="2023-12-10T00:00:00"/>
    <n v="10"/>
    <x v="2"/>
    <x v="8"/>
    <s v="Munich"/>
    <s v="Small Business"/>
    <x v="2"/>
    <x v="7"/>
    <x v="0"/>
    <x v="203"/>
    <n v="174.74"/>
    <n v="415.96"/>
    <n v="0.125"/>
    <n v="21"/>
    <n v="7643.2649999999994"/>
    <n v="3669.54"/>
    <n v="3973.7249999999995"/>
    <n v="0.51989889137691803"/>
    <x v="10"/>
    <x v="10"/>
    <s v="Q4-2023"/>
    <s v="Europe → Germany → Munich"/>
    <s v="Laptops"/>
    <s v="Low"/>
    <x v="0"/>
    <x v="10"/>
  </r>
  <r>
    <x v="204"/>
    <s v="Original"/>
    <x v="145"/>
    <d v="2023-12-18T00:00:00"/>
    <n v="17"/>
    <x v="3"/>
    <x v="11"/>
    <s v="Nagoya"/>
    <s v="Small Business"/>
    <x v="2"/>
    <x v="8"/>
    <x v="0"/>
    <x v="204"/>
    <n v="1495.79"/>
    <n v="2783.12"/>
    <n v="0.02"/>
    <n v="5"/>
    <n v="13637.287999999999"/>
    <n v="7478.95"/>
    <n v="6158.3379999999988"/>
    <n v="0.45158084217331185"/>
    <x v="11"/>
    <x v="11"/>
    <s v="Q4-2023"/>
    <s v="Asia → Japan → Nagoya"/>
    <s v="Laptops"/>
    <s v="High"/>
    <x v="2"/>
    <x v="9"/>
  </r>
  <r>
    <x v="205"/>
    <s v="Original"/>
    <x v="146"/>
    <d v="2023-12-16T00:00:00"/>
    <n v="14"/>
    <x v="2"/>
    <x v="8"/>
    <s v="Frankfurt"/>
    <s v="Education"/>
    <x v="2"/>
    <x v="8"/>
    <x v="5"/>
    <x v="205"/>
    <n v="879.08"/>
    <n v="1093.3900000000001"/>
    <n v="0.113"/>
    <n v="17"/>
    <n v="16487.22781"/>
    <n v="14944.36"/>
    <n v="1542.8678099999997"/>
    <n v="9.3579577341935186E-2"/>
    <x v="11"/>
    <x v="11"/>
    <s v="Q4-2023"/>
    <s v="Europe → Germany → Frankfurt"/>
    <s v="Monitors"/>
    <s v="Medium"/>
    <x v="0"/>
    <x v="11"/>
  </r>
  <r>
    <x v="206"/>
    <s v="Original"/>
    <x v="147"/>
    <d v="2023-12-26T00:00:00"/>
    <n v="23"/>
    <x v="0"/>
    <x v="9"/>
    <s v="Rio de Janeiro"/>
    <s v="Education"/>
    <x v="3"/>
    <x v="5"/>
    <x v="2"/>
    <x v="206"/>
    <n v="1303.1099999999999"/>
    <n v="1145.67"/>
    <n v="0.184"/>
    <n v="13"/>
    <n v="12153.267360000002"/>
    <n v="16940.43"/>
    <n v="-4787.1626399999986"/>
    <n v="-0.39389922875851208"/>
    <x v="11"/>
    <x v="11"/>
    <s v="Q4-2023"/>
    <s v="Americas → Brazil → Rio de Janeiro"/>
    <s v="Phones"/>
    <s v="Medium"/>
    <x v="0"/>
    <x v="11"/>
  </r>
  <r>
    <x v="207"/>
    <s v="Original"/>
    <x v="148"/>
    <d v="2023-12-12T00:00:00"/>
    <n v="7"/>
    <x v="0"/>
    <x v="9"/>
    <s v="Brasília"/>
    <s v="Corporate"/>
    <x v="2"/>
    <x v="7"/>
    <x v="2"/>
    <x v="207"/>
    <n v="307.43"/>
    <n v="495.19"/>
    <n v="0"/>
    <n v="42"/>
    <n v="20797.98"/>
    <n v="12912.06"/>
    <n v="7885.92"/>
    <n v="0.37916759223732305"/>
    <x v="11"/>
    <x v="11"/>
    <s v="Q4-2023"/>
    <s v="Americas → Brazil → Brasília"/>
    <s v="Phones"/>
    <s v="Low"/>
    <x v="0"/>
    <x v="11"/>
  </r>
  <r>
    <x v="208"/>
    <s v="Original"/>
    <x v="149"/>
    <d v="2023-12-31T00:00:00"/>
    <n v="25"/>
    <x v="3"/>
    <x v="11"/>
    <s v="Osaka"/>
    <s v="Consumer"/>
    <x v="3"/>
    <x v="9"/>
    <x v="1"/>
    <x v="208"/>
    <n v="663.03"/>
    <n v="813.51"/>
    <n v="0.10199999999999999"/>
    <n v="15"/>
    <n v="10957.9797"/>
    <n v="9945.4499999999989"/>
    <n v="1012.529700000001"/>
    <n v="9.2401129379715952E-2"/>
    <x v="11"/>
    <x v="11"/>
    <s v="Q4-2023"/>
    <s v="Asia → Japan → Osaka"/>
    <s v="Printers"/>
    <s v="Low"/>
    <x v="2"/>
    <x v="9"/>
  </r>
  <r>
    <x v="209"/>
    <s v="Original"/>
    <x v="150"/>
    <d v="2023-12-14T00:00:00"/>
    <n v="7"/>
    <x v="3"/>
    <x v="11"/>
    <s v="Tokyo"/>
    <s v="Non-Profit"/>
    <x v="4"/>
    <x v="4"/>
    <x v="1"/>
    <x v="209"/>
    <n v="1097.5899999999999"/>
    <n v="845.55"/>
    <n v="0.184"/>
    <n v="6"/>
    <n v="4139.8127999999997"/>
    <n v="6585.5399999999991"/>
    <n v="-2445.7271999999994"/>
    <n v="-0.59078207594314402"/>
    <x v="11"/>
    <x v="11"/>
    <s v="Q4-2023"/>
    <s v="Asia → Japan → Tokyo"/>
    <s v="Printers"/>
    <s v="Medium"/>
    <x v="2"/>
    <x v="9"/>
  </r>
  <r>
    <x v="210"/>
    <s v="Original"/>
    <x v="150"/>
    <d v="2024-01-02T00:00:00"/>
    <n v="26"/>
    <x v="2"/>
    <x v="8"/>
    <s v="Frankfurt"/>
    <s v="Enterprise"/>
    <x v="0"/>
    <x v="14"/>
    <x v="6"/>
    <x v="210"/>
    <n v="1071.99"/>
    <n v="2397.3000000000002"/>
    <n v="6.2E-2"/>
    <n v="18"/>
    <n v="40476.013200000001"/>
    <n v="19295.82"/>
    <n v="21180.193200000002"/>
    <n v="0.52327765324476183"/>
    <x v="11"/>
    <x v="11"/>
    <s v="Q4-2023"/>
    <s v="Europe → Germany → Frankfurt"/>
    <s v="Components"/>
    <s v="High"/>
    <x v="0"/>
    <x v="11"/>
  </r>
  <r>
    <x v="211"/>
    <s v="Original"/>
    <x v="151"/>
    <d v="2023-12-19T00:00:00"/>
    <n v="3"/>
    <x v="3"/>
    <x v="3"/>
    <s v="Beijing"/>
    <s v="Education"/>
    <x v="3"/>
    <x v="1"/>
    <x v="3"/>
    <x v="211"/>
    <n v="1415.05"/>
    <n v="1972.38"/>
    <n v="0"/>
    <n v="12"/>
    <n v="23668.560000000001"/>
    <n v="16980.599999999999"/>
    <n v="6687.9600000000028"/>
    <n v="0.28256725377462771"/>
    <x v="11"/>
    <x v="11"/>
    <s v="Q4-2023"/>
    <s v="Asia → China → Beijing"/>
    <s v="Accessories"/>
    <s v="High"/>
    <x v="0"/>
    <x v="11"/>
  </r>
  <r>
    <x v="212"/>
    <s v="Original"/>
    <x v="152"/>
    <d v="2024-01-14T00:00:00"/>
    <n v="27"/>
    <x v="3"/>
    <x v="10"/>
    <s v="Mumbai"/>
    <s v="Consumer"/>
    <x v="0"/>
    <x v="2"/>
    <x v="4"/>
    <x v="212"/>
    <n v="1408.3"/>
    <n v="2193.13"/>
    <n v="7.0999999999999994E-2"/>
    <n v="7"/>
    <n v="14261.92439"/>
    <n v="9858.1"/>
    <n v="4403.8243899999998"/>
    <n v="0.30878191957656281"/>
    <x v="11"/>
    <x v="11"/>
    <s v="Q4-2023"/>
    <s v="Asia → India → Mumbai"/>
    <s v="Networking"/>
    <s v="High"/>
    <x v="1"/>
    <x v="10"/>
  </r>
  <r>
    <x v="213"/>
    <s v="Original"/>
    <x v="153"/>
    <d v="2023-12-20T00:00:00"/>
    <n v="1"/>
    <x v="0"/>
    <x v="9"/>
    <s v="Rio de Janeiro"/>
    <s v="Consumer"/>
    <x v="0"/>
    <x v="13"/>
    <x v="2"/>
    <x v="213"/>
    <n v="1080.43"/>
    <n v="2529.15"/>
    <n v="0.14699999999999999"/>
    <n v="10"/>
    <n v="21573.6495"/>
    <n v="10804.300000000001"/>
    <n v="10769.349499999998"/>
    <n v="0.49918997247081437"/>
    <x v="11"/>
    <x v="11"/>
    <s v="Q4-2023"/>
    <s v="Americas → Brazil → Rio de Janeiro"/>
    <s v="Phones"/>
    <s v="High"/>
    <x v="0"/>
    <x v="11"/>
  </r>
  <r>
    <x v="214"/>
    <s v="Original"/>
    <x v="153"/>
    <d v="2024-01-01T00:00:00"/>
    <n v="13"/>
    <x v="0"/>
    <x v="0"/>
    <s v="Toronto"/>
    <s v="Enterprise"/>
    <x v="3"/>
    <x v="10"/>
    <x v="5"/>
    <x v="214"/>
    <n v="856.1"/>
    <n v="901.48"/>
    <n v="5.6000000000000001E-2"/>
    <n v="17"/>
    <n v="14466.95104"/>
    <n v="14553.7"/>
    <n v="-86.748960000000807"/>
    <n v="-5.9963540182134192E-3"/>
    <x v="11"/>
    <x v="11"/>
    <s v="Q4-2023"/>
    <s v="Americas → Canada → Toronto"/>
    <s v="Monitors"/>
    <s v="Medium"/>
    <x v="0"/>
    <x v="11"/>
  </r>
  <r>
    <x v="215"/>
    <s v="Original"/>
    <x v="154"/>
    <d v="2024-01-14T00:00:00"/>
    <n v="25"/>
    <x v="3"/>
    <x v="10"/>
    <s v="Mumbai"/>
    <s v="Non-Profit"/>
    <x v="4"/>
    <x v="9"/>
    <x v="5"/>
    <x v="215"/>
    <n v="1085.6099999999999"/>
    <n v="1246.4100000000001"/>
    <n v="0.113"/>
    <n v="7"/>
    <n v="7738.9596900000006"/>
    <n v="7599.2699999999995"/>
    <n v="139.68969000000106"/>
    <n v="1.8050189637310417E-2"/>
    <x v="11"/>
    <x v="11"/>
    <s v="Q4-2023"/>
    <s v="Asia → India → Mumbai"/>
    <s v="Monitors"/>
    <s v="Medium"/>
    <x v="1"/>
    <x v="10"/>
  </r>
  <r>
    <x v="216"/>
    <s v="Original"/>
    <x v="155"/>
    <d v="2024-01-06T00:00:00"/>
    <n v="16"/>
    <x v="1"/>
    <x v="5"/>
    <s v="Unknown"/>
    <s v="Corporate"/>
    <x v="4"/>
    <x v="10"/>
    <x v="6"/>
    <x v="216"/>
    <n v="932.61"/>
    <n v="1982.98"/>
    <n v="0.14399999999999999"/>
    <n v="16"/>
    <n v="27158.894079999998"/>
    <n v="14921.76"/>
    <n v="12237.134079999998"/>
    <n v="0.45057556629345635"/>
    <x v="11"/>
    <x v="11"/>
    <s v="Q4-2023"/>
    <s v="Africa → Nigeria → Unknown"/>
    <s v="Components"/>
    <s v="High"/>
    <x v="0"/>
    <x v="11"/>
  </r>
  <r>
    <x v="217"/>
    <s v="Original"/>
    <x v="156"/>
    <d v="2023-12-23T00:00:00"/>
    <n v="1"/>
    <x v="1"/>
    <x v="1"/>
    <s v="Cape Town"/>
    <s v="Non-Profit"/>
    <x v="4"/>
    <x v="2"/>
    <x v="6"/>
    <x v="217"/>
    <n v="1186.18"/>
    <n v="1285.0899999999999"/>
    <n v="7.0000000000000007E-2"/>
    <n v="11"/>
    <n v="13146.470699999998"/>
    <n v="13047.980000000001"/>
    <n v="98.49069999999665"/>
    <n v="7.4917977796121861E-3"/>
    <x v="11"/>
    <x v="11"/>
    <s v="Q4-2023"/>
    <s v="Africa → South Africa → Cape Town"/>
    <s v="Components"/>
    <s v="Medium"/>
    <x v="0"/>
    <x v="11"/>
  </r>
  <r>
    <x v="218"/>
    <s v="Original"/>
    <x v="156"/>
    <d v="2024-01-16T00:00:00"/>
    <n v="25"/>
    <x v="3"/>
    <x v="10"/>
    <s v="Hyderabad"/>
    <s v="Small Business"/>
    <x v="3"/>
    <x v="1"/>
    <x v="6"/>
    <x v="218"/>
    <n v="1346.81"/>
    <n v="978.09"/>
    <n v="0.159"/>
    <n v="17"/>
    <n v="13983.752729999998"/>
    <n v="22895.77"/>
    <n v="-8912.0172700000021"/>
    <n v="-0.6373122753293996"/>
    <x v="11"/>
    <x v="11"/>
    <s v="Q4-2023"/>
    <s v="Asia → India → Hyderabad"/>
    <s v="Components"/>
    <s v="Medium"/>
    <x v="1"/>
    <x v="10"/>
  </r>
  <r>
    <x v="219"/>
    <s v="Original"/>
    <x v="157"/>
    <d v="2024-01-01T00:00:00"/>
    <n v="8"/>
    <x v="0"/>
    <x v="9"/>
    <s v="São Paulo"/>
    <s v="Education"/>
    <x v="2"/>
    <x v="11"/>
    <x v="2"/>
    <x v="219"/>
    <n v="526.49"/>
    <n v="496.2"/>
    <n v="0"/>
    <n v="14"/>
    <n v="6946.8"/>
    <n v="7370.8600000000006"/>
    <n v="-424.0600000000004"/>
    <n v="-6.1043933897621985E-2"/>
    <x v="11"/>
    <x v="11"/>
    <s v="Q4-2023"/>
    <s v="Americas → Brazil → São Paulo"/>
    <s v="Phones"/>
    <s v="Low"/>
    <x v="0"/>
    <x v="11"/>
  </r>
  <r>
    <x v="220"/>
    <s v="Original"/>
    <x v="157"/>
    <d v="2024-01-13T00:00:00"/>
    <n v="20"/>
    <x v="3"/>
    <x v="11"/>
    <s v="Nagoya"/>
    <s v="Education"/>
    <x v="2"/>
    <x v="0"/>
    <x v="0"/>
    <x v="220"/>
    <n v="625.37"/>
    <n v="1319.04"/>
    <n v="7.3999999999999996E-2"/>
    <n v="8"/>
    <n v="9771.4483199999995"/>
    <n v="5002.96"/>
    <n v="4768.4883199999995"/>
    <n v="0.48800220436513547"/>
    <x v="11"/>
    <x v="11"/>
    <s v="Q4-2023"/>
    <s v="Asia → Japan → Nagoya"/>
    <s v="Laptops"/>
    <s v="Medium"/>
    <x v="2"/>
    <x v="9"/>
  </r>
  <r>
    <x v="221"/>
    <s v="Original"/>
    <x v="158"/>
    <d v="2024-01-03T00:00:00"/>
    <n v="8"/>
    <x v="2"/>
    <x v="2"/>
    <s v="Lyon"/>
    <s v="Small Business"/>
    <x v="3"/>
    <x v="3"/>
    <x v="0"/>
    <x v="221"/>
    <n v="492.75"/>
    <n v="731.29"/>
    <n v="5.8000000000000003E-2"/>
    <n v="6"/>
    <n v="4133.25108"/>
    <n v="2956.5"/>
    <n v="1176.75108"/>
    <n v="0.28470350753528384"/>
    <x v="11"/>
    <x v="11"/>
    <s v="Q4-2023"/>
    <s v="Europe → France → Lyon"/>
    <s v="Laptops"/>
    <s v="Low"/>
    <x v="0"/>
    <x v="11"/>
  </r>
  <r>
    <x v="222"/>
    <s v="Original"/>
    <x v="159"/>
    <d v="2024-01-01T00:00:00"/>
    <n v="4"/>
    <x v="1"/>
    <x v="1"/>
    <s v="Cape Town"/>
    <s v="Education"/>
    <x v="0"/>
    <x v="1"/>
    <x v="1"/>
    <x v="222"/>
    <n v="1141.8"/>
    <n v="2318.7399999999998"/>
    <n v="0.107"/>
    <n v="32"/>
    <n v="66260.314239999992"/>
    <n v="36537.599999999999"/>
    <n v="29722.714239999994"/>
    <n v="0.44857490612468304"/>
    <x v="11"/>
    <x v="11"/>
    <s v="Q4-2023"/>
    <s v="Africa → South Africa → Cape Town"/>
    <s v="Printers"/>
    <s v="High"/>
    <x v="0"/>
    <x v="11"/>
  </r>
  <r>
    <x v="223"/>
    <s v="Original"/>
    <x v="160"/>
    <d v="2024-01-20T00:00:00"/>
    <n v="22"/>
    <x v="1"/>
    <x v="7"/>
    <s v="Kisumu"/>
    <s v="Corporate"/>
    <x v="2"/>
    <x v="9"/>
    <x v="2"/>
    <x v="223"/>
    <n v="1395.49"/>
    <n v="1679.42"/>
    <n v="0.20300000000000001"/>
    <n v="12"/>
    <n v="16061.972879999999"/>
    <n v="16745.88"/>
    <n v="-683.90712000000167"/>
    <n v="-4.2579272490964493E-2"/>
    <x v="11"/>
    <x v="11"/>
    <s v="Q4-2023"/>
    <s v="Africa → Kenya → Kisumu"/>
    <s v="Phones"/>
    <s v="High"/>
    <x v="0"/>
    <x v="11"/>
  </r>
  <r>
    <x v="224"/>
    <s v="Original"/>
    <x v="161"/>
    <d v="2024-01-08T00:00:00"/>
    <n v="9"/>
    <x v="2"/>
    <x v="2"/>
    <s v="Marseille"/>
    <s v="Consumer"/>
    <x v="4"/>
    <x v="9"/>
    <x v="3"/>
    <x v="224"/>
    <n v="861.1"/>
    <n v="1224.72"/>
    <n v="0.17399999999999999"/>
    <n v="24"/>
    <n v="24278.849280000002"/>
    <n v="20666.400000000001"/>
    <n v="3612.4492800000007"/>
    <n v="0.14878997098827909"/>
    <x v="11"/>
    <x v="11"/>
    <s v="Q4-2023"/>
    <s v="Europe → France → Marseille"/>
    <s v="Accessories"/>
    <s v="Medium"/>
    <x v="0"/>
    <x v="11"/>
  </r>
  <r>
    <x v="225"/>
    <s v="Original"/>
    <x v="162"/>
    <d v="2024-01-27T00:00:00"/>
    <n v="26"/>
    <x v="2"/>
    <x v="6"/>
    <s v="Manchester"/>
    <s v="Education"/>
    <x v="0"/>
    <x v="2"/>
    <x v="3"/>
    <x v="225"/>
    <n v="657.45"/>
    <n v="1325.96"/>
    <n v="0.16700000000000001"/>
    <n v="21"/>
    <n v="23195.01828"/>
    <n v="13806.45"/>
    <n v="9388.5682799999995"/>
    <n v="0.40476658249048808"/>
    <x v="12"/>
    <x v="12"/>
    <s v="Q1-2024"/>
    <s v="Europe → United Kingdom → Manchester"/>
    <s v="Accessories"/>
    <s v="Medium"/>
    <x v="0"/>
    <x v="12"/>
  </r>
  <r>
    <x v="226"/>
    <s v="Original"/>
    <x v="163"/>
    <d v="2024-01-09T00:00:00"/>
    <n v="7"/>
    <x v="0"/>
    <x v="4"/>
    <s v="Chicago"/>
    <s v="Education"/>
    <x v="4"/>
    <x v="0"/>
    <x v="4"/>
    <x v="226"/>
    <n v="404.77"/>
    <n v="433.88"/>
    <n v="0.215"/>
    <n v="22"/>
    <n v="7493.1076000000012"/>
    <n v="8904.9399999999987"/>
    <n v="-1411.8323999999975"/>
    <n v="-0.18841747314558746"/>
    <x v="12"/>
    <x v="12"/>
    <s v="Q1-2024"/>
    <s v="Americas → USA → Chicago"/>
    <s v="Networking"/>
    <s v="Low"/>
    <x v="0"/>
    <x v="12"/>
  </r>
  <r>
    <x v="227"/>
    <s v="Original"/>
    <x v="163"/>
    <d v="2024-01-15T00:00:00"/>
    <n v="13"/>
    <x v="3"/>
    <x v="11"/>
    <s v="Nagoya"/>
    <s v="Small Business"/>
    <x v="4"/>
    <x v="6"/>
    <x v="4"/>
    <x v="227"/>
    <n v="1219.06"/>
    <n v="2738.69"/>
    <n v="7.5999999999999998E-2"/>
    <n v="16"/>
    <n v="40488.792960000006"/>
    <n v="19504.96"/>
    <n v="20983.832960000007"/>
    <n v="0.51826274447673737"/>
    <x v="12"/>
    <x v="12"/>
    <s v="Q1-2024"/>
    <s v="Asia → Japan → Nagoya"/>
    <s v="Networking"/>
    <s v="High"/>
    <x v="2"/>
    <x v="10"/>
  </r>
  <r>
    <x v="228"/>
    <s v="Original"/>
    <x v="163"/>
    <d v="2024-01-09T00:00:00"/>
    <n v="7"/>
    <x v="0"/>
    <x v="0"/>
    <s v="Vancouver"/>
    <s v="Education"/>
    <x v="2"/>
    <x v="1"/>
    <x v="0"/>
    <x v="228"/>
    <n v="444.41"/>
    <n v="754.24"/>
    <n v="0.20699999999999999"/>
    <n v="32"/>
    <n v="19139.594240000002"/>
    <n v="14221.12"/>
    <n v="4918.4742400000014"/>
    <n v="0.25697902360546598"/>
    <x v="12"/>
    <x v="12"/>
    <s v="Q1-2024"/>
    <s v="Americas → Canada → Vancouver"/>
    <s v="Laptops"/>
    <s v="Low"/>
    <x v="0"/>
    <x v="12"/>
  </r>
  <r>
    <x v="229"/>
    <s v="Original"/>
    <x v="164"/>
    <d v="2024-01-12T00:00:00"/>
    <n v="4"/>
    <x v="3"/>
    <x v="10"/>
    <s v="Bengaluru"/>
    <s v="Corporate"/>
    <x v="2"/>
    <x v="14"/>
    <x v="1"/>
    <x v="229"/>
    <n v="802.32"/>
    <n v="602.34"/>
    <n v="0.12"/>
    <n v="25"/>
    <n v="13251.48"/>
    <n v="20058"/>
    <n v="-6806.52"/>
    <n v="-0.51364224977134632"/>
    <x v="12"/>
    <x v="12"/>
    <s v="Q1-2024"/>
    <s v="Asia → India → Bengaluru"/>
    <s v="Printers"/>
    <s v="Low"/>
    <x v="1"/>
    <x v="11"/>
  </r>
  <r>
    <x v="230"/>
    <s v="Original"/>
    <x v="165"/>
    <d v="2024-01-23T00:00:00"/>
    <n v="13"/>
    <x v="2"/>
    <x v="2"/>
    <s v="Marseille"/>
    <s v="Corporate"/>
    <x v="2"/>
    <x v="1"/>
    <x v="1"/>
    <x v="230"/>
    <n v="720"/>
    <n v="907.59"/>
    <n v="0.154"/>
    <n v="10"/>
    <n v="7678.2113999999992"/>
    <n v="7200"/>
    <n v="478.21139999999923"/>
    <n v="6.2281614179052078E-2"/>
    <x v="12"/>
    <x v="12"/>
    <s v="Q1-2024"/>
    <s v="Europe → France → Marseille"/>
    <s v="Printers"/>
    <s v="Medium"/>
    <x v="0"/>
    <x v="12"/>
  </r>
  <r>
    <x v="231"/>
    <s v="Original"/>
    <x v="166"/>
    <d v="2024-02-02T00:00:00"/>
    <n v="22"/>
    <x v="1"/>
    <x v="1"/>
    <s v="Durban"/>
    <s v="Consumer"/>
    <x v="1"/>
    <x v="10"/>
    <x v="4"/>
    <x v="231"/>
    <n v="1206.2"/>
    <n v="1759.79"/>
    <n v="0"/>
    <n v="6"/>
    <n v="10558.74"/>
    <n v="7237.2000000000007"/>
    <n v="3321.5399999999991"/>
    <n v="0.31457730751964713"/>
    <x v="12"/>
    <x v="12"/>
    <s v="Q1-2024"/>
    <s v="Africa → South Africa → Durban"/>
    <s v="Networking"/>
    <s v="High"/>
    <x v="0"/>
    <x v="12"/>
  </r>
  <r>
    <x v="232"/>
    <s v="Original"/>
    <x v="166"/>
    <d v="2024-02-02T00:00:00"/>
    <n v="22"/>
    <x v="3"/>
    <x v="11"/>
    <s v="Nagoya"/>
    <s v="Small Business"/>
    <x v="1"/>
    <x v="15"/>
    <x v="1"/>
    <x v="232"/>
    <n v="1237.68"/>
    <n v="1432.8"/>
    <n v="6.8000000000000005E-2"/>
    <n v="13"/>
    <n v="17359.804799999998"/>
    <n v="16089.84"/>
    <n v="1269.9647999999979"/>
    <n v="7.315547695559331E-2"/>
    <x v="12"/>
    <x v="12"/>
    <s v="Q1-2024"/>
    <s v="Asia → Japan → Nagoya"/>
    <s v="Printers"/>
    <s v="Medium"/>
    <x v="2"/>
    <x v="10"/>
  </r>
  <r>
    <x v="233"/>
    <s v="Original"/>
    <x v="167"/>
    <d v="2024-01-29T00:00:00"/>
    <n v="17"/>
    <x v="0"/>
    <x v="4"/>
    <s v="Chicago"/>
    <s v="Education"/>
    <x v="0"/>
    <x v="1"/>
    <x v="1"/>
    <x v="233"/>
    <n v="493.76"/>
    <n v="625.04"/>
    <n v="0.25800000000000001"/>
    <n v="10"/>
    <n v="4637.7968000000001"/>
    <n v="4937.6000000000004"/>
    <n v="-299.80320000000029"/>
    <n v="-6.464345311549663E-2"/>
    <x v="12"/>
    <x v="12"/>
    <s v="Q1-2024"/>
    <s v="Americas → USA → Chicago"/>
    <s v="Printers"/>
    <s v="Low"/>
    <x v="0"/>
    <x v="12"/>
  </r>
  <r>
    <x v="234"/>
    <s v="Original"/>
    <x v="167"/>
    <d v="2024-01-29T00:00:00"/>
    <n v="17"/>
    <x v="3"/>
    <x v="10"/>
    <s v="Hyderabad"/>
    <s v="Small Business"/>
    <x v="2"/>
    <x v="0"/>
    <x v="6"/>
    <x v="234"/>
    <n v="310.02"/>
    <n v="619.51"/>
    <n v="4.2000000000000003E-2"/>
    <n v="4"/>
    <n v="2373.9623200000001"/>
    <n v="1240.08"/>
    <n v="1133.8823200000002"/>
    <n v="0.47763282106347843"/>
    <x v="12"/>
    <x v="12"/>
    <s v="Q1-2024"/>
    <s v="Asia → India → Hyderabad"/>
    <s v="Components"/>
    <s v="Low"/>
    <x v="1"/>
    <x v="11"/>
  </r>
  <r>
    <x v="235"/>
    <s v="Original"/>
    <x v="168"/>
    <d v="2024-01-22T00:00:00"/>
    <n v="9"/>
    <x v="3"/>
    <x v="10"/>
    <s v="Mumbai"/>
    <s v="Enterprise"/>
    <x v="4"/>
    <x v="13"/>
    <x v="6"/>
    <x v="235"/>
    <n v="313.60000000000002"/>
    <n v="334.28"/>
    <n v="0.14000000000000001"/>
    <n v="22"/>
    <n v="6324.5775999999996"/>
    <n v="6899.2000000000007"/>
    <n v="-574.62240000000111"/>
    <n v="-9.0855458868905517E-2"/>
    <x v="12"/>
    <x v="12"/>
    <s v="Q1-2024"/>
    <s v="Asia → India → Mumbai"/>
    <s v="Components"/>
    <s v="Low"/>
    <x v="1"/>
    <x v="11"/>
  </r>
  <r>
    <x v="236"/>
    <s v="Original"/>
    <x v="168"/>
    <d v="2024-02-05T00:00:00"/>
    <n v="23"/>
    <x v="2"/>
    <x v="8"/>
    <s v="Frankfurt"/>
    <s v="Education"/>
    <x v="2"/>
    <x v="0"/>
    <x v="0"/>
    <x v="236"/>
    <n v="1017.93"/>
    <n v="1529.14"/>
    <n v="0.155"/>
    <n v="12"/>
    <n v="15505.479600000001"/>
    <n v="12215.16"/>
    <n v="3290.3196000000007"/>
    <n v="0.21220366508366503"/>
    <x v="12"/>
    <x v="12"/>
    <s v="Q1-2024"/>
    <s v="Europe → Germany → Frankfurt"/>
    <s v="Laptops"/>
    <s v="Medium"/>
    <x v="0"/>
    <x v="12"/>
  </r>
  <r>
    <x v="237"/>
    <s v="Original"/>
    <x v="168"/>
    <d v="2024-01-15T00:00:00"/>
    <n v="2"/>
    <x v="0"/>
    <x v="4"/>
    <s v="San Francisco"/>
    <s v="Non-Profit"/>
    <x v="2"/>
    <x v="14"/>
    <x v="6"/>
    <x v="237"/>
    <n v="1061.3699999999999"/>
    <n v="1938.33"/>
    <n v="0.17"/>
    <n v="4"/>
    <n v="6435.2555999999995"/>
    <n v="4245.4799999999996"/>
    <n v="2189.7755999999999"/>
    <n v="0.34027795259600879"/>
    <x v="12"/>
    <x v="12"/>
    <s v="Q1-2024"/>
    <s v="Americas → USA → San Francisco"/>
    <s v="Components"/>
    <s v="High"/>
    <x v="0"/>
    <x v="12"/>
  </r>
  <r>
    <x v="238"/>
    <s v="Original"/>
    <x v="169"/>
    <d v="2024-02-11T00:00:00"/>
    <n v="26"/>
    <x v="2"/>
    <x v="8"/>
    <s v="Frankfurt"/>
    <s v="Non-Profit"/>
    <x v="0"/>
    <x v="14"/>
    <x v="5"/>
    <x v="238"/>
    <n v="504.93"/>
    <n v="819.06"/>
    <n v="0.22600000000000001"/>
    <n v="15"/>
    <n v="9509.2865999999995"/>
    <n v="7573.95"/>
    <n v="1935.3365999999996"/>
    <n v="0.20352069312959814"/>
    <x v="12"/>
    <x v="12"/>
    <s v="Q1-2024"/>
    <s v="Europe → Germany → Frankfurt"/>
    <s v="Monitors"/>
    <s v="Low"/>
    <x v="0"/>
    <x v="12"/>
  </r>
  <r>
    <x v="239"/>
    <s v="Original"/>
    <x v="170"/>
    <d v="2024-02-03T00:00:00"/>
    <n v="16"/>
    <x v="1"/>
    <x v="1"/>
    <s v="Cape Town"/>
    <s v="Non-Profit"/>
    <x v="0"/>
    <x v="9"/>
    <x v="1"/>
    <x v="239"/>
    <n v="666.23"/>
    <n v="1382.91"/>
    <n v="0.17599999999999999"/>
    <n v="13"/>
    <n v="14813.731920000002"/>
    <n v="8660.99"/>
    <n v="6152.7419200000022"/>
    <n v="0.41534043907553048"/>
    <x v="12"/>
    <x v="12"/>
    <s v="Q1-2024"/>
    <s v="Africa → South Africa → Cape Town"/>
    <s v="Printers"/>
    <s v="Medium"/>
    <x v="0"/>
    <x v="12"/>
  </r>
  <r>
    <x v="240"/>
    <s v="Original"/>
    <x v="171"/>
    <d v="2024-02-13T00:00:00"/>
    <n v="24"/>
    <x v="2"/>
    <x v="2"/>
    <s v="Marseille"/>
    <s v="Corporate"/>
    <x v="3"/>
    <x v="4"/>
    <x v="1"/>
    <x v="240"/>
    <n v="643.53"/>
    <n v="1439.01"/>
    <n v="0"/>
    <n v="15"/>
    <n v="21585.15"/>
    <n v="9652.9499999999989"/>
    <n v="11932.200000000003"/>
    <n v="0.55279671440782208"/>
    <x v="12"/>
    <x v="12"/>
    <s v="Q1-2024"/>
    <s v="Europe → France → Marseille"/>
    <s v="Printers"/>
    <s v="Medium"/>
    <x v="0"/>
    <x v="12"/>
  </r>
  <r>
    <x v="241"/>
    <s v="Original"/>
    <x v="172"/>
    <d v="2024-01-25T00:00:00"/>
    <n v="4"/>
    <x v="3"/>
    <x v="10"/>
    <s v="Delhi"/>
    <s v="Consumer"/>
    <x v="2"/>
    <x v="11"/>
    <x v="5"/>
    <x v="241"/>
    <n v="523.70000000000005"/>
    <n v="1109.92"/>
    <n v="0.03"/>
    <n v="11"/>
    <n v="11842.8464"/>
    <n v="5760.7000000000007"/>
    <n v="6082.1463999999996"/>
    <n v="0.51357133197302973"/>
    <x v="12"/>
    <x v="12"/>
    <s v="Q1-2024"/>
    <s v="Asia → India → Delhi"/>
    <s v="Monitors"/>
    <s v="Medium"/>
    <x v="1"/>
    <x v="11"/>
  </r>
  <r>
    <x v="242"/>
    <s v="Original"/>
    <x v="173"/>
    <d v="2024-02-04T00:00:00"/>
    <n v="11"/>
    <x v="2"/>
    <x v="6"/>
    <s v="Manchester"/>
    <s v="Consumer"/>
    <x v="3"/>
    <x v="0"/>
    <x v="0"/>
    <x v="242"/>
    <n v="525.34"/>
    <n v="1233.79"/>
    <n v="0.14299999999999999"/>
    <n v="4"/>
    <n v="4229.4321199999995"/>
    <n v="2101.36"/>
    <n v="2128.0721199999994"/>
    <n v="0.50315788494082736"/>
    <x v="12"/>
    <x v="12"/>
    <s v="Q1-2024"/>
    <s v="Europe → United Kingdom → Manchester"/>
    <s v="Laptops"/>
    <s v="Medium"/>
    <x v="0"/>
    <x v="12"/>
  </r>
  <r>
    <x v="243"/>
    <s v="Original"/>
    <x v="174"/>
    <d v="2024-01-27T00:00:00"/>
    <n v="2"/>
    <x v="0"/>
    <x v="9"/>
    <s v="São Paulo"/>
    <s v="Non-Profit"/>
    <x v="4"/>
    <x v="8"/>
    <x v="0"/>
    <x v="243"/>
    <n v="1410.97"/>
    <n v="1650.75"/>
    <n v="0.13500000000000001"/>
    <n v="6"/>
    <n v="8567.3924999999999"/>
    <n v="8465.82"/>
    <n v="101.57250000000022"/>
    <n v="1.1855707556295596E-2"/>
    <x v="12"/>
    <x v="12"/>
    <s v="Q1-2024"/>
    <s v="Americas → Brazil → São Paulo"/>
    <s v="Laptops"/>
    <s v="High"/>
    <x v="0"/>
    <x v="12"/>
  </r>
  <r>
    <x v="244"/>
    <s v="Original"/>
    <x v="174"/>
    <d v="2024-02-08T00:00:00"/>
    <n v="14"/>
    <x v="3"/>
    <x v="11"/>
    <s v="Osaka"/>
    <s v="Consumer"/>
    <x v="4"/>
    <x v="12"/>
    <x v="4"/>
    <x v="244"/>
    <n v="937.16"/>
    <n v="1069.77"/>
    <n v="3.7999999999999999E-2"/>
    <n v="9"/>
    <n v="9262.0686600000008"/>
    <n v="8434.44"/>
    <n v="827.62866000000031"/>
    <n v="8.9356783066645962E-2"/>
    <x v="12"/>
    <x v="12"/>
    <s v="Q1-2024"/>
    <s v="Asia → Japan → Osaka"/>
    <s v="Networking"/>
    <s v="Medium"/>
    <x v="2"/>
    <x v="10"/>
  </r>
  <r>
    <x v="245"/>
    <s v="Original"/>
    <x v="175"/>
    <d v="2024-02-09T00:00:00"/>
    <n v="12"/>
    <x v="2"/>
    <x v="8"/>
    <s v="Berlin"/>
    <s v="Corporate"/>
    <x v="1"/>
    <x v="6"/>
    <x v="3"/>
    <x v="245"/>
    <n v="644.16999999999996"/>
    <n v="700.12"/>
    <n v="6.0000000000000001E-3"/>
    <n v="23"/>
    <n v="16006.14344"/>
    <n v="14815.91"/>
    <n v="1190.23344"/>
    <n v="7.436103796405813E-2"/>
    <x v="12"/>
    <x v="12"/>
    <s v="Q1-2024"/>
    <s v="Europe → Germany → Berlin"/>
    <s v="Accessories"/>
    <s v="Low"/>
    <x v="0"/>
    <x v="12"/>
  </r>
  <r>
    <x v="246"/>
    <s v="Original"/>
    <x v="175"/>
    <d v="2024-01-30T00:00:00"/>
    <n v="2"/>
    <x v="1"/>
    <x v="1"/>
    <s v="Cape Town"/>
    <s v="Consumer"/>
    <x v="2"/>
    <x v="7"/>
    <x v="3"/>
    <x v="246"/>
    <n v="798.45"/>
    <n v="1592.02"/>
    <n v="6.6000000000000003E-2"/>
    <n v="18"/>
    <n v="26765.040239999998"/>
    <n v="14372.1"/>
    <n v="12392.940239999998"/>
    <n v="0.46302714768494585"/>
    <x v="12"/>
    <x v="12"/>
    <s v="Q1-2024"/>
    <s v="Africa → South Africa → Cape Town"/>
    <s v="Accessories"/>
    <s v="Medium"/>
    <x v="0"/>
    <x v="12"/>
  </r>
  <r>
    <x v="247"/>
    <s v="Original"/>
    <x v="175"/>
    <d v="2024-02-02T00:00:00"/>
    <n v="5"/>
    <x v="1"/>
    <x v="1"/>
    <s v="Cape Town"/>
    <s v="Enterprise"/>
    <x v="2"/>
    <x v="5"/>
    <x v="6"/>
    <x v="247"/>
    <n v="109.75"/>
    <n v="124.25"/>
    <n v="0.12"/>
    <n v="19"/>
    <n v="2077.46"/>
    <n v="2085.25"/>
    <n v="-7.7899999999999636"/>
    <n v="-3.7497713554051405E-3"/>
    <x v="12"/>
    <x v="12"/>
    <s v="Q1-2024"/>
    <s v="Africa → South Africa → Cape Town"/>
    <s v="Components"/>
    <s v="Low"/>
    <x v="0"/>
    <x v="12"/>
  </r>
  <r>
    <x v="248"/>
    <s v="Original"/>
    <x v="176"/>
    <d v="2024-02-21T00:00:00"/>
    <n v="20"/>
    <x v="2"/>
    <x v="2"/>
    <s v="Paris"/>
    <s v="Small Business"/>
    <x v="4"/>
    <x v="1"/>
    <x v="4"/>
    <x v="248"/>
    <n v="656.2"/>
    <n v="1467.17"/>
    <n v="1.7999999999999999E-2"/>
    <n v="5"/>
    <n v="7203.8047000000006"/>
    <n v="3281"/>
    <n v="3922.8047000000006"/>
    <n v="0.54454623124360946"/>
    <x v="13"/>
    <x v="13"/>
    <s v="Q1-2024"/>
    <s v="Europe → France → Paris"/>
    <s v="Networking"/>
    <s v="Medium"/>
    <x v="0"/>
    <x v="13"/>
  </r>
  <r>
    <x v="249"/>
    <s v="Original"/>
    <x v="176"/>
    <d v="2024-02-08T00:00:00"/>
    <n v="7"/>
    <x v="0"/>
    <x v="4"/>
    <s v="Austin"/>
    <s v="Consumer"/>
    <x v="0"/>
    <x v="4"/>
    <x v="1"/>
    <x v="249"/>
    <n v="714.43"/>
    <n v="1595.52"/>
    <n v="0.19400000000000001"/>
    <n v="14"/>
    <n v="18003.847679999999"/>
    <n v="10002.019999999999"/>
    <n v="8001.8276800000003"/>
    <n v="0.44445097638151093"/>
    <x v="13"/>
    <x v="13"/>
    <s v="Q1-2024"/>
    <s v="Americas → USA → Austin"/>
    <s v="Printers"/>
    <s v="Medium"/>
    <x v="0"/>
    <x v="13"/>
  </r>
  <r>
    <x v="250"/>
    <s v="Original"/>
    <x v="177"/>
    <d v="2024-02-21T00:00:00"/>
    <n v="18"/>
    <x v="2"/>
    <x v="8"/>
    <s v="Frankfurt"/>
    <s v="Corporate"/>
    <x v="3"/>
    <x v="4"/>
    <x v="6"/>
    <x v="250"/>
    <n v="39.229999999999997"/>
    <n v="30.09"/>
    <n v="0.17699999999999999"/>
    <n v="13"/>
    <n v="321.93290999999999"/>
    <n v="509.98999999999995"/>
    <n v="-188.05708999999996"/>
    <n v="-0.58414993981199359"/>
    <x v="13"/>
    <x v="13"/>
    <s v="Q1-2024"/>
    <s v="Europe → Germany → Frankfurt"/>
    <s v="Components"/>
    <s v="Low"/>
    <x v="0"/>
    <x v="13"/>
  </r>
  <r>
    <x v="251"/>
    <s v="Original"/>
    <x v="177"/>
    <d v="2024-02-19T00:00:00"/>
    <n v="16"/>
    <x v="3"/>
    <x v="3"/>
    <s v="Shenzhen"/>
    <s v="Small Business"/>
    <x v="1"/>
    <x v="4"/>
    <x v="0"/>
    <x v="251"/>
    <n v="993.75"/>
    <n v="1310.29"/>
    <n v="0.215"/>
    <n v="19"/>
    <n v="19542.975350000001"/>
    <n v="18881.25"/>
    <n v="661.72535000000062"/>
    <n v="3.3860010471742245E-2"/>
    <x v="13"/>
    <x v="13"/>
    <s v="Q1-2024"/>
    <s v="Asia → China → Shenzhen"/>
    <s v="Laptops"/>
    <s v="Medium"/>
    <x v="0"/>
    <x v="13"/>
  </r>
  <r>
    <x v="252"/>
    <s v="Original"/>
    <x v="178"/>
    <d v="2024-02-28T00:00:00"/>
    <n v="22"/>
    <x v="1"/>
    <x v="7"/>
    <s v="Kisumu"/>
    <s v="Non-Profit"/>
    <x v="1"/>
    <x v="10"/>
    <x v="5"/>
    <x v="252"/>
    <n v="834.93"/>
    <n v="1588.53"/>
    <n v="0.126"/>
    <n v="6"/>
    <n v="8330.2513199999994"/>
    <n v="5009.58"/>
    <n v="3320.6713199999995"/>
    <n v="0.39862798761274343"/>
    <x v="13"/>
    <x v="13"/>
    <s v="Q1-2024"/>
    <s v="Africa → Kenya → Kisumu"/>
    <s v="Monitors"/>
    <s v="Medium"/>
    <x v="0"/>
    <x v="13"/>
  </r>
  <r>
    <x v="253"/>
    <s v="Original"/>
    <x v="179"/>
    <d v="2024-02-09T00:00:00"/>
    <n v="1"/>
    <x v="1"/>
    <x v="7"/>
    <s v="Mombasa"/>
    <s v="Corporate"/>
    <x v="2"/>
    <x v="7"/>
    <x v="6"/>
    <x v="253"/>
    <n v="1233.52"/>
    <n v="1543.76"/>
    <n v="0.126"/>
    <n v="13"/>
    <n v="17540.201120000002"/>
    <n v="16035.76"/>
    <n v="1504.4411200000013"/>
    <n v="8.5771030201277493E-2"/>
    <x v="13"/>
    <x v="13"/>
    <s v="Q1-2024"/>
    <s v="Africa → Kenya → Mombasa"/>
    <s v="Components"/>
    <s v="Medium"/>
    <x v="0"/>
    <x v="13"/>
  </r>
  <r>
    <x v="254"/>
    <s v="Original"/>
    <x v="180"/>
    <d v="2024-03-03T00:00:00"/>
    <n v="21"/>
    <x v="1"/>
    <x v="7"/>
    <s v="Kisumu"/>
    <s v="Enterprise"/>
    <x v="1"/>
    <x v="0"/>
    <x v="2"/>
    <x v="254"/>
    <n v="516.86"/>
    <n v="852.54"/>
    <n v="5.0999999999999997E-2"/>
    <n v="14"/>
    <n v="11326.846439999999"/>
    <n v="7236.04"/>
    <n v="4090.8064399999994"/>
    <n v="0.36116022775355994"/>
    <x v="13"/>
    <x v="13"/>
    <s v="Q1-2024"/>
    <s v="Africa → Kenya → Kisumu"/>
    <s v="Phones"/>
    <s v="Medium"/>
    <x v="0"/>
    <x v="13"/>
  </r>
  <r>
    <x v="255"/>
    <s v="Original"/>
    <x v="181"/>
    <d v="2024-02-21T00:00:00"/>
    <n v="7"/>
    <x v="3"/>
    <x v="3"/>
    <s v="Beijing"/>
    <s v="Corporate"/>
    <x v="0"/>
    <x v="9"/>
    <x v="3"/>
    <x v="255"/>
    <n v="65.930000000000007"/>
    <n v="84.9"/>
    <n v="0.25900000000000001"/>
    <n v="23"/>
    <n v="1446.9507000000001"/>
    <n v="1516.39"/>
    <n v="-69.439300000000003"/>
    <n v="-4.7990093926489688E-2"/>
    <x v="13"/>
    <x v="13"/>
    <s v="Q1-2024"/>
    <s v="Asia → China → Beijing"/>
    <s v="Accessories"/>
    <s v="Low"/>
    <x v="0"/>
    <x v="13"/>
  </r>
  <r>
    <x v="256"/>
    <s v="Original"/>
    <x v="182"/>
    <d v="2024-03-04T00:00:00"/>
    <n v="17"/>
    <x v="0"/>
    <x v="0"/>
    <s v="Montreal"/>
    <s v="Non-Profit"/>
    <x v="3"/>
    <x v="2"/>
    <x v="0"/>
    <x v="256"/>
    <n v="1350.98"/>
    <n v="2210.4"/>
    <n v="0.26300000000000001"/>
    <n v="6"/>
    <n v="9774.3888000000006"/>
    <n v="8105.88"/>
    <n v="1668.5088000000005"/>
    <n v="0.17070211080615091"/>
    <x v="13"/>
    <x v="13"/>
    <s v="Q1-2024"/>
    <s v="Americas → Canada → Montreal"/>
    <s v="Laptops"/>
    <s v="High"/>
    <x v="0"/>
    <x v="13"/>
  </r>
  <r>
    <x v="257"/>
    <s v="Original"/>
    <x v="183"/>
    <d v="2024-03-04T00:00:00"/>
    <n v="16"/>
    <x v="3"/>
    <x v="10"/>
    <s v="Delhi"/>
    <s v="Small Business"/>
    <x v="4"/>
    <x v="7"/>
    <x v="2"/>
    <x v="257"/>
    <n v="1231.8"/>
    <n v="2015.99"/>
    <n v="0.26100000000000001"/>
    <n v="6"/>
    <n v="8938.8996600000009"/>
    <n v="7390.7999999999993"/>
    <n v="1548.0996600000017"/>
    <n v="0.17318682599464391"/>
    <x v="13"/>
    <x v="13"/>
    <s v="Q1-2024"/>
    <s v="Asia → India → Delhi"/>
    <s v="Phones"/>
    <s v="High"/>
    <x v="1"/>
    <x v="12"/>
  </r>
  <r>
    <x v="258"/>
    <s v="Original"/>
    <x v="184"/>
    <d v="2024-03-04T00:00:00"/>
    <n v="15"/>
    <x v="1"/>
    <x v="7"/>
    <s v="Kisumu"/>
    <s v="Education"/>
    <x v="2"/>
    <x v="10"/>
    <x v="1"/>
    <x v="258"/>
    <n v="928.68"/>
    <n v="2145.17"/>
    <n v="0.13600000000000001"/>
    <n v="16"/>
    <n v="29654.83008"/>
    <n v="14858.88"/>
    <n v="14795.950080000001"/>
    <n v="0.49893896003062177"/>
    <x v="13"/>
    <x v="13"/>
    <s v="Q1-2024"/>
    <s v="Africa → Kenya → Kisumu"/>
    <s v="Printers"/>
    <s v="High"/>
    <x v="0"/>
    <x v="13"/>
  </r>
  <r>
    <x v="259"/>
    <s v="Original"/>
    <x v="184"/>
    <d v="2024-03-11T00:00:00"/>
    <n v="22"/>
    <x v="0"/>
    <x v="9"/>
    <s v="São Paulo"/>
    <s v="Consumer"/>
    <x v="1"/>
    <x v="1"/>
    <x v="6"/>
    <x v="259"/>
    <n v="80.48"/>
    <n v="65.650000000000006"/>
    <n v="0.17599999999999999"/>
    <n v="13"/>
    <n v="703.2428000000001"/>
    <n v="1046.24"/>
    <n v="-342.99719999999991"/>
    <n v="-0.48773652570634191"/>
    <x v="13"/>
    <x v="13"/>
    <s v="Q1-2024"/>
    <s v="Americas → Brazil → São Paulo"/>
    <s v="Components"/>
    <s v="Low"/>
    <x v="0"/>
    <x v="13"/>
  </r>
  <r>
    <x v="260"/>
    <s v="Original"/>
    <x v="184"/>
    <d v="2024-03-03T00:00:00"/>
    <n v="14"/>
    <x v="0"/>
    <x v="9"/>
    <s v="Unknown"/>
    <s v="Enterprise"/>
    <x v="0"/>
    <x v="1"/>
    <x v="1"/>
    <x v="260"/>
    <n v="624.23"/>
    <n v="1318.37"/>
    <n v="0.21"/>
    <n v="37"/>
    <n v="38535.955099999999"/>
    <n v="23096.510000000002"/>
    <n v="15439.445099999997"/>
    <n v="0.40065038118128793"/>
    <x v="13"/>
    <x v="13"/>
    <s v="Q1-2024"/>
    <s v="Americas → Brazil → Unknown"/>
    <s v="Printers"/>
    <s v="Medium"/>
    <x v="0"/>
    <x v="13"/>
  </r>
  <r>
    <x v="261"/>
    <s v="Original"/>
    <x v="185"/>
    <d v="2024-03-06T00:00:00"/>
    <n v="16"/>
    <x v="3"/>
    <x v="3"/>
    <s v="Beijing"/>
    <s v="Education"/>
    <x v="4"/>
    <x v="5"/>
    <x v="1"/>
    <x v="261"/>
    <n v="1477.84"/>
    <n v="3197.47"/>
    <n v="0.24299999999999999"/>
    <n v="24"/>
    <n v="58091.634960000003"/>
    <n v="35468.159999999996"/>
    <n v="22623.474960000007"/>
    <n v="0.38944462443823091"/>
    <x v="13"/>
    <x v="13"/>
    <s v="Q1-2024"/>
    <s v="Asia → China → Beijing"/>
    <s v="Printers"/>
    <s v="High"/>
    <x v="0"/>
    <x v="13"/>
  </r>
  <r>
    <x v="262"/>
    <s v="Original"/>
    <x v="186"/>
    <d v="2024-02-27T00:00:00"/>
    <n v="7"/>
    <x v="0"/>
    <x v="4"/>
    <s v="New York"/>
    <s v="Enterprise"/>
    <x v="1"/>
    <x v="11"/>
    <x v="4"/>
    <x v="262"/>
    <n v="1407.05"/>
    <n v="2858.93"/>
    <n v="0"/>
    <n v="12"/>
    <n v="34307.159999999996"/>
    <n v="16884.599999999999"/>
    <n v="17422.559999999998"/>
    <n v="0.50784034586366222"/>
    <x v="13"/>
    <x v="13"/>
    <s v="Q1-2024"/>
    <s v="Americas → USA → New York"/>
    <s v="Networking"/>
    <s v="High"/>
    <x v="0"/>
    <x v="13"/>
  </r>
  <r>
    <x v="263"/>
    <s v="Original"/>
    <x v="187"/>
    <d v="2024-03-09T00:00:00"/>
    <n v="13"/>
    <x v="2"/>
    <x v="2"/>
    <s v="Marseille"/>
    <s v="Small Business"/>
    <x v="0"/>
    <x v="14"/>
    <x v="5"/>
    <x v="263"/>
    <n v="322.44"/>
    <n v="395.61"/>
    <n v="0"/>
    <n v="34"/>
    <n v="13450.74"/>
    <n v="10962.96"/>
    <n v="2487.7800000000007"/>
    <n v="0.18495487980586947"/>
    <x v="13"/>
    <x v="13"/>
    <s v="Q1-2024"/>
    <s v="Europe → France → Marseille"/>
    <s v="Monitors"/>
    <s v="Low"/>
    <x v="0"/>
    <x v="13"/>
  </r>
  <r>
    <x v="264"/>
    <s v="Original"/>
    <x v="188"/>
    <d v="2024-03-26T00:00:00"/>
    <n v="28"/>
    <x v="3"/>
    <x v="10"/>
    <s v="Mumbai"/>
    <s v="Education"/>
    <x v="4"/>
    <x v="6"/>
    <x v="0"/>
    <x v="264"/>
    <n v="1035.19"/>
    <n v="2322.6999999999998"/>
    <n v="0.17299999999999999"/>
    <n v="8"/>
    <n v="15366.983199999999"/>
    <n v="8281.52"/>
    <n v="7085.4631999999983"/>
    <n v="0.46108355217047409"/>
    <x v="13"/>
    <x v="13"/>
    <s v="Q1-2024"/>
    <s v="Asia → India → Mumbai"/>
    <s v="Laptops"/>
    <s v="High"/>
    <x v="1"/>
    <x v="12"/>
  </r>
  <r>
    <x v="265"/>
    <s v="Original"/>
    <x v="189"/>
    <d v="2024-03-30T00:00:00"/>
    <n v="30"/>
    <x v="3"/>
    <x v="11"/>
    <s v="Nagoya"/>
    <s v="Small Business"/>
    <x v="2"/>
    <x v="12"/>
    <x v="4"/>
    <x v="265"/>
    <n v="231.11"/>
    <n v="318.17"/>
    <n v="0.20100000000000001"/>
    <n v="60"/>
    <n v="15253.069799999999"/>
    <n v="13866.6"/>
    <n v="1386.4697999999989"/>
    <n v="9.0897754889969692E-2"/>
    <x v="13"/>
    <x v="13"/>
    <s v="Q1-2024"/>
    <s v="Asia → Japan → Nagoya"/>
    <s v="Networking"/>
    <s v="Low"/>
    <x v="2"/>
    <x v="11"/>
  </r>
  <r>
    <x v="266"/>
    <s v="Original"/>
    <x v="190"/>
    <d v="2024-03-08T00:00:00"/>
    <n v="7"/>
    <x v="0"/>
    <x v="9"/>
    <s v="São Paulo"/>
    <s v="Non-Profit"/>
    <x v="2"/>
    <x v="12"/>
    <x v="2"/>
    <x v="266"/>
    <n v="5.34"/>
    <n v="12.69"/>
    <n v="0.13200000000000001"/>
    <n v="10"/>
    <n v="110.14919999999999"/>
    <n v="53.4"/>
    <n v="56.749199999999995"/>
    <n v="0.51520301554618642"/>
    <x v="14"/>
    <x v="14"/>
    <s v="Q1-2024"/>
    <s v="Americas → Brazil → São Paulo"/>
    <s v="Phones"/>
    <s v="Low"/>
    <x v="0"/>
    <x v="14"/>
  </r>
  <r>
    <x v="267"/>
    <s v="Original"/>
    <x v="191"/>
    <d v="2024-03-16T00:00:00"/>
    <n v="14"/>
    <x v="0"/>
    <x v="0"/>
    <s v="Vancouver"/>
    <s v="Non-Profit"/>
    <x v="2"/>
    <x v="5"/>
    <x v="1"/>
    <x v="267"/>
    <n v="248.24"/>
    <n v="464.05"/>
    <n v="0.16900000000000001"/>
    <n v="11"/>
    <n v="4241.88105"/>
    <n v="2730.6400000000003"/>
    <n v="1511.2410499999996"/>
    <n v="0.3562667203975462"/>
    <x v="14"/>
    <x v="14"/>
    <s v="Q1-2024"/>
    <s v="Americas → Canada → Vancouver"/>
    <s v="Printers"/>
    <s v="Low"/>
    <x v="0"/>
    <x v="14"/>
  </r>
  <r>
    <x v="268"/>
    <s v="Original"/>
    <x v="191"/>
    <d v="2024-03-23T00:00:00"/>
    <n v="21"/>
    <x v="0"/>
    <x v="4"/>
    <s v="Chicago"/>
    <s v="Small Business"/>
    <x v="1"/>
    <x v="7"/>
    <x v="6"/>
    <x v="268"/>
    <n v="225.01"/>
    <n v="333.48"/>
    <n v="0.11899999999999999"/>
    <n v="12"/>
    <n v="3525.5505600000001"/>
    <n v="2700.12"/>
    <n v="825.43056000000024"/>
    <n v="0.23412813004729685"/>
    <x v="14"/>
    <x v="14"/>
    <s v="Q1-2024"/>
    <s v="Americas → USA → Chicago"/>
    <s v="Components"/>
    <s v="Low"/>
    <x v="0"/>
    <x v="14"/>
  </r>
  <r>
    <x v="269"/>
    <s v="Original"/>
    <x v="192"/>
    <d v="2024-03-19T00:00:00"/>
    <n v="16"/>
    <x v="3"/>
    <x v="3"/>
    <s v="Beijing"/>
    <s v="Consumer"/>
    <x v="0"/>
    <x v="6"/>
    <x v="2"/>
    <x v="269"/>
    <n v="988.83"/>
    <n v="1206.04"/>
    <n v="6.3E-2"/>
    <n v="34"/>
    <n v="38422.022320000004"/>
    <n v="33620.22"/>
    <n v="4801.8023200000025"/>
    <n v="0.12497526236406606"/>
    <x v="14"/>
    <x v="14"/>
    <s v="Q1-2024"/>
    <s v="Asia → China → Beijing"/>
    <s v="Phones"/>
    <s v="Medium"/>
    <x v="0"/>
    <x v="14"/>
  </r>
  <r>
    <x v="270"/>
    <s v="Original"/>
    <x v="193"/>
    <d v="2024-03-16T00:00:00"/>
    <n v="12"/>
    <x v="1"/>
    <x v="1"/>
    <s v="Johannesburg"/>
    <s v="Enterprise"/>
    <x v="0"/>
    <x v="3"/>
    <x v="5"/>
    <x v="270"/>
    <n v="441.08"/>
    <n v="1054.29"/>
    <n v="0.23699999999999999"/>
    <n v="6"/>
    <n v="4826.5396199999996"/>
    <n v="2646.48"/>
    <n v="2180.0596199999995"/>
    <n v="0.45168169985932899"/>
    <x v="14"/>
    <x v="14"/>
    <s v="Q1-2024"/>
    <s v="Africa → South Africa → Johannesburg"/>
    <s v="Monitors"/>
    <s v="Medium"/>
    <x v="0"/>
    <x v="14"/>
  </r>
  <r>
    <x v="271"/>
    <s v="Original"/>
    <x v="194"/>
    <d v="2024-03-26T00:00:00"/>
    <n v="20"/>
    <x v="1"/>
    <x v="5"/>
    <s v="Port Harcourt"/>
    <s v="Consumer"/>
    <x v="4"/>
    <x v="12"/>
    <x v="2"/>
    <x v="271"/>
    <n v="65.64"/>
    <n v="151.88"/>
    <n v="0.16700000000000001"/>
    <n v="23"/>
    <n v="2909.8689199999999"/>
    <n v="1509.72"/>
    <n v="1400.1489199999999"/>
    <n v="0.48117250587356353"/>
    <x v="14"/>
    <x v="14"/>
    <s v="Q1-2024"/>
    <s v="Africa → Nigeria → Port Harcourt"/>
    <s v="Phones"/>
    <s v="Low"/>
    <x v="0"/>
    <x v="14"/>
  </r>
  <r>
    <x v="272"/>
    <s v="Original"/>
    <x v="195"/>
    <d v="2024-03-25T00:00:00"/>
    <n v="18"/>
    <x v="2"/>
    <x v="8"/>
    <s v="Munich"/>
    <s v="Corporate"/>
    <x v="1"/>
    <x v="0"/>
    <x v="6"/>
    <x v="272"/>
    <n v="712.84"/>
    <n v="927.51"/>
    <n v="0.24299999999999999"/>
    <n v="27"/>
    <n v="18957.37689"/>
    <n v="19246.68"/>
    <n v="-289.30311000000074"/>
    <n v="-1.5260714163076427E-2"/>
    <x v="14"/>
    <x v="14"/>
    <s v="Q1-2024"/>
    <s v="Europe → Germany → Munich"/>
    <s v="Components"/>
    <s v="Medium"/>
    <x v="0"/>
    <x v="14"/>
  </r>
  <r>
    <x v="273"/>
    <s v="Original"/>
    <x v="195"/>
    <d v="2024-04-03T00:00:00"/>
    <n v="27"/>
    <x v="2"/>
    <x v="8"/>
    <s v="Frankfurt"/>
    <s v="Corporate"/>
    <x v="2"/>
    <x v="3"/>
    <x v="1"/>
    <x v="273"/>
    <n v="738.16"/>
    <n v="956.49"/>
    <n v="0.152"/>
    <n v="5"/>
    <n v="4055.5175999999997"/>
    <n v="3690.7999999999997"/>
    <n v="364.71759999999995"/>
    <n v="8.9931208780847108E-2"/>
    <x v="14"/>
    <x v="14"/>
    <s v="Q1-2024"/>
    <s v="Europe → Germany → Frankfurt"/>
    <s v="Printers"/>
    <s v="Medium"/>
    <x v="0"/>
    <x v="14"/>
  </r>
  <r>
    <x v="274"/>
    <s v="Original"/>
    <x v="196"/>
    <d v="2024-03-26T00:00:00"/>
    <n v="17"/>
    <x v="3"/>
    <x v="3"/>
    <s v="Shenzhen"/>
    <s v="Enterprise"/>
    <x v="1"/>
    <x v="10"/>
    <x v="5"/>
    <x v="274"/>
    <n v="1029.67"/>
    <n v="1118.43"/>
    <n v="0.27200000000000002"/>
    <n v="9"/>
    <n v="7327.9533600000004"/>
    <n v="9267.0300000000007"/>
    <n v="-1939.0766400000002"/>
    <n v="-0.26461367106736061"/>
    <x v="14"/>
    <x v="14"/>
    <s v="Q1-2024"/>
    <s v="Asia → China → Shenzhen"/>
    <s v="Monitors"/>
    <s v="Medium"/>
    <x v="0"/>
    <x v="14"/>
  </r>
  <r>
    <x v="275"/>
    <s v="Original"/>
    <x v="196"/>
    <d v="2024-03-26T00:00:00"/>
    <n v="17"/>
    <x v="0"/>
    <x v="4"/>
    <s v="San Francisco"/>
    <s v="Education"/>
    <x v="2"/>
    <x v="12"/>
    <x v="2"/>
    <x v="275"/>
    <n v="1137.4100000000001"/>
    <n v="1680.93"/>
    <n v="0.254"/>
    <n v="9"/>
    <n v="11285.764020000001"/>
    <n v="10236.69"/>
    <n v="1049.07402"/>
    <n v="9.2955516183121464E-2"/>
    <x v="14"/>
    <x v="14"/>
    <s v="Q1-2024"/>
    <s v="Americas → USA → San Francisco"/>
    <s v="Phones"/>
    <s v="High"/>
    <x v="0"/>
    <x v="14"/>
  </r>
  <r>
    <x v="276"/>
    <s v="Original"/>
    <x v="196"/>
    <d v="2024-03-22T00:00:00"/>
    <n v="13"/>
    <x v="2"/>
    <x v="6"/>
    <s v="Manchester"/>
    <s v="Consumer"/>
    <x v="1"/>
    <x v="14"/>
    <x v="0"/>
    <x v="276"/>
    <n v="985.45"/>
    <n v="1802.44"/>
    <n v="8.9999999999999993E-3"/>
    <n v="19"/>
    <n v="33938.142760000002"/>
    <n v="18723.55"/>
    <n v="15214.592760000003"/>
    <n v="0.44830363486867486"/>
    <x v="14"/>
    <x v="14"/>
    <s v="Q1-2024"/>
    <s v="Europe → United Kingdom → Manchester"/>
    <s v="Laptops"/>
    <s v="High"/>
    <x v="0"/>
    <x v="14"/>
  </r>
  <r>
    <x v="277"/>
    <s v="Original"/>
    <x v="197"/>
    <d v="2024-04-09T00:00:00"/>
    <n v="30"/>
    <x v="2"/>
    <x v="2"/>
    <s v="Lyon"/>
    <s v="Corporate"/>
    <x v="2"/>
    <x v="12"/>
    <x v="6"/>
    <x v="277"/>
    <n v="1176.56"/>
    <n v="1911.89"/>
    <n v="0.11899999999999999"/>
    <n v="20"/>
    <n v="33687.501800000005"/>
    <n v="23531.199999999997"/>
    <n v="10156.301800000008"/>
    <n v="0.30148575160892477"/>
    <x v="14"/>
    <x v="14"/>
    <s v="Q1-2024"/>
    <s v="Europe → France → Lyon"/>
    <s v="Components"/>
    <s v="High"/>
    <x v="0"/>
    <x v="14"/>
  </r>
  <r>
    <x v="278"/>
    <s v="Original"/>
    <x v="198"/>
    <d v="2024-04-06T00:00:00"/>
    <n v="26"/>
    <x v="1"/>
    <x v="7"/>
    <s v="Kisumu"/>
    <s v="Corporate"/>
    <x v="3"/>
    <x v="11"/>
    <x v="6"/>
    <x v="278"/>
    <n v="279.24"/>
    <n v="608.9"/>
    <n v="0.112"/>
    <n v="9"/>
    <n v="4866.3287999999993"/>
    <n v="2513.16"/>
    <n v="2353.1687999999995"/>
    <n v="0.48356140670149533"/>
    <x v="14"/>
    <x v="14"/>
    <s v="Q1-2024"/>
    <s v="Africa → Kenya → Kisumu"/>
    <s v="Components"/>
    <s v="Low"/>
    <x v="0"/>
    <x v="14"/>
  </r>
  <r>
    <x v="279"/>
    <s v="Original"/>
    <x v="198"/>
    <d v="2024-03-29T00:00:00"/>
    <n v="18"/>
    <x v="0"/>
    <x v="4"/>
    <s v="New York"/>
    <s v="Corporate"/>
    <x v="3"/>
    <x v="3"/>
    <x v="5"/>
    <x v="279"/>
    <n v="710.98"/>
    <n v="1481.45"/>
    <n v="0.21099999999999999"/>
    <n v="9"/>
    <n v="10519.776450000001"/>
    <n v="6398.82"/>
    <n v="4120.9564500000015"/>
    <n v="0.39173422264120461"/>
    <x v="14"/>
    <x v="14"/>
    <s v="Q1-2024"/>
    <s v="Americas → USA → New York"/>
    <s v="Monitors"/>
    <s v="Medium"/>
    <x v="0"/>
    <x v="14"/>
  </r>
  <r>
    <x v="280"/>
    <s v="Original"/>
    <x v="199"/>
    <d v="2024-04-06T00:00:00"/>
    <n v="24"/>
    <x v="1"/>
    <x v="5"/>
    <s v="Abuja"/>
    <s v="Consumer"/>
    <x v="0"/>
    <x v="9"/>
    <x v="6"/>
    <x v="280"/>
    <n v="1232.78"/>
    <n v="1731.75"/>
    <n v="9.2999999999999999E-2"/>
    <n v="16"/>
    <n v="25131.155999999999"/>
    <n v="19724.48"/>
    <n v="5406.6759999999995"/>
    <n v="0.21513837246484005"/>
    <x v="14"/>
    <x v="14"/>
    <s v="Q1-2024"/>
    <s v="Africa → Nigeria → Abuja"/>
    <s v="Components"/>
    <s v="High"/>
    <x v="0"/>
    <x v="14"/>
  </r>
  <r>
    <x v="281"/>
    <s v="Original"/>
    <x v="200"/>
    <d v="2024-04-09T00:00:00"/>
    <n v="25"/>
    <x v="0"/>
    <x v="0"/>
    <s v="Vancouver"/>
    <s v="Consumer"/>
    <x v="1"/>
    <x v="7"/>
    <x v="5"/>
    <x v="281"/>
    <n v="648.64"/>
    <n v="815.19"/>
    <n v="0.22500000000000001"/>
    <n v="28"/>
    <n v="17689.623"/>
    <n v="18161.919999999998"/>
    <n v="-472.29699999999866"/>
    <n v="-2.6699099240272032E-2"/>
    <x v="14"/>
    <x v="14"/>
    <s v="Q1-2024"/>
    <s v="Americas → Canada → Vancouver"/>
    <s v="Monitors"/>
    <s v="Low"/>
    <x v="0"/>
    <x v="14"/>
  </r>
  <r>
    <x v="282"/>
    <s v="Original"/>
    <x v="201"/>
    <d v="2024-04-13T00:00:00"/>
    <n v="28"/>
    <x v="2"/>
    <x v="2"/>
    <s v="Paris"/>
    <s v="Small Business"/>
    <x v="1"/>
    <x v="10"/>
    <x v="1"/>
    <x v="282"/>
    <n v="287.61"/>
    <n v="628.54"/>
    <n v="0.13500000000000001"/>
    <n v="21"/>
    <n v="11417.429099999999"/>
    <n v="6039.81"/>
    <n v="5377.619099999999"/>
    <n v="0.47100087531964613"/>
    <x v="14"/>
    <x v="14"/>
    <s v="Q1-2024"/>
    <s v="Europe → France → Paris"/>
    <s v="Printers"/>
    <s v="Low"/>
    <x v="0"/>
    <x v="14"/>
  </r>
  <r>
    <x v="283"/>
    <s v="Original"/>
    <x v="202"/>
    <d v="2024-03-21T00:00:00"/>
    <n v="3"/>
    <x v="2"/>
    <x v="8"/>
    <s v="Munich"/>
    <s v="Small Business"/>
    <x v="1"/>
    <x v="3"/>
    <x v="3"/>
    <x v="283"/>
    <n v="910.63"/>
    <n v="1269.4000000000001"/>
    <n v="6.8000000000000005E-2"/>
    <n v="9"/>
    <n v="10647.727199999999"/>
    <n v="8195.67"/>
    <n v="2452.0571999999993"/>
    <n v="0.23028925834989455"/>
    <x v="14"/>
    <x v="14"/>
    <s v="Q1-2024"/>
    <s v="Europe → Germany → Munich"/>
    <s v="Accessories"/>
    <s v="Medium"/>
    <x v="0"/>
    <x v="14"/>
  </r>
  <r>
    <x v="284"/>
    <s v="Original"/>
    <x v="203"/>
    <d v="2024-03-26T00:00:00"/>
    <n v="3"/>
    <x v="3"/>
    <x v="10"/>
    <s v="Bengaluru"/>
    <s v="Education"/>
    <x v="2"/>
    <x v="6"/>
    <x v="2"/>
    <x v="284"/>
    <n v="382.21"/>
    <n v="571.89"/>
    <n v="0.14799999999999999"/>
    <n v="26"/>
    <n v="12668.50728"/>
    <n v="9937.4599999999991"/>
    <n v="2731.0472800000007"/>
    <n v="0.2155776698578809"/>
    <x v="14"/>
    <x v="14"/>
    <s v="Q1-2024"/>
    <s v="Asia → India → Bengaluru"/>
    <s v="Phones"/>
    <s v="Low"/>
    <x v="1"/>
    <x v="13"/>
  </r>
  <r>
    <x v="285"/>
    <s v="Original"/>
    <x v="204"/>
    <d v="2024-04-05T00:00:00"/>
    <n v="10"/>
    <x v="0"/>
    <x v="4"/>
    <s v="Austin"/>
    <s v="Consumer"/>
    <x v="2"/>
    <x v="13"/>
    <x v="5"/>
    <x v="285"/>
    <n v="5.66"/>
    <n v="4.22"/>
    <n v="0.11899999999999999"/>
    <n v="18"/>
    <n v="66.920760000000001"/>
    <n v="101.88"/>
    <n v="-34.959239999999994"/>
    <n v="-0.52239753403876454"/>
    <x v="14"/>
    <x v="14"/>
    <s v="Q1-2024"/>
    <s v="Americas → USA → Austin"/>
    <s v="Monitors"/>
    <s v="Low"/>
    <x v="0"/>
    <x v="14"/>
  </r>
  <r>
    <x v="286"/>
    <s v="Original"/>
    <x v="205"/>
    <d v="2024-04-11T00:00:00"/>
    <n v="15"/>
    <x v="0"/>
    <x v="4"/>
    <s v="San Francisco"/>
    <s v="Small Business"/>
    <x v="2"/>
    <x v="5"/>
    <x v="4"/>
    <x v="286"/>
    <n v="1338.35"/>
    <n v="2247.14"/>
    <n v="0.115"/>
    <n v="40"/>
    <n v="79548.755999999994"/>
    <n v="53534"/>
    <n v="26014.755999999994"/>
    <n v="0.32702907384246205"/>
    <x v="14"/>
    <x v="14"/>
    <s v="Q1-2024"/>
    <s v="Americas → USA → San Francisco"/>
    <s v="Networking"/>
    <s v="High"/>
    <x v="0"/>
    <x v="14"/>
  </r>
  <r>
    <x v="287"/>
    <s v="Original"/>
    <x v="206"/>
    <d v="2024-04-24T00:00:00"/>
    <n v="25"/>
    <x v="0"/>
    <x v="4"/>
    <s v="Austin"/>
    <s v="Non-Profit"/>
    <x v="1"/>
    <x v="6"/>
    <x v="0"/>
    <x v="287"/>
    <n v="160.82"/>
    <n v="258.52"/>
    <n v="0.13"/>
    <n v="17"/>
    <n v="3823.5108"/>
    <n v="2733.94"/>
    <n v="1089.5708"/>
    <n v="0.28496605789631874"/>
    <x v="14"/>
    <x v="14"/>
    <s v="Q1-2024"/>
    <s v="Americas → USA → Austin"/>
    <s v="Laptops"/>
    <s v="Low"/>
    <x v="0"/>
    <x v="14"/>
  </r>
  <r>
    <x v="288"/>
    <s v="Original"/>
    <x v="207"/>
    <d v="2024-04-17T00:00:00"/>
    <n v="17"/>
    <x v="2"/>
    <x v="8"/>
    <s v="Frankfurt"/>
    <s v="Education"/>
    <x v="2"/>
    <x v="4"/>
    <x v="5"/>
    <x v="288"/>
    <n v="1025.51"/>
    <n v="1436.54"/>
    <n v="0.13900000000000001"/>
    <n v="28"/>
    <n v="34632.106319999999"/>
    <n v="28714.28"/>
    <n v="5917.8263200000001"/>
    <n v="0.17087688127656453"/>
    <x v="14"/>
    <x v="14"/>
    <s v="Q1-2024"/>
    <s v="Europe → Germany → Frankfurt"/>
    <s v="Monitors"/>
    <s v="Medium"/>
    <x v="0"/>
    <x v="14"/>
  </r>
  <r>
    <x v="289"/>
    <s v="Original"/>
    <x v="208"/>
    <d v="2024-04-07T00:00:00"/>
    <n v="4"/>
    <x v="0"/>
    <x v="9"/>
    <s v="Brasília"/>
    <s v="Non-Profit"/>
    <x v="2"/>
    <x v="8"/>
    <x v="2"/>
    <x v="289"/>
    <n v="1023.27"/>
    <n v="1343.64"/>
    <n v="0.13300000000000001"/>
    <n v="7"/>
    <n v="8154.5511600000009"/>
    <n v="7162.8899999999994"/>
    <n v="991.66116000000147"/>
    <n v="0.12160830688810116"/>
    <x v="15"/>
    <x v="15"/>
    <s v="Q2-2024"/>
    <s v="Americas → Brazil → Brasília"/>
    <s v="Phones"/>
    <s v="Medium"/>
    <x v="0"/>
    <x v="15"/>
  </r>
  <r>
    <x v="290"/>
    <s v="Original"/>
    <x v="208"/>
    <d v="2024-04-21T00:00:00"/>
    <n v="18"/>
    <x v="0"/>
    <x v="9"/>
    <s v="Brasília"/>
    <s v="Small Business"/>
    <x v="0"/>
    <x v="0"/>
    <x v="4"/>
    <x v="290"/>
    <n v="1176.69"/>
    <n v="2201.54"/>
    <n v="0.17"/>
    <n v="27"/>
    <n v="49336.511399999996"/>
    <n v="31770.63"/>
    <n v="17565.881399999995"/>
    <n v="0.35604222717701106"/>
    <x v="15"/>
    <x v="15"/>
    <s v="Q2-2024"/>
    <s v="Americas → Brazil → Brasília"/>
    <s v="Networking"/>
    <s v="High"/>
    <x v="0"/>
    <x v="15"/>
  </r>
  <r>
    <x v="291"/>
    <s v="Original"/>
    <x v="209"/>
    <d v="2024-04-24T00:00:00"/>
    <n v="20"/>
    <x v="2"/>
    <x v="8"/>
    <s v="Frankfurt"/>
    <s v="Non-Profit"/>
    <x v="2"/>
    <x v="5"/>
    <x v="3"/>
    <x v="291"/>
    <n v="683.42"/>
    <n v="951.51"/>
    <n v="0"/>
    <n v="14"/>
    <n v="13321.14"/>
    <n v="9567.8799999999992"/>
    <n v="3753.26"/>
    <n v="0.28175216235247136"/>
    <x v="15"/>
    <x v="15"/>
    <s v="Q2-2024"/>
    <s v="Europe → Germany → Frankfurt"/>
    <s v="Accessories"/>
    <s v="Medium"/>
    <x v="0"/>
    <x v="15"/>
  </r>
  <r>
    <x v="292"/>
    <s v="Original"/>
    <x v="210"/>
    <d v="2024-04-09T00:00:00"/>
    <n v="4"/>
    <x v="1"/>
    <x v="5"/>
    <s v="Lagos"/>
    <s v="Non-Profit"/>
    <x v="2"/>
    <x v="10"/>
    <x v="6"/>
    <x v="292"/>
    <n v="395.07"/>
    <n v="970.27"/>
    <n v="0.123"/>
    <n v="38"/>
    <n v="32335.21802"/>
    <n v="15012.66"/>
    <n v="17322.55802"/>
    <n v="0.53571799049833657"/>
    <x v="15"/>
    <x v="15"/>
    <s v="Q2-2024"/>
    <s v="Africa → Nigeria → Lagos"/>
    <s v="Components"/>
    <s v="Medium"/>
    <x v="0"/>
    <x v="15"/>
  </r>
  <r>
    <x v="293"/>
    <s v="Original"/>
    <x v="211"/>
    <d v="2024-04-25T00:00:00"/>
    <n v="19"/>
    <x v="3"/>
    <x v="3"/>
    <s v="Shanghai"/>
    <s v="Corporate"/>
    <x v="3"/>
    <x v="10"/>
    <x v="6"/>
    <x v="293"/>
    <n v="1366.48"/>
    <n v="1678.14"/>
    <n v="0.154"/>
    <n v="10"/>
    <n v="14197.064400000001"/>
    <n v="13664.8"/>
    <n v="532.26440000000184"/>
    <n v="3.7491159087790132E-2"/>
    <x v="15"/>
    <x v="15"/>
    <s v="Q2-2024"/>
    <s v="Asia → China → Shanghai"/>
    <s v="Components"/>
    <s v="High"/>
    <x v="0"/>
    <x v="15"/>
  </r>
  <r>
    <x v="294"/>
    <s v="Original"/>
    <x v="212"/>
    <d v="2024-04-18T00:00:00"/>
    <n v="9"/>
    <x v="2"/>
    <x v="2"/>
    <s v="Lyon"/>
    <s v="Consumer"/>
    <x v="1"/>
    <x v="14"/>
    <x v="1"/>
    <x v="294"/>
    <n v="1288.8499999999999"/>
    <n v="2751.84"/>
    <n v="0.158"/>
    <n v="7"/>
    <n v="16219.34496"/>
    <n v="9021.9499999999989"/>
    <n v="7197.3949600000014"/>
    <n v="0.44375373837538756"/>
    <x v="15"/>
    <x v="15"/>
    <s v="Q2-2024"/>
    <s v="Europe → France → Lyon"/>
    <s v="Printers"/>
    <s v="High"/>
    <x v="0"/>
    <x v="15"/>
  </r>
  <r>
    <x v="295"/>
    <s v="Original"/>
    <x v="213"/>
    <d v="2024-05-07T00:00:00"/>
    <n v="25"/>
    <x v="1"/>
    <x v="1"/>
    <s v="Johannesburg"/>
    <s v="Education"/>
    <x v="0"/>
    <x v="1"/>
    <x v="0"/>
    <x v="295"/>
    <n v="1376.51"/>
    <n v="1455.91"/>
    <n v="0.185"/>
    <n v="17"/>
    <n v="20171.63305"/>
    <n v="23400.67"/>
    <n v="-3229.0369499999979"/>
    <n v="-0.1600781127634085"/>
    <x v="15"/>
    <x v="15"/>
    <s v="Q2-2024"/>
    <s v="Africa → South Africa → Johannesburg"/>
    <s v="Laptops"/>
    <s v="Medium"/>
    <x v="0"/>
    <x v="15"/>
  </r>
  <r>
    <x v="296"/>
    <s v="Original"/>
    <x v="214"/>
    <d v="2024-04-27T00:00:00"/>
    <n v="11"/>
    <x v="1"/>
    <x v="7"/>
    <s v="Nakuru"/>
    <s v="Enterprise"/>
    <x v="1"/>
    <x v="2"/>
    <x v="1"/>
    <x v="296"/>
    <n v="401.3"/>
    <n v="826.47"/>
    <n v="0.22500000000000001"/>
    <n v="13"/>
    <n v="8326.6852500000005"/>
    <n v="5216.9000000000005"/>
    <n v="3109.7852499999999"/>
    <n v="0.37347217489696755"/>
    <x v="15"/>
    <x v="15"/>
    <s v="Q2-2024"/>
    <s v="Africa → Kenya → Nakuru"/>
    <s v="Printers"/>
    <s v="Medium"/>
    <x v="0"/>
    <x v="15"/>
  </r>
  <r>
    <x v="297"/>
    <s v="Original"/>
    <x v="215"/>
    <d v="2024-05-08T00:00:00"/>
    <n v="20"/>
    <x v="2"/>
    <x v="6"/>
    <s v="London"/>
    <s v="Non-Profit"/>
    <x v="5"/>
    <x v="2"/>
    <x v="0"/>
    <x v="297"/>
    <n v="645.33000000000004"/>
    <n v="1321.85"/>
    <n v="0"/>
    <n v="10"/>
    <n v="13218.5"/>
    <n v="6453.3"/>
    <n v="6765.2"/>
    <n v="0.51179785906116426"/>
    <x v="15"/>
    <x v="15"/>
    <s v="Q2-2024"/>
    <s v="Europe → United Kingdom → London"/>
    <s v="Laptops"/>
    <s v="Medium"/>
    <x v="0"/>
    <x v="15"/>
  </r>
  <r>
    <x v="298"/>
    <s v="Original"/>
    <x v="216"/>
    <d v="2024-05-06T00:00:00"/>
    <n v="17"/>
    <x v="1"/>
    <x v="5"/>
    <s v="Port Harcourt"/>
    <s v="Non-Profit"/>
    <x v="1"/>
    <x v="1"/>
    <x v="1"/>
    <x v="298"/>
    <n v="865.33"/>
    <n v="1395.64"/>
    <n v="0.17499999999999999"/>
    <n v="13"/>
    <n v="14968.239"/>
    <n v="11249.29"/>
    <n v="3718.9489999999987"/>
    <n v="0.24845601409758347"/>
    <x v="15"/>
    <x v="15"/>
    <s v="Q2-2024"/>
    <s v="Africa → Nigeria → Port Harcourt"/>
    <s v="Printers"/>
    <s v="Medium"/>
    <x v="0"/>
    <x v="15"/>
  </r>
  <r>
    <x v="299"/>
    <s v="Original"/>
    <x v="217"/>
    <d v="2024-05-19T00:00:00"/>
    <n v="28"/>
    <x v="1"/>
    <x v="5"/>
    <s v="Lagos"/>
    <s v="Corporate"/>
    <x v="0"/>
    <x v="1"/>
    <x v="3"/>
    <x v="299"/>
    <n v="187.22"/>
    <n v="309.47000000000003"/>
    <n v="0"/>
    <n v="5"/>
    <n v="1547.3500000000001"/>
    <n v="936.1"/>
    <n v="611.25000000000011"/>
    <n v="0.39503021294471197"/>
    <x v="15"/>
    <x v="15"/>
    <s v="Q2-2024"/>
    <s v="Africa → Nigeria → Lagos"/>
    <s v="Accessories"/>
    <s v="Low"/>
    <x v="0"/>
    <x v="15"/>
  </r>
  <r>
    <x v="300"/>
    <s v="Original"/>
    <x v="218"/>
    <d v="2024-05-10T00:00:00"/>
    <n v="16"/>
    <x v="1"/>
    <x v="7"/>
    <s v="Kisumu"/>
    <s v="Non-Profit"/>
    <x v="1"/>
    <x v="8"/>
    <x v="5"/>
    <x v="300"/>
    <n v="513.30999999999995"/>
    <n v="1186.26"/>
    <n v="9.4E-2"/>
    <n v="15"/>
    <n v="16121.273400000002"/>
    <n v="7699.65"/>
    <n v="8421.6234000000022"/>
    <n v="0.52239194702820446"/>
    <x v="15"/>
    <x v="15"/>
    <s v="Q2-2024"/>
    <s v="Africa → Kenya → Kisumu"/>
    <s v="Monitors"/>
    <s v="Medium"/>
    <x v="0"/>
    <x v="15"/>
  </r>
  <r>
    <x v="301"/>
    <s v="Original"/>
    <x v="219"/>
    <d v="2024-05-03T00:00:00"/>
    <n v="7"/>
    <x v="2"/>
    <x v="6"/>
    <s v="London"/>
    <s v="Non-Profit"/>
    <x v="0"/>
    <x v="8"/>
    <x v="2"/>
    <x v="301"/>
    <n v="1232.77"/>
    <n v="891.73"/>
    <n v="0.16700000000000001"/>
    <n v="10"/>
    <n v="7428.1108999999988"/>
    <n v="12327.7"/>
    <n v="-4899.589100000002"/>
    <n v="-0.65960096260813805"/>
    <x v="15"/>
    <x v="15"/>
    <s v="Q2-2024"/>
    <s v="Europe → United Kingdom → London"/>
    <s v="Phones"/>
    <s v="Medium"/>
    <x v="0"/>
    <x v="15"/>
  </r>
  <r>
    <x v="302"/>
    <s v="Original"/>
    <x v="220"/>
    <d v="2024-05-19T00:00:00"/>
    <n v="20"/>
    <x v="2"/>
    <x v="8"/>
    <s v="Frankfurt"/>
    <s v="Enterprise"/>
    <x v="4"/>
    <x v="11"/>
    <x v="0"/>
    <x v="302"/>
    <n v="668.97"/>
    <n v="1667.44"/>
    <n v="3.4000000000000002E-2"/>
    <n v="15"/>
    <n v="24161.205600000001"/>
    <n v="10034.550000000001"/>
    <n v="14126.6556"/>
    <n v="0.58468339013679016"/>
    <x v="15"/>
    <x v="15"/>
    <s v="Q2-2024"/>
    <s v="Europe → Germany → Frankfurt"/>
    <s v="Laptops"/>
    <s v="High"/>
    <x v="0"/>
    <x v="15"/>
  </r>
  <r>
    <x v="303"/>
    <s v="Original"/>
    <x v="221"/>
    <d v="2024-05-16T00:00:00"/>
    <n v="15"/>
    <x v="3"/>
    <x v="10"/>
    <s v="Bengaluru"/>
    <s v="Small Business"/>
    <x v="3"/>
    <x v="9"/>
    <x v="6"/>
    <x v="303"/>
    <n v="901.19"/>
    <n v="2125.44"/>
    <n v="7.0999999999999994E-2"/>
    <n v="12"/>
    <n v="23694.405119999999"/>
    <n v="10814.28"/>
    <n v="12880.125119999999"/>
    <n v="0.54359352154100415"/>
    <x v="16"/>
    <x v="16"/>
    <s v="Q2-2024"/>
    <s v="Asia → India → Bengaluru"/>
    <s v="Components"/>
    <s v="High"/>
    <x v="1"/>
    <x v="15"/>
  </r>
  <r>
    <x v="304"/>
    <s v="Original"/>
    <x v="221"/>
    <d v="2024-05-26T00:00:00"/>
    <n v="25"/>
    <x v="2"/>
    <x v="8"/>
    <s v="Berlin"/>
    <s v="Non-Profit"/>
    <x v="3"/>
    <x v="0"/>
    <x v="4"/>
    <x v="304"/>
    <n v="930.71"/>
    <n v="1625.42"/>
    <n v="0.13800000000000001"/>
    <n v="7"/>
    <n v="9807.7842799999999"/>
    <n v="6514.97"/>
    <n v="3292.8142799999996"/>
    <n v="0.33573477821231196"/>
    <x v="16"/>
    <x v="16"/>
    <s v="Q2-2024"/>
    <s v="Europe → Germany → Berlin"/>
    <s v="Networking"/>
    <s v="High"/>
    <x v="0"/>
    <x v="16"/>
  </r>
  <r>
    <x v="305"/>
    <s v="Original"/>
    <x v="222"/>
    <d v="2024-05-29T00:00:00"/>
    <n v="25"/>
    <x v="1"/>
    <x v="5"/>
    <s v="Abuja"/>
    <s v="Non-Profit"/>
    <x v="4"/>
    <x v="5"/>
    <x v="5"/>
    <x v="305"/>
    <n v="1295.3399999999999"/>
    <n v="2530.81"/>
    <n v="3.1E-2"/>
    <n v="6"/>
    <n v="14714.12934"/>
    <n v="7772.0399999999991"/>
    <n v="6942.0893400000004"/>
    <n v="0.4717974933880798"/>
    <x v="16"/>
    <x v="16"/>
    <s v="Q2-2024"/>
    <s v="Africa → Nigeria → Abuja"/>
    <s v="Monitors"/>
    <s v="High"/>
    <x v="0"/>
    <x v="16"/>
  </r>
  <r>
    <x v="306"/>
    <s v="Original"/>
    <x v="223"/>
    <d v="2024-05-18T00:00:00"/>
    <n v="13"/>
    <x v="2"/>
    <x v="2"/>
    <s v="Marseille"/>
    <s v="Corporate"/>
    <x v="4"/>
    <x v="1"/>
    <x v="6"/>
    <x v="306"/>
    <n v="1264.04"/>
    <n v="1870.89"/>
    <n v="0"/>
    <n v="13"/>
    <n v="24321.57"/>
    <n v="16432.52"/>
    <n v="7889.0499999999993"/>
    <n v="0.32436433996653996"/>
    <x v="16"/>
    <x v="16"/>
    <s v="Q2-2024"/>
    <s v="Europe → France → Marseille"/>
    <s v="Components"/>
    <s v="High"/>
    <x v="0"/>
    <x v="16"/>
  </r>
  <r>
    <x v="307"/>
    <s v="Original"/>
    <x v="224"/>
    <d v="2024-05-12T00:00:00"/>
    <n v="5"/>
    <x v="1"/>
    <x v="5"/>
    <s v="Abuja"/>
    <s v="Non-Profit"/>
    <x v="0"/>
    <x v="9"/>
    <x v="0"/>
    <x v="307"/>
    <n v="1163.99"/>
    <n v="1617.85"/>
    <n v="0.127"/>
    <n v="14"/>
    <n v="19773.362699999998"/>
    <n v="16295.86"/>
    <n v="3477.5026999999973"/>
    <n v="0.17586804797749436"/>
    <x v="16"/>
    <x v="16"/>
    <s v="Q2-2024"/>
    <s v="Africa → Nigeria → Abuja"/>
    <s v="Laptops"/>
    <s v="Medium"/>
    <x v="0"/>
    <x v="16"/>
  </r>
  <r>
    <x v="308"/>
    <s v="Original"/>
    <x v="225"/>
    <d v="2024-05-16T00:00:00"/>
    <n v="6"/>
    <x v="2"/>
    <x v="6"/>
    <s v="Birmingham"/>
    <s v="Non-Profit"/>
    <x v="2"/>
    <x v="6"/>
    <x v="0"/>
    <x v="308"/>
    <n v="210.76"/>
    <n v="221.58"/>
    <n v="8.8999999999999996E-2"/>
    <n v="5"/>
    <n v="1009.2969000000002"/>
    <n v="1053.8"/>
    <n v="-44.50309999999979"/>
    <n v="-4.4093170205912434E-2"/>
    <x v="16"/>
    <x v="16"/>
    <s v="Q2-2024"/>
    <s v="Europe → United Kingdom → Birmingham"/>
    <s v="Laptops"/>
    <s v="Low"/>
    <x v="0"/>
    <x v="16"/>
  </r>
  <r>
    <x v="309"/>
    <s v="Original"/>
    <x v="226"/>
    <d v="2024-05-24T00:00:00"/>
    <n v="12"/>
    <x v="2"/>
    <x v="6"/>
    <s v="Manchester"/>
    <s v="Education"/>
    <x v="4"/>
    <x v="10"/>
    <x v="1"/>
    <x v="309"/>
    <n v="111.02"/>
    <n v="172.88"/>
    <n v="0.19700000000000001"/>
    <n v="29"/>
    <n v="4025.8565599999993"/>
    <n v="3219.58"/>
    <n v="806.27655999999934"/>
    <n v="0.20027453735212053"/>
    <x v="16"/>
    <x v="16"/>
    <s v="Q2-2024"/>
    <s v="Europe → United Kingdom → Manchester"/>
    <s v="Printers"/>
    <s v="Low"/>
    <x v="0"/>
    <x v="16"/>
  </r>
  <r>
    <x v="310"/>
    <s v="Original"/>
    <x v="227"/>
    <d v="2024-05-28T00:00:00"/>
    <n v="14"/>
    <x v="2"/>
    <x v="6"/>
    <s v="Birmingham"/>
    <s v="Consumer"/>
    <x v="3"/>
    <x v="0"/>
    <x v="4"/>
    <x v="310"/>
    <n v="1421.14"/>
    <n v="3524"/>
    <n v="0"/>
    <n v="31"/>
    <n v="109244"/>
    <n v="44055.340000000004"/>
    <n v="65188.659999999996"/>
    <n v="0.59672531214528945"/>
    <x v="16"/>
    <x v="16"/>
    <s v="Q2-2024"/>
    <s v="Europe → United Kingdom → Birmingham"/>
    <s v="Networking"/>
    <s v="High"/>
    <x v="0"/>
    <x v="16"/>
  </r>
  <r>
    <x v="311"/>
    <s v="Original"/>
    <x v="228"/>
    <d v="2024-05-27T00:00:00"/>
    <n v="10"/>
    <x v="0"/>
    <x v="4"/>
    <s v="Austin"/>
    <s v="Non-Profit"/>
    <x v="1"/>
    <x v="11"/>
    <x v="2"/>
    <x v="311"/>
    <n v="1484.23"/>
    <n v="3472.81"/>
    <n v="0.25600000000000001"/>
    <n v="12"/>
    <n v="31005.24768"/>
    <n v="17810.760000000002"/>
    <n v="13194.487679999998"/>
    <n v="0.42555659661803413"/>
    <x v="16"/>
    <x v="16"/>
    <s v="Q2-2024"/>
    <s v="Americas → USA → Austin"/>
    <s v="Phones"/>
    <s v="High"/>
    <x v="0"/>
    <x v="16"/>
  </r>
  <r>
    <x v="312"/>
    <s v="Original"/>
    <x v="229"/>
    <d v="2024-05-23T00:00:00"/>
    <n v="5"/>
    <x v="0"/>
    <x v="4"/>
    <s v="Chicago"/>
    <s v="Enterprise"/>
    <x v="3"/>
    <x v="4"/>
    <x v="0"/>
    <x v="312"/>
    <n v="1274.5899999999999"/>
    <n v="2553.69"/>
    <n v="0.01"/>
    <n v="8"/>
    <n v="20225.2248"/>
    <n v="10196.719999999999"/>
    <n v="10028.504800000001"/>
    <n v="0.49584145042481803"/>
    <x v="16"/>
    <x v="16"/>
    <s v="Q2-2024"/>
    <s v="Americas → USA → Chicago"/>
    <s v="Laptops"/>
    <s v="High"/>
    <x v="0"/>
    <x v="16"/>
  </r>
  <r>
    <x v="313"/>
    <s v="Original"/>
    <x v="229"/>
    <d v="2024-05-21T00:00:00"/>
    <n v="3"/>
    <x v="2"/>
    <x v="2"/>
    <s v="Marseille"/>
    <s v="Non-Profit"/>
    <x v="4"/>
    <x v="2"/>
    <x v="1"/>
    <x v="313"/>
    <n v="663.66"/>
    <n v="824.26"/>
    <n v="0.23899999999999999"/>
    <n v="11"/>
    <n v="6899.8804600000003"/>
    <n v="7300.2599999999993"/>
    <n v="-400.379539999999"/>
    <n v="-5.8027025587048933E-2"/>
    <x v="16"/>
    <x v="16"/>
    <s v="Q2-2024"/>
    <s v="Europe → France → Marseille"/>
    <s v="Printers"/>
    <s v="Low"/>
    <x v="0"/>
    <x v="16"/>
  </r>
  <r>
    <x v="314"/>
    <s v="Original"/>
    <x v="229"/>
    <d v="2024-05-22T00:00:00"/>
    <n v="4"/>
    <x v="1"/>
    <x v="7"/>
    <s v="Nairobi"/>
    <s v="Corporate"/>
    <x v="2"/>
    <x v="4"/>
    <x v="3"/>
    <x v="314"/>
    <n v="857.42"/>
    <n v="1658.92"/>
    <n v="0.122"/>
    <n v="9"/>
    <n v="13108.78584"/>
    <n v="7716.78"/>
    <n v="5392.0058400000007"/>
    <n v="0.41132763215544305"/>
    <x v="16"/>
    <x v="16"/>
    <s v="Q2-2024"/>
    <s v="Africa → Kenya → Nairobi"/>
    <s v="Accessories"/>
    <s v="High"/>
    <x v="0"/>
    <x v="16"/>
  </r>
  <r>
    <x v="315"/>
    <s v="Original"/>
    <x v="230"/>
    <d v="2024-06-08T00:00:00"/>
    <n v="20"/>
    <x v="0"/>
    <x v="9"/>
    <s v="Brasília"/>
    <s v="Small Business"/>
    <x v="3"/>
    <x v="14"/>
    <x v="5"/>
    <x v="315"/>
    <n v="1075.9000000000001"/>
    <n v="1242.1500000000001"/>
    <n v="1.2E-2"/>
    <n v="7"/>
    <n v="8590.7094000000016"/>
    <n v="7531.3000000000011"/>
    <n v="1059.4094000000005"/>
    <n v="0.12332036280961853"/>
    <x v="16"/>
    <x v="16"/>
    <s v="Q2-2024"/>
    <s v="Americas → Brazil → Brasília"/>
    <s v="Monitors"/>
    <s v="Medium"/>
    <x v="0"/>
    <x v="16"/>
  </r>
  <r>
    <x v="316"/>
    <s v="Original"/>
    <x v="231"/>
    <d v="2024-06-02T00:00:00"/>
    <n v="13"/>
    <x v="0"/>
    <x v="0"/>
    <s v="Vancouver"/>
    <s v="Enterprise"/>
    <x v="4"/>
    <x v="10"/>
    <x v="6"/>
    <x v="316"/>
    <n v="675.43"/>
    <n v="996.36"/>
    <n v="0.182"/>
    <n v="22"/>
    <n v="17930.494560000003"/>
    <n v="14859.46"/>
    <n v="3071.0345600000037"/>
    <n v="0.17127439233332575"/>
    <x v="16"/>
    <x v="16"/>
    <s v="Q2-2024"/>
    <s v="Americas → Canada → Vancouver"/>
    <s v="Components"/>
    <s v="Medium"/>
    <x v="0"/>
    <x v="16"/>
  </r>
  <r>
    <x v="317"/>
    <s v="Original"/>
    <x v="232"/>
    <d v="2024-05-27T00:00:00"/>
    <n v="6"/>
    <x v="1"/>
    <x v="1"/>
    <s v="Johannesburg"/>
    <s v="Non-Profit"/>
    <x v="1"/>
    <x v="3"/>
    <x v="6"/>
    <x v="317"/>
    <n v="1157.51"/>
    <n v="1394.3"/>
    <n v="0.27800000000000002"/>
    <n v="12"/>
    <n v="12080.215199999999"/>
    <n v="13890.119999999999"/>
    <n v="-1809.9048000000003"/>
    <n v="-0.14982388724333326"/>
    <x v="16"/>
    <x v="16"/>
    <s v="Q2-2024"/>
    <s v="Africa → South Africa → Johannesburg"/>
    <s v="Components"/>
    <s v="Medium"/>
    <x v="0"/>
    <x v="16"/>
  </r>
  <r>
    <x v="318"/>
    <s v="Original"/>
    <x v="233"/>
    <d v="2024-06-06T00:00:00"/>
    <n v="15"/>
    <x v="3"/>
    <x v="11"/>
    <s v="Nagoya"/>
    <s v="Corporate"/>
    <x v="0"/>
    <x v="11"/>
    <x v="5"/>
    <x v="318"/>
    <n v="673.88"/>
    <n v="1228.01"/>
    <n v="0.105"/>
    <n v="13"/>
    <n v="14287.896349999999"/>
    <n v="8760.44"/>
    <n v="5527.4563499999986"/>
    <n v="0.38686285332689996"/>
    <x v="16"/>
    <x v="16"/>
    <s v="Q2-2024"/>
    <s v="Asia → Japan → Nagoya"/>
    <s v="Monitors"/>
    <s v="Medium"/>
    <x v="2"/>
    <x v="14"/>
  </r>
  <r>
    <x v="319"/>
    <s v="Original"/>
    <x v="234"/>
    <d v="2024-06-14T00:00:00"/>
    <n v="22"/>
    <x v="2"/>
    <x v="2"/>
    <s v="Marseille"/>
    <s v="Small Business"/>
    <x v="1"/>
    <x v="8"/>
    <x v="5"/>
    <x v="319"/>
    <n v="1481.74"/>
    <n v="1848.97"/>
    <n v="0.254"/>
    <n v="9"/>
    <n v="12413.98458"/>
    <n v="13335.66"/>
    <n v="-921.67541999999958"/>
    <n v="-7.4244930309072407E-2"/>
    <x v="16"/>
    <x v="16"/>
    <s v="Q2-2024"/>
    <s v="Europe → France → Marseille"/>
    <s v="Monitors"/>
    <s v="High"/>
    <x v="0"/>
    <x v="16"/>
  </r>
  <r>
    <x v="320"/>
    <s v="Original"/>
    <x v="234"/>
    <d v="2024-06-03T00:00:00"/>
    <n v="11"/>
    <x v="1"/>
    <x v="1"/>
    <s v="Johannesburg"/>
    <s v="Small Business"/>
    <x v="0"/>
    <x v="7"/>
    <x v="1"/>
    <x v="320"/>
    <n v="180.89"/>
    <n v="249.57"/>
    <n v="2.1999999999999999E-2"/>
    <n v="8"/>
    <n v="1952.6356799999999"/>
    <n v="1447.12"/>
    <n v="505.51567999999997"/>
    <n v="0.25888888806948362"/>
    <x v="16"/>
    <x v="16"/>
    <s v="Q2-2024"/>
    <s v="Africa → South Africa → Johannesburg"/>
    <s v="Printers"/>
    <s v="Low"/>
    <x v="0"/>
    <x v="16"/>
  </r>
  <r>
    <x v="321"/>
    <s v="Original"/>
    <x v="234"/>
    <d v="2024-06-06T00:00:00"/>
    <n v="14"/>
    <x v="0"/>
    <x v="9"/>
    <s v="Rio de Janeiro"/>
    <s v="Non-Profit"/>
    <x v="1"/>
    <x v="12"/>
    <x v="4"/>
    <x v="321"/>
    <n v="51.13"/>
    <n v="57.53"/>
    <n v="4.4999999999999998E-2"/>
    <n v="16"/>
    <n v="879.05840000000001"/>
    <n v="818.08"/>
    <n v="60.978399999999965"/>
    <n v="6.9367859973808302E-2"/>
    <x v="16"/>
    <x v="16"/>
    <s v="Q2-2024"/>
    <s v="Americas → Brazil → Rio de Janeiro"/>
    <s v="Networking"/>
    <s v="Low"/>
    <x v="0"/>
    <x v="16"/>
  </r>
  <r>
    <x v="322"/>
    <s v="Original"/>
    <x v="235"/>
    <d v="2024-06-17T00:00:00"/>
    <n v="21"/>
    <x v="3"/>
    <x v="10"/>
    <s v="Delhi"/>
    <s v="Small Business"/>
    <x v="1"/>
    <x v="4"/>
    <x v="3"/>
    <x v="322"/>
    <n v="465.02"/>
    <n v="651.55999999999995"/>
    <n v="4.2000000000000003E-2"/>
    <n v="19"/>
    <n v="11859.695119999998"/>
    <n v="8835.3799999999992"/>
    <n v="3024.3151199999993"/>
    <n v="0.25500783025187918"/>
    <x v="16"/>
    <x v="16"/>
    <s v="Q2-2024"/>
    <s v="Asia → India → Delhi"/>
    <s v="Accessories"/>
    <s v="Low"/>
    <x v="1"/>
    <x v="15"/>
  </r>
  <r>
    <x v="323"/>
    <s v="Original"/>
    <x v="236"/>
    <d v="2024-06-04T00:00:00"/>
    <n v="7"/>
    <x v="1"/>
    <x v="5"/>
    <s v="Abuja"/>
    <s v="Enterprise"/>
    <x v="1"/>
    <x v="7"/>
    <x v="3"/>
    <x v="323"/>
    <n v="1227.08"/>
    <n v="1896.62"/>
    <n v="0"/>
    <n v="18"/>
    <n v="34139.159999999996"/>
    <n v="22087.439999999999"/>
    <n v="12051.719999999998"/>
    <n v="0.353017473189147"/>
    <x v="16"/>
    <x v="16"/>
    <s v="Q2-2024"/>
    <s v="Africa → Nigeria → Abuja"/>
    <s v="Accessories"/>
    <s v="High"/>
    <x v="0"/>
    <x v="16"/>
  </r>
  <r>
    <x v="324"/>
    <s v="Original"/>
    <x v="236"/>
    <d v="2024-06-18T00:00:00"/>
    <n v="21"/>
    <x v="2"/>
    <x v="8"/>
    <s v="Frankfurt"/>
    <s v="Small Business"/>
    <x v="1"/>
    <x v="14"/>
    <x v="2"/>
    <x v="324"/>
    <n v="986.85"/>
    <n v="2422.1"/>
    <n v="7.5999999999999998E-2"/>
    <n v="10"/>
    <n v="22380.204000000002"/>
    <n v="9868.5"/>
    <n v="12511.704000000002"/>
    <n v="0.55905227673527913"/>
    <x v="16"/>
    <x v="16"/>
    <s v="Q2-2024"/>
    <s v="Europe → Germany → Frankfurt"/>
    <s v="Phones"/>
    <s v="High"/>
    <x v="0"/>
    <x v="16"/>
  </r>
  <r>
    <x v="325"/>
    <s v="Original"/>
    <x v="237"/>
    <d v="2024-06-13T00:00:00"/>
    <n v="14"/>
    <x v="0"/>
    <x v="4"/>
    <s v="San Francisco"/>
    <s v="Small Business"/>
    <x v="3"/>
    <x v="7"/>
    <x v="2"/>
    <x v="325"/>
    <n v="157.78"/>
    <n v="361.1"/>
    <n v="0.187"/>
    <n v="9"/>
    <n v="2642.1686999999997"/>
    <n v="1420.02"/>
    <n v="1222.1486999999997"/>
    <n v="0.46255513510549112"/>
    <x v="16"/>
    <x v="16"/>
    <s v="Q2-2024"/>
    <s v="Americas → USA → San Francisco"/>
    <s v="Phones"/>
    <s v="Low"/>
    <x v="0"/>
    <x v="16"/>
  </r>
  <r>
    <x v="326"/>
    <s v="Original"/>
    <x v="238"/>
    <d v="2024-06-08T00:00:00"/>
    <n v="6"/>
    <x v="1"/>
    <x v="7"/>
    <s v="Kisumu"/>
    <s v="Consumer"/>
    <x v="4"/>
    <x v="1"/>
    <x v="3"/>
    <x v="326"/>
    <n v="292.94"/>
    <n v="356.55"/>
    <n v="0.22900000000000001"/>
    <n v="2"/>
    <n v="549.80010000000004"/>
    <n v="585.88"/>
    <n v="-36.079899999999952"/>
    <n v="-6.5623669402751925E-2"/>
    <x v="17"/>
    <x v="17"/>
    <s v="Q2-2024"/>
    <s v="Africa → Kenya → Kisumu"/>
    <s v="Accessories"/>
    <s v="Low"/>
    <x v="0"/>
    <x v="17"/>
  </r>
  <r>
    <x v="327"/>
    <s v="Original"/>
    <x v="238"/>
    <d v="2024-06-15T00:00:00"/>
    <n v="13"/>
    <x v="1"/>
    <x v="7"/>
    <s v="Mombasa"/>
    <s v="Education"/>
    <x v="1"/>
    <x v="5"/>
    <x v="2"/>
    <x v="327"/>
    <n v="1295.18"/>
    <n v="3024.03"/>
    <n v="0.192"/>
    <n v="8"/>
    <n v="19547.329920000004"/>
    <n v="10361.44"/>
    <n v="9185.8899200000033"/>
    <n v="0.46993067378483178"/>
    <x v="17"/>
    <x v="17"/>
    <s v="Q2-2024"/>
    <s v="Africa → Kenya → Mombasa"/>
    <s v="Phones"/>
    <s v="High"/>
    <x v="0"/>
    <x v="17"/>
  </r>
  <r>
    <x v="328"/>
    <s v="Original"/>
    <x v="239"/>
    <d v="2024-06-24T00:00:00"/>
    <n v="21"/>
    <x v="0"/>
    <x v="0"/>
    <s v="Toronto"/>
    <s v="Small Business"/>
    <x v="2"/>
    <x v="6"/>
    <x v="5"/>
    <x v="328"/>
    <n v="1205.5"/>
    <n v="2210.17"/>
    <n v="0.104"/>
    <n v="23"/>
    <n v="45547.183360000003"/>
    <n v="27726.5"/>
    <n v="17820.683360000003"/>
    <n v="0.39125763758314652"/>
    <x v="17"/>
    <x v="17"/>
    <s v="Q2-2024"/>
    <s v="Americas → Canada → Toronto"/>
    <s v="Monitors"/>
    <s v="High"/>
    <x v="0"/>
    <x v="17"/>
  </r>
  <r>
    <x v="329"/>
    <s v="Original"/>
    <x v="240"/>
    <d v="2024-06-16T00:00:00"/>
    <n v="12"/>
    <x v="3"/>
    <x v="3"/>
    <s v="Shanghai"/>
    <s v="Corporate"/>
    <x v="3"/>
    <x v="13"/>
    <x v="1"/>
    <x v="329"/>
    <n v="918.42"/>
    <n v="1511.71"/>
    <n v="0.02"/>
    <n v="8"/>
    <n v="11851.806399999999"/>
    <n v="7347.36"/>
    <n v="4504.4463999999998"/>
    <n v="0.38006412254590999"/>
    <x v="17"/>
    <x v="17"/>
    <s v="Q2-2024"/>
    <s v="Asia → China → Shanghai"/>
    <s v="Printers"/>
    <s v="Medium"/>
    <x v="0"/>
    <x v="17"/>
  </r>
  <r>
    <x v="330"/>
    <s v="Original"/>
    <x v="241"/>
    <d v="2024-06-23T00:00:00"/>
    <n v="18"/>
    <x v="1"/>
    <x v="7"/>
    <s v="Nairobi"/>
    <s v="Consumer"/>
    <x v="0"/>
    <x v="2"/>
    <x v="0"/>
    <x v="330"/>
    <n v="1208.74"/>
    <n v="1594.78"/>
    <n v="5.8999999999999997E-2"/>
    <n v="39"/>
    <n v="58526.83122"/>
    <n v="47140.86"/>
    <n v="11385.971219999999"/>
    <n v="0.1945427589817838"/>
    <x v="17"/>
    <x v="17"/>
    <s v="Q2-2024"/>
    <s v="Africa → Kenya → Nairobi"/>
    <s v="Laptops"/>
    <s v="Medium"/>
    <x v="0"/>
    <x v="17"/>
  </r>
  <r>
    <x v="331"/>
    <s v="Original"/>
    <x v="242"/>
    <d v="2024-06-24T00:00:00"/>
    <n v="18"/>
    <x v="3"/>
    <x v="10"/>
    <s v="Bengaluru"/>
    <s v="Small Business"/>
    <x v="2"/>
    <x v="4"/>
    <x v="4"/>
    <x v="331"/>
    <n v="1253.25"/>
    <n v="3087.13"/>
    <n v="7.1999999999999995E-2"/>
    <n v="11"/>
    <n v="31513.423040000001"/>
    <n v="13785.75"/>
    <n v="17727.673040000001"/>
    <n v="0.562543555408064"/>
    <x v="17"/>
    <x v="17"/>
    <s v="Q2-2024"/>
    <s v="Asia → India → Bengaluru"/>
    <s v="Networking"/>
    <s v="High"/>
    <x v="1"/>
    <x v="16"/>
  </r>
  <r>
    <x v="332"/>
    <s v="Original"/>
    <x v="243"/>
    <d v="2024-06-26T00:00:00"/>
    <n v="19"/>
    <x v="2"/>
    <x v="8"/>
    <s v="Berlin"/>
    <s v="Non-Profit"/>
    <x v="4"/>
    <x v="3"/>
    <x v="6"/>
    <x v="332"/>
    <n v="1064.32"/>
    <n v="1848.39"/>
    <n v="7.2999999999999995E-2"/>
    <n v="38"/>
    <n v="65111.38614000001"/>
    <n v="40444.159999999996"/>
    <n v="24667.226140000013"/>
    <n v="0.3788465827921631"/>
    <x v="17"/>
    <x v="17"/>
    <s v="Q2-2024"/>
    <s v="Europe → Germany → Berlin"/>
    <s v="Components"/>
    <s v="High"/>
    <x v="0"/>
    <x v="17"/>
  </r>
  <r>
    <x v="333"/>
    <s v="Original"/>
    <x v="243"/>
    <d v="2024-06-09T00:00:00"/>
    <n v="2"/>
    <x v="3"/>
    <x v="3"/>
    <s v="Shanghai"/>
    <s v="Corporate"/>
    <x v="3"/>
    <x v="5"/>
    <x v="5"/>
    <x v="333"/>
    <n v="1370.28"/>
    <n v="2209.66"/>
    <n v="0.13300000000000001"/>
    <n v="16"/>
    <n v="30652.403519999996"/>
    <n v="21924.48"/>
    <n v="8727.9235199999966"/>
    <n v="0.28473863442079589"/>
    <x v="17"/>
    <x v="17"/>
    <s v="Q2-2024"/>
    <s v="Asia → China → Shanghai"/>
    <s v="Monitors"/>
    <s v="High"/>
    <x v="0"/>
    <x v="17"/>
  </r>
  <r>
    <x v="334"/>
    <s v="Original"/>
    <x v="244"/>
    <d v="2024-06-24T00:00:00"/>
    <n v="16"/>
    <x v="1"/>
    <x v="1"/>
    <s v="Durban"/>
    <s v="Education"/>
    <x v="0"/>
    <x v="4"/>
    <x v="5"/>
    <x v="334"/>
    <n v="597.85"/>
    <n v="741.92"/>
    <n v="3.1E-2"/>
    <n v="7"/>
    <n v="5032.4433599999993"/>
    <n v="4184.95"/>
    <n v="847.49335999999948"/>
    <n v="0.16840594108544515"/>
    <x v="17"/>
    <x v="17"/>
    <s v="Q2-2024"/>
    <s v="Africa → South Africa → Durban"/>
    <s v="Monitors"/>
    <s v="Low"/>
    <x v="0"/>
    <x v="17"/>
  </r>
  <r>
    <x v="335"/>
    <s v="Original"/>
    <x v="245"/>
    <d v="2024-07-07T00:00:00"/>
    <n v="28"/>
    <x v="3"/>
    <x v="3"/>
    <s v="Shenzhen"/>
    <s v="Corporate"/>
    <x v="1"/>
    <x v="13"/>
    <x v="6"/>
    <x v="335"/>
    <n v="550.22"/>
    <n v="1025.05"/>
    <n v="0"/>
    <n v="27"/>
    <n v="27676.35"/>
    <n v="14855.94"/>
    <n v="12820.409999999998"/>
    <n v="0.46322618408858102"/>
    <x v="17"/>
    <x v="17"/>
    <s v="Q2-2024"/>
    <s v="Asia → China → Shenzhen"/>
    <s v="Components"/>
    <s v="Medium"/>
    <x v="0"/>
    <x v="17"/>
  </r>
  <r>
    <x v="336"/>
    <s v="Original"/>
    <x v="246"/>
    <d v="2024-06-11T00:00:00"/>
    <n v="1"/>
    <x v="2"/>
    <x v="6"/>
    <s v="Birmingham"/>
    <s v="Small Business"/>
    <x v="4"/>
    <x v="3"/>
    <x v="0"/>
    <x v="336"/>
    <n v="1187.1300000000001"/>
    <n v="1795.17"/>
    <n v="1.2E-2"/>
    <n v="17"/>
    <n v="30151.675319999998"/>
    <n v="20181.210000000003"/>
    <n v="9970.4653199999957"/>
    <n v="0.33067699271046663"/>
    <x v="17"/>
    <x v="17"/>
    <s v="Q2-2024"/>
    <s v="Europe → United Kingdom → Birmingham"/>
    <s v="Laptops"/>
    <s v="High"/>
    <x v="0"/>
    <x v="17"/>
  </r>
  <r>
    <x v="337"/>
    <s v="Original"/>
    <x v="247"/>
    <d v="2024-07-09T00:00:00"/>
    <n v="28"/>
    <x v="1"/>
    <x v="5"/>
    <s v="Port Harcourt"/>
    <s v="Corporate"/>
    <x v="4"/>
    <x v="12"/>
    <x v="2"/>
    <x v="337"/>
    <n v="895.54"/>
    <n v="1045"/>
    <n v="0.216"/>
    <n v="15"/>
    <n v="12289.2"/>
    <n v="13433.099999999999"/>
    <n v="-1143.8999999999978"/>
    <n v="-9.3081730299775234E-2"/>
    <x v="17"/>
    <x v="17"/>
    <s v="Q2-2024"/>
    <s v="Africa → Nigeria → Port Harcourt"/>
    <s v="Phones"/>
    <s v="Medium"/>
    <x v="0"/>
    <x v="17"/>
  </r>
  <r>
    <x v="338"/>
    <s v="Original"/>
    <x v="248"/>
    <d v="2024-07-06T00:00:00"/>
    <n v="21"/>
    <x v="0"/>
    <x v="0"/>
    <s v="Toronto"/>
    <s v="Enterprise"/>
    <x v="0"/>
    <x v="9"/>
    <x v="1"/>
    <x v="338"/>
    <n v="817.23"/>
    <n v="1467.17"/>
    <n v="0.245"/>
    <n v="9"/>
    <n v="9969.4201499999999"/>
    <n v="7355.07"/>
    <n v="2614.3501500000002"/>
    <n v="0.26223693160328893"/>
    <x v="17"/>
    <x v="17"/>
    <s v="Q2-2024"/>
    <s v="Americas → Canada → Toronto"/>
    <s v="Printers"/>
    <s v="Medium"/>
    <x v="0"/>
    <x v="17"/>
  </r>
  <r>
    <x v="339"/>
    <s v="Original"/>
    <x v="249"/>
    <d v="2024-07-03T00:00:00"/>
    <n v="17"/>
    <x v="1"/>
    <x v="1"/>
    <s v="Johannesburg"/>
    <s v="Enterprise"/>
    <x v="4"/>
    <x v="7"/>
    <x v="2"/>
    <x v="339"/>
    <n v="1173.83"/>
    <n v="2328.9"/>
    <n v="0.12"/>
    <n v="17"/>
    <n v="34840.344000000005"/>
    <n v="19955.11"/>
    <n v="14885.234000000004"/>
    <n v="0.42724130393201637"/>
    <x v="17"/>
    <x v="17"/>
    <s v="Q2-2024"/>
    <s v="Africa → South Africa → Johannesburg"/>
    <s v="Phones"/>
    <s v="High"/>
    <x v="0"/>
    <x v="17"/>
  </r>
  <r>
    <x v="340"/>
    <s v="Original"/>
    <x v="249"/>
    <d v="2024-06-21T00:00:00"/>
    <n v="5"/>
    <x v="3"/>
    <x v="11"/>
    <s v="Tokyo"/>
    <s v="Small Business"/>
    <x v="0"/>
    <x v="7"/>
    <x v="2"/>
    <x v="340"/>
    <n v="1367.13"/>
    <n v="3062.01"/>
    <n v="0.10299999999999999"/>
    <n v="25"/>
    <n v="68665.574250000005"/>
    <n v="34178.25"/>
    <n v="34487.324250000005"/>
    <n v="0.50225057645971705"/>
    <x v="17"/>
    <x v="17"/>
    <s v="Q2-2024"/>
    <s v="Asia → Japan → Tokyo"/>
    <s v="Phones"/>
    <s v="High"/>
    <x v="2"/>
    <x v="15"/>
  </r>
  <r>
    <x v="341"/>
    <s v="Original"/>
    <x v="250"/>
    <d v="2024-06-20T00:00:00"/>
    <n v="1"/>
    <x v="1"/>
    <x v="7"/>
    <s v="Kisumu"/>
    <s v="Small Business"/>
    <x v="2"/>
    <x v="13"/>
    <x v="0"/>
    <x v="341"/>
    <n v="231.63"/>
    <n v="537.39"/>
    <n v="0.08"/>
    <n v="12"/>
    <n v="5932.7856000000002"/>
    <n v="2779.56"/>
    <n v="3153.2256000000002"/>
    <n v="0.53149158129024587"/>
    <x v="17"/>
    <x v="17"/>
    <s v="Q2-2024"/>
    <s v="Africa → Kenya → Kisumu"/>
    <s v="Laptops"/>
    <s v="Low"/>
    <x v="0"/>
    <x v="17"/>
  </r>
  <r>
    <x v="342"/>
    <s v="Original"/>
    <x v="251"/>
    <d v="2024-06-25T00:00:00"/>
    <n v="2"/>
    <x v="2"/>
    <x v="6"/>
    <s v="Birmingham"/>
    <s v="Small Business"/>
    <x v="4"/>
    <x v="9"/>
    <x v="3"/>
    <x v="342"/>
    <n v="951.44"/>
    <n v="1646.43"/>
    <n v="0.11"/>
    <n v="24"/>
    <n v="35167.7448"/>
    <n v="22834.560000000001"/>
    <n v="12333.184799999999"/>
    <n v="0.35069592520473475"/>
    <x v="17"/>
    <x v="17"/>
    <s v="Q2-2024"/>
    <s v="Europe → United Kingdom → Birmingham"/>
    <s v="Accessories"/>
    <s v="High"/>
    <x v="0"/>
    <x v="17"/>
  </r>
  <r>
    <x v="343"/>
    <s v="Original"/>
    <x v="251"/>
    <d v="2024-06-28T00:00:00"/>
    <n v="5"/>
    <x v="1"/>
    <x v="5"/>
    <s v="Port Harcourt"/>
    <s v="Non-Profit"/>
    <x v="2"/>
    <x v="3"/>
    <x v="3"/>
    <x v="343"/>
    <n v="242.31"/>
    <n v="587.95000000000005"/>
    <n v="0.22900000000000001"/>
    <n v="6"/>
    <n v="2719.8567000000003"/>
    <n v="1453.8600000000001"/>
    <n v="1265.9967000000001"/>
    <n v="0.46546448568411714"/>
    <x v="17"/>
    <x v="17"/>
    <s v="Q2-2024"/>
    <s v="Africa → Nigeria → Port Harcourt"/>
    <s v="Accessories"/>
    <s v="Low"/>
    <x v="0"/>
    <x v="17"/>
  </r>
  <r>
    <x v="344"/>
    <s v="Original"/>
    <x v="252"/>
    <d v="2024-06-30T00:00:00"/>
    <n v="5"/>
    <x v="1"/>
    <x v="7"/>
    <s v="Kisumu"/>
    <s v="Education"/>
    <x v="2"/>
    <x v="3"/>
    <x v="4"/>
    <x v="344"/>
    <n v="1323.55"/>
    <n v="3230.35"/>
    <n v="2.1999999999999999E-2"/>
    <n v="26"/>
    <n v="82141.339799999987"/>
    <n v="34412.299999999996"/>
    <n v="47729.039799999991"/>
    <n v="0.58105991351263542"/>
    <x v="17"/>
    <x v="17"/>
    <s v="Q2-2024"/>
    <s v="Africa → Kenya → Kisumu"/>
    <s v="Networking"/>
    <s v="High"/>
    <x v="0"/>
    <x v="17"/>
  </r>
  <r>
    <x v="345"/>
    <s v="Original"/>
    <x v="253"/>
    <d v="2024-07-26T00:00:00"/>
    <n v="27"/>
    <x v="1"/>
    <x v="1"/>
    <s v="Durban"/>
    <s v="Enterprise"/>
    <x v="0"/>
    <x v="0"/>
    <x v="4"/>
    <x v="345"/>
    <n v="5.36"/>
    <n v="4.37"/>
    <n v="0.11799999999999999"/>
    <n v="9"/>
    <n v="34.689059999999998"/>
    <n v="48.24"/>
    <n v="-13.550940000000004"/>
    <n v="-0.39064016148030545"/>
    <x v="17"/>
    <x v="17"/>
    <s v="Q2-2024"/>
    <s v="Africa → South Africa → Durban"/>
    <s v="Networking"/>
    <s v="Low"/>
    <x v="0"/>
    <x v="17"/>
  </r>
  <r>
    <x v="346"/>
    <s v="Original"/>
    <x v="254"/>
    <d v="2024-07-14T00:00:00"/>
    <n v="14"/>
    <x v="0"/>
    <x v="9"/>
    <s v="Brasília"/>
    <s v="Education"/>
    <x v="3"/>
    <x v="11"/>
    <x v="3"/>
    <x v="346"/>
    <n v="1491.85"/>
    <n v="2583.02"/>
    <n v="0.16800000000000001"/>
    <n v="4"/>
    <n v="8596.2905599999995"/>
    <n v="5967.4"/>
    <n v="2628.8905599999998"/>
    <n v="0.30581685689321325"/>
    <x v="17"/>
    <x v="17"/>
    <s v="Q2-2024"/>
    <s v="Americas → Brazil → Brasília"/>
    <s v="Accessories"/>
    <s v="High"/>
    <x v="0"/>
    <x v="17"/>
  </r>
  <r>
    <x v="347"/>
    <s v="Original"/>
    <x v="254"/>
    <d v="2024-07-05T00:00:00"/>
    <n v="5"/>
    <x v="0"/>
    <x v="9"/>
    <s v="Rio de Janeiro"/>
    <s v="Small Business"/>
    <x v="2"/>
    <x v="9"/>
    <x v="3"/>
    <x v="347"/>
    <n v="1112.98"/>
    <n v="2095.73"/>
    <n v="7.1999999999999995E-2"/>
    <n v="17"/>
    <n v="33062.236480000007"/>
    <n v="18920.66"/>
    <n v="14141.576480000007"/>
    <n v="0.42772594916724777"/>
    <x v="17"/>
    <x v="17"/>
    <s v="Q2-2024"/>
    <s v="Americas → Brazil → Rio de Janeiro"/>
    <s v="Accessories"/>
    <s v="High"/>
    <x v="0"/>
    <x v="17"/>
  </r>
  <r>
    <x v="348"/>
    <s v="Original"/>
    <x v="254"/>
    <d v="2024-07-21T00:00:00"/>
    <n v="21"/>
    <x v="1"/>
    <x v="7"/>
    <s v="Kisumu"/>
    <s v="Small Business"/>
    <x v="3"/>
    <x v="10"/>
    <x v="0"/>
    <x v="348"/>
    <n v="753.43"/>
    <n v="1787.2"/>
    <n v="7.2999999999999995E-2"/>
    <n v="9"/>
    <n v="14910.609600000002"/>
    <n v="6780.87"/>
    <n v="8129.7396000000017"/>
    <n v="0.54523187301476939"/>
    <x v="17"/>
    <x v="17"/>
    <s v="Q2-2024"/>
    <s v="Africa → Kenya → Kisumu"/>
    <s v="Laptops"/>
    <s v="High"/>
    <x v="0"/>
    <x v="17"/>
  </r>
  <r>
    <x v="349"/>
    <s v="Original"/>
    <x v="255"/>
    <d v="2024-08-08T00:00:00"/>
    <n v="30"/>
    <x v="2"/>
    <x v="2"/>
    <s v="Marseille"/>
    <s v="Corporate"/>
    <x v="2"/>
    <x v="13"/>
    <x v="6"/>
    <x v="349"/>
    <n v="1062.3800000000001"/>
    <n v="1503.96"/>
    <n v="0.18"/>
    <n v="6"/>
    <n v="7399.4832000000006"/>
    <n v="6374.2800000000007"/>
    <n v="1025.2031999999999"/>
    <n v="0.13855064905073369"/>
    <x v="18"/>
    <x v="18"/>
    <s v="Q3-2024"/>
    <s v="Europe → France → Marseille"/>
    <s v="Components"/>
    <s v="Medium"/>
    <x v="0"/>
    <x v="18"/>
  </r>
  <r>
    <x v="350"/>
    <s v="Original"/>
    <x v="255"/>
    <d v="2024-07-12T00:00:00"/>
    <n v="3"/>
    <x v="3"/>
    <x v="3"/>
    <s v="Shanghai"/>
    <s v="Small Business"/>
    <x v="3"/>
    <x v="2"/>
    <x v="3"/>
    <x v="350"/>
    <n v="748.39"/>
    <n v="979.42"/>
    <n v="0"/>
    <n v="23"/>
    <n v="22526.66"/>
    <n v="17212.97"/>
    <n v="5313.6899999999987"/>
    <n v="0.23588450307324738"/>
    <x v="18"/>
    <x v="18"/>
    <s v="Q3-2024"/>
    <s v="Asia → China → Shanghai"/>
    <s v="Accessories"/>
    <s v="Medium"/>
    <x v="0"/>
    <x v="18"/>
  </r>
  <r>
    <x v="351"/>
    <s v="Original"/>
    <x v="256"/>
    <d v="2024-07-31T00:00:00"/>
    <n v="20"/>
    <x v="3"/>
    <x v="3"/>
    <s v="Shenzhen"/>
    <s v="Consumer"/>
    <x v="1"/>
    <x v="6"/>
    <x v="2"/>
    <x v="351"/>
    <n v="647.26"/>
    <n v="1374.72"/>
    <n v="6.6000000000000003E-2"/>
    <n v="22"/>
    <n v="28247.74656"/>
    <n v="14239.72"/>
    <n v="14008.02656"/>
    <n v="0.49589890401508901"/>
    <x v="18"/>
    <x v="18"/>
    <s v="Q3-2024"/>
    <s v="Asia → China → Shenzhen"/>
    <s v="Phones"/>
    <s v="Medium"/>
    <x v="0"/>
    <x v="18"/>
  </r>
  <r>
    <x v="352"/>
    <s v="Original"/>
    <x v="257"/>
    <d v="2024-07-19T00:00:00"/>
    <n v="6"/>
    <x v="3"/>
    <x v="11"/>
    <s v="Nagoya"/>
    <s v="Small Business"/>
    <x v="4"/>
    <x v="7"/>
    <x v="4"/>
    <x v="352"/>
    <n v="105.13"/>
    <n v="244.13"/>
    <n v="7.0999999999999994E-2"/>
    <n v="14"/>
    <n v="3175.1547799999998"/>
    <n v="1471.82"/>
    <n v="1703.3347799999999"/>
    <n v="0.53645724319618837"/>
    <x v="18"/>
    <x v="18"/>
    <s v="Q3-2024"/>
    <s v="Asia → Japan → Nagoya"/>
    <s v="Networking"/>
    <s v="Low"/>
    <x v="2"/>
    <x v="16"/>
  </r>
  <r>
    <x v="353"/>
    <s v="Original"/>
    <x v="257"/>
    <d v="2024-08-03T00:00:00"/>
    <n v="21"/>
    <x v="0"/>
    <x v="9"/>
    <s v="Rio de Janeiro"/>
    <s v="Corporate"/>
    <x v="4"/>
    <x v="3"/>
    <x v="5"/>
    <x v="353"/>
    <n v="702.98"/>
    <n v="1104.8"/>
    <n v="0.17499999999999999"/>
    <n v="12"/>
    <n v="10937.519999999999"/>
    <n v="8435.76"/>
    <n v="2501.7599999999984"/>
    <n v="0.22873192460448061"/>
    <x v="18"/>
    <x v="18"/>
    <s v="Q3-2024"/>
    <s v="Americas → Brazil → Rio de Janeiro"/>
    <s v="Monitors"/>
    <s v="Medium"/>
    <x v="0"/>
    <x v="18"/>
  </r>
  <r>
    <x v="354"/>
    <s v="Original"/>
    <x v="258"/>
    <d v="2024-07-22T00:00:00"/>
    <n v="7"/>
    <x v="3"/>
    <x v="11"/>
    <s v="Tokyo"/>
    <s v="Small Business"/>
    <x v="4"/>
    <x v="6"/>
    <x v="3"/>
    <x v="354"/>
    <n v="801.77"/>
    <n v="1218.92"/>
    <n v="0.254"/>
    <n v="16"/>
    <n v="14549.029120000001"/>
    <n v="12828.32"/>
    <n v="1720.7091200000013"/>
    <n v="0.11826968698788344"/>
    <x v="18"/>
    <x v="18"/>
    <s v="Q3-2024"/>
    <s v="Asia → Japan → Tokyo"/>
    <s v="Accessories"/>
    <s v="Medium"/>
    <x v="2"/>
    <x v="16"/>
  </r>
  <r>
    <x v="355"/>
    <s v="Original"/>
    <x v="259"/>
    <d v="2024-08-07T00:00:00"/>
    <n v="20"/>
    <x v="2"/>
    <x v="2"/>
    <s v="Marseille"/>
    <s v="Corporate"/>
    <x v="3"/>
    <x v="7"/>
    <x v="5"/>
    <x v="355"/>
    <n v="941.35"/>
    <n v="899.83"/>
    <n v="5.8000000000000003E-2"/>
    <n v="18"/>
    <n v="15257.51748"/>
    <n v="16944.3"/>
    <n v="-1686.7825199999988"/>
    <n v="-0.11055419220139073"/>
    <x v="18"/>
    <x v="18"/>
    <s v="Q3-2024"/>
    <s v="Europe → France → Marseille"/>
    <s v="Monitors"/>
    <s v="Medium"/>
    <x v="0"/>
    <x v="18"/>
  </r>
  <r>
    <x v="356"/>
    <s v="Original"/>
    <x v="260"/>
    <d v="2024-07-26T00:00:00"/>
    <n v="7"/>
    <x v="1"/>
    <x v="7"/>
    <s v="Kisumu"/>
    <s v="Small Business"/>
    <x v="3"/>
    <x v="1"/>
    <x v="2"/>
    <x v="356"/>
    <n v="857.24"/>
    <n v="758.23"/>
    <n v="0.125"/>
    <n v="6"/>
    <n v="3980.7075"/>
    <n v="5143.4400000000005"/>
    <n v="-1162.7325000000005"/>
    <n v="-0.29209192084572921"/>
    <x v="18"/>
    <x v="18"/>
    <s v="Q3-2024"/>
    <s v="Africa → Kenya → Kisumu"/>
    <s v="Phones"/>
    <s v="Low"/>
    <x v="0"/>
    <x v="18"/>
  </r>
  <r>
    <x v="357"/>
    <s v="Original"/>
    <x v="261"/>
    <d v="2024-08-08T00:00:00"/>
    <n v="15"/>
    <x v="2"/>
    <x v="2"/>
    <s v="Marseille"/>
    <s v="Enterprise"/>
    <x v="4"/>
    <x v="4"/>
    <x v="0"/>
    <x v="357"/>
    <n v="501.5"/>
    <n v="1201.47"/>
    <n v="0.126"/>
    <n v="5"/>
    <n v="5250.4239000000007"/>
    <n v="2507.5"/>
    <n v="2742.9239000000007"/>
    <n v="0.52241951359394057"/>
    <x v="18"/>
    <x v="18"/>
    <s v="Q3-2024"/>
    <s v="Europe → France → Marseille"/>
    <s v="Laptops"/>
    <s v="Medium"/>
    <x v="0"/>
    <x v="18"/>
  </r>
  <r>
    <x v="358"/>
    <s v="Original"/>
    <x v="262"/>
    <d v="2024-08-01T00:00:00"/>
    <n v="7"/>
    <x v="1"/>
    <x v="7"/>
    <s v="Mombasa"/>
    <s v="Non-Profit"/>
    <x v="2"/>
    <x v="13"/>
    <x v="0"/>
    <x v="358"/>
    <n v="1494.4"/>
    <n v="3661.07"/>
    <n v="7.1999999999999995E-2"/>
    <n v="7"/>
    <n v="23782.310720000001"/>
    <n v="10460.800000000001"/>
    <n v="13321.51072"/>
    <n v="0.56014366630897339"/>
    <x v="18"/>
    <x v="18"/>
    <s v="Q3-2024"/>
    <s v="Africa → Kenya → Mombasa"/>
    <s v="Laptops"/>
    <s v="High"/>
    <x v="0"/>
    <x v="18"/>
  </r>
  <r>
    <x v="359"/>
    <s v="Original"/>
    <x v="262"/>
    <d v="2024-08-02T00:00:00"/>
    <n v="8"/>
    <x v="0"/>
    <x v="0"/>
    <s v="Montreal"/>
    <s v="Consumer"/>
    <x v="2"/>
    <x v="13"/>
    <x v="3"/>
    <x v="359"/>
    <n v="986.81"/>
    <n v="2050.31"/>
    <n v="0.10299999999999999"/>
    <n v="43"/>
    <n v="79082.507010000001"/>
    <n v="42432.829999999994"/>
    <n v="36649.677010000007"/>
    <n v="0.46343595310358138"/>
    <x v="18"/>
    <x v="18"/>
    <s v="Q3-2024"/>
    <s v="Americas → Canada → Montreal"/>
    <s v="Accessories"/>
    <s v="High"/>
    <x v="0"/>
    <x v="18"/>
  </r>
  <r>
    <x v="360"/>
    <s v="Original"/>
    <x v="263"/>
    <d v="2024-08-23T00:00:00"/>
    <n v="26"/>
    <x v="3"/>
    <x v="10"/>
    <s v="Hyderabad"/>
    <s v="Corporate"/>
    <x v="3"/>
    <x v="13"/>
    <x v="4"/>
    <x v="360"/>
    <n v="1339.24"/>
    <n v="1558.89"/>
    <n v="0.192"/>
    <n v="24"/>
    <n v="30229.994880000002"/>
    <n v="32141.760000000002"/>
    <n v="-1911.76512"/>
    <n v="-6.3240669659021781E-2"/>
    <x v="18"/>
    <x v="18"/>
    <s v="Q3-2024"/>
    <s v="Asia → India → Hyderabad"/>
    <s v="Networking"/>
    <s v="Medium"/>
    <x v="1"/>
    <x v="17"/>
  </r>
  <r>
    <x v="361"/>
    <s v="Original"/>
    <x v="264"/>
    <d v="2024-07-31T00:00:00"/>
    <n v="2"/>
    <x v="0"/>
    <x v="4"/>
    <s v="New York"/>
    <s v="Education"/>
    <x v="4"/>
    <x v="12"/>
    <x v="1"/>
    <x v="361"/>
    <n v="798.97"/>
    <n v="1814.06"/>
    <n v="0.122"/>
    <n v="16"/>
    <n v="25483.91488"/>
    <n v="12783.52"/>
    <n v="12700.39488"/>
    <n v="0.49836906691159061"/>
    <x v="18"/>
    <x v="18"/>
    <s v="Q3-2024"/>
    <s v="Americas → USA → New York"/>
    <s v="Printers"/>
    <s v="High"/>
    <x v="0"/>
    <x v="18"/>
  </r>
  <r>
    <x v="362"/>
    <s v="Original"/>
    <x v="265"/>
    <d v="2024-08-15T00:00:00"/>
    <n v="15"/>
    <x v="3"/>
    <x v="11"/>
    <s v="Tokyo"/>
    <s v="Corporate"/>
    <x v="4"/>
    <x v="7"/>
    <x v="5"/>
    <x v="362"/>
    <n v="1252.52"/>
    <n v="1417.24"/>
    <n v="0.192"/>
    <n v="5"/>
    <n v="5725.6496000000006"/>
    <n v="6262.6"/>
    <n v="-536.95039999999972"/>
    <n v="-9.3779821943696953E-2"/>
    <x v="18"/>
    <x v="18"/>
    <s v="Q3-2024"/>
    <s v="Asia → Japan → Tokyo"/>
    <s v="Monitors"/>
    <s v="Medium"/>
    <x v="2"/>
    <x v="16"/>
  </r>
  <r>
    <x v="363"/>
    <s v="Original"/>
    <x v="266"/>
    <d v="2024-08-09T00:00:00"/>
    <n v="6"/>
    <x v="1"/>
    <x v="7"/>
    <s v="Mombasa"/>
    <s v="Consumer"/>
    <x v="4"/>
    <x v="4"/>
    <x v="0"/>
    <x v="363"/>
    <n v="643.21"/>
    <n v="1112.81"/>
    <n v="0.14099999999999999"/>
    <n v="4"/>
    <n v="3823.6151599999998"/>
    <n v="2572.84"/>
    <n v="1250.7751599999997"/>
    <n v="0.32711847496702562"/>
    <x v="19"/>
    <x v="19"/>
    <s v="Q3-2024"/>
    <s v="Africa → Kenya → Mombasa"/>
    <s v="Laptops"/>
    <s v="Medium"/>
    <x v="0"/>
    <x v="19"/>
  </r>
  <r>
    <x v="364"/>
    <s v="Original"/>
    <x v="267"/>
    <d v="2024-08-17T00:00:00"/>
    <n v="13"/>
    <x v="0"/>
    <x v="4"/>
    <s v="Austin"/>
    <s v="Consumer"/>
    <x v="3"/>
    <x v="2"/>
    <x v="5"/>
    <x v="364"/>
    <n v="352.79"/>
    <n v="754.22"/>
    <n v="0.113"/>
    <n v="7"/>
    <n v="4682.9519799999998"/>
    <n v="2469.5300000000002"/>
    <n v="2213.4219799999996"/>
    <n v="0.47265528014233443"/>
    <x v="19"/>
    <x v="19"/>
    <s v="Q3-2024"/>
    <s v="Americas → USA → Austin"/>
    <s v="Monitors"/>
    <s v="Low"/>
    <x v="0"/>
    <x v="19"/>
  </r>
  <r>
    <x v="365"/>
    <s v="Original"/>
    <x v="268"/>
    <d v="2024-08-17T00:00:00"/>
    <n v="10"/>
    <x v="3"/>
    <x v="11"/>
    <s v="Osaka"/>
    <s v="Consumer"/>
    <x v="1"/>
    <x v="10"/>
    <x v="4"/>
    <x v="365"/>
    <n v="436.58"/>
    <n v="527.48"/>
    <n v="0.111"/>
    <n v="19"/>
    <n v="8909.6646800000017"/>
    <n v="8295.02"/>
    <n v="614.64468000000124"/>
    <n v="6.8986286473802644E-2"/>
    <x v="19"/>
    <x v="19"/>
    <s v="Q3-2024"/>
    <s v="Asia → Japan → Osaka"/>
    <s v="Networking"/>
    <s v="Low"/>
    <x v="2"/>
    <x v="17"/>
  </r>
  <r>
    <x v="366"/>
    <s v="Original"/>
    <x v="269"/>
    <d v="2024-08-20T00:00:00"/>
    <n v="12"/>
    <x v="3"/>
    <x v="11"/>
    <s v="Osaka"/>
    <s v="Small Business"/>
    <x v="3"/>
    <x v="4"/>
    <x v="4"/>
    <x v="366"/>
    <n v="1233.3599999999999"/>
    <n v="2120.4"/>
    <n v="0.17899999999999999"/>
    <n v="20"/>
    <n v="34816.968000000001"/>
    <n v="24667.199999999997"/>
    <n v="10149.768000000004"/>
    <n v="0.29151785991244278"/>
    <x v="19"/>
    <x v="19"/>
    <s v="Q3-2024"/>
    <s v="Asia → Japan → Osaka"/>
    <s v="Networking"/>
    <s v="High"/>
    <x v="2"/>
    <x v="17"/>
  </r>
  <r>
    <x v="367"/>
    <s v="Original"/>
    <x v="270"/>
    <d v="2024-09-07T00:00:00"/>
    <n v="28"/>
    <x v="2"/>
    <x v="2"/>
    <s v="Marseille"/>
    <s v="Non-Profit"/>
    <x v="2"/>
    <x v="7"/>
    <x v="1"/>
    <x v="367"/>
    <n v="229.96"/>
    <n v="564.26"/>
    <n v="0.105"/>
    <n v="5"/>
    <n v="2525.0635000000002"/>
    <n v="1149.8"/>
    <n v="1375.2635000000002"/>
    <n v="0.54464511486542821"/>
    <x v="19"/>
    <x v="19"/>
    <s v="Q3-2024"/>
    <s v="Europe → France → Marseille"/>
    <s v="Printers"/>
    <s v="Low"/>
    <x v="0"/>
    <x v="19"/>
  </r>
  <r>
    <x v="368"/>
    <s v="Original"/>
    <x v="271"/>
    <d v="2024-09-03T00:00:00"/>
    <n v="22"/>
    <x v="0"/>
    <x v="4"/>
    <s v="Austin"/>
    <s v="Consumer"/>
    <x v="0"/>
    <x v="12"/>
    <x v="0"/>
    <x v="368"/>
    <n v="797.8"/>
    <n v="886.22"/>
    <n v="0.23599999999999999"/>
    <n v="36"/>
    <n v="24374.594880000001"/>
    <n v="28720.799999999999"/>
    <n v="-4346.2051199999987"/>
    <n v="-0.17830881462428633"/>
    <x v="19"/>
    <x v="19"/>
    <s v="Q3-2024"/>
    <s v="Americas → USA → Austin"/>
    <s v="Laptops"/>
    <s v="Medium"/>
    <x v="0"/>
    <x v="19"/>
  </r>
  <r>
    <x v="369"/>
    <s v="Original"/>
    <x v="271"/>
    <d v="2024-08-15T00:00:00"/>
    <n v="3"/>
    <x v="0"/>
    <x v="4"/>
    <s v="Chicago"/>
    <s v="Corporate"/>
    <x v="4"/>
    <x v="2"/>
    <x v="1"/>
    <x v="369"/>
    <n v="850.7"/>
    <n v="1118.56"/>
    <n v="0.18"/>
    <n v="19"/>
    <n v="17427.164800000002"/>
    <n v="16163.300000000001"/>
    <n v="1263.8648000000012"/>
    <n v="7.2522685962090688E-2"/>
    <x v="19"/>
    <x v="19"/>
    <s v="Q3-2024"/>
    <s v="Americas → USA → Chicago"/>
    <s v="Printers"/>
    <s v="Medium"/>
    <x v="0"/>
    <x v="19"/>
  </r>
  <r>
    <x v="370"/>
    <s v="Original"/>
    <x v="272"/>
    <d v="2024-09-04T00:00:00"/>
    <n v="21"/>
    <x v="2"/>
    <x v="6"/>
    <s v="Manchester"/>
    <s v="Non-Profit"/>
    <x v="1"/>
    <x v="13"/>
    <x v="2"/>
    <x v="370"/>
    <n v="1138.8"/>
    <n v="2250.81"/>
    <n v="0.123"/>
    <n v="12"/>
    <n v="23687.524440000001"/>
    <n v="13665.599999999999"/>
    <n v="10021.924440000003"/>
    <n v="0.42308872188756258"/>
    <x v="19"/>
    <x v="19"/>
    <s v="Q3-2024"/>
    <s v="Europe → United Kingdom → Manchester"/>
    <s v="Phones"/>
    <s v="High"/>
    <x v="0"/>
    <x v="19"/>
  </r>
  <r>
    <x v="371"/>
    <s v="Original"/>
    <x v="273"/>
    <d v="2024-08-26T00:00:00"/>
    <n v="10"/>
    <x v="0"/>
    <x v="4"/>
    <s v="Chicago"/>
    <s v="Corporate"/>
    <x v="0"/>
    <x v="9"/>
    <x v="0"/>
    <x v="174"/>
    <n v="1291.7"/>
    <n v="2657.84"/>
    <n v="8.6999999999999994E-2"/>
    <n v="21"/>
    <n v="50958.766320000002"/>
    <n v="27125.7"/>
    <n v="23833.066320000002"/>
    <n v="0.46769315745083367"/>
    <x v="19"/>
    <x v="19"/>
    <s v="Q3-2024"/>
    <s v="Americas → USA → Chicago"/>
    <s v="Laptops"/>
    <s v="High"/>
    <x v="0"/>
    <x v="19"/>
  </r>
  <r>
    <x v="372"/>
    <s v="Original"/>
    <x v="274"/>
    <d v="2024-08-23T00:00:00"/>
    <n v="6"/>
    <x v="0"/>
    <x v="9"/>
    <s v="Rio de Janeiro"/>
    <s v="Consumer"/>
    <x v="2"/>
    <x v="3"/>
    <x v="5"/>
    <x v="371"/>
    <n v="165.3"/>
    <n v="275.07"/>
    <n v="0.13300000000000001"/>
    <n v="25"/>
    <n v="5962.1422499999999"/>
    <n v="4132.5"/>
    <n v="1829.6422499999999"/>
    <n v="0.30687665159280625"/>
    <x v="19"/>
    <x v="19"/>
    <s v="Q3-2024"/>
    <s v="Americas → Brazil → Rio de Janeiro"/>
    <s v="Monitors"/>
    <s v="Low"/>
    <x v="0"/>
    <x v="19"/>
  </r>
  <r>
    <x v="373"/>
    <s v="Original"/>
    <x v="275"/>
    <d v="2024-09-12T00:00:00"/>
    <n v="25"/>
    <x v="3"/>
    <x v="10"/>
    <s v="Mumbai"/>
    <s v="Consumer"/>
    <x v="4"/>
    <x v="11"/>
    <x v="2"/>
    <x v="372"/>
    <n v="1154.03"/>
    <n v="1590.36"/>
    <n v="0.3"/>
    <n v="18"/>
    <n v="20038.536"/>
    <n v="20772.54"/>
    <n v="-734.00400000000081"/>
    <n v="-3.6629622044245191E-2"/>
    <x v="19"/>
    <x v="19"/>
    <s v="Q3-2024"/>
    <s v="Asia → India → Mumbai"/>
    <s v="Phones"/>
    <s v="Medium"/>
    <x v="1"/>
    <x v="18"/>
  </r>
  <r>
    <x v="374"/>
    <s v="Original"/>
    <x v="276"/>
    <d v="2024-09-07T00:00:00"/>
    <n v="19"/>
    <x v="2"/>
    <x v="2"/>
    <s v="Lyon"/>
    <s v="Corporate"/>
    <x v="2"/>
    <x v="13"/>
    <x v="6"/>
    <x v="373"/>
    <n v="297.58999999999997"/>
    <n v="666.41"/>
    <n v="0"/>
    <n v="10"/>
    <n v="6664.0999999999995"/>
    <n v="2975.8999999999996"/>
    <n v="3688.2"/>
    <n v="0.55344307558409989"/>
    <x v="19"/>
    <x v="19"/>
    <s v="Q3-2024"/>
    <s v="Europe → France → Lyon"/>
    <s v="Components"/>
    <s v="Low"/>
    <x v="0"/>
    <x v="19"/>
  </r>
  <r>
    <x v="375"/>
    <s v="Original"/>
    <x v="276"/>
    <d v="2024-09-02T00:00:00"/>
    <n v="14"/>
    <x v="0"/>
    <x v="0"/>
    <s v="Toronto"/>
    <s v="Consumer"/>
    <x v="0"/>
    <x v="11"/>
    <x v="1"/>
    <x v="374"/>
    <n v="1337.01"/>
    <n v="1269.78"/>
    <n v="0.16"/>
    <n v="7"/>
    <n v="7466.3063999999986"/>
    <n v="9359.07"/>
    <n v="-1892.7636000000011"/>
    <n v="-0.25350735672996244"/>
    <x v="19"/>
    <x v="19"/>
    <s v="Q3-2024"/>
    <s v="Americas → Canada → Toronto"/>
    <s v="Printers"/>
    <s v="Medium"/>
    <x v="0"/>
    <x v="19"/>
  </r>
  <r>
    <x v="376"/>
    <s v="Original"/>
    <x v="277"/>
    <d v="2024-09-04T00:00:00"/>
    <n v="13"/>
    <x v="2"/>
    <x v="8"/>
    <s v="Frankfurt"/>
    <s v="Non-Profit"/>
    <x v="3"/>
    <x v="9"/>
    <x v="1"/>
    <x v="375"/>
    <n v="90.04"/>
    <n v="194.62"/>
    <n v="4.2999999999999997E-2"/>
    <n v="32"/>
    <n v="5960.04288"/>
    <n v="2881.28"/>
    <n v="3078.7628799999998"/>
    <n v="0.51656723650954672"/>
    <x v="19"/>
    <x v="19"/>
    <s v="Q3-2024"/>
    <s v="Europe → Germany → Frankfurt"/>
    <s v="Printers"/>
    <s v="Low"/>
    <x v="0"/>
    <x v="19"/>
  </r>
  <r>
    <x v="377"/>
    <s v="Original"/>
    <x v="278"/>
    <d v="2024-08-30T00:00:00"/>
    <n v="7"/>
    <x v="1"/>
    <x v="1"/>
    <s v="Johannesburg"/>
    <s v="Education"/>
    <x v="3"/>
    <x v="14"/>
    <x v="6"/>
    <x v="376"/>
    <n v="1432.52"/>
    <n v="3036.87"/>
    <n v="0"/>
    <n v="9"/>
    <n v="27331.829999999998"/>
    <n v="12892.68"/>
    <n v="14439.149999999998"/>
    <n v="0.52829064135112791"/>
    <x v="19"/>
    <x v="19"/>
    <s v="Q3-2024"/>
    <s v="Africa → South Africa → Johannesburg"/>
    <s v="Components"/>
    <s v="High"/>
    <x v="0"/>
    <x v="19"/>
  </r>
  <r>
    <x v="378"/>
    <s v="Original"/>
    <x v="279"/>
    <d v="2024-09-19T00:00:00"/>
    <n v="23"/>
    <x v="2"/>
    <x v="8"/>
    <s v="Berlin"/>
    <s v="Small Business"/>
    <x v="2"/>
    <x v="2"/>
    <x v="5"/>
    <x v="377"/>
    <n v="1024.01"/>
    <n v="1580.97"/>
    <n v="3.6999999999999998E-2"/>
    <n v="27"/>
    <n v="41106.800970000004"/>
    <n v="27648.27"/>
    <n v="13458.530970000003"/>
    <n v="0.3274039976942531"/>
    <x v="19"/>
    <x v="19"/>
    <s v="Q3-2024"/>
    <s v="Europe → Germany → Berlin"/>
    <s v="Monitors"/>
    <s v="Medium"/>
    <x v="0"/>
    <x v="19"/>
  </r>
  <r>
    <x v="379"/>
    <s v="Original"/>
    <x v="279"/>
    <d v="2024-09-18T00:00:00"/>
    <n v="22"/>
    <x v="3"/>
    <x v="10"/>
    <s v="Delhi"/>
    <s v="Consumer"/>
    <x v="2"/>
    <x v="0"/>
    <x v="6"/>
    <x v="378"/>
    <n v="896.75"/>
    <n v="1651.14"/>
    <n v="2.5000000000000001E-2"/>
    <n v="15"/>
    <n v="24147.922500000001"/>
    <n v="13451.25"/>
    <n v="10696.672500000001"/>
    <n v="0.44296450346815552"/>
    <x v="19"/>
    <x v="19"/>
    <s v="Q3-2024"/>
    <s v="Asia → India → Delhi"/>
    <s v="Components"/>
    <s v="High"/>
    <x v="1"/>
    <x v="18"/>
  </r>
  <r>
    <x v="380"/>
    <s v="Original"/>
    <x v="280"/>
    <d v="2024-09-25T00:00:00"/>
    <n v="28"/>
    <x v="0"/>
    <x v="9"/>
    <s v="Rio de Janeiro"/>
    <s v="Non-Profit"/>
    <x v="1"/>
    <x v="15"/>
    <x v="3"/>
    <x v="379"/>
    <n v="1394.65"/>
    <n v="3144.1"/>
    <n v="0.13400000000000001"/>
    <n v="13"/>
    <n v="35396.277799999996"/>
    <n v="18130.45"/>
    <n v="17265.827799999995"/>
    <n v="0.4877865378263021"/>
    <x v="19"/>
    <x v="19"/>
    <s v="Q3-2024"/>
    <s v="Americas → Brazil → Rio de Janeiro"/>
    <s v="Accessories"/>
    <s v="High"/>
    <x v="0"/>
    <x v="19"/>
  </r>
  <r>
    <x v="381"/>
    <s v="Original"/>
    <x v="281"/>
    <d v="2024-09-05T00:00:00"/>
    <n v="6"/>
    <x v="3"/>
    <x v="11"/>
    <s v="Nagoya"/>
    <s v="Education"/>
    <x v="1"/>
    <x v="8"/>
    <x v="0"/>
    <x v="380"/>
    <n v="466.16"/>
    <n v="876.81"/>
    <n v="0.24099999999999999"/>
    <n v="8"/>
    <n v="5323.9903199999999"/>
    <n v="3729.28"/>
    <n v="1594.7103199999997"/>
    <n v="0.29953291124691594"/>
    <x v="19"/>
    <x v="19"/>
    <s v="Q3-2024"/>
    <s v="Asia → Japan → Nagoya"/>
    <s v="Laptops"/>
    <s v="Medium"/>
    <x v="2"/>
    <x v="17"/>
  </r>
  <r>
    <x v="382"/>
    <s v="Original"/>
    <x v="282"/>
    <d v="2024-09-26T00:00:00"/>
    <n v="26"/>
    <x v="3"/>
    <x v="11"/>
    <s v="Tokyo"/>
    <s v="Education"/>
    <x v="1"/>
    <x v="12"/>
    <x v="2"/>
    <x v="381"/>
    <n v="1189.03"/>
    <n v="2949.62"/>
    <n v="0.125"/>
    <n v="13"/>
    <n v="33551.927499999998"/>
    <n v="15457.39"/>
    <n v="18094.537499999999"/>
    <n v="0.53929949330034765"/>
    <x v="19"/>
    <x v="19"/>
    <s v="Q3-2024"/>
    <s v="Asia → Japan → Tokyo"/>
    <s v="Phones"/>
    <s v="High"/>
    <x v="2"/>
    <x v="17"/>
  </r>
  <r>
    <x v="383"/>
    <s v="Original"/>
    <x v="283"/>
    <d v="2024-09-08T00:00:00"/>
    <n v="6"/>
    <x v="0"/>
    <x v="4"/>
    <s v="Austin"/>
    <s v="Consumer"/>
    <x v="2"/>
    <x v="4"/>
    <x v="6"/>
    <x v="382"/>
    <n v="462.94"/>
    <n v="1015.7"/>
    <n v="0.14299999999999999"/>
    <n v="14"/>
    <n v="12186.368600000002"/>
    <n v="6481.16"/>
    <n v="5705.2086000000018"/>
    <n v="0.46816314090483041"/>
    <x v="20"/>
    <x v="20"/>
    <s v="Q3-2024"/>
    <s v="Americas → USA → Austin"/>
    <s v="Components"/>
    <s v="Medium"/>
    <x v="0"/>
    <x v="20"/>
  </r>
  <r>
    <x v="384"/>
    <s v="Original"/>
    <x v="284"/>
    <d v="2024-09-08T00:00:00"/>
    <n v="5"/>
    <x v="1"/>
    <x v="5"/>
    <s v="Lagos"/>
    <s v="Small Business"/>
    <x v="2"/>
    <x v="10"/>
    <x v="1"/>
    <x v="383"/>
    <n v="197.63"/>
    <n v="325.79000000000002"/>
    <n v="0.11600000000000001"/>
    <n v="10"/>
    <n v="2879.9836"/>
    <n v="1976.3"/>
    <n v="903.68360000000007"/>
    <n v="0.31378081458519419"/>
    <x v="20"/>
    <x v="20"/>
    <s v="Q3-2024"/>
    <s v="Africa → Nigeria → Lagos"/>
    <s v="Printers"/>
    <s v="Low"/>
    <x v="0"/>
    <x v="20"/>
  </r>
  <r>
    <x v="385"/>
    <s v="Original"/>
    <x v="284"/>
    <d v="2024-09-07T00:00:00"/>
    <n v="4"/>
    <x v="3"/>
    <x v="11"/>
    <s v="Tokyo"/>
    <s v="Small Business"/>
    <x v="0"/>
    <x v="8"/>
    <x v="1"/>
    <x v="384"/>
    <n v="43.23"/>
    <n v="94.78"/>
    <n v="9.0999999999999998E-2"/>
    <n v="55"/>
    <n v="4738.5261"/>
    <n v="2377.6499999999996"/>
    <n v="2360.8761000000004"/>
    <n v="0.49823005090127082"/>
    <x v="20"/>
    <x v="20"/>
    <s v="Q3-2024"/>
    <s v="Asia → Japan → Tokyo"/>
    <s v="Printers"/>
    <s v="Low"/>
    <x v="2"/>
    <x v="18"/>
  </r>
  <r>
    <x v="386"/>
    <s v="Original"/>
    <x v="285"/>
    <d v="2024-09-25T00:00:00"/>
    <n v="20"/>
    <x v="3"/>
    <x v="11"/>
    <s v="Osaka"/>
    <s v="Enterprise"/>
    <x v="0"/>
    <x v="2"/>
    <x v="5"/>
    <x v="385"/>
    <n v="195.54"/>
    <n v="405.97"/>
    <n v="0.187"/>
    <n v="16"/>
    <n v="5280.8577599999999"/>
    <n v="3128.64"/>
    <n v="2152.21776"/>
    <n v="0.40755079152141377"/>
    <x v="20"/>
    <x v="20"/>
    <s v="Q3-2024"/>
    <s v="Asia → Japan → Osaka"/>
    <s v="Monitors"/>
    <s v="Low"/>
    <x v="2"/>
    <x v="18"/>
  </r>
  <r>
    <x v="387"/>
    <s v="Original"/>
    <x v="286"/>
    <d v="2024-10-04T00:00:00"/>
    <n v="28"/>
    <x v="1"/>
    <x v="1"/>
    <s v="Cape Town"/>
    <s v="Corporate"/>
    <x v="4"/>
    <x v="2"/>
    <x v="5"/>
    <x v="386"/>
    <n v="1174.17"/>
    <n v="1641.61"/>
    <n v="0.122"/>
    <n v="9"/>
    <n v="12972.00222"/>
    <n v="10567.53"/>
    <n v="2404.4722199999997"/>
    <n v="0.18535860380079394"/>
    <x v="20"/>
    <x v="20"/>
    <s v="Q3-2024"/>
    <s v="Africa → South Africa → Cape Town"/>
    <s v="Monitors"/>
    <s v="High"/>
    <x v="0"/>
    <x v="20"/>
  </r>
  <r>
    <x v="388"/>
    <s v="Original"/>
    <x v="286"/>
    <d v="2024-09-13T00:00:00"/>
    <n v="7"/>
    <x v="3"/>
    <x v="11"/>
    <s v="Osaka"/>
    <s v="Corporate"/>
    <x v="2"/>
    <x v="1"/>
    <x v="0"/>
    <x v="387"/>
    <n v="1368.17"/>
    <n v="2307.75"/>
    <n v="0.16300000000000001"/>
    <n v="21"/>
    <n v="40563.321749999996"/>
    <n v="28731.57"/>
    <n v="11831.751749999996"/>
    <n v="0.29168596750831921"/>
    <x v="20"/>
    <x v="20"/>
    <s v="Q3-2024"/>
    <s v="Asia → Japan → Osaka"/>
    <s v="Laptops"/>
    <s v="High"/>
    <x v="2"/>
    <x v="18"/>
  </r>
  <r>
    <x v="389"/>
    <s v="Original"/>
    <x v="287"/>
    <d v="2024-09-13T00:00:00"/>
    <n v="6"/>
    <x v="3"/>
    <x v="10"/>
    <s v="Mumbai"/>
    <s v="Education"/>
    <x v="0"/>
    <x v="0"/>
    <x v="4"/>
    <x v="388"/>
    <n v="1066.6500000000001"/>
    <n v="2569.77"/>
    <n v="0.13400000000000001"/>
    <n v="9"/>
    <n v="20028.787380000002"/>
    <n v="9599.85"/>
    <n v="10428.937380000001"/>
    <n v="0.52069739331368348"/>
    <x v="20"/>
    <x v="20"/>
    <s v="Q3-2024"/>
    <s v="Asia → India → Mumbai"/>
    <s v="Networking"/>
    <s v="High"/>
    <x v="1"/>
    <x v="19"/>
  </r>
  <r>
    <x v="390"/>
    <s v="Original"/>
    <x v="287"/>
    <d v="2024-09-18T00:00:00"/>
    <n v="11"/>
    <x v="3"/>
    <x v="3"/>
    <s v="Beijing"/>
    <s v="Consumer"/>
    <x v="0"/>
    <x v="5"/>
    <x v="4"/>
    <x v="389"/>
    <n v="181.74"/>
    <n v="190.84"/>
    <n v="0.214"/>
    <n v="13"/>
    <n v="1950.0031200000001"/>
    <n v="2362.62"/>
    <n v="-412.61687999999981"/>
    <n v="-0.21159806144310159"/>
    <x v="20"/>
    <x v="20"/>
    <s v="Q3-2024"/>
    <s v="Asia → China → Beijing"/>
    <s v="Networking"/>
    <s v="Low"/>
    <x v="0"/>
    <x v="20"/>
  </r>
  <r>
    <x v="391"/>
    <s v="Original"/>
    <x v="288"/>
    <d v="2024-10-01T00:00:00"/>
    <n v="22"/>
    <x v="3"/>
    <x v="3"/>
    <s v="Shenzhen"/>
    <s v="Consumer"/>
    <x v="2"/>
    <x v="9"/>
    <x v="1"/>
    <x v="390"/>
    <n v="1166.18"/>
    <n v="1335.02"/>
    <n v="0.128"/>
    <n v="6"/>
    <n v="6984.8246399999998"/>
    <n v="6997.08"/>
    <n v="-12.25536000000011"/>
    <n v="-1.7545694604582242E-3"/>
    <x v="20"/>
    <x v="20"/>
    <s v="Q3-2024"/>
    <s v="Asia → China → Shenzhen"/>
    <s v="Printers"/>
    <s v="Medium"/>
    <x v="0"/>
    <x v="20"/>
  </r>
  <r>
    <x v="392"/>
    <s v="Original"/>
    <x v="288"/>
    <d v="2024-10-08T00:00:00"/>
    <n v="29"/>
    <x v="0"/>
    <x v="9"/>
    <s v="São Paulo"/>
    <s v="Education"/>
    <x v="2"/>
    <x v="13"/>
    <x v="6"/>
    <x v="391"/>
    <n v="1010.33"/>
    <n v="2492.14"/>
    <n v="5.0999999999999997E-2"/>
    <n v="11"/>
    <n v="26015.449459999996"/>
    <n v="11113.630000000001"/>
    <n v="14901.819459999995"/>
    <n v="0.57280653493656752"/>
    <x v="20"/>
    <x v="20"/>
    <s v="Q3-2024"/>
    <s v="Americas → Brazil → São Paulo"/>
    <s v="Components"/>
    <s v="High"/>
    <x v="0"/>
    <x v="20"/>
  </r>
  <r>
    <x v="393"/>
    <s v="Original"/>
    <x v="288"/>
    <d v="2024-09-13T00:00:00"/>
    <n v="4"/>
    <x v="2"/>
    <x v="6"/>
    <s v="London"/>
    <s v="Consumer"/>
    <x v="4"/>
    <x v="7"/>
    <x v="4"/>
    <x v="392"/>
    <n v="1133.08"/>
    <n v="976.17"/>
    <n v="4.2000000000000003E-2"/>
    <n v="27"/>
    <n v="25249.613219999999"/>
    <n v="30593.159999999996"/>
    <n v="-5343.5467799999969"/>
    <n v="-0.21162885678452373"/>
    <x v="20"/>
    <x v="20"/>
    <s v="Q3-2024"/>
    <s v="Europe → United Kingdom → London"/>
    <s v="Networking"/>
    <s v="Medium"/>
    <x v="0"/>
    <x v="20"/>
  </r>
  <r>
    <x v="394"/>
    <s v="Original"/>
    <x v="289"/>
    <d v="2024-10-07T00:00:00"/>
    <n v="27"/>
    <x v="1"/>
    <x v="7"/>
    <s v="Kisumu"/>
    <s v="Consumer"/>
    <x v="3"/>
    <x v="9"/>
    <x v="1"/>
    <x v="393"/>
    <n v="1248.3900000000001"/>
    <n v="1805.11"/>
    <n v="0.20300000000000001"/>
    <n v="11"/>
    <n v="15825.399369999997"/>
    <n v="13732.29"/>
    <n v="2093.1093699999965"/>
    <n v="0.13226265707820786"/>
    <x v="20"/>
    <x v="20"/>
    <s v="Q3-2024"/>
    <s v="Africa → Kenya → Kisumu"/>
    <s v="Printers"/>
    <s v="High"/>
    <x v="0"/>
    <x v="20"/>
  </r>
  <r>
    <x v="395"/>
    <s v="Original"/>
    <x v="290"/>
    <d v="2024-10-02T00:00:00"/>
    <n v="19"/>
    <x v="1"/>
    <x v="7"/>
    <s v="Mombasa"/>
    <s v="Small Business"/>
    <x v="3"/>
    <x v="3"/>
    <x v="2"/>
    <x v="394"/>
    <n v="1338.99"/>
    <n v="1765.76"/>
    <n v="0.126"/>
    <n v="24"/>
    <n v="37038.581760000001"/>
    <n v="32135.760000000002"/>
    <n v="4902.8217599999989"/>
    <n v="0.1323706666677725"/>
    <x v="20"/>
    <x v="20"/>
    <s v="Q3-2024"/>
    <s v="Africa → Kenya → Mombasa"/>
    <s v="Phones"/>
    <s v="High"/>
    <x v="0"/>
    <x v="20"/>
  </r>
  <r>
    <x v="396"/>
    <s v="Original"/>
    <x v="291"/>
    <d v="2024-10-05T00:00:00"/>
    <n v="21"/>
    <x v="3"/>
    <x v="3"/>
    <s v="Shanghai"/>
    <s v="Small Business"/>
    <x v="1"/>
    <x v="4"/>
    <x v="0"/>
    <x v="395"/>
    <n v="1405.56"/>
    <n v="2968.87"/>
    <n v="0.16900000000000001"/>
    <n v="5"/>
    <n v="12335.654849999999"/>
    <n v="7027.7999999999993"/>
    <n v="5307.8548499999997"/>
    <n v="0.4302856163327235"/>
    <x v="20"/>
    <x v="20"/>
    <s v="Q3-2024"/>
    <s v="Asia → China → Shanghai"/>
    <s v="Laptops"/>
    <s v="High"/>
    <x v="0"/>
    <x v="20"/>
  </r>
  <r>
    <x v="397"/>
    <s v="Original"/>
    <x v="292"/>
    <d v="2024-10-14T00:00:00"/>
    <n v="25"/>
    <x v="0"/>
    <x v="9"/>
    <s v="Rio de Janeiro"/>
    <s v="Small Business"/>
    <x v="3"/>
    <x v="10"/>
    <x v="1"/>
    <x v="396"/>
    <n v="386.96"/>
    <n v="937.46"/>
    <n v="0.26600000000000001"/>
    <n v="41"/>
    <n v="28211.92124"/>
    <n v="15865.359999999999"/>
    <n v="12346.561240000001"/>
    <n v="0.43763631462626335"/>
    <x v="20"/>
    <x v="20"/>
    <s v="Q3-2024"/>
    <s v="Americas → Brazil → Rio de Janeiro"/>
    <s v="Printers"/>
    <s v="Medium"/>
    <x v="0"/>
    <x v="20"/>
  </r>
  <r>
    <x v="398"/>
    <s v="Original"/>
    <x v="293"/>
    <d v="2024-10-01T00:00:00"/>
    <n v="9"/>
    <x v="0"/>
    <x v="9"/>
    <s v="São Paulo"/>
    <s v="Non-Profit"/>
    <x v="1"/>
    <x v="10"/>
    <x v="5"/>
    <x v="397"/>
    <n v="1378.8"/>
    <n v="1952.04"/>
    <n v="0.159"/>
    <n v="19"/>
    <n v="31191.64716"/>
    <n v="26197.200000000001"/>
    <n v="4994.4471599999997"/>
    <n v="0.16012130216723058"/>
    <x v="20"/>
    <x v="20"/>
    <s v="Q3-2024"/>
    <s v="Americas → Brazil → São Paulo"/>
    <s v="Monitors"/>
    <s v="High"/>
    <x v="0"/>
    <x v="20"/>
  </r>
  <r>
    <x v="399"/>
    <s v="Original"/>
    <x v="294"/>
    <d v="2024-10-18T00:00:00"/>
    <n v="25"/>
    <x v="0"/>
    <x v="0"/>
    <s v="Vancouver"/>
    <s v="Small Business"/>
    <x v="1"/>
    <x v="8"/>
    <x v="2"/>
    <x v="398"/>
    <n v="1297"/>
    <n v="2411.52"/>
    <n v="2.1000000000000001E-2"/>
    <n v="18"/>
    <n v="42495.805439999996"/>
    <n v="23346"/>
    <n v="19149.805439999996"/>
    <n v="0.45062813239385913"/>
    <x v="20"/>
    <x v="20"/>
    <s v="Q3-2024"/>
    <s v="Americas → Canada → Vancouver"/>
    <s v="Phones"/>
    <s v="High"/>
    <x v="0"/>
    <x v="20"/>
  </r>
  <r>
    <x v="400"/>
    <s v="Original"/>
    <x v="295"/>
    <d v="2024-10-03T00:00:00"/>
    <n v="8"/>
    <x v="0"/>
    <x v="0"/>
    <s v="Toronto"/>
    <s v="Consumer"/>
    <x v="1"/>
    <x v="14"/>
    <x v="1"/>
    <x v="399"/>
    <n v="558.19000000000005"/>
    <n v="1031.6400000000001"/>
    <n v="0"/>
    <n v="21"/>
    <n v="21664.440000000002"/>
    <n v="11721.990000000002"/>
    <n v="9942.4500000000007"/>
    <n v="0.45892947152107322"/>
    <x v="20"/>
    <x v="20"/>
    <s v="Q3-2024"/>
    <s v="Americas → Canada → Toronto"/>
    <s v="Printers"/>
    <s v="Medium"/>
    <x v="0"/>
    <x v="20"/>
  </r>
  <r>
    <x v="401"/>
    <s v="Original"/>
    <x v="296"/>
    <d v="2024-10-23T00:00:00"/>
    <n v="21"/>
    <x v="1"/>
    <x v="1"/>
    <s v="Durban"/>
    <s v="Corporate"/>
    <x v="4"/>
    <x v="1"/>
    <x v="6"/>
    <x v="400"/>
    <n v="1095.6099999999999"/>
    <n v="2366.5100000000002"/>
    <n v="0.152"/>
    <n v="9"/>
    <n v="18061.204320000004"/>
    <n v="9860.49"/>
    <n v="8200.7143200000046"/>
    <n v="0.4540513564158607"/>
    <x v="21"/>
    <x v="21"/>
    <s v="Q4-2024"/>
    <s v="Africa → South Africa → Durban"/>
    <s v="Components"/>
    <s v="High"/>
    <x v="0"/>
    <x v="21"/>
  </r>
  <r>
    <x v="402"/>
    <s v="Original"/>
    <x v="297"/>
    <d v="2024-10-11T00:00:00"/>
    <n v="8"/>
    <x v="3"/>
    <x v="3"/>
    <s v="Beijing"/>
    <s v="Enterprise"/>
    <x v="2"/>
    <x v="0"/>
    <x v="2"/>
    <x v="401"/>
    <n v="1132.6099999999999"/>
    <n v="2206.63"/>
    <n v="6.3E-2"/>
    <n v="20"/>
    <n v="41352.246200000009"/>
    <n v="22652.199999999997"/>
    <n v="18700.046200000012"/>
    <n v="0.45221355351671338"/>
    <x v="21"/>
    <x v="21"/>
    <s v="Q4-2024"/>
    <s v="Asia → China → Beijing"/>
    <s v="Phones"/>
    <s v="High"/>
    <x v="0"/>
    <x v="21"/>
  </r>
  <r>
    <x v="403"/>
    <s v="Original"/>
    <x v="298"/>
    <d v="2024-11-02T00:00:00"/>
    <n v="29"/>
    <x v="1"/>
    <x v="5"/>
    <s v="Abuja"/>
    <s v="Corporate"/>
    <x v="0"/>
    <x v="7"/>
    <x v="3"/>
    <x v="402"/>
    <n v="412.09"/>
    <n v="968.94"/>
    <n v="9.9000000000000005E-2"/>
    <n v="23"/>
    <n v="20079.343620000003"/>
    <n v="9478.07"/>
    <n v="10601.273620000004"/>
    <n v="0.52796913189137418"/>
    <x v="21"/>
    <x v="21"/>
    <s v="Q4-2024"/>
    <s v="Africa → Nigeria → Abuja"/>
    <s v="Accessories"/>
    <s v="Medium"/>
    <x v="0"/>
    <x v="21"/>
  </r>
  <r>
    <x v="404"/>
    <s v="Original"/>
    <x v="299"/>
    <d v="2024-10-15T00:00:00"/>
    <n v="7"/>
    <x v="2"/>
    <x v="6"/>
    <s v="London"/>
    <s v="Corporate"/>
    <x v="1"/>
    <x v="14"/>
    <x v="5"/>
    <x v="403"/>
    <n v="1108.1099999999999"/>
    <n v="2503.79"/>
    <n v="0.184"/>
    <n v="19"/>
    <n v="38818.760160000005"/>
    <n v="21054.089999999997"/>
    <n v="17764.670160000009"/>
    <n v="0.45763105485025896"/>
    <x v="21"/>
    <x v="21"/>
    <s v="Q4-2024"/>
    <s v="Europe → United Kingdom → London"/>
    <s v="Monitors"/>
    <s v="High"/>
    <x v="0"/>
    <x v="21"/>
  </r>
  <r>
    <x v="405"/>
    <s v="Original"/>
    <x v="300"/>
    <d v="2024-11-08T00:00:00"/>
    <n v="30"/>
    <x v="2"/>
    <x v="6"/>
    <s v="Manchester"/>
    <s v="Small Business"/>
    <x v="0"/>
    <x v="13"/>
    <x v="6"/>
    <x v="404"/>
    <n v="343.85"/>
    <n v="538.04"/>
    <n v="0.13900000000000001"/>
    <n v="5"/>
    <n v="2316.2621999999997"/>
    <n v="1719.25"/>
    <n v="597.01219999999967"/>
    <n v="0.25774810813732563"/>
    <x v="21"/>
    <x v="21"/>
    <s v="Q4-2024"/>
    <s v="Europe → United Kingdom → Manchester"/>
    <s v="Components"/>
    <s v="Low"/>
    <x v="0"/>
    <x v="21"/>
  </r>
  <r>
    <x v="406"/>
    <s v="Original"/>
    <x v="301"/>
    <d v="2024-10-11T00:00:00"/>
    <n v="1"/>
    <x v="2"/>
    <x v="6"/>
    <s v="Manchester"/>
    <s v="Non-Profit"/>
    <x v="0"/>
    <x v="9"/>
    <x v="6"/>
    <x v="405"/>
    <n v="1389.46"/>
    <n v="1784.7"/>
    <n v="0.14599999999999999"/>
    <n v="33"/>
    <n v="50296.415399999998"/>
    <n v="45852.18"/>
    <n v="4444.2353999999978"/>
    <n v="8.8360877503011831E-2"/>
    <x v="21"/>
    <x v="21"/>
    <s v="Q4-2024"/>
    <s v="Europe → United Kingdom → Manchester"/>
    <s v="Components"/>
    <s v="High"/>
    <x v="0"/>
    <x v="21"/>
  </r>
  <r>
    <x v="407"/>
    <s v="Original"/>
    <x v="302"/>
    <d v="2024-11-09T00:00:00"/>
    <n v="29"/>
    <x v="3"/>
    <x v="3"/>
    <s v="Shanghai"/>
    <s v="Non-Profit"/>
    <x v="1"/>
    <x v="7"/>
    <x v="1"/>
    <x v="406"/>
    <n v="391.64"/>
    <n v="504.76"/>
    <n v="4.0000000000000001E-3"/>
    <n v="13"/>
    <n v="6535.6324800000002"/>
    <n v="5091.32"/>
    <n v="1444.3124800000005"/>
    <n v="0.22099046793402319"/>
    <x v="21"/>
    <x v="21"/>
    <s v="Q4-2024"/>
    <s v="Asia → China → Shanghai"/>
    <s v="Printers"/>
    <s v="Low"/>
    <x v="0"/>
    <x v="21"/>
  </r>
  <r>
    <x v="408"/>
    <s v="Original"/>
    <x v="303"/>
    <d v="2024-10-24T00:00:00"/>
    <n v="11"/>
    <x v="2"/>
    <x v="2"/>
    <s v="Paris"/>
    <s v="Education"/>
    <x v="0"/>
    <x v="7"/>
    <x v="6"/>
    <x v="407"/>
    <n v="816.7"/>
    <n v="1010.75"/>
    <n v="4.7E-2"/>
    <n v="43"/>
    <n v="41419.524249999995"/>
    <n v="35118.1"/>
    <n v="6301.4242499999964"/>
    <n v="0.15213656757537472"/>
    <x v="21"/>
    <x v="21"/>
    <s v="Q4-2024"/>
    <s v="Europe → France → Paris"/>
    <s v="Components"/>
    <s v="Medium"/>
    <x v="0"/>
    <x v="21"/>
  </r>
  <r>
    <x v="409"/>
    <s v="Original"/>
    <x v="304"/>
    <d v="2024-11-08T00:00:00"/>
    <n v="25"/>
    <x v="1"/>
    <x v="5"/>
    <s v="Lagos"/>
    <s v="Enterprise"/>
    <x v="1"/>
    <x v="5"/>
    <x v="4"/>
    <x v="408"/>
    <n v="859.35"/>
    <n v="1825.61"/>
    <n v="0.187"/>
    <n v="24"/>
    <n v="35621.302319999995"/>
    <n v="20624.400000000001"/>
    <n v="14996.902319999994"/>
    <n v="0.42100937762681989"/>
    <x v="21"/>
    <x v="21"/>
    <s v="Q4-2024"/>
    <s v="Africa → Nigeria → Lagos"/>
    <s v="Networking"/>
    <s v="High"/>
    <x v="0"/>
    <x v="21"/>
  </r>
  <r>
    <x v="410"/>
    <s v="Original"/>
    <x v="305"/>
    <d v="2024-11-08T00:00:00"/>
    <n v="23"/>
    <x v="3"/>
    <x v="11"/>
    <s v="Osaka"/>
    <s v="Small Business"/>
    <x v="3"/>
    <x v="13"/>
    <x v="4"/>
    <x v="409"/>
    <n v="82.14"/>
    <n v="166.04"/>
    <n v="0"/>
    <n v="10"/>
    <n v="1660.3999999999999"/>
    <n v="821.4"/>
    <n v="838.99999999999989"/>
    <n v="0.50529992772825827"/>
    <x v="21"/>
    <x v="21"/>
    <s v="Q4-2024"/>
    <s v="Asia → Japan → Osaka"/>
    <s v="Networking"/>
    <s v="Low"/>
    <x v="2"/>
    <x v="19"/>
  </r>
  <r>
    <x v="411"/>
    <s v="Original"/>
    <x v="306"/>
    <d v="2024-11-06T00:00:00"/>
    <n v="20"/>
    <x v="3"/>
    <x v="10"/>
    <s v="Bengaluru"/>
    <s v="Enterprise"/>
    <x v="0"/>
    <x v="5"/>
    <x v="5"/>
    <x v="410"/>
    <n v="72.94"/>
    <n v="106.3"/>
    <n v="0.29499999999999998"/>
    <n v="8"/>
    <n v="599.53200000000004"/>
    <n v="583.52"/>
    <n v="16.012000000000057"/>
    <n v="2.6707498515508857E-2"/>
    <x v="21"/>
    <x v="21"/>
    <s v="Q4-2024"/>
    <s v="Asia → India → Bengaluru"/>
    <s v="Monitors"/>
    <s v="Low"/>
    <x v="1"/>
    <x v="20"/>
  </r>
  <r>
    <x v="412"/>
    <s v="Original"/>
    <x v="307"/>
    <d v="2024-11-06T00:00:00"/>
    <n v="18"/>
    <x v="0"/>
    <x v="4"/>
    <s v="Chicago"/>
    <s v="Education"/>
    <x v="5"/>
    <x v="11"/>
    <x v="5"/>
    <x v="411"/>
    <n v="942.02"/>
    <n v="1028.46"/>
    <n v="0"/>
    <n v="9"/>
    <n v="9256.14"/>
    <n v="8478.18"/>
    <n v="777.95999999999913"/>
    <n v="8.4047994088248354E-2"/>
    <x v="21"/>
    <x v="21"/>
    <s v="Q4-2024"/>
    <s v="Americas → USA → Chicago"/>
    <s v="Monitors"/>
    <s v="Medium"/>
    <x v="0"/>
    <x v="21"/>
  </r>
  <r>
    <x v="413"/>
    <s v="Original"/>
    <x v="308"/>
    <d v="2024-10-29T00:00:00"/>
    <n v="7"/>
    <x v="1"/>
    <x v="5"/>
    <s v="Port Harcourt"/>
    <s v="Enterprise"/>
    <x v="0"/>
    <x v="3"/>
    <x v="5"/>
    <x v="412"/>
    <n v="1023.06"/>
    <n v="1355.61"/>
    <n v="0.153"/>
    <n v="23"/>
    <n v="26408.63841"/>
    <n v="23530.379999999997"/>
    <n v="2878.2584100000022"/>
    <n v="0.10898927711888809"/>
    <x v="21"/>
    <x v="21"/>
    <s v="Q4-2024"/>
    <s v="Africa → Nigeria → Port Harcourt"/>
    <s v="Monitors"/>
    <s v="Medium"/>
    <x v="0"/>
    <x v="21"/>
  </r>
  <r>
    <x v="414"/>
    <s v="Original"/>
    <x v="309"/>
    <d v="2024-10-30T00:00:00"/>
    <n v="7"/>
    <x v="1"/>
    <x v="5"/>
    <s v="Port Harcourt"/>
    <s v="Education"/>
    <x v="1"/>
    <x v="13"/>
    <x v="1"/>
    <x v="413"/>
    <n v="1084.3900000000001"/>
    <n v="759.33"/>
    <n v="0.23699999999999999"/>
    <n v="31"/>
    <n v="17960.432489999999"/>
    <n v="33616.090000000004"/>
    <n v="-15655.657510000005"/>
    <n v="-0.87167486187856302"/>
    <x v="21"/>
    <x v="21"/>
    <s v="Q4-2024"/>
    <s v="Africa → Nigeria → Port Harcourt"/>
    <s v="Printers"/>
    <s v="Low"/>
    <x v="0"/>
    <x v="21"/>
  </r>
  <r>
    <x v="415"/>
    <s v="Original"/>
    <x v="309"/>
    <d v="2024-11-14T00:00:00"/>
    <n v="22"/>
    <x v="3"/>
    <x v="11"/>
    <s v="Osaka"/>
    <s v="Non-Profit"/>
    <x v="2"/>
    <x v="0"/>
    <x v="2"/>
    <x v="414"/>
    <n v="1406.4"/>
    <n v="1564.76"/>
    <n v="0.185"/>
    <n v="17"/>
    <n v="21679.749799999998"/>
    <n v="23908.800000000003"/>
    <n v="-2229.0502000000051"/>
    <n v="-0.10281715520536151"/>
    <x v="21"/>
    <x v="21"/>
    <s v="Q4-2024"/>
    <s v="Asia → Japan → Osaka"/>
    <s v="Phones"/>
    <s v="Medium"/>
    <x v="2"/>
    <x v="19"/>
  </r>
  <r>
    <x v="416"/>
    <s v="Original"/>
    <x v="310"/>
    <d v="2024-10-28T00:00:00"/>
    <n v="4"/>
    <x v="3"/>
    <x v="3"/>
    <s v="Shanghai"/>
    <s v="Small Business"/>
    <x v="0"/>
    <x v="12"/>
    <x v="4"/>
    <x v="415"/>
    <n v="1331.77"/>
    <n v="2606.11"/>
    <n v="0.02"/>
    <n v="6"/>
    <n v="15323.926799999999"/>
    <n v="7990.62"/>
    <n v="7333.3067999999994"/>
    <n v="0.47855271665745619"/>
    <x v="21"/>
    <x v="21"/>
    <s v="Q4-2024"/>
    <s v="Asia → China → Shanghai"/>
    <s v="Networking"/>
    <s v="High"/>
    <x v="0"/>
    <x v="21"/>
  </r>
  <r>
    <x v="417"/>
    <s v="Original"/>
    <x v="311"/>
    <d v="2024-11-14T00:00:00"/>
    <n v="20"/>
    <x v="1"/>
    <x v="7"/>
    <s v="Mombasa"/>
    <s v="Corporate"/>
    <x v="2"/>
    <x v="4"/>
    <x v="1"/>
    <x v="416"/>
    <n v="1396.48"/>
    <n v="3204.5"/>
    <n v="0.3"/>
    <n v="14"/>
    <n v="31404.1"/>
    <n v="19550.72"/>
    <n v="11853.379999999997"/>
    <n v="0.3774468938769141"/>
    <x v="21"/>
    <x v="21"/>
    <s v="Q4-2024"/>
    <s v="Africa → Kenya → Mombasa"/>
    <s v="Printers"/>
    <s v="High"/>
    <x v="0"/>
    <x v="21"/>
  </r>
  <r>
    <x v="418"/>
    <s v="Original"/>
    <x v="311"/>
    <d v="2024-11-05T00:00:00"/>
    <n v="11"/>
    <x v="0"/>
    <x v="4"/>
    <s v="New York"/>
    <s v="Corporate"/>
    <x v="0"/>
    <x v="8"/>
    <x v="6"/>
    <x v="417"/>
    <n v="446.66"/>
    <n v="527.64"/>
    <n v="0.14499999999999999"/>
    <n v="15"/>
    <n v="6766.9829999999993"/>
    <n v="6699.9000000000005"/>
    <n v="67.082999999998719"/>
    <n v="9.9132804087137105E-3"/>
    <x v="21"/>
    <x v="21"/>
    <s v="Q4-2024"/>
    <s v="Americas → USA → New York"/>
    <s v="Components"/>
    <s v="Low"/>
    <x v="0"/>
    <x v="21"/>
  </r>
  <r>
    <x v="419"/>
    <s v="Original"/>
    <x v="312"/>
    <d v="2024-11-20T00:00:00"/>
    <n v="24"/>
    <x v="3"/>
    <x v="11"/>
    <s v="Nagoya"/>
    <s v="Non-Profit"/>
    <x v="1"/>
    <x v="4"/>
    <x v="5"/>
    <x v="418"/>
    <n v="317.25"/>
    <n v="758.92"/>
    <n v="5.2999999999999999E-2"/>
    <n v="9"/>
    <n v="6468.2751599999992"/>
    <n v="2855.25"/>
    <n v="3613.0251599999992"/>
    <n v="0.5585762928489888"/>
    <x v="21"/>
    <x v="21"/>
    <s v="Q4-2024"/>
    <s v="Asia → Japan → Nagoya"/>
    <s v="Monitors"/>
    <s v="Low"/>
    <x v="2"/>
    <x v="19"/>
  </r>
  <r>
    <x v="420"/>
    <s v="Original"/>
    <x v="313"/>
    <d v="2024-11-04T00:00:00"/>
    <n v="6"/>
    <x v="1"/>
    <x v="7"/>
    <s v="Nairobi"/>
    <s v="Corporate"/>
    <x v="0"/>
    <x v="3"/>
    <x v="1"/>
    <x v="419"/>
    <n v="805.81"/>
    <n v="1823.04"/>
    <n v="0"/>
    <n v="11"/>
    <n v="20053.439999999999"/>
    <n v="8863.91"/>
    <n v="11189.529999999999"/>
    <n v="0.55798556257679477"/>
    <x v="21"/>
    <x v="21"/>
    <s v="Q4-2024"/>
    <s v="Africa → Kenya → Nairobi"/>
    <s v="Printers"/>
    <s v="High"/>
    <x v="0"/>
    <x v="21"/>
  </r>
  <r>
    <x v="421"/>
    <s v="Original"/>
    <x v="314"/>
    <d v="2024-11-24T00:00:00"/>
    <n v="25"/>
    <x v="3"/>
    <x v="3"/>
    <s v="Shenzhen"/>
    <s v="Small Business"/>
    <x v="1"/>
    <x v="14"/>
    <x v="6"/>
    <x v="420"/>
    <n v="811.05"/>
    <n v="1217.71"/>
    <n v="7.1999999999999995E-2"/>
    <n v="5"/>
    <n v="5650.1744000000008"/>
    <n v="4055.25"/>
    <n v="1594.9244000000008"/>
    <n v="0.28227879125288602"/>
    <x v="21"/>
    <x v="21"/>
    <s v="Q4-2024"/>
    <s v="Asia → China → Shenzhen"/>
    <s v="Components"/>
    <s v="Medium"/>
    <x v="0"/>
    <x v="21"/>
  </r>
  <r>
    <x v="422"/>
    <s v="Original"/>
    <x v="315"/>
    <d v="2024-11-12T00:00:00"/>
    <n v="11"/>
    <x v="2"/>
    <x v="8"/>
    <s v="Frankfurt"/>
    <s v="Consumer"/>
    <x v="1"/>
    <x v="0"/>
    <x v="1"/>
    <x v="421"/>
    <n v="599.84"/>
    <n v="1330.85"/>
    <n v="0.115"/>
    <n v="11"/>
    <n v="12955.824749999998"/>
    <n v="6598.2400000000007"/>
    <n v="6357.5847499999973"/>
    <n v="0.49071246892252063"/>
    <x v="22"/>
    <x v="22"/>
    <s v="Q4-2024"/>
    <s v="Europe → Germany → Frankfurt"/>
    <s v="Printers"/>
    <s v="Medium"/>
    <x v="0"/>
    <x v="22"/>
  </r>
  <r>
    <x v="423"/>
    <s v="Original"/>
    <x v="316"/>
    <d v="2024-11-18T00:00:00"/>
    <n v="16"/>
    <x v="3"/>
    <x v="10"/>
    <s v="Mumbai"/>
    <s v="Small Business"/>
    <x v="0"/>
    <x v="5"/>
    <x v="5"/>
    <x v="422"/>
    <n v="1233.58"/>
    <n v="1912.51"/>
    <n v="0.255"/>
    <n v="51"/>
    <n v="72665.817450000002"/>
    <n v="62912.579999999994"/>
    <n v="9753.2374500000078"/>
    <n v="0.134220432553601"/>
    <x v="22"/>
    <x v="22"/>
    <s v="Q4-2024"/>
    <s v="Asia → India → Mumbai"/>
    <s v="Monitors"/>
    <s v="High"/>
    <x v="1"/>
    <x v="21"/>
  </r>
  <r>
    <x v="424"/>
    <s v="Original"/>
    <x v="316"/>
    <d v="2024-11-29T00:00:00"/>
    <n v="27"/>
    <x v="0"/>
    <x v="9"/>
    <s v="Brasília"/>
    <s v="Small Business"/>
    <x v="2"/>
    <x v="12"/>
    <x v="4"/>
    <x v="423"/>
    <n v="1363.51"/>
    <n v="1433.9"/>
    <n v="5.7000000000000002E-2"/>
    <n v="8"/>
    <n v="10817.3416"/>
    <n v="10908.08"/>
    <n v="-90.738400000000183"/>
    <n v="-8.3882346842037592E-3"/>
    <x v="22"/>
    <x v="22"/>
    <s v="Q4-2024"/>
    <s v="Americas → Brazil → Brasília"/>
    <s v="Networking"/>
    <s v="Medium"/>
    <x v="0"/>
    <x v="22"/>
  </r>
  <r>
    <x v="425"/>
    <s v="Original"/>
    <x v="317"/>
    <d v="2024-11-05T00:00:00"/>
    <n v="1"/>
    <x v="2"/>
    <x v="6"/>
    <s v="London"/>
    <s v="Corporate"/>
    <x v="3"/>
    <x v="3"/>
    <x v="1"/>
    <x v="424"/>
    <n v="840.68"/>
    <n v="1493.53"/>
    <n v="0"/>
    <n v="27"/>
    <n v="40325.31"/>
    <n v="22698.359999999997"/>
    <n v="17626.95"/>
    <n v="0.43711877230454027"/>
    <x v="22"/>
    <x v="22"/>
    <s v="Q4-2024"/>
    <s v="Europe → United Kingdom → London"/>
    <s v="Printers"/>
    <s v="Medium"/>
    <x v="0"/>
    <x v="22"/>
  </r>
  <r>
    <x v="426"/>
    <s v="Original"/>
    <x v="317"/>
    <d v="2024-11-07T00:00:00"/>
    <n v="3"/>
    <x v="2"/>
    <x v="2"/>
    <s v="Lyon"/>
    <s v="Corporate"/>
    <x v="1"/>
    <x v="5"/>
    <x v="5"/>
    <x v="425"/>
    <n v="740.68"/>
    <n v="1837.19"/>
    <n v="0.19700000000000001"/>
    <n v="17"/>
    <n v="25079.480689999997"/>
    <n v="12591.56"/>
    <n v="12487.920689999997"/>
    <n v="0.4979337827748298"/>
    <x v="22"/>
    <x v="22"/>
    <s v="Q4-2024"/>
    <s v="Europe → France → Lyon"/>
    <s v="Monitors"/>
    <s v="High"/>
    <x v="0"/>
    <x v="22"/>
  </r>
  <r>
    <x v="427"/>
    <s v="Original"/>
    <x v="318"/>
    <d v="2024-11-08T00:00:00"/>
    <n v="3"/>
    <x v="0"/>
    <x v="0"/>
    <s v="Toronto"/>
    <s v="Education"/>
    <x v="4"/>
    <x v="5"/>
    <x v="6"/>
    <x v="426"/>
    <n v="1020.4"/>
    <n v="1184.71"/>
    <n v="0.106"/>
    <n v="16"/>
    <n v="16946.091840000001"/>
    <n v="16326.4"/>
    <n v="619.69184000000132"/>
    <n v="3.6568422138328345E-2"/>
    <x v="22"/>
    <x v="22"/>
    <s v="Q4-2024"/>
    <s v="Americas → Canada → Toronto"/>
    <s v="Components"/>
    <s v="Medium"/>
    <x v="0"/>
    <x v="22"/>
  </r>
  <r>
    <x v="428"/>
    <s v="Original"/>
    <x v="319"/>
    <d v="2024-11-22T00:00:00"/>
    <n v="16"/>
    <x v="0"/>
    <x v="0"/>
    <s v="Toronto"/>
    <s v="Non-Profit"/>
    <x v="0"/>
    <x v="2"/>
    <x v="3"/>
    <x v="427"/>
    <n v="1454.11"/>
    <n v="2629.75"/>
    <n v="0.29199999999999998"/>
    <n v="8"/>
    <n v="14894.903999999999"/>
    <n v="11632.88"/>
    <n v="3262.0239999999994"/>
    <n v="0.21900268709351867"/>
    <x v="22"/>
    <x v="22"/>
    <s v="Q4-2024"/>
    <s v="Americas → Canada → Toronto"/>
    <s v="Accessories"/>
    <s v="High"/>
    <x v="0"/>
    <x v="22"/>
  </r>
  <r>
    <x v="429"/>
    <s v="Original"/>
    <x v="320"/>
    <d v="2024-11-26T00:00:00"/>
    <n v="19"/>
    <x v="0"/>
    <x v="9"/>
    <s v="Rio de Janeiro"/>
    <s v="Non-Profit"/>
    <x v="0"/>
    <x v="13"/>
    <x v="1"/>
    <x v="428"/>
    <n v="55.35"/>
    <n v="128.68"/>
    <n v="0.128"/>
    <n v="10"/>
    <n v="1122.0896000000002"/>
    <n v="553.5"/>
    <n v="568.58960000000025"/>
    <n v="0.50672388372550647"/>
    <x v="22"/>
    <x v="22"/>
    <s v="Q4-2024"/>
    <s v="Americas → Brazil → Rio de Janeiro"/>
    <s v="Printers"/>
    <s v="Low"/>
    <x v="0"/>
    <x v="22"/>
  </r>
  <r>
    <x v="430"/>
    <s v="Original"/>
    <x v="321"/>
    <d v="2024-11-15T00:00:00"/>
    <n v="7"/>
    <x v="1"/>
    <x v="7"/>
    <s v="Nakuru"/>
    <s v="Enterprise"/>
    <x v="4"/>
    <x v="3"/>
    <x v="4"/>
    <x v="429"/>
    <n v="803.28"/>
    <n v="1009"/>
    <n v="0.11"/>
    <n v="4"/>
    <n v="3592.04"/>
    <n v="3213.12"/>
    <n v="378.92000000000007"/>
    <n v="0.10548880302001093"/>
    <x v="22"/>
    <x v="22"/>
    <s v="Q4-2024"/>
    <s v="Africa → Kenya → Nakuru"/>
    <s v="Networking"/>
    <s v="Medium"/>
    <x v="0"/>
    <x v="22"/>
  </r>
  <r>
    <x v="431"/>
    <s v="Original"/>
    <x v="322"/>
    <d v="2024-11-24T00:00:00"/>
    <n v="13"/>
    <x v="2"/>
    <x v="6"/>
    <s v="London"/>
    <s v="Corporate"/>
    <x v="3"/>
    <x v="14"/>
    <x v="4"/>
    <x v="430"/>
    <n v="164.53"/>
    <n v="327.72"/>
    <n v="6.7000000000000004E-2"/>
    <n v="14"/>
    <n v="4280.6786400000001"/>
    <n v="2303.42"/>
    <n v="1977.25864"/>
    <n v="0.46190307805960412"/>
    <x v="22"/>
    <x v="22"/>
    <s v="Q4-2024"/>
    <s v="Europe → United Kingdom → London"/>
    <s v="Networking"/>
    <s v="Low"/>
    <x v="0"/>
    <x v="22"/>
  </r>
  <r>
    <x v="432"/>
    <s v="Original"/>
    <x v="323"/>
    <d v="2024-11-21T00:00:00"/>
    <n v="9"/>
    <x v="3"/>
    <x v="10"/>
    <s v="Mumbai"/>
    <s v="Corporate"/>
    <x v="2"/>
    <x v="4"/>
    <x v="0"/>
    <x v="431"/>
    <n v="903.41"/>
    <n v="1860.41"/>
    <n v="0.108"/>
    <n v="5"/>
    <n v="8297.4286000000011"/>
    <n v="4517.05"/>
    <n v="3780.3786000000009"/>
    <n v="0.455608451996803"/>
    <x v="22"/>
    <x v="22"/>
    <s v="Q4-2024"/>
    <s v="Asia → India → Mumbai"/>
    <s v="Laptops"/>
    <s v="High"/>
    <x v="1"/>
    <x v="21"/>
  </r>
  <r>
    <x v="433"/>
    <s v="Original"/>
    <x v="324"/>
    <d v="2024-11-28T00:00:00"/>
    <n v="11"/>
    <x v="0"/>
    <x v="0"/>
    <s v="Unknown"/>
    <s v="Consumer"/>
    <x v="0"/>
    <x v="1"/>
    <x v="1"/>
    <x v="432"/>
    <n v="1008.16"/>
    <n v="2077.5"/>
    <n v="7.3999999999999996E-2"/>
    <n v="15"/>
    <n v="28856.475000000002"/>
    <n v="15122.4"/>
    <n v="13734.075000000003"/>
    <n v="0.47594430712691005"/>
    <x v="22"/>
    <x v="22"/>
    <s v="Q4-2024"/>
    <s v="Americas → Canada → Unknown"/>
    <s v="Printers"/>
    <s v="High"/>
    <x v="0"/>
    <x v="22"/>
  </r>
  <r>
    <x v="434"/>
    <s v="Original"/>
    <x v="325"/>
    <d v="2024-12-15T00:00:00"/>
    <n v="25"/>
    <x v="2"/>
    <x v="2"/>
    <s v="Paris"/>
    <s v="Corporate"/>
    <x v="1"/>
    <x v="6"/>
    <x v="1"/>
    <x v="433"/>
    <n v="1203.58"/>
    <n v="1856.16"/>
    <n v="0.129"/>
    <n v="22"/>
    <n v="35567.737920000007"/>
    <n v="26478.76"/>
    <n v="9088.9779200000085"/>
    <n v="0.25553994860295032"/>
    <x v="22"/>
    <x v="22"/>
    <s v="Q4-2024"/>
    <s v="Europe → France → Paris"/>
    <s v="Printers"/>
    <s v="High"/>
    <x v="0"/>
    <x v="22"/>
  </r>
  <r>
    <x v="435"/>
    <s v="Original"/>
    <x v="326"/>
    <d v="2024-12-21T00:00:00"/>
    <n v="30"/>
    <x v="2"/>
    <x v="2"/>
    <s v="Marseille"/>
    <s v="Small Business"/>
    <x v="2"/>
    <x v="12"/>
    <x v="5"/>
    <x v="434"/>
    <n v="1122.68"/>
    <n v="1997.19"/>
    <n v="0.186"/>
    <n v="3"/>
    <n v="4877.1379800000004"/>
    <n v="3368.04"/>
    <n v="1509.0979800000005"/>
    <n v="0.30942285951073306"/>
    <x v="22"/>
    <x v="22"/>
    <s v="Q4-2024"/>
    <s v="Europe → France → Marseille"/>
    <s v="Monitors"/>
    <s v="High"/>
    <x v="0"/>
    <x v="22"/>
  </r>
  <r>
    <x v="436"/>
    <s v="Original"/>
    <x v="327"/>
    <d v="2024-12-15T00:00:00"/>
    <n v="23"/>
    <x v="1"/>
    <x v="7"/>
    <s v="Mombasa"/>
    <s v="Non-Profit"/>
    <x v="0"/>
    <x v="11"/>
    <x v="6"/>
    <x v="435"/>
    <n v="1335.76"/>
    <n v="2665.91"/>
    <n v="0.21099999999999999"/>
    <n v="40"/>
    <n v="84136.119600000005"/>
    <n v="53430.400000000001"/>
    <n v="30705.719600000004"/>
    <n v="0.36495288522909253"/>
    <x v="22"/>
    <x v="22"/>
    <s v="Q4-2024"/>
    <s v="Africa → Kenya → Mombasa"/>
    <s v="Components"/>
    <s v="High"/>
    <x v="0"/>
    <x v="22"/>
  </r>
  <r>
    <x v="437"/>
    <s v="Original"/>
    <x v="328"/>
    <d v="2024-12-07T00:00:00"/>
    <n v="12"/>
    <x v="3"/>
    <x v="3"/>
    <s v="Shanghai"/>
    <s v="Corporate"/>
    <x v="0"/>
    <x v="1"/>
    <x v="3"/>
    <x v="436"/>
    <n v="769.9"/>
    <n v="814.36"/>
    <n v="0"/>
    <n v="5"/>
    <n v="4071.8"/>
    <n v="3849.5"/>
    <n v="222.30000000000018"/>
    <n v="5.4595019401738831E-2"/>
    <x v="22"/>
    <x v="22"/>
    <s v="Q4-2024"/>
    <s v="Asia → China → Shanghai"/>
    <s v="Accessories"/>
    <s v="Low"/>
    <x v="0"/>
    <x v="22"/>
  </r>
  <r>
    <x v="438"/>
    <s v="Original"/>
    <x v="329"/>
    <d v="2024-12-24T00:00:00"/>
    <n v="27"/>
    <x v="1"/>
    <x v="7"/>
    <s v="Mombasa"/>
    <s v="Corporate"/>
    <x v="0"/>
    <x v="0"/>
    <x v="1"/>
    <x v="437"/>
    <n v="143.33000000000001"/>
    <n v="233.51"/>
    <n v="0.16300000000000001"/>
    <n v="14"/>
    <n v="2736.27018"/>
    <n v="2006.6200000000001"/>
    <n v="729.65017999999986"/>
    <n v="0.26665867476580835"/>
    <x v="22"/>
    <x v="22"/>
    <s v="Q4-2024"/>
    <s v="Africa → Kenya → Mombasa"/>
    <s v="Printers"/>
    <s v="Low"/>
    <x v="0"/>
    <x v="22"/>
  </r>
  <r>
    <x v="439"/>
    <s v="Original"/>
    <x v="330"/>
    <d v="2024-12-30T00:00:00"/>
    <n v="30"/>
    <x v="2"/>
    <x v="2"/>
    <s v="Marseille"/>
    <s v="Consumer"/>
    <x v="4"/>
    <x v="7"/>
    <x v="1"/>
    <x v="438"/>
    <n v="117.64"/>
    <n v="175.67"/>
    <n v="0"/>
    <n v="10"/>
    <n v="1756.6999999999998"/>
    <n v="1176.4000000000001"/>
    <n v="580.29999999999973"/>
    <n v="0.33033528775545046"/>
    <x v="22"/>
    <x v="22"/>
    <s v="Q4-2024"/>
    <s v="Europe → France → Marseille"/>
    <s v="Printers"/>
    <s v="Low"/>
    <x v="0"/>
    <x v="22"/>
  </r>
  <r>
    <x v="440"/>
    <s v="Original"/>
    <x v="330"/>
    <d v="2024-12-10T00:00:00"/>
    <n v="10"/>
    <x v="3"/>
    <x v="10"/>
    <s v="Hyderabad"/>
    <s v="Small Business"/>
    <x v="3"/>
    <x v="7"/>
    <x v="3"/>
    <x v="439"/>
    <n v="851.49"/>
    <n v="901.79"/>
    <n v="0.245"/>
    <n v="16"/>
    <n v="10893.6232"/>
    <n v="13623.84"/>
    <n v="-2730.2168000000001"/>
    <n v="-0.25062522816100341"/>
    <x v="22"/>
    <x v="22"/>
    <s v="Q4-2024"/>
    <s v="Asia → India → Hyderabad"/>
    <s v="Accessories"/>
    <s v="Medium"/>
    <x v="1"/>
    <x v="21"/>
  </r>
  <r>
    <x v="441"/>
    <s v="Original"/>
    <x v="330"/>
    <d v="2024-12-19T00:00:00"/>
    <n v="19"/>
    <x v="1"/>
    <x v="7"/>
    <s v="Kisumu"/>
    <s v="Corporate"/>
    <x v="1"/>
    <x v="9"/>
    <x v="2"/>
    <x v="440"/>
    <n v="1195.98"/>
    <n v="1841.9"/>
    <n v="5.5E-2"/>
    <n v="19"/>
    <n v="33071.3145"/>
    <n v="22723.62"/>
    <n v="10347.694500000001"/>
    <n v="0.31289032977506842"/>
    <x v="22"/>
    <x v="22"/>
    <s v="Q4-2024"/>
    <s v="Africa → Kenya → Kisumu"/>
    <s v="Phones"/>
    <s v="High"/>
    <x v="0"/>
    <x v="22"/>
  </r>
  <r>
    <x v="442"/>
    <s v="Original"/>
    <x v="331"/>
    <d v="2024-12-12T00:00:00"/>
    <n v="8"/>
    <x v="2"/>
    <x v="8"/>
    <s v="Frankfurt"/>
    <s v="Enterprise"/>
    <x v="4"/>
    <x v="0"/>
    <x v="1"/>
    <x v="441"/>
    <n v="72.06"/>
    <n v="122.74"/>
    <n v="0.23799999999999999"/>
    <n v="8"/>
    <n v="748.22303999999997"/>
    <n v="576.48"/>
    <n v="171.74303999999995"/>
    <n v="0.22953455162246802"/>
    <x v="23"/>
    <x v="23"/>
    <s v="Q4-2024"/>
    <s v="Europe → Germany → Frankfurt"/>
    <s v="Printers"/>
    <s v="Low"/>
    <x v="0"/>
    <x v="23"/>
  </r>
  <r>
    <x v="443"/>
    <s v="Original"/>
    <x v="332"/>
    <d v="2024-12-28T00:00:00"/>
    <n v="23"/>
    <x v="0"/>
    <x v="0"/>
    <s v="Vancouver"/>
    <s v="Corporate"/>
    <x v="2"/>
    <x v="7"/>
    <x v="3"/>
    <x v="442"/>
    <n v="107.03"/>
    <n v="242.29"/>
    <n v="0.18"/>
    <n v="30"/>
    <n v="5960.3340000000007"/>
    <n v="3210.9"/>
    <n v="2749.4340000000007"/>
    <n v="0.46128857879440988"/>
    <x v="23"/>
    <x v="23"/>
    <s v="Q4-2024"/>
    <s v="Americas → Canada → Vancouver"/>
    <s v="Accessories"/>
    <s v="Low"/>
    <x v="0"/>
    <x v="23"/>
  </r>
  <r>
    <x v="444"/>
    <s v="Original"/>
    <x v="333"/>
    <d v="2024-12-26T00:00:00"/>
    <n v="19"/>
    <x v="2"/>
    <x v="6"/>
    <s v="London"/>
    <s v="Enterprise"/>
    <x v="1"/>
    <x v="2"/>
    <x v="4"/>
    <x v="443"/>
    <n v="1035.24"/>
    <n v="2383.41"/>
    <n v="0.17"/>
    <n v="15"/>
    <n v="29673.454499999993"/>
    <n v="15528.6"/>
    <n v="14144.854499999992"/>
    <n v="0.47668378145860962"/>
    <x v="23"/>
    <x v="23"/>
    <s v="Q4-2024"/>
    <s v="Europe → United Kingdom → London"/>
    <s v="Networking"/>
    <s v="High"/>
    <x v="0"/>
    <x v="23"/>
  </r>
  <r>
    <x v="445"/>
    <s v="Original"/>
    <x v="334"/>
    <d v="2024-12-13T00:00:00"/>
    <n v="5"/>
    <x v="2"/>
    <x v="2"/>
    <s v="Lyon"/>
    <s v="Enterprise"/>
    <x v="3"/>
    <x v="4"/>
    <x v="6"/>
    <x v="444"/>
    <n v="257.44"/>
    <n v="290.33"/>
    <n v="9.1999999999999998E-2"/>
    <n v="23"/>
    <n v="6063.2517199999993"/>
    <n v="5921.12"/>
    <n v="142.1317199999994"/>
    <n v="2.3441500792581216E-2"/>
    <x v="23"/>
    <x v="23"/>
    <s v="Q4-2024"/>
    <s v="Europe → France → Lyon"/>
    <s v="Components"/>
    <s v="Low"/>
    <x v="0"/>
    <x v="23"/>
  </r>
  <r>
    <x v="446"/>
    <s v="Original"/>
    <x v="335"/>
    <d v="2025-01-08T00:00:00"/>
    <n v="29"/>
    <x v="2"/>
    <x v="2"/>
    <s v="Marseille"/>
    <s v="Small Business"/>
    <x v="3"/>
    <x v="10"/>
    <x v="1"/>
    <x v="445"/>
    <n v="891.08"/>
    <n v="1040.0999999999999"/>
    <n v="0.109"/>
    <n v="28"/>
    <n v="25948.414799999995"/>
    <n v="24950.240000000002"/>
    <n v="998.17479999999341"/>
    <n v="3.8467660074556598E-2"/>
    <x v="23"/>
    <x v="23"/>
    <s v="Q4-2024"/>
    <s v="Europe → France → Marseille"/>
    <s v="Printers"/>
    <s v="Medium"/>
    <x v="0"/>
    <x v="23"/>
  </r>
  <r>
    <x v="447"/>
    <s v="Original"/>
    <x v="335"/>
    <d v="2024-12-19T00:00:00"/>
    <n v="9"/>
    <x v="1"/>
    <x v="5"/>
    <s v="Lagos"/>
    <s v="Corporate"/>
    <x v="3"/>
    <x v="5"/>
    <x v="5"/>
    <x v="446"/>
    <n v="488.68"/>
    <n v="984.36"/>
    <n v="5.8999999999999997E-2"/>
    <n v="14"/>
    <n v="12967.958640000001"/>
    <n v="6841.52"/>
    <n v="6126.4386400000003"/>
    <n v="0.47242891576649876"/>
    <x v="23"/>
    <x v="23"/>
    <s v="Q4-2024"/>
    <s v="Africa → Nigeria → Lagos"/>
    <s v="Monitors"/>
    <s v="Medium"/>
    <x v="0"/>
    <x v="23"/>
  </r>
  <r>
    <x v="448"/>
    <s v="Original"/>
    <x v="336"/>
    <d v="2024-12-20T00:00:00"/>
    <n v="8"/>
    <x v="3"/>
    <x v="11"/>
    <s v="Tokyo"/>
    <s v="Corporate"/>
    <x v="3"/>
    <x v="0"/>
    <x v="0"/>
    <x v="447"/>
    <n v="1202.47"/>
    <n v="1444.72"/>
    <n v="0.24099999999999999"/>
    <n v="17"/>
    <n v="18641.222160000001"/>
    <n v="20441.990000000002"/>
    <n v="-1800.7678400000004"/>
    <n v="-9.6601382921343834E-2"/>
    <x v="23"/>
    <x v="23"/>
    <s v="Q4-2024"/>
    <s v="Asia → Japan → Tokyo"/>
    <s v="Laptops"/>
    <s v="Medium"/>
    <x v="2"/>
    <x v="21"/>
  </r>
  <r>
    <x v="449"/>
    <s v="Original"/>
    <x v="337"/>
    <d v="2025-01-12T00:00:00"/>
    <n v="29"/>
    <x v="3"/>
    <x v="3"/>
    <s v="Shenzhen"/>
    <s v="Education"/>
    <x v="1"/>
    <x v="13"/>
    <x v="6"/>
    <x v="448"/>
    <n v="1412.15"/>
    <n v="1631.04"/>
    <n v="8.9999999999999993E-3"/>
    <n v="6"/>
    <n v="9698.1638399999993"/>
    <n v="8472.9000000000015"/>
    <n v="1225.2638399999978"/>
    <n v="0.12633977526203535"/>
    <x v="23"/>
    <x v="23"/>
    <s v="Q4-2024"/>
    <s v="Asia → China → Shenzhen"/>
    <s v="Components"/>
    <s v="High"/>
    <x v="0"/>
    <x v="23"/>
  </r>
  <r>
    <x v="450"/>
    <s v="Original"/>
    <x v="338"/>
    <d v="2024-12-20T00:00:00"/>
    <n v="5"/>
    <x v="3"/>
    <x v="3"/>
    <s v="Shenzhen"/>
    <s v="Small Business"/>
    <x v="2"/>
    <x v="13"/>
    <x v="4"/>
    <x v="449"/>
    <n v="717.55"/>
    <n v="546.42999999999995"/>
    <n v="4.7E-2"/>
    <n v="18"/>
    <n v="9373.460219999999"/>
    <n v="12915.9"/>
    <n v="-3542.4397800000006"/>
    <n v="-0.37792231437026369"/>
    <x v="23"/>
    <x v="23"/>
    <s v="Q4-2024"/>
    <s v="Asia → China → Shenzhen"/>
    <s v="Networking"/>
    <s v="Low"/>
    <x v="0"/>
    <x v="23"/>
  </r>
  <r>
    <x v="451"/>
    <s v="Original"/>
    <x v="339"/>
    <d v="2024-12-18T00:00:00"/>
    <n v="1"/>
    <x v="2"/>
    <x v="8"/>
    <s v="Munich"/>
    <s v="Education"/>
    <x v="3"/>
    <x v="9"/>
    <x v="3"/>
    <x v="450"/>
    <n v="346.82"/>
    <n v="701.95"/>
    <n v="0.14699999999999999"/>
    <n v="8"/>
    <n v="4790.1068000000005"/>
    <n v="2774.56"/>
    <n v="2015.5468000000005"/>
    <n v="0.42077283120284509"/>
    <x v="23"/>
    <x v="23"/>
    <s v="Q4-2024"/>
    <s v="Europe → Germany → Munich"/>
    <s v="Accessories"/>
    <s v="Low"/>
    <x v="0"/>
    <x v="23"/>
  </r>
  <r>
    <x v="452"/>
    <s v="Original"/>
    <x v="339"/>
    <d v="2025-01-16T00:00:00"/>
    <n v="30"/>
    <x v="2"/>
    <x v="6"/>
    <s v="Manchester"/>
    <s v="Corporate"/>
    <x v="3"/>
    <x v="2"/>
    <x v="5"/>
    <x v="451"/>
    <n v="722.87"/>
    <n v="867.44399999999996"/>
    <n v="0.10199999999999999"/>
    <n v="28"/>
    <n v="21811.011936000003"/>
    <n v="20240.36"/>
    <n v="1570.651936000002"/>
    <n v="7.2011878247958516E-2"/>
    <x v="23"/>
    <x v="23"/>
    <s v="Q4-2024"/>
    <s v="Europe → United Kingdom → Manchester"/>
    <s v="Monitors"/>
    <s v="Medium"/>
    <x v="0"/>
    <x v="23"/>
  </r>
  <r>
    <x v="453"/>
    <s v="Original"/>
    <x v="340"/>
    <d v="2025-01-14T00:00:00"/>
    <n v="25"/>
    <x v="3"/>
    <x v="10"/>
    <s v="Delhi"/>
    <s v="Small Business"/>
    <x v="3"/>
    <x v="3"/>
    <x v="1"/>
    <x v="452"/>
    <n v="1361.34"/>
    <n v="1737.9"/>
    <n v="7.6999999999999999E-2"/>
    <n v="14"/>
    <n v="22457.143800000002"/>
    <n v="19058.759999999998"/>
    <n v="3398.3838000000032"/>
    <n v="0.15132751654731813"/>
    <x v="23"/>
    <x v="23"/>
    <s v="Q4-2024"/>
    <s v="Asia → India → Delhi"/>
    <s v="Printers"/>
    <s v="High"/>
    <x v="1"/>
    <x v="22"/>
  </r>
  <r>
    <x v="454"/>
    <s v="Original"/>
    <x v="341"/>
    <d v="2024-12-26T00:00:00"/>
    <n v="5"/>
    <x v="0"/>
    <x v="4"/>
    <s v="San Francisco"/>
    <s v="Consumer"/>
    <x v="4"/>
    <x v="3"/>
    <x v="1"/>
    <x v="453"/>
    <n v="699.57"/>
    <n v="572.71"/>
    <n v="0.192"/>
    <n v="26"/>
    <n v="12031.491680000001"/>
    <n v="18188.82"/>
    <n v="-6157.3283199999987"/>
    <n v="-0.51176765805651114"/>
    <x v="23"/>
    <x v="23"/>
    <s v="Q4-2024"/>
    <s v="Americas → USA → San Francisco"/>
    <s v="Printers"/>
    <s v="Low"/>
    <x v="0"/>
    <x v="23"/>
  </r>
  <r>
    <x v="455"/>
    <s v="Original"/>
    <x v="342"/>
    <d v="2025-01-11T00:00:00"/>
    <n v="19"/>
    <x v="2"/>
    <x v="8"/>
    <s v="Berlin"/>
    <s v="Education"/>
    <x v="3"/>
    <x v="10"/>
    <x v="2"/>
    <x v="454"/>
    <n v="501.81"/>
    <n v="921.62"/>
    <n v="0.01"/>
    <n v="9"/>
    <n v="8211.6342000000004"/>
    <n v="4516.29"/>
    <n v="3695.3442000000005"/>
    <n v="0.45001325071202031"/>
    <x v="23"/>
    <x v="23"/>
    <s v="Q4-2024"/>
    <s v="Europe → Germany → Berlin"/>
    <s v="Phones"/>
    <s v="Medium"/>
    <x v="0"/>
    <x v="23"/>
  </r>
  <r>
    <x v="456"/>
    <s v="Original"/>
    <x v="343"/>
    <d v="2025-01-13T00:00:00"/>
    <n v="20"/>
    <x v="3"/>
    <x v="10"/>
    <s v="Bengaluru"/>
    <s v="Corporate"/>
    <x v="4"/>
    <x v="2"/>
    <x v="4"/>
    <x v="455"/>
    <n v="126.15"/>
    <n v="284.23"/>
    <n v="0.113"/>
    <n v="22"/>
    <n v="5546.4642200000008"/>
    <n v="2775.3"/>
    <n v="2771.1642200000006"/>
    <n v="0.49962716968541088"/>
    <x v="23"/>
    <x v="23"/>
    <s v="Q4-2024"/>
    <s v="Asia → India → Bengaluru"/>
    <s v="Networking"/>
    <s v="Low"/>
    <x v="1"/>
    <x v="22"/>
  </r>
  <r>
    <x v="457"/>
    <s v="Original"/>
    <x v="344"/>
    <d v="2025-01-14T00:00:00"/>
    <n v="18"/>
    <x v="3"/>
    <x v="10"/>
    <s v="Bengaluru"/>
    <s v="Small Business"/>
    <x v="4"/>
    <x v="14"/>
    <x v="5"/>
    <x v="456"/>
    <n v="586.07000000000005"/>
    <n v="845.97"/>
    <n v="0.14699999999999999"/>
    <n v="4"/>
    <n v="2886.4496399999998"/>
    <n v="2344.2800000000002"/>
    <n v="542.16963999999962"/>
    <n v="0.18783270370862928"/>
    <x v="23"/>
    <x v="23"/>
    <s v="Q4-2024"/>
    <s v="Asia → India → Bengaluru"/>
    <s v="Monitors"/>
    <s v="Medium"/>
    <x v="1"/>
    <x v="22"/>
  </r>
  <r>
    <x v="458"/>
    <s v="Original"/>
    <x v="344"/>
    <d v="2025-01-15T00:00:00"/>
    <n v="19"/>
    <x v="3"/>
    <x v="10"/>
    <s v="Delhi"/>
    <s v="Non-Profit"/>
    <x v="0"/>
    <x v="6"/>
    <x v="6"/>
    <x v="457"/>
    <n v="495.59"/>
    <n v="631.78"/>
    <n v="8.6999999999999994E-2"/>
    <n v="17"/>
    <n v="9805.8573800000013"/>
    <n v="8425.0299999999988"/>
    <n v="1380.8273800000024"/>
    <n v="0.14081658813601899"/>
    <x v="23"/>
    <x v="23"/>
    <s v="Q4-2024"/>
    <s v="Asia → India → Delhi"/>
    <s v="Components"/>
    <s v="Low"/>
    <x v="1"/>
    <x v="22"/>
  </r>
  <r>
    <x v="459"/>
    <s v="Original"/>
    <x v="344"/>
    <d v="2025-01-02T00:00:00"/>
    <n v="6"/>
    <x v="2"/>
    <x v="8"/>
    <s v="Frankfurt"/>
    <s v="Education"/>
    <x v="2"/>
    <x v="7"/>
    <x v="0"/>
    <x v="458"/>
    <n v="1391.99"/>
    <n v="3469.7"/>
    <n v="0.184"/>
    <n v="23"/>
    <n v="65119.329599999997"/>
    <n v="32015.77"/>
    <n v="33103.559599999993"/>
    <n v="0.50835227886006973"/>
    <x v="23"/>
    <x v="23"/>
    <s v="Q4-2024"/>
    <s v="Europe → Germany → Frankfurt"/>
    <s v="Laptops"/>
    <s v="High"/>
    <x v="0"/>
    <x v="23"/>
  </r>
  <r>
    <x v="460"/>
    <s v="Original"/>
    <x v="344"/>
    <d v="2024-12-29T00:00:00"/>
    <n v="2"/>
    <x v="0"/>
    <x v="0"/>
    <s v="Vancouver"/>
    <s v="Enterprise"/>
    <x v="4"/>
    <x v="11"/>
    <x v="3"/>
    <x v="459"/>
    <n v="1146.72"/>
    <n v="2074.34"/>
    <n v="0.111"/>
    <n v="8"/>
    <n v="14752.706080000002"/>
    <n v="9173.76"/>
    <n v="5578.9460800000015"/>
    <n v="0.37816425337472737"/>
    <x v="23"/>
    <x v="23"/>
    <s v="Q4-2024"/>
    <s v="Americas → Canada → Vancouver"/>
    <s v="Accessories"/>
    <s v="High"/>
    <x v="0"/>
    <x v="23"/>
  </r>
  <r>
    <x v="461"/>
    <s v="Original"/>
    <x v="345"/>
    <d v="2025-01-08T00:00:00"/>
    <n v="11"/>
    <x v="3"/>
    <x v="3"/>
    <s v="Shenzhen"/>
    <s v="Enterprise"/>
    <x v="1"/>
    <x v="10"/>
    <x v="0"/>
    <x v="460"/>
    <n v="1201.31"/>
    <n v="2764.65"/>
    <n v="0"/>
    <n v="21"/>
    <n v="58057.65"/>
    <n v="25227.51"/>
    <n v="32830.14"/>
    <n v="0.56547483406579491"/>
    <x v="23"/>
    <x v="23"/>
    <s v="Q4-2024"/>
    <s v="Asia → China → Shenzhen"/>
    <s v="Laptops"/>
    <s v="High"/>
    <x v="0"/>
    <x v="23"/>
  </r>
  <r>
    <x v="462"/>
    <s v="Original"/>
    <x v="346"/>
    <d v="2025-01-12T00:00:00"/>
    <n v="14"/>
    <x v="2"/>
    <x v="6"/>
    <s v="Manchester"/>
    <s v="Corporate"/>
    <x v="2"/>
    <x v="0"/>
    <x v="5"/>
    <x v="461"/>
    <n v="1399.72"/>
    <n v="3149.21"/>
    <n v="0.185"/>
    <n v="12"/>
    <n v="30799.273800000003"/>
    <n v="16796.64"/>
    <n v="14002.633800000003"/>
    <n v="0.45464168703873797"/>
    <x v="23"/>
    <x v="23"/>
    <s v="Q4-2024"/>
    <s v="Europe → United Kingdom → Manchester"/>
    <s v="Monitors"/>
    <s v="High"/>
    <x v="0"/>
    <x v="23"/>
  </r>
  <r>
    <x v="463"/>
    <s v="Original"/>
    <x v="347"/>
    <d v="2025-01-23T00:00:00"/>
    <n v="20"/>
    <x v="3"/>
    <x v="11"/>
    <s v="Osaka"/>
    <s v="Corporate"/>
    <x v="0"/>
    <x v="7"/>
    <x v="2"/>
    <x v="462"/>
    <n v="908.6"/>
    <n v="691.37"/>
    <n v="0.25"/>
    <n v="20"/>
    <n v="10370.549999999999"/>
    <n v="18172"/>
    <n v="-7801.4500000000007"/>
    <n v="-0.75226964818645115"/>
    <x v="24"/>
    <x v="24"/>
    <s v="Q1-2025"/>
    <s v="Asia → Japan → Osaka"/>
    <s v="Phones"/>
    <s v="Low"/>
    <x v="2"/>
    <x v="22"/>
  </r>
  <r>
    <x v="464"/>
    <s v="Original"/>
    <x v="348"/>
    <d v="2025-01-05T00:00:00"/>
    <n v="1"/>
    <x v="3"/>
    <x v="10"/>
    <s v="Delhi"/>
    <s v="Education"/>
    <x v="3"/>
    <x v="12"/>
    <x v="6"/>
    <x v="463"/>
    <n v="1428.33"/>
    <n v="3028.05"/>
    <n v="0"/>
    <n v="11"/>
    <n v="33308.550000000003"/>
    <n v="15711.63"/>
    <n v="17596.920000000006"/>
    <n v="0.52830039134096207"/>
    <x v="24"/>
    <x v="24"/>
    <s v="Q1-2025"/>
    <s v="Asia → India → Delhi"/>
    <s v="Components"/>
    <s v="High"/>
    <x v="1"/>
    <x v="23"/>
  </r>
  <r>
    <x v="465"/>
    <s v="Original"/>
    <x v="349"/>
    <d v="2025-01-20T00:00:00"/>
    <n v="13"/>
    <x v="1"/>
    <x v="1"/>
    <s v="Cape Town"/>
    <s v="Corporate"/>
    <x v="2"/>
    <x v="10"/>
    <x v="4"/>
    <x v="464"/>
    <n v="432.13"/>
    <n v="1034.6600000000001"/>
    <n v="9.1999999999999998E-2"/>
    <n v="7"/>
    <n v="6576.298960000001"/>
    <n v="3024.91"/>
    <n v="3551.3889600000011"/>
    <n v="0.54002851476204794"/>
    <x v="24"/>
    <x v="24"/>
    <s v="Q1-2025"/>
    <s v="Africa → South Africa → Cape Town"/>
    <s v="Networking"/>
    <s v="Medium"/>
    <x v="0"/>
    <x v="24"/>
  </r>
  <r>
    <x v="466"/>
    <s v="Original"/>
    <x v="350"/>
    <d v="2025-01-15T00:00:00"/>
    <n v="6"/>
    <x v="3"/>
    <x v="3"/>
    <s v="Beijing"/>
    <s v="Education"/>
    <x v="1"/>
    <x v="11"/>
    <x v="2"/>
    <x v="465"/>
    <n v="304.77999999999997"/>
    <n v="537.27"/>
    <n v="0.187"/>
    <n v="8"/>
    <n v="3494.4040799999998"/>
    <n v="2438.2399999999998"/>
    <n v="1056.16408"/>
    <n v="0.3022444044307549"/>
    <x v="24"/>
    <x v="24"/>
    <s v="Q1-2025"/>
    <s v="Asia → China → Beijing"/>
    <s v="Phones"/>
    <s v="Low"/>
    <x v="0"/>
    <x v="24"/>
  </r>
  <r>
    <x v="467"/>
    <s v="Original"/>
    <x v="351"/>
    <d v="2025-02-06T00:00:00"/>
    <n v="27"/>
    <x v="0"/>
    <x v="9"/>
    <s v="Brasília"/>
    <s v="Non-Profit"/>
    <x v="3"/>
    <x v="0"/>
    <x v="0"/>
    <x v="466"/>
    <n v="725.62"/>
    <n v="1559.19"/>
    <n v="0.19"/>
    <n v="12"/>
    <n v="15155.326800000001"/>
    <n v="8707.44"/>
    <n v="6447.8868000000002"/>
    <n v="0.42545349797405885"/>
    <x v="24"/>
    <x v="24"/>
    <s v="Q1-2025"/>
    <s v="Americas → Brazil → Brasília"/>
    <s v="Laptops"/>
    <s v="Medium"/>
    <x v="0"/>
    <x v="24"/>
  </r>
  <r>
    <x v="468"/>
    <s v="Original"/>
    <x v="352"/>
    <d v="2025-01-23T00:00:00"/>
    <n v="12"/>
    <x v="0"/>
    <x v="4"/>
    <s v="Austin"/>
    <s v="Consumer"/>
    <x v="0"/>
    <x v="4"/>
    <x v="2"/>
    <x v="467"/>
    <n v="100.69"/>
    <n v="226.14"/>
    <n v="6.5000000000000002E-2"/>
    <n v="12"/>
    <n v="2537.2908000000002"/>
    <n v="1208.28"/>
    <n v="1329.0108000000002"/>
    <n v="0.52379128162999689"/>
    <x v="24"/>
    <x v="24"/>
    <s v="Q1-2025"/>
    <s v="Americas → USA → Austin"/>
    <s v="Phones"/>
    <s v="Low"/>
    <x v="0"/>
    <x v="24"/>
  </r>
  <r>
    <x v="469"/>
    <s v="Original"/>
    <x v="353"/>
    <d v="2025-02-08T00:00:00"/>
    <n v="26"/>
    <x v="2"/>
    <x v="2"/>
    <s v="Paris"/>
    <s v="Non-Profit"/>
    <x v="5"/>
    <x v="14"/>
    <x v="5"/>
    <x v="468"/>
    <n v="594.74"/>
    <n v="1020.69"/>
    <n v="0.21099999999999999"/>
    <n v="6"/>
    <n v="4831.9464600000001"/>
    <n v="3568.44"/>
    <n v="1263.5064600000001"/>
    <n v="0.26149016146176424"/>
    <x v="24"/>
    <x v="24"/>
    <s v="Q1-2025"/>
    <s v="Europe → France → Paris"/>
    <s v="Monitors"/>
    <s v="Medium"/>
    <x v="0"/>
    <x v="24"/>
  </r>
  <r>
    <x v="470"/>
    <s v="Original"/>
    <x v="354"/>
    <d v="2025-01-24T00:00:00"/>
    <n v="7"/>
    <x v="0"/>
    <x v="4"/>
    <s v="Austin"/>
    <s v="Enterprise"/>
    <x v="1"/>
    <x v="6"/>
    <x v="3"/>
    <x v="469"/>
    <n v="142.09"/>
    <n v="218.5"/>
    <n v="0.11899999999999999"/>
    <n v="11"/>
    <n v="2117.4834999999998"/>
    <n v="1562.99"/>
    <n v="554.49349999999981"/>
    <n v="0.26186437816398561"/>
    <x v="24"/>
    <x v="24"/>
    <s v="Q1-2025"/>
    <s v="Americas → USA → Austin"/>
    <s v="Accessories"/>
    <s v="Low"/>
    <x v="0"/>
    <x v="24"/>
  </r>
  <r>
    <x v="471"/>
    <s v="Original"/>
    <x v="355"/>
    <d v="2025-02-03T00:00:00"/>
    <n v="14"/>
    <x v="0"/>
    <x v="9"/>
    <s v="Brasília"/>
    <s v="Enterprise"/>
    <x v="4"/>
    <x v="7"/>
    <x v="6"/>
    <x v="470"/>
    <n v="974.11"/>
    <n v="880.99"/>
    <n v="0.111"/>
    <n v="10"/>
    <n v="7832.0010999999995"/>
    <n v="9741.1"/>
    <n v="-1909.0989000000009"/>
    <n v="-0.2437562093805121"/>
    <x v="24"/>
    <x v="24"/>
    <s v="Q1-2025"/>
    <s v="Americas → Brazil → Brasília"/>
    <s v="Components"/>
    <s v="Medium"/>
    <x v="0"/>
    <x v="24"/>
  </r>
  <r>
    <x v="472"/>
    <s v="Original"/>
    <x v="356"/>
    <d v="2025-02-16T00:00:00"/>
    <n v="26"/>
    <x v="2"/>
    <x v="2"/>
    <s v="Lyon"/>
    <s v="Corporate"/>
    <x v="0"/>
    <x v="5"/>
    <x v="0"/>
    <x v="471"/>
    <n v="204.11"/>
    <n v="236.87"/>
    <n v="0.182"/>
    <n v="13"/>
    <n v="2518.8755800000004"/>
    <n v="2653.4300000000003"/>
    <n v="-134.55441999999994"/>
    <n v="-5.3418446337075494E-2"/>
    <x v="24"/>
    <x v="24"/>
    <s v="Q1-2025"/>
    <s v="Europe → France → Lyon"/>
    <s v="Laptops"/>
    <s v="Low"/>
    <x v="0"/>
    <x v="24"/>
  </r>
  <r>
    <x v="473"/>
    <s v="Original"/>
    <x v="356"/>
    <d v="2025-02-14T00:00:00"/>
    <n v="24"/>
    <x v="1"/>
    <x v="7"/>
    <s v="Nairobi"/>
    <s v="Small Business"/>
    <x v="3"/>
    <x v="13"/>
    <x v="3"/>
    <x v="472"/>
    <n v="1030.44"/>
    <n v="2562.84"/>
    <n v="0.14799999999999999"/>
    <n v="13"/>
    <n v="28386.015839999996"/>
    <n v="13395.720000000001"/>
    <n v="14990.295839999995"/>
    <n v="0.52808734852027039"/>
    <x v="24"/>
    <x v="24"/>
    <s v="Q1-2025"/>
    <s v="Africa → Kenya → Nairobi"/>
    <s v="Accessories"/>
    <s v="High"/>
    <x v="0"/>
    <x v="24"/>
  </r>
  <r>
    <x v="474"/>
    <s v="Original"/>
    <x v="357"/>
    <d v="2025-01-29T00:00:00"/>
    <n v="7"/>
    <x v="2"/>
    <x v="2"/>
    <s v="Lyon"/>
    <s v="Small Business"/>
    <x v="1"/>
    <x v="0"/>
    <x v="3"/>
    <x v="473"/>
    <n v="591.72"/>
    <n v="577.24"/>
    <n v="0"/>
    <n v="22"/>
    <n v="12699.28"/>
    <n v="13017.84"/>
    <n v="-318.55999999999949"/>
    <n v="-2.5084886702238195E-2"/>
    <x v="24"/>
    <x v="24"/>
    <s v="Q1-2025"/>
    <s v="Europe → France → Lyon"/>
    <s v="Accessories"/>
    <s v="Low"/>
    <x v="0"/>
    <x v="24"/>
  </r>
  <r>
    <x v="475"/>
    <s v="Original"/>
    <x v="357"/>
    <d v="2025-02-04T00:00:00"/>
    <n v="13"/>
    <x v="3"/>
    <x v="11"/>
    <s v="Tokyo"/>
    <s v="Small Business"/>
    <x v="0"/>
    <x v="9"/>
    <x v="1"/>
    <x v="474"/>
    <n v="122.29"/>
    <n v="224.95"/>
    <n v="0.153"/>
    <n v="28"/>
    <n v="5334.9141999999993"/>
    <n v="3424.1200000000003"/>
    <n v="1910.7941999999989"/>
    <n v="0.3581677471026618"/>
    <x v="24"/>
    <x v="24"/>
    <s v="Q1-2025"/>
    <s v="Asia → Japan → Tokyo"/>
    <s v="Printers"/>
    <s v="Low"/>
    <x v="2"/>
    <x v="22"/>
  </r>
  <r>
    <x v="476"/>
    <s v="Original"/>
    <x v="358"/>
    <d v="2025-02-15T00:00:00"/>
    <n v="19"/>
    <x v="3"/>
    <x v="3"/>
    <s v="Shenzhen"/>
    <s v="Non-Profit"/>
    <x v="2"/>
    <x v="9"/>
    <x v="2"/>
    <x v="475"/>
    <n v="1253.22"/>
    <n v="3104.71"/>
    <n v="0"/>
    <n v="17"/>
    <n v="52780.07"/>
    <n v="21304.74"/>
    <n v="31475.329999999998"/>
    <n v="0.59634877331538205"/>
    <x v="24"/>
    <x v="24"/>
    <s v="Q1-2025"/>
    <s v="Asia → China → Shenzhen"/>
    <s v="Phones"/>
    <s v="High"/>
    <x v="0"/>
    <x v="24"/>
  </r>
  <r>
    <x v="477"/>
    <s v="Original"/>
    <x v="359"/>
    <d v="2025-02-06T00:00:00"/>
    <n v="8"/>
    <x v="1"/>
    <x v="7"/>
    <s v="Kisumu"/>
    <s v="Education"/>
    <x v="3"/>
    <x v="0"/>
    <x v="2"/>
    <x v="476"/>
    <n v="1445.27"/>
    <n v="2691.45"/>
    <n v="0"/>
    <n v="9"/>
    <n v="24223.05"/>
    <n v="13007.43"/>
    <n v="11215.619999999999"/>
    <n v="0.46301436028906351"/>
    <x v="24"/>
    <x v="24"/>
    <s v="Q1-2025"/>
    <s v="Africa → Kenya → Kisumu"/>
    <s v="Phones"/>
    <s v="High"/>
    <x v="0"/>
    <x v="24"/>
  </r>
  <r>
    <x v="478"/>
    <s v="Original"/>
    <x v="360"/>
    <d v="2025-02-17T00:00:00"/>
    <n v="17"/>
    <x v="2"/>
    <x v="6"/>
    <s v="London"/>
    <s v="Enterprise"/>
    <x v="3"/>
    <x v="4"/>
    <x v="6"/>
    <x v="103"/>
    <n v="378.26"/>
    <n v="541.55999999999995"/>
    <n v="0.16300000000000001"/>
    <n v="25"/>
    <n v="11332.142999999998"/>
    <n v="9456.5"/>
    <n v="1875.6429999999982"/>
    <n v="0.16551529573885526"/>
    <x v="24"/>
    <x v="24"/>
    <s v="Q1-2025"/>
    <s v="Europe → United Kingdom → London"/>
    <s v="Components"/>
    <s v="Low"/>
    <x v="0"/>
    <x v="24"/>
  </r>
  <r>
    <x v="479"/>
    <s v="Original"/>
    <x v="361"/>
    <d v="2025-03-04T00:00:00"/>
    <n v="30"/>
    <x v="3"/>
    <x v="11"/>
    <s v="Osaka"/>
    <s v="Education"/>
    <x v="0"/>
    <x v="9"/>
    <x v="3"/>
    <x v="477"/>
    <n v="766.59"/>
    <n v="1912.8"/>
    <n v="0.19600000000000001"/>
    <n v="5"/>
    <n v="7689.4560000000001"/>
    <n v="3832.9500000000003"/>
    <n v="3856.5059999999999"/>
    <n v="0.50153170783472845"/>
    <x v="25"/>
    <x v="25"/>
    <s v="Q1-2025"/>
    <s v="Asia → Japan → Osaka"/>
    <s v="Accessories"/>
    <s v="High"/>
    <x v="2"/>
    <x v="23"/>
  </r>
  <r>
    <x v="480"/>
    <s v="Original"/>
    <x v="362"/>
    <d v="2025-02-25T00:00:00"/>
    <n v="21"/>
    <x v="2"/>
    <x v="6"/>
    <s v="Birmingham"/>
    <s v="Corporate"/>
    <x v="4"/>
    <x v="2"/>
    <x v="5"/>
    <x v="478"/>
    <n v="1016.32"/>
    <n v="2253.42"/>
    <n v="5.5E-2"/>
    <n v="12"/>
    <n v="25553.782800000001"/>
    <n v="12195.84"/>
    <n v="13357.942800000001"/>
    <n v="0.52273837124419797"/>
    <x v="25"/>
    <x v="25"/>
    <s v="Q1-2025"/>
    <s v="Europe → United Kingdom → Birmingham"/>
    <s v="Monitors"/>
    <s v="High"/>
    <x v="0"/>
    <x v="25"/>
  </r>
  <r>
    <x v="481"/>
    <s v="Original"/>
    <x v="362"/>
    <d v="2025-02-08T00:00:00"/>
    <n v="4"/>
    <x v="2"/>
    <x v="6"/>
    <s v="Manchester"/>
    <s v="Enterprise"/>
    <x v="4"/>
    <x v="9"/>
    <x v="4"/>
    <x v="479"/>
    <n v="586.21"/>
    <n v="727.22"/>
    <n v="6.8000000000000005E-2"/>
    <n v="15"/>
    <n v="10166.535600000001"/>
    <n v="8793.1500000000015"/>
    <n v="1373.3855999999996"/>
    <n v="0.13508884973559721"/>
    <x v="25"/>
    <x v="25"/>
    <s v="Q1-2025"/>
    <s v="Europe → United Kingdom → Manchester"/>
    <s v="Networking"/>
    <s v="Low"/>
    <x v="0"/>
    <x v="25"/>
  </r>
  <r>
    <x v="482"/>
    <s v="Original"/>
    <x v="363"/>
    <d v="2025-02-15T00:00:00"/>
    <n v="9"/>
    <x v="0"/>
    <x v="9"/>
    <s v="São Paulo"/>
    <s v="Non-Profit"/>
    <x v="0"/>
    <x v="7"/>
    <x v="4"/>
    <x v="480"/>
    <n v="837.39"/>
    <n v="1905.42"/>
    <n v="3.2000000000000001E-2"/>
    <n v="18"/>
    <n v="33200.038079999998"/>
    <n v="15073.02"/>
    <n v="18127.018079999998"/>
    <n v="0.54599389423350919"/>
    <x v="25"/>
    <x v="25"/>
    <s v="Q1-2025"/>
    <s v="Americas → Brazil → São Paulo"/>
    <s v="Networking"/>
    <s v="High"/>
    <x v="0"/>
    <x v="25"/>
  </r>
  <r>
    <x v="483"/>
    <s v="Original"/>
    <x v="364"/>
    <d v="2025-02-16T00:00:00"/>
    <n v="9"/>
    <x v="1"/>
    <x v="5"/>
    <s v="Lagos"/>
    <s v="Small Business"/>
    <x v="0"/>
    <x v="11"/>
    <x v="1"/>
    <x v="481"/>
    <n v="90.68"/>
    <n v="118.17"/>
    <n v="0.13500000000000001"/>
    <n v="21"/>
    <n v="2146.5580500000001"/>
    <n v="1904.2800000000002"/>
    <n v="242.27804999999989"/>
    <n v="0.11286815653552899"/>
    <x v="25"/>
    <x v="25"/>
    <s v="Q1-2025"/>
    <s v="Africa → Nigeria → Lagos"/>
    <s v="Printers"/>
    <s v="Low"/>
    <x v="0"/>
    <x v="25"/>
  </r>
  <r>
    <x v="484"/>
    <s v="Original"/>
    <x v="365"/>
    <d v="2025-03-01T00:00:00"/>
    <n v="20"/>
    <x v="0"/>
    <x v="9"/>
    <s v="São Paulo"/>
    <s v="Corporate"/>
    <x v="0"/>
    <x v="0"/>
    <x v="0"/>
    <x v="482"/>
    <n v="1154.6400000000001"/>
    <n v="2794.13"/>
    <n v="3.5000000000000003E-2"/>
    <n v="11"/>
    <n v="29659.68995"/>
    <n v="12701.04"/>
    <n v="16958.649949999999"/>
    <n v="0.57177435025749479"/>
    <x v="25"/>
    <x v="25"/>
    <s v="Q1-2025"/>
    <s v="Americas → Brazil → São Paulo"/>
    <s v="Laptops"/>
    <s v="High"/>
    <x v="0"/>
    <x v="25"/>
  </r>
  <r>
    <x v="485"/>
    <s v="Original"/>
    <x v="366"/>
    <d v="2025-02-28T00:00:00"/>
    <n v="16"/>
    <x v="0"/>
    <x v="9"/>
    <s v="São Paulo"/>
    <s v="Non-Profit"/>
    <x v="2"/>
    <x v="0"/>
    <x v="5"/>
    <x v="483"/>
    <n v="414.95"/>
    <n v="1027.73"/>
    <n v="6.3E-2"/>
    <n v="8"/>
    <n v="7703.8640800000003"/>
    <n v="3319.6"/>
    <n v="4384.2640800000008"/>
    <n v="0.56909935513815568"/>
    <x v="25"/>
    <x v="25"/>
    <s v="Q1-2025"/>
    <s v="Americas → Brazil → São Paulo"/>
    <s v="Monitors"/>
    <s v="Medium"/>
    <x v="0"/>
    <x v="25"/>
  </r>
  <r>
    <x v="486"/>
    <s v="Original"/>
    <x v="367"/>
    <d v="2025-02-21T00:00:00"/>
    <n v="6"/>
    <x v="2"/>
    <x v="8"/>
    <s v="Frankfurt"/>
    <s v="Small Business"/>
    <x v="4"/>
    <x v="9"/>
    <x v="3"/>
    <x v="484"/>
    <n v="815.83"/>
    <n v="1982.18"/>
    <n v="0.127"/>
    <n v="6"/>
    <n v="10382.65884"/>
    <n v="4894.9800000000005"/>
    <n v="5487.6788399999996"/>
    <n v="0.52854272923408507"/>
    <x v="25"/>
    <x v="25"/>
    <s v="Q1-2025"/>
    <s v="Europe → Germany → Frankfurt"/>
    <s v="Accessories"/>
    <s v="High"/>
    <x v="0"/>
    <x v="25"/>
  </r>
  <r>
    <x v="487"/>
    <s v="Original"/>
    <x v="367"/>
    <d v="2025-03-01T00:00:00"/>
    <n v="14"/>
    <x v="1"/>
    <x v="7"/>
    <s v="Mombasa"/>
    <s v="Education"/>
    <x v="2"/>
    <x v="9"/>
    <x v="3"/>
    <x v="485"/>
    <n v="1162.8599999999999"/>
    <n v="1447.68"/>
    <n v="8.6999999999999994E-2"/>
    <n v="12"/>
    <n v="15860.782080000001"/>
    <n v="13954.32"/>
    <n v="1906.4620800000012"/>
    <n v="0.12019975247021369"/>
    <x v="25"/>
    <x v="25"/>
    <s v="Q1-2025"/>
    <s v="Africa → Kenya → Mombasa"/>
    <s v="Accessories"/>
    <s v="Medium"/>
    <x v="0"/>
    <x v="25"/>
  </r>
  <r>
    <x v="488"/>
    <s v="Original"/>
    <x v="367"/>
    <d v="2025-02-27T00:00:00"/>
    <n v="12"/>
    <x v="2"/>
    <x v="2"/>
    <s v="Lyon"/>
    <s v="Non-Profit"/>
    <x v="2"/>
    <x v="10"/>
    <x v="3"/>
    <x v="486"/>
    <n v="1027.26"/>
    <n v="2200.41"/>
    <n v="8.7999999999999995E-2"/>
    <n v="6"/>
    <n v="12040.64352"/>
    <n v="6163.5599999999995"/>
    <n v="5877.0835200000001"/>
    <n v="0.48810377204822358"/>
    <x v="25"/>
    <x v="25"/>
    <s v="Q1-2025"/>
    <s v="Europe → France → Lyon"/>
    <s v="Accessories"/>
    <s v="High"/>
    <x v="0"/>
    <x v="25"/>
  </r>
  <r>
    <x v="489"/>
    <s v="Original"/>
    <x v="368"/>
    <d v="2025-03-17T00:00:00"/>
    <n v="29"/>
    <x v="2"/>
    <x v="8"/>
    <s v="Munich"/>
    <s v="Consumer"/>
    <x v="3"/>
    <x v="9"/>
    <x v="3"/>
    <x v="487"/>
    <n v="730.42"/>
    <n v="956.7"/>
    <n v="4.2000000000000003E-2"/>
    <n v="22"/>
    <n v="20163.409200000002"/>
    <n v="16069.24"/>
    <n v="4094.1692000000021"/>
    <n v="0.20304945256975698"/>
    <x v="25"/>
    <x v="25"/>
    <s v="Q1-2025"/>
    <s v="Europe → Germany → Munich"/>
    <s v="Accessories"/>
    <s v="Medium"/>
    <x v="0"/>
    <x v="25"/>
  </r>
  <r>
    <x v="490"/>
    <s v="Original"/>
    <x v="369"/>
    <d v="2025-02-24T00:00:00"/>
    <n v="7"/>
    <x v="0"/>
    <x v="0"/>
    <s v="Toronto"/>
    <s v="Small Business"/>
    <x v="3"/>
    <x v="2"/>
    <x v="6"/>
    <x v="488"/>
    <n v="1133.47"/>
    <n v="1698.75"/>
    <n v="4.2999999999999997E-2"/>
    <n v="5"/>
    <n v="8128.5187499999993"/>
    <n v="5667.35"/>
    <n v="2461.1687499999989"/>
    <n v="0.30278194904821976"/>
    <x v="25"/>
    <x v="25"/>
    <s v="Q1-2025"/>
    <s v="Americas → Canada → Toronto"/>
    <s v="Components"/>
    <s v="High"/>
    <x v="0"/>
    <x v="25"/>
  </r>
  <r>
    <x v="491"/>
    <s v="Original"/>
    <x v="370"/>
    <d v="2025-03-09T00:00:00"/>
    <n v="18"/>
    <x v="3"/>
    <x v="10"/>
    <s v="Delhi"/>
    <s v="Small Business"/>
    <x v="2"/>
    <x v="5"/>
    <x v="5"/>
    <x v="489"/>
    <n v="325.87"/>
    <n v="538.79"/>
    <n v="0.17399999999999999"/>
    <n v="16"/>
    <n v="7120.6486400000003"/>
    <n v="5213.92"/>
    <n v="1906.7286400000003"/>
    <n v="0.26777457172778013"/>
    <x v="25"/>
    <x v="25"/>
    <s v="Q1-2025"/>
    <s v="Asia → India → Delhi"/>
    <s v="Monitors"/>
    <s v="Low"/>
    <x v="1"/>
    <x v="24"/>
  </r>
  <r>
    <x v="492"/>
    <s v="Original"/>
    <x v="371"/>
    <d v="2025-03-21T00:00:00"/>
    <n v="28"/>
    <x v="1"/>
    <x v="5"/>
    <s v="Abuja"/>
    <s v="Enterprise"/>
    <x v="4"/>
    <x v="12"/>
    <x v="2"/>
    <x v="490"/>
    <n v="1437.39"/>
    <n v="1388.31"/>
    <n v="0.13800000000000001"/>
    <n v="18"/>
    <n v="21541.017959999997"/>
    <n v="25873.02"/>
    <n v="-4332.002040000003"/>
    <n v="-0.20110479681341872"/>
    <x v="25"/>
    <x v="25"/>
    <s v="Q1-2025"/>
    <s v="Africa → Nigeria → Abuja"/>
    <s v="Phones"/>
    <s v="Medium"/>
    <x v="0"/>
    <x v="25"/>
  </r>
  <r>
    <x v="493"/>
    <s v="Original"/>
    <x v="372"/>
    <d v="2025-03-17T00:00:00"/>
    <n v="20"/>
    <x v="0"/>
    <x v="4"/>
    <s v="San Francisco"/>
    <s v="Non-Profit"/>
    <x v="4"/>
    <x v="4"/>
    <x v="2"/>
    <x v="491"/>
    <n v="1205.26"/>
    <n v="1696.35"/>
    <n v="1.9E-2"/>
    <n v="6"/>
    <n v="9984.7160999999978"/>
    <n v="7231.5599999999995"/>
    <n v="2753.1560999999983"/>
    <n v="0.27573704374028213"/>
    <x v="25"/>
    <x v="25"/>
    <s v="Q1-2025"/>
    <s v="Americas → USA → San Francisco"/>
    <s v="Phones"/>
    <s v="High"/>
    <x v="0"/>
    <x v="25"/>
  </r>
  <r>
    <x v="494"/>
    <s v="Original"/>
    <x v="373"/>
    <d v="2025-03-10T00:00:00"/>
    <n v="10"/>
    <x v="3"/>
    <x v="11"/>
    <s v="Osaka"/>
    <s v="Education"/>
    <x v="0"/>
    <x v="8"/>
    <x v="0"/>
    <x v="492"/>
    <n v="51.86"/>
    <n v="45.98"/>
    <n v="0.17299999999999999"/>
    <n v="7"/>
    <n v="266.17821999999995"/>
    <n v="363.02"/>
    <n v="-96.841780000000028"/>
    <n v="-0.3638230806412337"/>
    <x v="25"/>
    <x v="25"/>
    <s v="Q1-2025"/>
    <s v="Asia → Japan → Osaka"/>
    <s v="Laptops"/>
    <s v="Low"/>
    <x v="2"/>
    <x v="23"/>
  </r>
  <r>
    <x v="495"/>
    <s v="Original"/>
    <x v="374"/>
    <d v="2025-03-24T00:00:00"/>
    <n v="21"/>
    <x v="1"/>
    <x v="5"/>
    <s v="Abuja"/>
    <s v="Enterprise"/>
    <x v="2"/>
    <x v="4"/>
    <x v="3"/>
    <x v="493"/>
    <n v="555.95000000000005"/>
    <n v="468.09"/>
    <n v="0.14199999999999999"/>
    <n v="11"/>
    <n v="4417.8334199999999"/>
    <n v="6115.4500000000007"/>
    <n v="-1697.6165800000008"/>
    <n v="-0.38426450674095375"/>
    <x v="26"/>
    <x v="26"/>
    <s v="Q1-2025"/>
    <s v="Africa → Nigeria → Abuja"/>
    <s v="Accessories"/>
    <s v="Low"/>
    <x v="0"/>
    <x v="26"/>
  </r>
  <r>
    <x v="496"/>
    <s v="Original"/>
    <x v="375"/>
    <d v="2025-03-31T00:00:00"/>
    <n v="25"/>
    <x v="0"/>
    <x v="9"/>
    <s v="Brasília"/>
    <s v="Non-Profit"/>
    <x v="1"/>
    <x v="13"/>
    <x v="6"/>
    <x v="494"/>
    <n v="331.57"/>
    <n v="548.4"/>
    <n v="9.4E-2"/>
    <n v="10"/>
    <n v="4968.5039999999999"/>
    <n v="3315.7"/>
    <n v="1652.8040000000001"/>
    <n v="0.33265626836568918"/>
    <x v="26"/>
    <x v="26"/>
    <s v="Q1-2025"/>
    <s v="Americas → Brazil → Brasília"/>
    <s v="Components"/>
    <s v="Low"/>
    <x v="0"/>
    <x v="26"/>
  </r>
  <r>
    <x v="497"/>
    <s v="Original"/>
    <x v="376"/>
    <d v="2025-03-15T00:00:00"/>
    <n v="7"/>
    <x v="3"/>
    <x v="10"/>
    <s v="Bengaluru"/>
    <s v="Corporate"/>
    <x v="0"/>
    <x v="10"/>
    <x v="0"/>
    <x v="495"/>
    <n v="475.66"/>
    <n v="529.14"/>
    <n v="0.19600000000000001"/>
    <n v="11"/>
    <n v="4679.7141600000004"/>
    <n v="5232.26"/>
    <n v="-552.54583999999977"/>
    <n v="-0.11807256193613323"/>
    <x v="26"/>
    <x v="26"/>
    <s v="Q1-2025"/>
    <s v="Asia → India → Bengaluru"/>
    <s v="Laptops"/>
    <s v="Low"/>
    <x v="1"/>
    <x v="25"/>
  </r>
  <r>
    <x v="498"/>
    <s v="Original"/>
    <x v="377"/>
    <d v="2025-03-27T00:00:00"/>
    <n v="17"/>
    <x v="0"/>
    <x v="9"/>
    <s v="Rio de Janeiro"/>
    <s v="Enterprise"/>
    <x v="2"/>
    <x v="7"/>
    <x v="4"/>
    <x v="496"/>
    <n v="996.73"/>
    <n v="1217.43"/>
    <n v="7.0000000000000007E-2"/>
    <n v="9"/>
    <n v="10189.8891"/>
    <n v="8970.57"/>
    <n v="1219.3191000000006"/>
    <n v="0.11965970267527255"/>
    <x v="26"/>
    <x v="26"/>
    <s v="Q1-2025"/>
    <s v="Americas → Brazil → Rio de Janeiro"/>
    <s v="Networking"/>
    <s v="Medium"/>
    <x v="0"/>
    <x v="26"/>
  </r>
  <r>
    <x v="499"/>
    <s v="Original"/>
    <x v="377"/>
    <d v="2025-04-04T00:00:00"/>
    <n v="25"/>
    <x v="3"/>
    <x v="11"/>
    <s v="Osaka"/>
    <s v="Corporate"/>
    <x v="2"/>
    <x v="4"/>
    <x v="1"/>
    <x v="497"/>
    <n v="783.72"/>
    <n v="1355.94"/>
    <n v="0.187"/>
    <n v="4"/>
    <n v="4409.5168800000001"/>
    <n v="3134.88"/>
    <n v="1274.63688"/>
    <n v="0.28906497348525856"/>
    <x v="26"/>
    <x v="26"/>
    <s v="Q1-2025"/>
    <s v="Asia → Japan → Osaka"/>
    <s v="Printers"/>
    <s v="Medium"/>
    <x v="2"/>
    <x v="24"/>
  </r>
  <r>
    <x v="500"/>
    <s v="Original"/>
    <x v="378"/>
    <d v="2025-03-26T00:00:00"/>
    <n v="15"/>
    <x v="2"/>
    <x v="8"/>
    <s v="Berlin"/>
    <s v="Small Business"/>
    <x v="1"/>
    <x v="12"/>
    <x v="2"/>
    <x v="498"/>
    <n v="116.97"/>
    <n v="140.82"/>
    <n v="0.122"/>
    <n v="5"/>
    <n v="618.19979999999987"/>
    <n v="584.85"/>
    <n v="33.349799999999846"/>
    <n v="5.3946636669891926E-2"/>
    <x v="26"/>
    <x v="26"/>
    <s v="Q1-2025"/>
    <s v="Europe → Germany → Berlin"/>
    <s v="Phones"/>
    <s v="Low"/>
    <x v="0"/>
    <x v="26"/>
  </r>
  <r>
    <x v="501"/>
    <s v="Original"/>
    <x v="378"/>
    <d v="2025-03-27T00:00:00"/>
    <n v="16"/>
    <x v="3"/>
    <x v="11"/>
    <s v="Tokyo"/>
    <s v="Enterprise"/>
    <x v="0"/>
    <x v="0"/>
    <x v="1"/>
    <x v="499"/>
    <n v="1317.58"/>
    <n v="1897.74"/>
    <n v="8.1000000000000003E-2"/>
    <n v="6"/>
    <n v="10464.138360000001"/>
    <n v="7905.48"/>
    <n v="2558.6583600000013"/>
    <n v="0.24451687009230266"/>
    <x v="26"/>
    <x v="26"/>
    <s v="Q1-2025"/>
    <s v="Asia → Japan → Tokyo"/>
    <s v="Printers"/>
    <s v="High"/>
    <x v="2"/>
    <x v="24"/>
  </r>
  <r>
    <x v="502"/>
    <s v="Original"/>
    <x v="379"/>
    <d v="2025-03-29T00:00:00"/>
    <n v="15"/>
    <x v="3"/>
    <x v="11"/>
    <s v="Tokyo"/>
    <s v="Non-Profit"/>
    <x v="2"/>
    <x v="4"/>
    <x v="4"/>
    <x v="500"/>
    <n v="1106.96"/>
    <n v="2726.62"/>
    <n v="0.3"/>
    <n v="7"/>
    <n v="13360.438"/>
    <n v="7748.72"/>
    <n v="5611.7179999999998"/>
    <n v="0.42002500217432992"/>
    <x v="26"/>
    <x v="26"/>
    <s v="Q1-2025"/>
    <s v="Asia → Japan → Tokyo"/>
    <s v="Networking"/>
    <s v="High"/>
    <x v="2"/>
    <x v="24"/>
  </r>
  <r>
    <x v="503"/>
    <s v="Original"/>
    <x v="379"/>
    <d v="2025-04-08T00:00:00"/>
    <n v="25"/>
    <x v="3"/>
    <x v="3"/>
    <s v="Unknown"/>
    <s v="Corporate"/>
    <x v="0"/>
    <x v="2"/>
    <x v="1"/>
    <x v="501"/>
    <n v="80.59"/>
    <n v="157.82"/>
    <n v="0.217"/>
    <n v="6"/>
    <n v="741.43835999999999"/>
    <n v="483.54"/>
    <n v="257.89835999999997"/>
    <n v="0.34783519967863541"/>
    <x v="26"/>
    <x v="26"/>
    <s v="Q1-2025"/>
    <s v="Asia → China → Unknown"/>
    <s v="Printers"/>
    <s v="Low"/>
    <x v="0"/>
    <x v="26"/>
  </r>
  <r>
    <x v="504"/>
    <s v="Original"/>
    <x v="380"/>
    <d v="2025-03-29T00:00:00"/>
    <n v="14"/>
    <x v="3"/>
    <x v="10"/>
    <s v="Mumbai"/>
    <s v="Enterprise"/>
    <x v="2"/>
    <x v="11"/>
    <x v="6"/>
    <x v="502"/>
    <n v="935.83"/>
    <n v="2303.46"/>
    <n v="0.105"/>
    <n v="9"/>
    <n v="18554.370299999999"/>
    <n v="8422.4700000000012"/>
    <n v="10131.900299999998"/>
    <n v="0.54606543559174292"/>
    <x v="26"/>
    <x v="26"/>
    <s v="Q1-2025"/>
    <s v="Asia → India → Mumbai"/>
    <s v="Components"/>
    <s v="High"/>
    <x v="1"/>
    <x v="25"/>
  </r>
  <r>
    <x v="505"/>
    <s v="Original"/>
    <x v="381"/>
    <d v="2025-04-09T00:00:00"/>
    <n v="19"/>
    <x v="3"/>
    <x v="11"/>
    <s v="Tokyo"/>
    <s v="Small Business"/>
    <x v="0"/>
    <x v="14"/>
    <x v="6"/>
    <x v="503"/>
    <n v="1055.45"/>
    <n v="1210.04"/>
    <n v="8.9999999999999993E-3"/>
    <n v="18"/>
    <n v="21584.693520000001"/>
    <n v="18998.100000000002"/>
    <n v="2586.5935199999985"/>
    <n v="0.1198346188053727"/>
    <x v="26"/>
    <x v="26"/>
    <s v="Q1-2025"/>
    <s v="Asia → Japan → Tokyo"/>
    <s v="Components"/>
    <s v="Medium"/>
    <x v="2"/>
    <x v="24"/>
  </r>
  <r>
    <x v="506"/>
    <s v="Original"/>
    <x v="382"/>
    <d v="2025-04-02T00:00:00"/>
    <n v="10"/>
    <x v="2"/>
    <x v="8"/>
    <s v="Berlin"/>
    <s v="Enterprise"/>
    <x v="1"/>
    <x v="14"/>
    <x v="1"/>
    <x v="504"/>
    <n v="663.61"/>
    <n v="1002.11"/>
    <n v="4.5999999999999999E-2"/>
    <n v="17"/>
    <n v="16252.219979999998"/>
    <n v="11281.37"/>
    <n v="4970.8499799999972"/>
    <n v="0.30585667595670812"/>
    <x v="26"/>
    <x v="26"/>
    <s v="Q1-2025"/>
    <s v="Europe → Germany → Berlin"/>
    <s v="Printers"/>
    <s v="Medium"/>
    <x v="0"/>
    <x v="26"/>
  </r>
  <r>
    <x v="507"/>
    <s v="Original"/>
    <x v="383"/>
    <d v="2025-03-25T00:00:00"/>
    <n v="1"/>
    <x v="3"/>
    <x v="3"/>
    <s v="Beijing"/>
    <s v="Non-Profit"/>
    <x v="1"/>
    <x v="6"/>
    <x v="4"/>
    <x v="505"/>
    <n v="1133.03"/>
    <n v="1921.51"/>
    <n v="0.10100000000000001"/>
    <n v="5"/>
    <n v="8637.1874499999994"/>
    <n v="5665.15"/>
    <n v="2972.0374499999998"/>
    <n v="0.3440978289755654"/>
    <x v="26"/>
    <x v="26"/>
    <s v="Q1-2025"/>
    <s v="Asia → China → Beijing"/>
    <s v="Networking"/>
    <s v="High"/>
    <x v="0"/>
    <x v="26"/>
  </r>
  <r>
    <x v="508"/>
    <s v="Original"/>
    <x v="383"/>
    <d v="2025-04-04T00:00:00"/>
    <n v="11"/>
    <x v="3"/>
    <x v="10"/>
    <s v="Mumbai"/>
    <s v="Education"/>
    <x v="4"/>
    <x v="13"/>
    <x v="2"/>
    <x v="506"/>
    <n v="23.83"/>
    <n v="47.29"/>
    <n v="6.4000000000000001E-2"/>
    <n v="19"/>
    <n v="841.00536"/>
    <n v="452.77"/>
    <n v="388.23536000000001"/>
    <n v="0.46163244429262618"/>
    <x v="26"/>
    <x v="26"/>
    <s v="Q1-2025"/>
    <s v="Asia → India → Mumbai"/>
    <s v="Phones"/>
    <s v="Low"/>
    <x v="1"/>
    <x v="25"/>
  </r>
  <r>
    <x v="509"/>
    <s v="Original"/>
    <x v="384"/>
    <d v="2025-04-17T00:00:00"/>
    <n v="23"/>
    <x v="2"/>
    <x v="6"/>
    <s v="London"/>
    <s v="Consumer"/>
    <x v="3"/>
    <x v="4"/>
    <x v="4"/>
    <x v="507"/>
    <n v="1421.19"/>
    <n v="1808.26"/>
    <n v="0.104"/>
    <n v="13"/>
    <n v="21062.61248"/>
    <n v="18475.47"/>
    <n v="2587.1424799999986"/>
    <n v="0.12283103449093123"/>
    <x v="26"/>
    <x v="26"/>
    <s v="Q1-2025"/>
    <s v="Europe → United Kingdom → London"/>
    <s v="Networking"/>
    <s v="High"/>
    <x v="0"/>
    <x v="26"/>
  </r>
  <r>
    <x v="510"/>
    <s v="Original"/>
    <x v="384"/>
    <d v="2025-03-26T00:00:00"/>
    <n v="1"/>
    <x v="1"/>
    <x v="5"/>
    <s v="Lagos"/>
    <s v="Education"/>
    <x v="0"/>
    <x v="6"/>
    <x v="3"/>
    <x v="508"/>
    <n v="1450.43"/>
    <n v="1994.67"/>
    <n v="0.1"/>
    <n v="24"/>
    <n v="43084.872000000003"/>
    <n v="34810.32"/>
    <n v="8274.5520000000033"/>
    <n v="0.19205237513529116"/>
    <x v="26"/>
    <x v="26"/>
    <s v="Q1-2025"/>
    <s v="Africa → Nigeria → Lagos"/>
    <s v="Accessories"/>
    <s v="High"/>
    <x v="0"/>
    <x v="26"/>
  </r>
  <r>
    <x v="511"/>
    <s v="Original"/>
    <x v="385"/>
    <d v="2025-04-02T00:00:00"/>
    <n v="4"/>
    <x v="1"/>
    <x v="5"/>
    <s v="Lagos"/>
    <s v="Non-Profit"/>
    <x v="4"/>
    <x v="6"/>
    <x v="2"/>
    <x v="509"/>
    <n v="259.93"/>
    <n v="255.94"/>
    <n v="7.1999999999999995E-2"/>
    <n v="22"/>
    <n v="5225.2710400000005"/>
    <n v="5718.46"/>
    <n v="-493.1889599999995"/>
    <n v="-9.4385335463861311E-2"/>
    <x v="26"/>
    <x v="26"/>
    <s v="Q1-2025"/>
    <s v="Africa → Nigeria → Lagos"/>
    <s v="Phones"/>
    <s v="Low"/>
    <x v="0"/>
    <x v="26"/>
  </r>
  <r>
    <x v="512"/>
    <s v="Original"/>
    <x v="386"/>
    <d v="2025-04-07T00:00:00"/>
    <n v="8"/>
    <x v="0"/>
    <x v="9"/>
    <s v="São Paulo"/>
    <s v="Non-Profit"/>
    <x v="2"/>
    <x v="9"/>
    <x v="1"/>
    <x v="510"/>
    <n v="71.62"/>
    <n v="118.37"/>
    <n v="0.156"/>
    <n v="11"/>
    <n v="1098.9470800000001"/>
    <n v="787.82"/>
    <n v="311.12708000000009"/>
    <n v="0.28311379652603474"/>
    <x v="26"/>
    <x v="26"/>
    <s v="Q1-2025"/>
    <s v="Americas → Brazil → São Paulo"/>
    <s v="Printers"/>
    <s v="Low"/>
    <x v="0"/>
    <x v="26"/>
  </r>
  <r>
    <x v="513"/>
    <s v="Original"/>
    <x v="386"/>
    <d v="2025-04-29T00:00:00"/>
    <n v="30"/>
    <x v="1"/>
    <x v="1"/>
    <s v="Durban"/>
    <s v="Consumer"/>
    <x v="4"/>
    <x v="13"/>
    <x v="5"/>
    <x v="511"/>
    <n v="194.6"/>
    <n v="314.87"/>
    <n v="0.29299999999999998"/>
    <n v="25"/>
    <n v="5565.3272500000003"/>
    <n v="4865"/>
    <n v="700.32725000000028"/>
    <n v="0.1258375686712763"/>
    <x v="26"/>
    <x v="26"/>
    <s v="Q1-2025"/>
    <s v="Africa → South Africa → Durban"/>
    <s v="Monitors"/>
    <s v="Low"/>
    <x v="0"/>
    <x v="26"/>
  </r>
  <r>
    <x v="514"/>
    <s v="Original"/>
    <x v="387"/>
    <d v="2025-04-04T00:00:00"/>
    <n v="4"/>
    <x v="1"/>
    <x v="7"/>
    <s v="Nakuru"/>
    <s v="Corporate"/>
    <x v="2"/>
    <x v="11"/>
    <x v="0"/>
    <x v="512"/>
    <n v="862.08"/>
    <n v="1952.83"/>
    <n v="0"/>
    <n v="7"/>
    <n v="13669.81"/>
    <n v="6034.56"/>
    <n v="7635.2499999999991"/>
    <n v="0.5585483631447693"/>
    <x v="26"/>
    <x v="26"/>
    <s v="Q1-2025"/>
    <s v="Africa → Kenya → Nakuru"/>
    <s v="Laptops"/>
    <s v="High"/>
    <x v="0"/>
    <x v="26"/>
  </r>
  <r>
    <x v="515"/>
    <s v="Original"/>
    <x v="388"/>
    <d v="2025-04-27T00:00:00"/>
    <n v="26"/>
    <x v="0"/>
    <x v="4"/>
    <s v="San Francisco"/>
    <s v="Corporate"/>
    <x v="2"/>
    <x v="12"/>
    <x v="5"/>
    <x v="513"/>
    <n v="156.55000000000001"/>
    <n v="227.45"/>
    <n v="1.4E-2"/>
    <n v="13"/>
    <n v="2915.4540999999999"/>
    <n v="2035.15"/>
    <n v="880.30409999999983"/>
    <n v="0.3019440779396938"/>
    <x v="27"/>
    <x v="27"/>
    <s v="Q2-2025"/>
    <s v="Americas → USA → San Francisco"/>
    <s v="Monitors"/>
    <s v="Low"/>
    <x v="0"/>
    <x v="27"/>
  </r>
  <r>
    <x v="516"/>
    <s v="Original"/>
    <x v="389"/>
    <d v="2025-04-13T00:00:00"/>
    <n v="9"/>
    <x v="2"/>
    <x v="8"/>
    <s v="Munich"/>
    <s v="Consumer"/>
    <x v="4"/>
    <x v="7"/>
    <x v="2"/>
    <x v="514"/>
    <n v="7.02"/>
    <n v="6.28"/>
    <n v="0.13400000000000001"/>
    <n v="14"/>
    <n v="76.138720000000006"/>
    <n v="98.28"/>
    <n v="-22.141279999999995"/>
    <n v="-0.29080184169106066"/>
    <x v="27"/>
    <x v="27"/>
    <s v="Q2-2025"/>
    <s v="Europe → Germany → Munich"/>
    <s v="Phones"/>
    <s v="Low"/>
    <x v="0"/>
    <x v="27"/>
  </r>
  <r>
    <x v="517"/>
    <s v="Original"/>
    <x v="389"/>
    <d v="2025-04-10T00:00:00"/>
    <n v="6"/>
    <x v="2"/>
    <x v="6"/>
    <s v="Birmingham"/>
    <s v="Non-Profit"/>
    <x v="2"/>
    <x v="8"/>
    <x v="1"/>
    <x v="515"/>
    <n v="290.14"/>
    <n v="250.73"/>
    <n v="3.4000000000000002E-2"/>
    <n v="17"/>
    <n v="4117.4880599999997"/>
    <n v="4932.38"/>
    <n v="-814.89194000000043"/>
    <n v="-0.19790997038131072"/>
    <x v="27"/>
    <x v="27"/>
    <s v="Q2-2025"/>
    <s v="Europe → United Kingdom → Birmingham"/>
    <s v="Printers"/>
    <s v="Low"/>
    <x v="0"/>
    <x v="27"/>
  </r>
  <r>
    <x v="518"/>
    <s v="Original"/>
    <x v="390"/>
    <d v="2025-04-30T00:00:00"/>
    <n v="24"/>
    <x v="0"/>
    <x v="9"/>
    <s v="Brasília"/>
    <s v="Education"/>
    <x v="1"/>
    <x v="10"/>
    <x v="5"/>
    <x v="516"/>
    <n v="855.78"/>
    <n v="977.38"/>
    <n v="0.14699999999999999"/>
    <n v="38"/>
    <n v="31680.795320000001"/>
    <n v="32519.64"/>
    <n v="-838.84467999999833"/>
    <n v="-2.6478018355506307E-2"/>
    <x v="27"/>
    <x v="27"/>
    <s v="Q2-2025"/>
    <s v="Americas → Brazil → Brasília"/>
    <s v="Monitors"/>
    <s v="Medium"/>
    <x v="0"/>
    <x v="27"/>
  </r>
  <r>
    <x v="519"/>
    <s v="Original"/>
    <x v="391"/>
    <d v="2025-04-11T00:00:00"/>
    <n v="4"/>
    <x v="2"/>
    <x v="2"/>
    <s v="Lyon"/>
    <s v="Education"/>
    <x v="3"/>
    <x v="14"/>
    <x v="4"/>
    <x v="517"/>
    <n v="754.77"/>
    <n v="1666.18"/>
    <n v="0.13900000000000001"/>
    <n v="14"/>
    <n v="20084.133720000002"/>
    <n v="10566.779999999999"/>
    <n v="9517.3537200000028"/>
    <n v="0.47387424584424653"/>
    <x v="27"/>
    <x v="27"/>
    <s v="Q2-2025"/>
    <s v="Europe → France → Lyon"/>
    <s v="Networking"/>
    <s v="High"/>
    <x v="0"/>
    <x v="27"/>
  </r>
  <r>
    <x v="520"/>
    <s v="Original"/>
    <x v="392"/>
    <d v="2025-05-06T00:00:00"/>
    <n v="27"/>
    <x v="0"/>
    <x v="9"/>
    <s v="Brasília"/>
    <s v="Enterprise"/>
    <x v="4"/>
    <x v="7"/>
    <x v="0"/>
    <x v="518"/>
    <n v="264.19"/>
    <n v="620.92999999999995"/>
    <n v="0.14199999999999999"/>
    <n v="12"/>
    <n v="6393.0952799999995"/>
    <n v="3170.2799999999997"/>
    <n v="3222.8152799999998"/>
    <n v="0.50410875152794532"/>
    <x v="27"/>
    <x v="27"/>
    <s v="Q2-2025"/>
    <s v="Americas → Brazil → Brasília"/>
    <s v="Laptops"/>
    <s v="Low"/>
    <x v="0"/>
    <x v="27"/>
  </r>
  <r>
    <x v="521"/>
    <s v="Original"/>
    <x v="392"/>
    <d v="2025-04-12T00:00:00"/>
    <n v="3"/>
    <x v="2"/>
    <x v="2"/>
    <s v="Lyon"/>
    <s v="Small Business"/>
    <x v="0"/>
    <x v="4"/>
    <x v="5"/>
    <x v="519"/>
    <n v="86.68"/>
    <n v="213.32"/>
    <n v="3.7999999999999999E-2"/>
    <n v="8"/>
    <n v="1641.7107199999998"/>
    <n v="693.44"/>
    <n v="948.27071999999976"/>
    <n v="0.57761133459614611"/>
    <x v="27"/>
    <x v="27"/>
    <s v="Q2-2025"/>
    <s v="Europe → France → Lyon"/>
    <s v="Monitors"/>
    <s v="Low"/>
    <x v="0"/>
    <x v="27"/>
  </r>
  <r>
    <x v="522"/>
    <s v="Original"/>
    <x v="393"/>
    <d v="2025-04-19T00:00:00"/>
    <n v="9"/>
    <x v="1"/>
    <x v="1"/>
    <s v="Durban"/>
    <s v="Enterprise"/>
    <x v="5"/>
    <x v="6"/>
    <x v="4"/>
    <x v="520"/>
    <n v="113.74"/>
    <n v="165.7"/>
    <n v="0.124"/>
    <n v="13"/>
    <n v="1886.9915999999998"/>
    <n v="1478.62"/>
    <n v="408.37159999999994"/>
    <n v="0.21641410592394794"/>
    <x v="27"/>
    <x v="27"/>
    <s v="Q2-2025"/>
    <s v="Africa → South Africa → Durban"/>
    <s v="Networking"/>
    <s v="Low"/>
    <x v="0"/>
    <x v="27"/>
  </r>
  <r>
    <x v="523"/>
    <s v="Original"/>
    <x v="394"/>
    <d v="2025-05-04T00:00:00"/>
    <n v="23"/>
    <x v="3"/>
    <x v="11"/>
    <s v="Osaka"/>
    <s v="Small Business"/>
    <x v="1"/>
    <x v="3"/>
    <x v="6"/>
    <x v="521"/>
    <n v="786.2"/>
    <n v="1075.3"/>
    <n v="0.08"/>
    <n v="9"/>
    <n v="8903.4839999999986"/>
    <n v="7075.8"/>
    <n v="1827.6839999999984"/>
    <n v="0.20527739478163815"/>
    <x v="27"/>
    <x v="27"/>
    <s v="Q2-2025"/>
    <s v="Asia → Japan → Osaka"/>
    <s v="Components"/>
    <s v="Medium"/>
    <x v="2"/>
    <x v="25"/>
  </r>
  <r>
    <x v="524"/>
    <s v="Original"/>
    <x v="395"/>
    <d v="2025-04-30T00:00:00"/>
    <n v="18"/>
    <x v="1"/>
    <x v="7"/>
    <s v="Kisumu"/>
    <s v="Corporate"/>
    <x v="4"/>
    <x v="7"/>
    <x v="4"/>
    <x v="522"/>
    <n v="1119.04"/>
    <n v="1299.02"/>
    <n v="2.5000000000000001E-2"/>
    <n v="14"/>
    <n v="17731.623"/>
    <n v="15666.56"/>
    <n v="2065.0630000000001"/>
    <n v="0.11646215352085933"/>
    <x v="27"/>
    <x v="27"/>
    <s v="Q2-2025"/>
    <s v="Africa → Kenya → Kisumu"/>
    <s v="Networking"/>
    <s v="Medium"/>
    <x v="0"/>
    <x v="27"/>
  </r>
  <r>
    <x v="525"/>
    <s v="Original"/>
    <x v="396"/>
    <d v="2025-04-14T00:00:00"/>
    <n v="1"/>
    <x v="3"/>
    <x v="11"/>
    <s v="Osaka"/>
    <s v="Enterprise"/>
    <x v="1"/>
    <x v="6"/>
    <x v="6"/>
    <x v="523"/>
    <n v="138.9"/>
    <n v="289.92"/>
    <n v="2.9000000000000001E-2"/>
    <n v="12"/>
    <n v="3378.1478400000001"/>
    <n v="1666.8000000000002"/>
    <n v="1711.3478399999999"/>
    <n v="0.50659353025828491"/>
    <x v="27"/>
    <x v="27"/>
    <s v="Q2-2025"/>
    <s v="Asia → Japan → Osaka"/>
    <s v="Components"/>
    <s v="Low"/>
    <x v="2"/>
    <x v="25"/>
  </r>
  <r>
    <x v="526"/>
    <s v="Original"/>
    <x v="397"/>
    <d v="2025-05-04T00:00:00"/>
    <n v="20"/>
    <x v="2"/>
    <x v="6"/>
    <s v="Birmingham"/>
    <s v="Enterprise"/>
    <x v="4"/>
    <x v="10"/>
    <x v="5"/>
    <x v="524"/>
    <n v="1413.87"/>
    <n v="3275"/>
    <n v="0.255"/>
    <n v="38"/>
    <n v="92715.25"/>
    <n v="53727.06"/>
    <n v="38988.19"/>
    <n v="0.42051539525590453"/>
    <x v="27"/>
    <x v="27"/>
    <s v="Q2-2025"/>
    <s v="Europe → United Kingdom → Birmingham"/>
    <s v="Monitors"/>
    <s v="High"/>
    <x v="0"/>
    <x v="27"/>
  </r>
  <r>
    <x v="527"/>
    <s v="Original"/>
    <x v="398"/>
    <d v="2025-05-16T00:00:00"/>
    <n v="30"/>
    <x v="0"/>
    <x v="0"/>
    <s v="Montreal"/>
    <s v="Enterprise"/>
    <x v="0"/>
    <x v="10"/>
    <x v="1"/>
    <x v="525"/>
    <n v="763.32"/>
    <n v="568.29"/>
    <n v="0.13100000000000001"/>
    <n v="16"/>
    <n v="7901.5041599999995"/>
    <n v="12213.12"/>
    <n v="-4311.6158400000013"/>
    <n v="-0.54567026134426555"/>
    <x v="27"/>
    <x v="27"/>
    <s v="Q2-2025"/>
    <s v="Americas → Canada → Montreal"/>
    <s v="Printers"/>
    <s v="Low"/>
    <x v="0"/>
    <x v="27"/>
  </r>
  <r>
    <x v="528"/>
    <s v="Original"/>
    <x v="398"/>
    <d v="2025-04-26T00:00:00"/>
    <n v="10"/>
    <x v="1"/>
    <x v="5"/>
    <s v="Port Harcourt"/>
    <s v="Enterprise"/>
    <x v="4"/>
    <x v="7"/>
    <x v="0"/>
    <x v="526"/>
    <n v="1457.44"/>
    <n v="1996.81"/>
    <n v="0.126"/>
    <n v="23"/>
    <n v="40139.874619999995"/>
    <n v="33521.120000000003"/>
    <n v="6618.7546199999924"/>
    <n v="0.16489225944672353"/>
    <x v="27"/>
    <x v="27"/>
    <s v="Q2-2025"/>
    <s v="Africa → Nigeria → Port Harcourt"/>
    <s v="Laptops"/>
    <s v="High"/>
    <x v="0"/>
    <x v="27"/>
  </r>
  <r>
    <x v="529"/>
    <s v="Original"/>
    <x v="399"/>
    <d v="2025-04-24T00:00:00"/>
    <n v="7"/>
    <x v="0"/>
    <x v="9"/>
    <s v="São Paulo"/>
    <s v="Corporate"/>
    <x v="0"/>
    <x v="9"/>
    <x v="2"/>
    <x v="527"/>
    <n v="719.41"/>
    <n v="1125.99"/>
    <n v="4.1000000000000002E-2"/>
    <n v="21"/>
    <n v="22676.312610000001"/>
    <n v="15107.609999999999"/>
    <n v="7568.7026100000021"/>
    <n v="0.33377131194876403"/>
    <x v="27"/>
    <x v="27"/>
    <s v="Q2-2025"/>
    <s v="Americas → Brazil → São Paulo"/>
    <s v="Phones"/>
    <s v="Medium"/>
    <x v="0"/>
    <x v="27"/>
  </r>
  <r>
    <x v="530"/>
    <s v="Original"/>
    <x v="399"/>
    <d v="2025-05-03T00:00:00"/>
    <n v="16"/>
    <x v="0"/>
    <x v="9"/>
    <s v="Rio de Janeiro"/>
    <s v="Consumer"/>
    <x v="4"/>
    <x v="13"/>
    <x v="4"/>
    <x v="528"/>
    <n v="168.68"/>
    <n v="413.34"/>
    <n v="0.186"/>
    <n v="7"/>
    <n v="2355.2113199999999"/>
    <n v="1180.76"/>
    <n v="1174.4513199999999"/>
    <n v="0.49866069767361682"/>
    <x v="27"/>
    <x v="27"/>
    <s v="Q2-2025"/>
    <s v="Americas → Brazil → Rio de Janeiro"/>
    <s v="Networking"/>
    <s v="Low"/>
    <x v="0"/>
    <x v="27"/>
  </r>
  <r>
    <x v="531"/>
    <s v="Original"/>
    <x v="400"/>
    <d v="2025-05-02T00:00:00"/>
    <n v="10"/>
    <x v="2"/>
    <x v="8"/>
    <s v="Berlin"/>
    <s v="Corporate"/>
    <x v="4"/>
    <x v="11"/>
    <x v="5"/>
    <x v="529"/>
    <n v="20.149999999999999"/>
    <n v="39.74"/>
    <n v="0.151"/>
    <n v="18"/>
    <n v="607.30668000000003"/>
    <n v="362.7"/>
    <n v="244.60668000000004"/>
    <n v="0.4027729120318585"/>
    <x v="27"/>
    <x v="27"/>
    <s v="Q2-2025"/>
    <s v="Europe → Germany → Berlin"/>
    <s v="Monitors"/>
    <s v="Low"/>
    <x v="0"/>
    <x v="27"/>
  </r>
  <r>
    <x v="532"/>
    <s v="Original"/>
    <x v="400"/>
    <d v="2025-05-12T00:00:00"/>
    <n v="20"/>
    <x v="2"/>
    <x v="2"/>
    <s v="Lyon"/>
    <s v="Enterprise"/>
    <x v="4"/>
    <x v="10"/>
    <x v="5"/>
    <x v="530"/>
    <n v="59.51"/>
    <n v="67.040000000000006"/>
    <n v="0.114"/>
    <n v="9"/>
    <n v="534.57695999999999"/>
    <n v="535.59"/>
    <n v="-1.0130400000000463"/>
    <n v="-1.8950311663264469E-3"/>
    <x v="27"/>
    <x v="27"/>
    <s v="Q2-2025"/>
    <s v="Europe → France → Lyon"/>
    <s v="Monitors"/>
    <s v="Low"/>
    <x v="0"/>
    <x v="27"/>
  </r>
  <r>
    <x v="533"/>
    <s v="Original"/>
    <x v="401"/>
    <d v="2025-04-30T00:00:00"/>
    <n v="7"/>
    <x v="0"/>
    <x v="4"/>
    <s v="San Francisco"/>
    <s v="Non-Profit"/>
    <x v="0"/>
    <x v="2"/>
    <x v="5"/>
    <x v="531"/>
    <n v="23.24"/>
    <n v="44.57"/>
    <n v="0.215"/>
    <n v="15"/>
    <n v="524.81174999999996"/>
    <n v="348.59999999999997"/>
    <n v="176.21174999999999"/>
    <n v="0.33576182316802167"/>
    <x v="27"/>
    <x v="27"/>
    <s v="Q2-2025"/>
    <s v="Americas → USA → San Francisco"/>
    <s v="Monitors"/>
    <s v="Low"/>
    <x v="0"/>
    <x v="27"/>
  </r>
  <r>
    <x v="534"/>
    <s v="Original"/>
    <x v="402"/>
    <d v="2025-05-06T00:00:00"/>
    <n v="12"/>
    <x v="0"/>
    <x v="9"/>
    <s v="Brasília"/>
    <s v="Consumer"/>
    <x v="1"/>
    <x v="11"/>
    <x v="2"/>
    <x v="532"/>
    <n v="394.13"/>
    <n v="932.29"/>
    <n v="0.109"/>
    <n v="7"/>
    <n v="5814.6927299999998"/>
    <n v="2758.91"/>
    <n v="3055.7827299999999"/>
    <n v="0.5255278089303268"/>
    <x v="27"/>
    <x v="27"/>
    <s v="Q2-2025"/>
    <s v="Americas → Brazil → Brasília"/>
    <s v="Phones"/>
    <s v="Medium"/>
    <x v="0"/>
    <x v="27"/>
  </r>
  <r>
    <x v="535"/>
    <s v="Original"/>
    <x v="403"/>
    <d v="2025-05-25T00:00:00"/>
    <n v="28"/>
    <x v="2"/>
    <x v="2"/>
    <s v="Paris"/>
    <s v="Small Business"/>
    <x v="4"/>
    <x v="12"/>
    <x v="2"/>
    <x v="533"/>
    <n v="603.45000000000005"/>
    <n v="1244.08"/>
    <n v="0.2"/>
    <n v="11"/>
    <n v="10947.904"/>
    <n v="6637.9500000000007"/>
    <n v="4309.9539999999997"/>
    <n v="0.39367846119220623"/>
    <x v="27"/>
    <x v="27"/>
    <s v="Q2-2025"/>
    <s v="Europe → France → Paris"/>
    <s v="Phones"/>
    <s v="Medium"/>
    <x v="0"/>
    <x v="27"/>
  </r>
  <r>
    <x v="536"/>
    <s v="Original"/>
    <x v="403"/>
    <d v="2025-05-27T00:00:00"/>
    <n v="30"/>
    <x v="3"/>
    <x v="10"/>
    <s v="Unknown"/>
    <s v="Enterprise"/>
    <x v="4"/>
    <x v="4"/>
    <x v="2"/>
    <x v="534"/>
    <n v="481.32"/>
    <n v="1135.99"/>
    <n v="0.14499999999999999"/>
    <n v="5"/>
    <n v="4856.35725"/>
    <n v="2406.6"/>
    <n v="2449.7572500000001"/>
    <n v="0.50444337677175621"/>
    <x v="27"/>
    <x v="27"/>
    <s v="Q2-2025"/>
    <s v="Asia → India → Unknown"/>
    <s v="Phones"/>
    <s v="Medium"/>
    <x v="1"/>
    <x v="26"/>
  </r>
  <r>
    <x v="537"/>
    <s v="Original"/>
    <x v="403"/>
    <d v="2025-05-17T00:00:00"/>
    <n v="20"/>
    <x v="0"/>
    <x v="4"/>
    <s v="Austin"/>
    <s v="Corporate"/>
    <x v="2"/>
    <x v="8"/>
    <x v="2"/>
    <x v="535"/>
    <n v="932.26"/>
    <n v="1624.67"/>
    <n v="0.23499999999999999"/>
    <n v="28"/>
    <n v="34800.431400000001"/>
    <n v="26103.279999999999"/>
    <n v="8697.1514000000025"/>
    <n v="0.24991504559337163"/>
    <x v="27"/>
    <x v="27"/>
    <s v="Q2-2025"/>
    <s v="Americas → USA → Austin"/>
    <s v="Phones"/>
    <s v="High"/>
    <x v="0"/>
    <x v="27"/>
  </r>
  <r>
    <x v="538"/>
    <s v="Original"/>
    <x v="404"/>
    <d v="2025-05-15T00:00:00"/>
    <n v="17"/>
    <x v="3"/>
    <x v="11"/>
    <s v="Nagoya"/>
    <s v="Education"/>
    <x v="2"/>
    <x v="8"/>
    <x v="4"/>
    <x v="536"/>
    <n v="691.19"/>
    <n v="1284.3"/>
    <n v="7.3999999999999996E-2"/>
    <n v="7"/>
    <n v="8324.8326000000015"/>
    <n v="4838.33"/>
    <n v="3486.5026000000016"/>
    <n v="0.41880753253825198"/>
    <x v="27"/>
    <x v="27"/>
    <s v="Q2-2025"/>
    <s v="Asia → Japan → Nagoya"/>
    <s v="Networking"/>
    <s v="Medium"/>
    <x v="2"/>
    <x v="25"/>
  </r>
  <r>
    <x v="539"/>
    <s v="Original"/>
    <x v="404"/>
    <d v="2025-05-19T00:00:00"/>
    <n v="21"/>
    <x v="2"/>
    <x v="8"/>
    <s v="Berlin"/>
    <s v="Corporate"/>
    <x v="0"/>
    <x v="0"/>
    <x v="2"/>
    <x v="537"/>
    <n v="350.76"/>
    <n v="492.18"/>
    <n v="5.2999999999999999E-2"/>
    <n v="11"/>
    <n v="5127.0390600000001"/>
    <n v="3858.3599999999997"/>
    <n v="1268.6790600000004"/>
    <n v="0.24744868239798437"/>
    <x v="27"/>
    <x v="27"/>
    <s v="Q2-2025"/>
    <s v="Europe → Germany → Berlin"/>
    <s v="Phones"/>
    <s v="Low"/>
    <x v="0"/>
    <x v="27"/>
  </r>
  <r>
    <x v="540"/>
    <s v="Original"/>
    <x v="405"/>
    <d v="2025-05-13T00:00:00"/>
    <n v="11"/>
    <x v="1"/>
    <x v="7"/>
    <s v="Nakuru"/>
    <s v="Small Business"/>
    <x v="1"/>
    <x v="1"/>
    <x v="3"/>
    <x v="538"/>
    <n v="1057.5999999999999"/>
    <n v="1437.06"/>
    <n v="0.20499999999999999"/>
    <n v="4"/>
    <n v="4569.8508000000002"/>
    <n v="4230.3999999999996"/>
    <n v="339.45080000000053"/>
    <n v="7.4280499485891424E-2"/>
    <x v="28"/>
    <x v="28"/>
    <s v="Q2-2025"/>
    <s v="Africa → Kenya → Nakuru"/>
    <s v="Accessories"/>
    <s v="Medium"/>
    <x v="0"/>
    <x v="28"/>
  </r>
  <r>
    <x v="541"/>
    <s v="Original"/>
    <x v="406"/>
    <d v="2025-05-13T00:00:00"/>
    <n v="6"/>
    <x v="3"/>
    <x v="10"/>
    <s v="Bengaluru"/>
    <s v="Enterprise"/>
    <x v="2"/>
    <x v="13"/>
    <x v="2"/>
    <x v="539"/>
    <n v="935.98"/>
    <n v="2077.69"/>
    <n v="0.17499999999999999"/>
    <n v="24"/>
    <n v="41138.261999999995"/>
    <n v="22463.52"/>
    <n v="18674.741999999995"/>
    <n v="0.45395067978321491"/>
    <x v="28"/>
    <x v="28"/>
    <s v="Q2-2025"/>
    <s v="Asia → India → Bengaluru"/>
    <s v="Phones"/>
    <s v="High"/>
    <x v="1"/>
    <x v="27"/>
  </r>
  <r>
    <x v="542"/>
    <s v="Original"/>
    <x v="407"/>
    <d v="2025-05-27T00:00:00"/>
    <n v="17"/>
    <x v="0"/>
    <x v="0"/>
    <s v="Vancouver"/>
    <s v="Education"/>
    <x v="2"/>
    <x v="11"/>
    <x v="6"/>
    <x v="540"/>
    <n v="862.89"/>
    <n v="1426.03"/>
    <n v="5.6000000000000001E-2"/>
    <n v="19"/>
    <n v="25577.274079999999"/>
    <n v="16394.91"/>
    <n v="9182.3640799999994"/>
    <n v="0.35900479665188778"/>
    <x v="28"/>
    <x v="28"/>
    <s v="Q2-2025"/>
    <s v="Americas → Canada → Vancouver"/>
    <s v="Components"/>
    <s v="Medium"/>
    <x v="0"/>
    <x v="28"/>
  </r>
  <r>
    <x v="543"/>
    <s v="Original"/>
    <x v="408"/>
    <d v="2025-05-26T00:00:00"/>
    <n v="14"/>
    <x v="3"/>
    <x v="10"/>
    <s v="Hyderabad"/>
    <s v="Corporate"/>
    <x v="4"/>
    <x v="6"/>
    <x v="1"/>
    <x v="541"/>
    <n v="320.12"/>
    <n v="594.41999999999996"/>
    <n v="0.104"/>
    <n v="18"/>
    <n v="9586.8057599999993"/>
    <n v="5762.16"/>
    <n v="3824.6457599999994"/>
    <n v="0.39894891538931104"/>
    <x v="28"/>
    <x v="28"/>
    <s v="Q2-2025"/>
    <s v="Asia → India → Hyderabad"/>
    <s v="Printers"/>
    <s v="Low"/>
    <x v="1"/>
    <x v="27"/>
  </r>
  <r>
    <x v="544"/>
    <s v="Original"/>
    <x v="409"/>
    <d v="2025-05-24T00:00:00"/>
    <n v="10"/>
    <x v="2"/>
    <x v="2"/>
    <s v="Paris"/>
    <s v="Small Business"/>
    <x v="4"/>
    <x v="10"/>
    <x v="6"/>
    <x v="542"/>
    <n v="170.39"/>
    <n v="388.04"/>
    <n v="8.4000000000000005E-2"/>
    <n v="15"/>
    <n v="5331.6696000000002"/>
    <n v="2555.85"/>
    <n v="2775.8196000000003"/>
    <n v="0.52062858508711796"/>
    <x v="28"/>
    <x v="28"/>
    <s v="Q2-2025"/>
    <s v="Europe → France → Paris"/>
    <s v="Components"/>
    <s v="Low"/>
    <x v="0"/>
    <x v="28"/>
  </r>
  <r>
    <x v="545"/>
    <s v="Original"/>
    <x v="409"/>
    <d v="2025-05-21T00:00:00"/>
    <n v="7"/>
    <x v="0"/>
    <x v="0"/>
    <s v="Vancouver"/>
    <s v="Non-Profit"/>
    <x v="0"/>
    <x v="7"/>
    <x v="1"/>
    <x v="543"/>
    <n v="883.5"/>
    <n v="1978.91"/>
    <n v="5.3999999999999999E-2"/>
    <n v="27"/>
    <n v="50545.319219999998"/>
    <n v="23854.5"/>
    <n v="26690.819219999998"/>
    <n v="0.52805718970390547"/>
    <x v="28"/>
    <x v="28"/>
    <s v="Q2-2025"/>
    <s v="Americas → Canada → Vancouver"/>
    <s v="Printers"/>
    <s v="High"/>
    <x v="0"/>
    <x v="28"/>
  </r>
  <r>
    <x v="546"/>
    <s v="Original"/>
    <x v="410"/>
    <d v="2025-06-05T00:00:00"/>
    <n v="21"/>
    <x v="3"/>
    <x v="11"/>
    <s v="Osaka"/>
    <s v="Enterprise"/>
    <x v="2"/>
    <x v="4"/>
    <x v="2"/>
    <x v="544"/>
    <n v="1466.5"/>
    <n v="2778.74"/>
    <n v="0.13500000000000001"/>
    <n v="4"/>
    <n v="9614.4403999999995"/>
    <n v="5866"/>
    <n v="3748.4403999999995"/>
    <n v="0.38987608680792279"/>
    <x v="28"/>
    <x v="28"/>
    <s v="Q2-2025"/>
    <s v="Asia → Japan → Osaka"/>
    <s v="Phones"/>
    <s v="High"/>
    <x v="2"/>
    <x v="26"/>
  </r>
  <r>
    <x v="547"/>
    <s v="Original"/>
    <x v="411"/>
    <d v="2025-05-27T00:00:00"/>
    <n v="11"/>
    <x v="3"/>
    <x v="3"/>
    <s v="Beijing"/>
    <s v="Enterprise"/>
    <x v="1"/>
    <x v="7"/>
    <x v="2"/>
    <x v="545"/>
    <n v="918.12"/>
    <n v="1337.69"/>
    <n v="9.5000000000000001E-2"/>
    <n v="8"/>
    <n v="9684.8756000000012"/>
    <n v="7344.96"/>
    <n v="2339.9156000000012"/>
    <n v="0.24160512707050164"/>
    <x v="28"/>
    <x v="28"/>
    <s v="Q2-2025"/>
    <s v="Asia → China → Beijing"/>
    <s v="Phones"/>
    <s v="Medium"/>
    <x v="0"/>
    <x v="28"/>
  </r>
  <r>
    <x v="548"/>
    <s v="Original"/>
    <x v="411"/>
    <d v="2025-05-18T00:00:00"/>
    <n v="2"/>
    <x v="3"/>
    <x v="11"/>
    <s v="Tokyo"/>
    <s v="Enterprise"/>
    <x v="3"/>
    <x v="13"/>
    <x v="1"/>
    <x v="546"/>
    <n v="1144.3800000000001"/>
    <n v="2755.04"/>
    <n v="0.15"/>
    <n v="17"/>
    <n v="39810.328000000001"/>
    <n v="19454.460000000003"/>
    <n v="20355.867999999999"/>
    <n v="0.51132128326096682"/>
    <x v="28"/>
    <x v="28"/>
    <s v="Q2-2025"/>
    <s v="Asia → Japan → Tokyo"/>
    <s v="Printers"/>
    <s v="High"/>
    <x v="2"/>
    <x v="26"/>
  </r>
  <r>
    <x v="549"/>
    <s v="Original"/>
    <x v="412"/>
    <d v="2025-05-28T00:00:00"/>
    <n v="11"/>
    <x v="3"/>
    <x v="10"/>
    <s v="Bengaluru"/>
    <s v="Corporate"/>
    <x v="0"/>
    <x v="0"/>
    <x v="0"/>
    <x v="547"/>
    <n v="623.4"/>
    <n v="1100.0899999999999"/>
    <n v="0.114"/>
    <n v="12"/>
    <n v="11696.156879999999"/>
    <n v="7480.7999999999993"/>
    <n v="4215.3568799999994"/>
    <n v="0.36040529579490388"/>
    <x v="28"/>
    <x v="28"/>
    <s v="Q2-2025"/>
    <s v="Asia → India → Bengaluru"/>
    <s v="Laptops"/>
    <s v="Medium"/>
    <x v="1"/>
    <x v="27"/>
  </r>
  <r>
    <x v="550"/>
    <s v="Original"/>
    <x v="412"/>
    <d v="2025-05-30T00:00:00"/>
    <n v="13"/>
    <x v="1"/>
    <x v="5"/>
    <s v="Lagos"/>
    <s v="Consumer"/>
    <x v="0"/>
    <x v="7"/>
    <x v="3"/>
    <x v="548"/>
    <n v="66.400000000000006"/>
    <n v="141.43"/>
    <n v="0.107"/>
    <n v="8"/>
    <n v="1010.3759200000001"/>
    <n v="531.20000000000005"/>
    <n v="479.17592000000002"/>
    <n v="0.47425508715607551"/>
    <x v="28"/>
    <x v="28"/>
    <s v="Q2-2025"/>
    <s v="Africa → Nigeria → Lagos"/>
    <s v="Accessories"/>
    <s v="Low"/>
    <x v="0"/>
    <x v="28"/>
  </r>
  <r>
    <x v="551"/>
    <s v="Original"/>
    <x v="413"/>
    <d v="2025-06-09T00:00:00"/>
    <n v="22"/>
    <x v="0"/>
    <x v="4"/>
    <s v="New York"/>
    <s v="Consumer"/>
    <x v="3"/>
    <x v="4"/>
    <x v="4"/>
    <x v="549"/>
    <n v="382.96"/>
    <n v="552.84"/>
    <n v="0.17599999999999999"/>
    <n v="8"/>
    <n v="3644.3212800000006"/>
    <n v="3063.68"/>
    <n v="580.64128000000073"/>
    <n v="0.15932768693763483"/>
    <x v="28"/>
    <x v="28"/>
    <s v="Q2-2025"/>
    <s v="Americas → USA → New York"/>
    <s v="Networking"/>
    <s v="Low"/>
    <x v="0"/>
    <x v="28"/>
  </r>
  <r>
    <x v="552"/>
    <s v="Original"/>
    <x v="414"/>
    <d v="2025-05-26T00:00:00"/>
    <n v="7"/>
    <x v="0"/>
    <x v="9"/>
    <s v="São Paulo"/>
    <s v="Small Business"/>
    <x v="0"/>
    <x v="9"/>
    <x v="5"/>
    <x v="550"/>
    <n v="383.77"/>
    <n v="952.56"/>
    <n v="0.3"/>
    <n v="10"/>
    <n v="6667.9199999999983"/>
    <n v="3837.7"/>
    <n v="2830.2199999999984"/>
    <n v="0.42445320279787385"/>
    <x v="28"/>
    <x v="28"/>
    <s v="Q2-2025"/>
    <s v="Americas → Brazil → São Paulo"/>
    <s v="Monitors"/>
    <s v="Medium"/>
    <x v="0"/>
    <x v="28"/>
  </r>
  <r>
    <x v="553"/>
    <s v="Original"/>
    <x v="415"/>
    <d v="2025-06-09T00:00:00"/>
    <n v="19"/>
    <x v="0"/>
    <x v="9"/>
    <s v="São Paulo"/>
    <s v="Non-Profit"/>
    <x v="1"/>
    <x v="1"/>
    <x v="6"/>
    <x v="551"/>
    <n v="1331.38"/>
    <n v="2309.56"/>
    <n v="0.14899999999999999"/>
    <n v="31"/>
    <n v="60928.502359999999"/>
    <n v="41272.780000000006"/>
    <n v="19655.722359999992"/>
    <n v="0.32260307735553528"/>
    <x v="28"/>
    <x v="28"/>
    <s v="Q2-2025"/>
    <s v="Americas → Brazil → São Paulo"/>
    <s v="Components"/>
    <s v="High"/>
    <x v="0"/>
    <x v="28"/>
  </r>
  <r>
    <x v="554"/>
    <s v="Original"/>
    <x v="415"/>
    <d v="2025-05-28T00:00:00"/>
    <n v="7"/>
    <x v="2"/>
    <x v="6"/>
    <s v="Birmingham"/>
    <s v="Enterprise"/>
    <x v="1"/>
    <x v="3"/>
    <x v="0"/>
    <x v="552"/>
    <n v="1015.16"/>
    <n v="2148.14"/>
    <n v="3.7999999999999999E-2"/>
    <n v="19"/>
    <n v="39263.702919999996"/>
    <n v="19288.04"/>
    <n v="19975.662919999995"/>
    <n v="0.50875647059322227"/>
    <x v="28"/>
    <x v="28"/>
    <s v="Q2-2025"/>
    <s v="Europe → United Kingdom → Birmingham"/>
    <s v="Laptops"/>
    <s v="High"/>
    <x v="0"/>
    <x v="28"/>
  </r>
  <r>
    <x v="555"/>
    <s v="Original"/>
    <x v="415"/>
    <d v="2025-05-28T00:00:00"/>
    <n v="7"/>
    <x v="1"/>
    <x v="1"/>
    <s v="Johannesburg"/>
    <s v="Non-Profit"/>
    <x v="0"/>
    <x v="5"/>
    <x v="0"/>
    <x v="553"/>
    <n v="1263.8399999999999"/>
    <n v="2281.7199999999998"/>
    <n v="7.8E-2"/>
    <n v="15"/>
    <n v="31556.187599999997"/>
    <n v="18957.599999999999"/>
    <n v="12598.587599999999"/>
    <n v="0.39924301882398494"/>
    <x v="28"/>
    <x v="28"/>
    <s v="Q2-2025"/>
    <s v="Africa → South Africa → Johannesburg"/>
    <s v="Laptops"/>
    <s v="High"/>
    <x v="0"/>
    <x v="28"/>
  </r>
  <r>
    <x v="556"/>
    <s v="Original"/>
    <x v="416"/>
    <d v="2025-06-08T00:00:00"/>
    <n v="12"/>
    <x v="3"/>
    <x v="11"/>
    <s v="Osaka"/>
    <s v="Corporate"/>
    <x v="3"/>
    <x v="4"/>
    <x v="3"/>
    <x v="554"/>
    <n v="653.6"/>
    <n v="842.09"/>
    <n v="9.8000000000000004E-2"/>
    <n v="19"/>
    <n v="14431.738420000001"/>
    <n v="12418.4"/>
    <n v="2013.3384200000019"/>
    <n v="0.13950768517324622"/>
    <x v="28"/>
    <x v="28"/>
    <s v="Q2-2025"/>
    <s v="Asia → Japan → Osaka"/>
    <s v="Accessories"/>
    <s v="Medium"/>
    <x v="2"/>
    <x v="26"/>
  </r>
  <r>
    <x v="557"/>
    <s v="Original"/>
    <x v="417"/>
    <d v="2025-06-20T00:00:00"/>
    <n v="22"/>
    <x v="2"/>
    <x v="8"/>
    <s v="Berlin"/>
    <s v="Corporate"/>
    <x v="2"/>
    <x v="1"/>
    <x v="1"/>
    <x v="555"/>
    <n v="483.47"/>
    <n v="1135.43"/>
    <n v="0.14599999999999999"/>
    <n v="11"/>
    <n v="10666.229420000001"/>
    <n v="5318.17"/>
    <n v="5348.0594200000014"/>
    <n v="0.50140112399719983"/>
    <x v="28"/>
    <x v="28"/>
    <s v="Q2-2025"/>
    <s v="Europe → Germany → Berlin"/>
    <s v="Printers"/>
    <s v="Medium"/>
    <x v="0"/>
    <x v="28"/>
  </r>
  <r>
    <x v="558"/>
    <s v="Original"/>
    <x v="418"/>
    <d v="2025-06-27T00:00:00"/>
    <n v="26"/>
    <x v="2"/>
    <x v="8"/>
    <s v="Munich"/>
    <s v="Consumer"/>
    <x v="0"/>
    <x v="14"/>
    <x v="0"/>
    <x v="556"/>
    <n v="1362.31"/>
    <n v="3294.57"/>
    <n v="0.113"/>
    <n v="7"/>
    <n v="20455.985130000001"/>
    <n v="9536.17"/>
    <n v="10919.815130000001"/>
    <n v="0.5338200561157721"/>
    <x v="29"/>
    <x v="29"/>
    <s v="Q2-2025"/>
    <s v="Europe → Germany → Munich"/>
    <s v="Laptops"/>
    <s v="High"/>
    <x v="0"/>
    <x v="29"/>
  </r>
  <r>
    <x v="559"/>
    <s v="Original"/>
    <x v="418"/>
    <d v="2025-06-06T00:00:00"/>
    <n v="5"/>
    <x v="2"/>
    <x v="2"/>
    <s v="Paris"/>
    <s v="Consumer"/>
    <x v="0"/>
    <x v="6"/>
    <x v="6"/>
    <x v="557"/>
    <n v="379.45"/>
    <n v="742.23"/>
    <n v="0.09"/>
    <n v="13"/>
    <n v="8780.5809000000008"/>
    <n v="4932.8499999999995"/>
    <n v="3847.7309000000014"/>
    <n v="0.43820915083192286"/>
    <x v="29"/>
    <x v="29"/>
    <s v="Q2-2025"/>
    <s v="Europe → France → Paris"/>
    <s v="Components"/>
    <s v="Low"/>
    <x v="0"/>
    <x v="29"/>
  </r>
  <r>
    <x v="560"/>
    <s v="Original"/>
    <x v="418"/>
    <d v="2025-06-05T00:00:00"/>
    <n v="4"/>
    <x v="2"/>
    <x v="8"/>
    <s v="Munich"/>
    <s v="Enterprise"/>
    <x v="2"/>
    <x v="3"/>
    <x v="6"/>
    <x v="558"/>
    <n v="1171.42"/>
    <n v="2187.8000000000002"/>
    <n v="0.23"/>
    <n v="15"/>
    <n v="25269.09"/>
    <n v="17571.300000000003"/>
    <n v="7697.7899999999972"/>
    <n v="0.30463265594447592"/>
    <x v="29"/>
    <x v="29"/>
    <s v="Q2-2025"/>
    <s v="Europe → Germany → Munich"/>
    <s v="Components"/>
    <s v="High"/>
    <x v="0"/>
    <x v="29"/>
  </r>
  <r>
    <x v="561"/>
    <s v="Original"/>
    <x v="419"/>
    <d v="2025-06-10T00:00:00"/>
    <n v="7"/>
    <x v="0"/>
    <x v="0"/>
    <s v="Toronto"/>
    <s v="Consumer"/>
    <x v="0"/>
    <x v="5"/>
    <x v="1"/>
    <x v="559"/>
    <n v="75.180000000000007"/>
    <n v="53.45"/>
    <n v="0.157"/>
    <n v="17"/>
    <n v="765.99195000000009"/>
    <n v="1278.0600000000002"/>
    <n v="-512.06805000000008"/>
    <n v="-0.66850317421743144"/>
    <x v="29"/>
    <x v="29"/>
    <s v="Q2-2025"/>
    <s v="Americas → Canada → Toronto"/>
    <s v="Printers"/>
    <s v="Low"/>
    <x v="0"/>
    <x v="29"/>
  </r>
  <r>
    <x v="562"/>
    <s v="Original"/>
    <x v="420"/>
    <d v="2025-06-14T00:00:00"/>
    <n v="9"/>
    <x v="3"/>
    <x v="10"/>
    <s v="Delhi"/>
    <s v="Non-Profit"/>
    <x v="3"/>
    <x v="1"/>
    <x v="3"/>
    <x v="560"/>
    <n v="618.69000000000005"/>
    <n v="796.15"/>
    <n v="0.09"/>
    <n v="11"/>
    <n v="7969.4615000000003"/>
    <n v="6805.59"/>
    <n v="1163.8715000000002"/>
    <n v="0.14604142325049191"/>
    <x v="29"/>
    <x v="29"/>
    <s v="Q2-2025"/>
    <s v="Asia → India → Delhi"/>
    <s v="Accessories"/>
    <s v="Low"/>
    <x v="1"/>
    <x v="28"/>
  </r>
  <r>
    <x v="563"/>
    <s v="Original"/>
    <x v="421"/>
    <d v="2025-06-18T00:00:00"/>
    <n v="9"/>
    <x v="2"/>
    <x v="2"/>
    <s v="Marseille"/>
    <s v="Small Business"/>
    <x v="4"/>
    <x v="4"/>
    <x v="3"/>
    <x v="561"/>
    <n v="1225.5"/>
    <n v="1470.6"/>
    <n v="7.4999999999999997E-2"/>
    <n v="56"/>
    <n v="76177.08"/>
    <n v="68628"/>
    <n v="7549.0800000000017"/>
    <n v="9.9099099099099114E-2"/>
    <x v="29"/>
    <x v="29"/>
    <s v="Q2-2025"/>
    <s v="Europe → France → Marseille"/>
    <s v="Accessories"/>
    <s v="Medium"/>
    <x v="0"/>
    <x v="29"/>
  </r>
  <r>
    <x v="564"/>
    <s v="Original"/>
    <x v="421"/>
    <d v="2025-06-25T00:00:00"/>
    <n v="16"/>
    <x v="3"/>
    <x v="10"/>
    <s v="Hyderabad"/>
    <s v="Enterprise"/>
    <x v="0"/>
    <x v="3"/>
    <x v="2"/>
    <x v="562"/>
    <n v="527.33000000000004"/>
    <n v="911.72"/>
    <n v="0.14399999999999999"/>
    <n v="25"/>
    <n v="19510.808000000001"/>
    <n v="13183.250000000002"/>
    <n v="6327.5579999999991"/>
    <n v="0.32431040272652978"/>
    <x v="29"/>
    <x v="29"/>
    <s v="Q2-2025"/>
    <s v="Asia → India → Hyderabad"/>
    <s v="Phones"/>
    <s v="Medium"/>
    <x v="1"/>
    <x v="28"/>
  </r>
  <r>
    <x v="565"/>
    <s v="Original"/>
    <x v="421"/>
    <d v="2025-06-24T00:00:00"/>
    <n v="15"/>
    <x v="3"/>
    <x v="11"/>
    <s v="Nagoya"/>
    <s v="Corporate"/>
    <x v="2"/>
    <x v="0"/>
    <x v="2"/>
    <x v="563"/>
    <n v="400.39"/>
    <n v="712.75"/>
    <n v="0.115"/>
    <n v="19"/>
    <n v="11984.891250000001"/>
    <n v="7607.41"/>
    <n v="4377.4812500000007"/>
    <n v="0.36524997671547504"/>
    <x v="29"/>
    <x v="29"/>
    <s v="Q2-2025"/>
    <s v="Asia → Japan → Nagoya"/>
    <s v="Phones"/>
    <s v="Low"/>
    <x v="2"/>
    <x v="27"/>
  </r>
  <r>
    <x v="566"/>
    <s v="Original"/>
    <x v="422"/>
    <d v="2025-06-29T00:00:00"/>
    <n v="15"/>
    <x v="1"/>
    <x v="5"/>
    <s v="Port Harcourt"/>
    <s v="Consumer"/>
    <x v="4"/>
    <x v="3"/>
    <x v="3"/>
    <x v="564"/>
    <n v="730.99"/>
    <n v="1242.8399999999999"/>
    <n v="0.12"/>
    <n v="10"/>
    <n v="10936.992"/>
    <n v="7309.9"/>
    <n v="3627.0920000000006"/>
    <n v="0.33163524303574515"/>
    <x v="29"/>
    <x v="29"/>
    <s v="Q2-2025"/>
    <s v="Africa → Nigeria → Port Harcourt"/>
    <s v="Accessories"/>
    <s v="Medium"/>
    <x v="0"/>
    <x v="29"/>
  </r>
  <r>
    <x v="567"/>
    <s v="Original"/>
    <x v="423"/>
    <d v="2025-06-30T00:00:00"/>
    <n v="15"/>
    <x v="1"/>
    <x v="1"/>
    <s v="Johannesburg"/>
    <s v="Small Business"/>
    <x v="2"/>
    <x v="11"/>
    <x v="5"/>
    <x v="565"/>
    <n v="1487.59"/>
    <n v="1480.83"/>
    <n v="8.9999999999999993E-3"/>
    <n v="11"/>
    <n v="16142.527829999999"/>
    <n v="16363.49"/>
    <n v="-220.9621700000007"/>
    <n v="-1.3688201273492908E-2"/>
    <x v="29"/>
    <x v="29"/>
    <s v="Q2-2025"/>
    <s v="Africa → South Africa → Johannesburg"/>
    <s v="Monitors"/>
    <s v="Medium"/>
    <x v="0"/>
    <x v="29"/>
  </r>
  <r>
    <x v="568"/>
    <s v="Original"/>
    <x v="423"/>
    <d v="2025-07-12T00:00:00"/>
    <n v="27"/>
    <x v="2"/>
    <x v="2"/>
    <s v="Marseille"/>
    <s v="Consumer"/>
    <x v="2"/>
    <x v="11"/>
    <x v="3"/>
    <x v="566"/>
    <n v="318.83"/>
    <n v="699.5"/>
    <n v="0.08"/>
    <n v="13"/>
    <n v="8366.02"/>
    <n v="4144.79"/>
    <n v="4221.2300000000005"/>
    <n v="0.50456848059172699"/>
    <x v="29"/>
    <x v="29"/>
    <s v="Q2-2025"/>
    <s v="Europe → France → Marseille"/>
    <s v="Accessories"/>
    <s v="Low"/>
    <x v="0"/>
    <x v="29"/>
  </r>
  <r>
    <x v="569"/>
    <s v="Original"/>
    <x v="424"/>
    <d v="2025-07-05T00:00:00"/>
    <n v="18"/>
    <x v="3"/>
    <x v="10"/>
    <s v="Delhi"/>
    <s v="Consumer"/>
    <x v="4"/>
    <x v="9"/>
    <x v="0"/>
    <x v="567"/>
    <n v="982.93"/>
    <n v="2299.3000000000002"/>
    <n v="0.113"/>
    <n v="6"/>
    <n v="12236.874600000001"/>
    <n v="5897.58"/>
    <n v="6339.2946000000011"/>
    <n v="0.51804850562087157"/>
    <x v="29"/>
    <x v="29"/>
    <s v="Q2-2025"/>
    <s v="Asia → India → Delhi"/>
    <s v="Laptops"/>
    <s v="High"/>
    <x v="1"/>
    <x v="28"/>
  </r>
  <r>
    <x v="570"/>
    <s v="Original"/>
    <x v="425"/>
    <d v="2025-07-12T00:00:00"/>
    <n v="23"/>
    <x v="2"/>
    <x v="6"/>
    <s v="Unknown"/>
    <s v="Non-Profit"/>
    <x v="2"/>
    <x v="15"/>
    <x v="4"/>
    <x v="568"/>
    <n v="801.24"/>
    <n v="1959.09"/>
    <n v="0.123"/>
    <n v="23"/>
    <n v="39516.804389999998"/>
    <n v="18428.52"/>
    <n v="21088.284389999997"/>
    <n v="0.53365358650651762"/>
    <x v="29"/>
    <x v="29"/>
    <s v="Q2-2025"/>
    <s v="Europe → United Kingdom → Unknown"/>
    <s v="Networking"/>
    <s v="High"/>
    <x v="0"/>
    <x v="29"/>
  </r>
  <r>
    <x v="571"/>
    <s v="Original"/>
    <x v="425"/>
    <d v="2025-06-21T00:00:00"/>
    <n v="2"/>
    <x v="1"/>
    <x v="1"/>
    <s v="Johannesburg"/>
    <s v="Small Business"/>
    <x v="5"/>
    <x v="4"/>
    <x v="2"/>
    <x v="569"/>
    <n v="1466.27"/>
    <n v="3589.89"/>
    <n v="9.7000000000000003E-2"/>
    <n v="9"/>
    <n v="29175.036029999999"/>
    <n v="13196.43"/>
    <n v="15978.606029999999"/>
    <n v="0.54768076425234147"/>
    <x v="29"/>
    <x v="29"/>
    <s v="Q2-2025"/>
    <s v="Africa → South Africa → Johannesburg"/>
    <s v="Phones"/>
    <s v="High"/>
    <x v="0"/>
    <x v="29"/>
  </r>
  <r>
    <x v="572"/>
    <s v="Original"/>
    <x v="426"/>
    <d v="2025-06-27T00:00:00"/>
    <n v="6"/>
    <x v="1"/>
    <x v="1"/>
    <s v="Durban"/>
    <s v="Enterprise"/>
    <x v="0"/>
    <x v="8"/>
    <x v="2"/>
    <x v="570"/>
    <n v="93.91"/>
    <n v="99.04"/>
    <n v="5.7000000000000002E-2"/>
    <n v="6"/>
    <n v="560.36831999999993"/>
    <n v="563.46"/>
    <n v="-3.0916800000001103"/>
    <n v="-5.5172283829323376E-3"/>
    <x v="29"/>
    <x v="29"/>
    <s v="Q2-2025"/>
    <s v="Africa → South Africa → Durban"/>
    <s v="Phones"/>
    <s v="Low"/>
    <x v="0"/>
    <x v="29"/>
  </r>
  <r>
    <x v="573"/>
    <s v="Original"/>
    <x v="427"/>
    <d v="2025-07-08T00:00:00"/>
    <n v="16"/>
    <x v="2"/>
    <x v="6"/>
    <s v="London"/>
    <s v="Education"/>
    <x v="2"/>
    <x v="1"/>
    <x v="2"/>
    <x v="571"/>
    <n v="892.73"/>
    <n v="979.84"/>
    <n v="0.17399999999999999"/>
    <n v="10"/>
    <n v="8093.4784"/>
    <n v="8927.2999999999993"/>
    <n v="-833.82159999999931"/>
    <n v="-0.10302388649112838"/>
    <x v="29"/>
    <x v="29"/>
    <s v="Q2-2025"/>
    <s v="Europe → United Kingdom → London"/>
    <s v="Phones"/>
    <s v="Medium"/>
    <x v="0"/>
    <x v="29"/>
  </r>
  <r>
    <x v="574"/>
    <s v="Original"/>
    <x v="428"/>
    <d v="2025-07-10T00:00:00"/>
    <n v="16"/>
    <x v="3"/>
    <x v="3"/>
    <s v="Shanghai"/>
    <s v="Enterprise"/>
    <x v="2"/>
    <x v="8"/>
    <x v="6"/>
    <x v="572"/>
    <n v="757.19"/>
    <n v="1735.41"/>
    <n v="0.13600000000000001"/>
    <n v="8"/>
    <n v="11995.153920000001"/>
    <n v="6057.52"/>
    <n v="5937.6339200000002"/>
    <n v="0.4950027285685718"/>
    <x v="29"/>
    <x v="29"/>
    <s v="Q2-2025"/>
    <s v="Asia → China → Shanghai"/>
    <s v="Components"/>
    <s v="High"/>
    <x v="0"/>
    <x v="29"/>
  </r>
  <r>
    <x v="575"/>
    <s v="Original"/>
    <x v="428"/>
    <d v="2025-07-14T00:00:00"/>
    <n v="20"/>
    <x v="2"/>
    <x v="8"/>
    <s v="Berlin"/>
    <s v="Corporate"/>
    <x v="2"/>
    <x v="5"/>
    <x v="3"/>
    <x v="573"/>
    <n v="385.08"/>
    <n v="893.19"/>
    <n v="0.151"/>
    <n v="8"/>
    <n v="6066.54648"/>
    <n v="3080.64"/>
    <n v="2985.9064800000001"/>
    <n v="0.49219213762621666"/>
    <x v="29"/>
    <x v="29"/>
    <s v="Q2-2025"/>
    <s v="Europe → Germany → Berlin"/>
    <s v="Accessories"/>
    <s v="Medium"/>
    <x v="0"/>
    <x v="29"/>
  </r>
  <r>
    <x v="576"/>
    <s v="Original"/>
    <x v="428"/>
    <d v="2025-07-23T00:00:00"/>
    <n v="29"/>
    <x v="0"/>
    <x v="0"/>
    <s v="Vancouver"/>
    <s v="Non-Profit"/>
    <x v="4"/>
    <x v="12"/>
    <x v="1"/>
    <x v="574"/>
    <n v="255.4"/>
    <n v="322.70999999999998"/>
    <n v="0.115"/>
    <n v="16"/>
    <n v="4569.5735999999997"/>
    <n v="4086.4"/>
    <n v="483.17359999999962"/>
    <n v="0.10573713048412212"/>
    <x v="29"/>
    <x v="29"/>
    <s v="Q2-2025"/>
    <s v="Americas → Canada → Vancouver"/>
    <s v="Printers"/>
    <s v="Low"/>
    <x v="0"/>
    <x v="29"/>
  </r>
  <r>
    <x v="577"/>
    <s v="Original"/>
    <x v="428"/>
    <d v="2025-07-14T00:00:00"/>
    <n v="20"/>
    <x v="1"/>
    <x v="1"/>
    <s v="Johannesburg"/>
    <s v="Enterprise"/>
    <x v="4"/>
    <x v="13"/>
    <x v="0"/>
    <x v="575"/>
    <n v="1151.06"/>
    <n v="2821.36"/>
    <n v="0.248"/>
    <n v="20"/>
    <n v="42433.254400000005"/>
    <n v="23021.199999999997"/>
    <n v="19412.054400000008"/>
    <n v="0.45747267501594235"/>
    <x v="29"/>
    <x v="29"/>
    <s v="Q2-2025"/>
    <s v="Africa → South Africa → Johannesburg"/>
    <s v="Laptops"/>
    <s v="High"/>
    <x v="0"/>
    <x v="29"/>
  </r>
  <r>
    <x v="578"/>
    <s v="Original"/>
    <x v="429"/>
    <d v="2025-07-10T00:00:00"/>
    <n v="15"/>
    <x v="2"/>
    <x v="6"/>
    <s v="Birmingham"/>
    <s v="Non-Profit"/>
    <x v="4"/>
    <x v="2"/>
    <x v="2"/>
    <x v="576"/>
    <n v="546.83000000000004"/>
    <n v="400.84"/>
    <n v="7.8E-2"/>
    <n v="13"/>
    <n v="4804.4682400000002"/>
    <n v="7108.7900000000009"/>
    <n v="-2304.3217600000007"/>
    <n v="-0.47962056254533608"/>
    <x v="29"/>
    <x v="29"/>
    <s v="Q2-2025"/>
    <s v="Europe → United Kingdom → Birmingham"/>
    <s v="Phones"/>
    <s v="Low"/>
    <x v="0"/>
    <x v="29"/>
  </r>
  <r>
    <x v="579"/>
    <s v="Original"/>
    <x v="430"/>
    <d v="2025-07-11T00:00:00"/>
    <n v="15"/>
    <x v="1"/>
    <x v="5"/>
    <s v="Port Harcourt"/>
    <s v="Small Business"/>
    <x v="1"/>
    <x v="1"/>
    <x v="0"/>
    <x v="577"/>
    <n v="1170.1500000000001"/>
    <n v="2115.19"/>
    <n v="9.1999999999999998E-2"/>
    <n v="23"/>
    <n v="44173.627960000005"/>
    <n v="26913.45"/>
    <n v="17260.177960000005"/>
    <n v="0.39073489674946776"/>
    <x v="29"/>
    <x v="29"/>
    <s v="Q2-2025"/>
    <s v="Africa → Nigeria → Port Harcourt"/>
    <s v="Laptops"/>
    <s v="High"/>
    <x v="0"/>
    <x v="29"/>
  </r>
  <r>
    <x v="580"/>
    <s v="Original"/>
    <x v="431"/>
    <d v="2025-07-05T00:00:00"/>
    <n v="8"/>
    <x v="2"/>
    <x v="8"/>
    <s v="Munich"/>
    <s v="Small Business"/>
    <x v="2"/>
    <x v="6"/>
    <x v="5"/>
    <x v="578"/>
    <n v="314.93"/>
    <n v="687.95"/>
    <n v="0.20499999999999999"/>
    <n v="8"/>
    <n v="4375.3620000000001"/>
    <n v="2519.44"/>
    <n v="1855.922"/>
    <n v="0.424175645352316"/>
    <x v="29"/>
    <x v="29"/>
    <s v="Q2-2025"/>
    <s v="Europe → Germany → Munich"/>
    <s v="Monitors"/>
    <s v="Low"/>
    <x v="0"/>
    <x v="29"/>
  </r>
  <r>
    <x v="581"/>
    <s v="Original"/>
    <x v="431"/>
    <d v="2025-07-11T00:00:00"/>
    <n v="14"/>
    <x v="3"/>
    <x v="3"/>
    <s v="Shanghai"/>
    <s v="Small Business"/>
    <x v="4"/>
    <x v="9"/>
    <x v="4"/>
    <x v="579"/>
    <n v="1227.7"/>
    <n v="2197.23"/>
    <n v="9.9000000000000005E-2"/>
    <n v="22"/>
    <n v="43553.493060000001"/>
    <n v="27009.4"/>
    <n v="16544.093059999999"/>
    <n v="0.37985685871873898"/>
    <x v="29"/>
    <x v="29"/>
    <s v="Q2-2025"/>
    <s v="Asia → China → Shanghai"/>
    <s v="Networking"/>
    <s v="High"/>
    <x v="0"/>
    <x v="29"/>
  </r>
  <r>
    <x v="582"/>
    <s v="Original"/>
    <x v="432"/>
    <d v="2025-07-06T00:00:00"/>
    <n v="3"/>
    <x v="1"/>
    <x v="5"/>
    <s v="Lagos"/>
    <s v="Consumer"/>
    <x v="1"/>
    <x v="15"/>
    <x v="0"/>
    <x v="580"/>
    <n v="1313.3"/>
    <n v="2884.34"/>
    <n v="0.157"/>
    <n v="42"/>
    <n v="102122.94203999999"/>
    <n v="55158.6"/>
    <n v="46964.342039999996"/>
    <n v="0.45988042551305253"/>
    <x v="30"/>
    <x v="30"/>
    <s v="Q3-2025"/>
    <s v="Africa → Nigeria → Lagos"/>
    <s v="Laptops"/>
    <s v="High"/>
    <x v="0"/>
    <x v="30"/>
  </r>
  <r>
    <x v="583"/>
    <s v="Original"/>
    <x v="432"/>
    <d v="2025-07-23T00:00:00"/>
    <n v="20"/>
    <x v="3"/>
    <x v="3"/>
    <s v="Beijing"/>
    <s v="Small Business"/>
    <x v="1"/>
    <x v="3"/>
    <x v="6"/>
    <x v="581"/>
    <n v="647.36"/>
    <n v="1383.6"/>
    <n v="7.3999999999999996E-2"/>
    <n v="12"/>
    <n v="15374.563199999999"/>
    <n v="7768.32"/>
    <n v="7606.243199999999"/>
    <n v="0.49472906000997802"/>
    <x v="30"/>
    <x v="30"/>
    <s v="Q3-2025"/>
    <s v="Asia → China → Beijing"/>
    <s v="Components"/>
    <s v="Medium"/>
    <x v="0"/>
    <x v="30"/>
  </r>
  <r>
    <x v="584"/>
    <s v="Original"/>
    <x v="433"/>
    <d v="2025-07-18T00:00:00"/>
    <n v="9"/>
    <x v="0"/>
    <x v="0"/>
    <s v="Vancouver"/>
    <s v="Education"/>
    <x v="0"/>
    <x v="12"/>
    <x v="0"/>
    <x v="582"/>
    <n v="57.96"/>
    <n v="88.51"/>
    <n v="4.2999999999999997E-2"/>
    <n v="7"/>
    <n v="592.92849000000001"/>
    <n v="405.72"/>
    <n v="187.20848999999998"/>
    <n v="0.3157353595877978"/>
    <x v="30"/>
    <x v="30"/>
    <s v="Q3-2025"/>
    <s v="Americas → Canada → Vancouver"/>
    <s v="Laptops"/>
    <s v="Low"/>
    <x v="0"/>
    <x v="30"/>
  </r>
  <r>
    <x v="585"/>
    <s v="Original"/>
    <x v="434"/>
    <d v="2025-08-03T00:00:00"/>
    <n v="23"/>
    <x v="1"/>
    <x v="7"/>
    <s v="Nakuru"/>
    <s v="Small Business"/>
    <x v="3"/>
    <x v="11"/>
    <x v="2"/>
    <x v="583"/>
    <n v="389.93"/>
    <n v="486.13"/>
    <n v="0.13200000000000001"/>
    <n v="17"/>
    <n v="7173.3342799999991"/>
    <n v="6628.81"/>
    <n v="544.52427999999873"/>
    <n v="7.5909508569562828E-2"/>
    <x v="30"/>
    <x v="30"/>
    <s v="Q3-2025"/>
    <s v="Africa → Kenya → Nakuru"/>
    <s v="Phones"/>
    <s v="Low"/>
    <x v="0"/>
    <x v="30"/>
  </r>
  <r>
    <x v="586"/>
    <s v="Original"/>
    <x v="434"/>
    <d v="2025-07-16T00:00:00"/>
    <n v="5"/>
    <x v="2"/>
    <x v="6"/>
    <s v="London"/>
    <s v="Enterprise"/>
    <x v="1"/>
    <x v="10"/>
    <x v="1"/>
    <x v="584"/>
    <n v="930.03"/>
    <n v="1086.68"/>
    <n v="0.109"/>
    <n v="26"/>
    <n v="25174.028880000002"/>
    <n v="24180.78"/>
    <n v="993.24888000000283"/>
    <n v="3.9455300728168656E-2"/>
    <x v="30"/>
    <x v="30"/>
    <s v="Q3-2025"/>
    <s v="Europe → United Kingdom → London"/>
    <s v="Printers"/>
    <s v="Medium"/>
    <x v="0"/>
    <x v="30"/>
  </r>
  <r>
    <x v="587"/>
    <s v="Original"/>
    <x v="435"/>
    <d v="2025-08-04T00:00:00"/>
    <n v="21"/>
    <x v="0"/>
    <x v="0"/>
    <s v="Montreal"/>
    <s v="Consumer"/>
    <x v="1"/>
    <x v="4"/>
    <x v="5"/>
    <x v="585"/>
    <n v="90.3"/>
    <n v="131.76"/>
    <n v="0.10199999999999999"/>
    <n v="15"/>
    <n v="1774.8072"/>
    <n v="1354.5"/>
    <n v="420.30719999999997"/>
    <n v="0.23681851189244668"/>
    <x v="30"/>
    <x v="30"/>
    <s v="Q3-2025"/>
    <s v="Americas → Canada → Montreal"/>
    <s v="Monitors"/>
    <s v="Low"/>
    <x v="0"/>
    <x v="30"/>
  </r>
  <r>
    <x v="588"/>
    <s v="Original"/>
    <x v="436"/>
    <d v="2025-07-17T00:00:00"/>
    <n v="1"/>
    <x v="1"/>
    <x v="1"/>
    <s v="Durban"/>
    <s v="Small Business"/>
    <x v="0"/>
    <x v="0"/>
    <x v="4"/>
    <x v="586"/>
    <n v="1198.9000000000001"/>
    <n v="2941.2"/>
    <n v="5.0999999999999997E-2"/>
    <n v="24"/>
    <n v="66988.771199999988"/>
    <n v="28773.600000000002"/>
    <n v="38215.171199999982"/>
    <n v="0.57047129713583977"/>
    <x v="30"/>
    <x v="30"/>
    <s v="Q3-2025"/>
    <s v="Africa → South Africa → Durban"/>
    <s v="Networking"/>
    <s v="High"/>
    <x v="0"/>
    <x v="30"/>
  </r>
  <r>
    <x v="589"/>
    <s v="Original"/>
    <x v="437"/>
    <d v="2025-07-23T00:00:00"/>
    <n v="6"/>
    <x v="0"/>
    <x v="0"/>
    <s v="Vancouver"/>
    <s v="Consumer"/>
    <x v="1"/>
    <x v="4"/>
    <x v="6"/>
    <x v="587"/>
    <n v="1364.89"/>
    <n v="2757.54"/>
    <n v="0.17199999999999999"/>
    <n v="61"/>
    <n v="139277.83032000001"/>
    <n v="83258.290000000008"/>
    <n v="56019.54032"/>
    <n v="0.4022143379983118"/>
    <x v="30"/>
    <x v="30"/>
    <s v="Q3-2025"/>
    <s v="Americas → Canada → Vancouver"/>
    <s v="Components"/>
    <s v="High"/>
    <x v="0"/>
    <x v="30"/>
  </r>
  <r>
    <x v="590"/>
    <s v="Original"/>
    <x v="438"/>
    <d v="2025-07-31T00:00:00"/>
    <n v="12"/>
    <x v="1"/>
    <x v="7"/>
    <s v="Nairobi"/>
    <s v="Small Business"/>
    <x v="4"/>
    <x v="5"/>
    <x v="3"/>
    <x v="588"/>
    <n v="619.64"/>
    <n v="861.16"/>
    <n v="0.113"/>
    <n v="14"/>
    <n v="10693.88488"/>
    <n v="8674.9599999999991"/>
    <n v="2018.9248800000005"/>
    <n v="0.18879246435276761"/>
    <x v="30"/>
    <x v="30"/>
    <s v="Q3-2025"/>
    <s v="Africa → Kenya → Nairobi"/>
    <s v="Accessories"/>
    <s v="Medium"/>
    <x v="0"/>
    <x v="30"/>
  </r>
  <r>
    <x v="591"/>
    <s v="Original"/>
    <x v="439"/>
    <d v="2025-08-05T00:00:00"/>
    <n v="16"/>
    <x v="0"/>
    <x v="9"/>
    <s v="Brasília"/>
    <s v="Enterprise"/>
    <x v="4"/>
    <x v="6"/>
    <x v="3"/>
    <x v="589"/>
    <n v="1068.17"/>
    <n v="2375.37"/>
    <n v="0.109"/>
    <n v="18"/>
    <n v="38096.18406"/>
    <n v="19227.060000000001"/>
    <n v="18869.124059999998"/>
    <n v="0.49530220744108822"/>
    <x v="30"/>
    <x v="30"/>
    <s v="Q3-2025"/>
    <s v="Americas → Brazil → Brasília"/>
    <s v="Accessories"/>
    <s v="High"/>
    <x v="0"/>
    <x v="30"/>
  </r>
  <r>
    <x v="592"/>
    <s v="Original"/>
    <x v="440"/>
    <d v="2025-08-07T00:00:00"/>
    <n v="17"/>
    <x v="1"/>
    <x v="5"/>
    <s v="Lagos"/>
    <s v="Enterprise"/>
    <x v="2"/>
    <x v="3"/>
    <x v="3"/>
    <x v="590"/>
    <n v="1204.95"/>
    <n v="2065.73"/>
    <n v="0.13600000000000001"/>
    <n v="10"/>
    <n v="17847.907199999998"/>
    <n v="12049.5"/>
    <n v="5798.4071999999978"/>
    <n v="0.32487882949100039"/>
    <x v="30"/>
    <x v="30"/>
    <s v="Q3-2025"/>
    <s v="Africa → Nigeria → Lagos"/>
    <s v="Accessories"/>
    <s v="High"/>
    <x v="0"/>
    <x v="30"/>
  </r>
  <r>
    <x v="593"/>
    <s v="Original"/>
    <x v="441"/>
    <d v="2025-08-18T00:00:00"/>
    <n v="27"/>
    <x v="3"/>
    <x v="3"/>
    <s v="Shenzhen"/>
    <s v="Non-Profit"/>
    <x v="4"/>
    <x v="3"/>
    <x v="4"/>
    <x v="591"/>
    <n v="547.32000000000005"/>
    <n v="419.17"/>
    <n v="9.1999999999999998E-2"/>
    <n v="14"/>
    <n v="5328.4890400000004"/>
    <n v="7662.4800000000005"/>
    <n v="-2333.9909600000001"/>
    <n v="-0.43802116181137907"/>
    <x v="30"/>
    <x v="30"/>
    <s v="Q3-2025"/>
    <s v="Asia → China → Shenzhen"/>
    <s v="Networking"/>
    <s v="Low"/>
    <x v="0"/>
    <x v="30"/>
  </r>
  <r>
    <x v="594"/>
    <s v="Original"/>
    <x v="442"/>
    <d v="2025-08-17T00:00:00"/>
    <n v="25"/>
    <x v="2"/>
    <x v="6"/>
    <s v="Birmingham"/>
    <s v="Education"/>
    <x v="1"/>
    <x v="12"/>
    <x v="1"/>
    <x v="592"/>
    <n v="1142.06"/>
    <n v="1455"/>
    <n v="7.8E-2"/>
    <n v="28"/>
    <n v="37562.28"/>
    <n v="31977.68"/>
    <n v="5584.5999999999985"/>
    <n v="0.1486757459877302"/>
    <x v="30"/>
    <x v="30"/>
    <s v="Q3-2025"/>
    <s v="Europe → United Kingdom → Birmingham"/>
    <s v="Printers"/>
    <s v="Medium"/>
    <x v="0"/>
    <x v="30"/>
  </r>
  <r>
    <x v="595"/>
    <s v="Original"/>
    <x v="442"/>
    <d v="2025-08-19T00:00:00"/>
    <n v="27"/>
    <x v="3"/>
    <x v="11"/>
    <s v="Nagoya"/>
    <s v="Consumer"/>
    <x v="4"/>
    <x v="0"/>
    <x v="3"/>
    <x v="593"/>
    <n v="896.09"/>
    <n v="744.27"/>
    <n v="8.3000000000000004E-2"/>
    <n v="11"/>
    <n v="7507.4514899999995"/>
    <n v="9856.99"/>
    <n v="-2349.5385100000003"/>
    <n v="-0.31296086469950679"/>
    <x v="30"/>
    <x v="30"/>
    <s v="Q3-2025"/>
    <s v="Asia → Japan → Nagoya"/>
    <s v="Accessories"/>
    <s v="Low"/>
    <x v="2"/>
    <x v="28"/>
  </r>
  <r>
    <x v="596"/>
    <s v="Original"/>
    <x v="443"/>
    <d v="2025-08-06T00:00:00"/>
    <n v="13"/>
    <x v="1"/>
    <x v="1"/>
    <s v="Johannesburg"/>
    <s v="Education"/>
    <x v="4"/>
    <x v="2"/>
    <x v="4"/>
    <x v="594"/>
    <n v="1463.9"/>
    <n v="2633.02"/>
    <n v="8.4000000000000005E-2"/>
    <n v="4"/>
    <n v="9647.3852800000004"/>
    <n v="5855.6"/>
    <n v="3791.7852800000001"/>
    <n v="0.39303761277791527"/>
    <x v="30"/>
    <x v="30"/>
    <s v="Q3-2025"/>
    <s v="Africa → South Africa → Johannesburg"/>
    <s v="Networking"/>
    <s v="High"/>
    <x v="0"/>
    <x v="30"/>
  </r>
  <r>
    <x v="597"/>
    <s v="Original"/>
    <x v="444"/>
    <d v="2025-08-15T00:00:00"/>
    <n v="19"/>
    <x v="3"/>
    <x v="11"/>
    <s v="Tokyo"/>
    <s v="Small Business"/>
    <x v="4"/>
    <x v="13"/>
    <x v="6"/>
    <x v="595"/>
    <n v="275.43"/>
    <n v="608.36"/>
    <n v="0.25700000000000001"/>
    <n v="4"/>
    <n v="1808.04592"/>
    <n v="1101.72"/>
    <n v="706.32592"/>
    <n v="0.39065706915231446"/>
    <x v="30"/>
    <x v="30"/>
    <s v="Q3-2025"/>
    <s v="Asia → Japan → Tokyo"/>
    <s v="Components"/>
    <s v="Low"/>
    <x v="2"/>
    <x v="28"/>
  </r>
  <r>
    <x v="598"/>
    <s v="Original"/>
    <x v="445"/>
    <d v="2025-08-16T00:00:00"/>
    <n v="15"/>
    <x v="3"/>
    <x v="10"/>
    <s v="Unknown"/>
    <s v="Enterprise"/>
    <x v="2"/>
    <x v="5"/>
    <x v="5"/>
    <x v="596"/>
    <n v="24.44"/>
    <n v="28.69"/>
    <n v="0.14599999999999999"/>
    <n v="6"/>
    <n v="147.00756000000001"/>
    <n v="146.64000000000001"/>
    <n v="0.36755999999999744"/>
    <n v="2.5002795774584476E-3"/>
    <x v="31"/>
    <x v="31"/>
    <s v="Q3-2025"/>
    <s v="Asia → India → Unknown"/>
    <s v="Monitors"/>
    <s v="Low"/>
    <x v="1"/>
    <x v="30"/>
  </r>
  <r>
    <x v="599"/>
    <s v="Original"/>
    <x v="445"/>
    <d v="2025-08-21T00:00:00"/>
    <n v="20"/>
    <x v="3"/>
    <x v="3"/>
    <s v="Shanghai"/>
    <s v="Corporate"/>
    <x v="2"/>
    <x v="12"/>
    <x v="2"/>
    <x v="597"/>
    <n v="1220.4100000000001"/>
    <n v="2552.2199999999998"/>
    <n v="0.18099999999999999"/>
    <n v="14"/>
    <n v="29263.754519999995"/>
    <n v="17085.740000000002"/>
    <n v="12178.014519999993"/>
    <n v="0.41614668793360271"/>
    <x v="31"/>
    <x v="31"/>
    <s v="Q3-2025"/>
    <s v="Asia → China → Shanghai"/>
    <s v="Phones"/>
    <s v="High"/>
    <x v="0"/>
    <x v="31"/>
  </r>
  <r>
    <x v="600"/>
    <s v="Original"/>
    <x v="446"/>
    <d v="2025-08-08T00:00:00"/>
    <n v="6"/>
    <x v="3"/>
    <x v="11"/>
    <s v="Osaka"/>
    <s v="Consumer"/>
    <x v="2"/>
    <x v="8"/>
    <x v="0"/>
    <x v="598"/>
    <n v="1225.94"/>
    <n v="1793.08"/>
    <n v="0.13600000000000001"/>
    <n v="22"/>
    <n v="34082.864639999993"/>
    <n v="26970.68"/>
    <n v="7112.1846399999922"/>
    <n v="0.20867332353434462"/>
    <x v="31"/>
    <x v="31"/>
    <s v="Q3-2025"/>
    <s v="Asia → Japan → Osaka"/>
    <s v="Laptops"/>
    <s v="High"/>
    <x v="2"/>
    <x v="29"/>
  </r>
  <r>
    <x v="601"/>
    <s v="Original"/>
    <x v="447"/>
    <d v="2025-08-16T00:00:00"/>
    <n v="13"/>
    <x v="0"/>
    <x v="0"/>
    <s v="Montreal"/>
    <s v="Enterprise"/>
    <x v="0"/>
    <x v="5"/>
    <x v="4"/>
    <x v="599"/>
    <n v="698.66"/>
    <n v="868.62"/>
    <n v="7.1999999999999995E-2"/>
    <n v="15"/>
    <n v="12091.190399999999"/>
    <n v="10479.9"/>
    <n v="1611.2903999999999"/>
    <n v="0.13326151906432637"/>
    <x v="31"/>
    <x v="31"/>
    <s v="Q3-2025"/>
    <s v="Americas → Canada → Montreal"/>
    <s v="Networking"/>
    <s v="Medium"/>
    <x v="0"/>
    <x v="31"/>
  </r>
  <r>
    <x v="602"/>
    <s v="Original"/>
    <x v="448"/>
    <d v="2025-08-14T00:00:00"/>
    <n v="9"/>
    <x v="2"/>
    <x v="6"/>
    <s v="London"/>
    <s v="Non-Profit"/>
    <x v="2"/>
    <x v="14"/>
    <x v="6"/>
    <x v="600"/>
    <n v="41.76"/>
    <n v="45.19"/>
    <n v="0.17899999999999999"/>
    <n v="23"/>
    <n v="853.32276999999988"/>
    <n v="960.4799999999999"/>
    <n v="-107.15723000000003"/>
    <n v="-0.12557643340514638"/>
    <x v="31"/>
    <x v="31"/>
    <s v="Q3-2025"/>
    <s v="Europe → United Kingdom → London"/>
    <s v="Components"/>
    <s v="Low"/>
    <x v="0"/>
    <x v="31"/>
  </r>
  <r>
    <x v="603"/>
    <s v="Original"/>
    <x v="448"/>
    <d v="2025-08-28T00:00:00"/>
    <n v="23"/>
    <x v="3"/>
    <x v="10"/>
    <s v="Mumbai"/>
    <s v="Non-Profit"/>
    <x v="0"/>
    <x v="8"/>
    <x v="0"/>
    <x v="601"/>
    <n v="638.54"/>
    <n v="987.24"/>
    <n v="0"/>
    <n v="11"/>
    <n v="10859.64"/>
    <n v="7023.94"/>
    <n v="3835.7"/>
    <n v="0.35320692030306716"/>
    <x v="31"/>
    <x v="31"/>
    <s v="Q3-2025"/>
    <s v="Asia → India → Mumbai"/>
    <s v="Laptops"/>
    <s v="Medium"/>
    <x v="1"/>
    <x v="30"/>
  </r>
  <r>
    <x v="604"/>
    <s v="Original"/>
    <x v="449"/>
    <d v="2025-08-23T00:00:00"/>
    <n v="17"/>
    <x v="0"/>
    <x v="9"/>
    <s v="Brasília"/>
    <s v="Consumer"/>
    <x v="0"/>
    <x v="1"/>
    <x v="5"/>
    <x v="602"/>
    <n v="86.64"/>
    <n v="213.06"/>
    <n v="0.21199999999999999"/>
    <n v="11"/>
    <n v="1846.8040799999999"/>
    <n v="953.04"/>
    <n v="893.76407999999992"/>
    <n v="0.48395175735154322"/>
    <x v="31"/>
    <x v="31"/>
    <s v="Q3-2025"/>
    <s v="Americas → Brazil → Brasília"/>
    <s v="Monitors"/>
    <s v="Low"/>
    <x v="0"/>
    <x v="31"/>
  </r>
  <r>
    <x v="605"/>
    <s v="Original"/>
    <x v="450"/>
    <d v="2025-08-19T00:00:00"/>
    <n v="12"/>
    <x v="1"/>
    <x v="7"/>
    <s v="Nakuru"/>
    <s v="Corporate"/>
    <x v="5"/>
    <x v="3"/>
    <x v="6"/>
    <x v="603"/>
    <n v="601.51"/>
    <n v="679.35"/>
    <n v="0.188"/>
    <n v="3"/>
    <n v="1654.8966000000003"/>
    <n v="1804.53"/>
    <n v="-149.63339999999971"/>
    <n v="-9.0418579626062243E-2"/>
    <x v="31"/>
    <x v="31"/>
    <s v="Q3-2025"/>
    <s v="Africa → Kenya → Nakuru"/>
    <s v="Components"/>
    <s v="Low"/>
    <x v="0"/>
    <x v="31"/>
  </r>
  <r>
    <x v="606"/>
    <s v="Original"/>
    <x v="450"/>
    <d v="2025-09-06T00:00:00"/>
    <n v="30"/>
    <x v="0"/>
    <x v="0"/>
    <s v="Montreal"/>
    <s v="Education"/>
    <x v="2"/>
    <x v="3"/>
    <x v="4"/>
    <x v="604"/>
    <n v="833.73"/>
    <n v="1116.5999999999999"/>
    <n v="0.17599999999999999"/>
    <n v="14"/>
    <n v="12881.097599999999"/>
    <n v="11672.220000000001"/>
    <n v="1208.877599999998"/>
    <n v="9.3848958958279924E-2"/>
    <x v="31"/>
    <x v="31"/>
    <s v="Q3-2025"/>
    <s v="Americas → Canada → Montreal"/>
    <s v="Networking"/>
    <s v="Medium"/>
    <x v="0"/>
    <x v="31"/>
  </r>
  <r>
    <x v="607"/>
    <s v="Original"/>
    <x v="451"/>
    <d v="2025-08-30T00:00:00"/>
    <n v="20"/>
    <x v="0"/>
    <x v="4"/>
    <s v="San Francisco"/>
    <s v="Corporate"/>
    <x v="4"/>
    <x v="10"/>
    <x v="1"/>
    <x v="605"/>
    <n v="933.29"/>
    <n v="1456.81"/>
    <n v="0.123"/>
    <n v="13"/>
    <n v="16609.090809999998"/>
    <n v="12132.77"/>
    <n v="4476.3208099999974"/>
    <n v="0.26951028573489977"/>
    <x v="31"/>
    <x v="31"/>
    <s v="Q3-2025"/>
    <s v="Americas → USA → San Francisco"/>
    <s v="Printers"/>
    <s v="Medium"/>
    <x v="0"/>
    <x v="31"/>
  </r>
  <r>
    <x v="608"/>
    <s v="Original"/>
    <x v="452"/>
    <d v="2025-08-28T00:00:00"/>
    <n v="17"/>
    <x v="2"/>
    <x v="2"/>
    <s v="Paris"/>
    <s v="Education"/>
    <x v="1"/>
    <x v="7"/>
    <x v="4"/>
    <x v="606"/>
    <n v="416.16"/>
    <n v="571.9"/>
    <n v="7.0999999999999994E-2"/>
    <n v="2"/>
    <n v="1062.5902000000001"/>
    <n v="832.32"/>
    <n v="230.27020000000005"/>
    <n v="0.21670649701079497"/>
    <x v="31"/>
    <x v="31"/>
    <s v="Q3-2025"/>
    <s v="Europe → France → Paris"/>
    <s v="Networking"/>
    <s v="Low"/>
    <x v="0"/>
    <x v="31"/>
  </r>
  <r>
    <x v="609"/>
    <s v="Original"/>
    <x v="453"/>
    <d v="2025-09-03T00:00:00"/>
    <n v="21"/>
    <x v="2"/>
    <x v="2"/>
    <s v="Paris"/>
    <s v="Education"/>
    <x v="3"/>
    <x v="12"/>
    <x v="2"/>
    <x v="607"/>
    <n v="603.47"/>
    <n v="1344.05"/>
    <n v="0.20499999999999999"/>
    <n v="18"/>
    <n v="19233.355499999998"/>
    <n v="10862.460000000001"/>
    <n v="8370.8954999999969"/>
    <n v="0.43522803392262976"/>
    <x v="31"/>
    <x v="31"/>
    <s v="Q3-2025"/>
    <s v="Europe → France → Paris"/>
    <s v="Phones"/>
    <s v="Medium"/>
    <x v="0"/>
    <x v="31"/>
  </r>
  <r>
    <x v="610"/>
    <s v="Original"/>
    <x v="454"/>
    <d v="2025-09-11T00:00:00"/>
    <n v="28"/>
    <x v="0"/>
    <x v="9"/>
    <s v="São Paulo"/>
    <s v="Non-Profit"/>
    <x v="2"/>
    <x v="7"/>
    <x v="1"/>
    <x v="608"/>
    <n v="1203.02"/>
    <n v="2439.33"/>
    <n v="0"/>
    <n v="18"/>
    <n v="43907.94"/>
    <n v="21654.36"/>
    <n v="22253.58"/>
    <n v="0.50682359500354612"/>
    <x v="31"/>
    <x v="31"/>
    <s v="Q3-2025"/>
    <s v="Americas → Brazil → São Paulo"/>
    <s v="Printers"/>
    <s v="High"/>
    <x v="0"/>
    <x v="31"/>
  </r>
  <r>
    <x v="611"/>
    <s v="Original"/>
    <x v="455"/>
    <d v="2025-08-26T00:00:00"/>
    <n v="6"/>
    <x v="0"/>
    <x v="4"/>
    <s v="New York"/>
    <s v="Corporate"/>
    <x v="3"/>
    <x v="3"/>
    <x v="4"/>
    <x v="609"/>
    <n v="1304.95"/>
    <n v="1712.03"/>
    <n v="0.21199999999999999"/>
    <n v="8"/>
    <n v="10792.637119999999"/>
    <n v="10439.6"/>
    <n v="353.03711999999905"/>
    <n v="3.2710922833287949E-2"/>
    <x v="31"/>
    <x v="31"/>
    <s v="Q3-2025"/>
    <s v="Americas → USA → New York"/>
    <s v="Networking"/>
    <s v="High"/>
    <x v="0"/>
    <x v="31"/>
  </r>
  <r>
    <x v="612"/>
    <s v="Original"/>
    <x v="456"/>
    <d v="2025-09-12T00:00:00"/>
    <n v="22"/>
    <x v="3"/>
    <x v="3"/>
    <s v="Shenzhen"/>
    <s v="Education"/>
    <x v="3"/>
    <x v="0"/>
    <x v="1"/>
    <x v="610"/>
    <n v="352.66"/>
    <n v="411.18"/>
    <n v="0.17299999999999999"/>
    <n v="13"/>
    <n v="4420.5961799999995"/>
    <n v="4584.58"/>
    <n v="-163.98382000000038"/>
    <n v="-3.7095408248758066E-2"/>
    <x v="31"/>
    <x v="31"/>
    <s v="Q3-2025"/>
    <s v="Asia → China → Shenzhen"/>
    <s v="Printers"/>
    <s v="Low"/>
    <x v="0"/>
    <x v="31"/>
  </r>
  <r>
    <x v="613"/>
    <s v="Original"/>
    <x v="456"/>
    <d v="2025-09-14T00:00:00"/>
    <n v="24"/>
    <x v="2"/>
    <x v="8"/>
    <s v="Berlin"/>
    <s v="Non-Profit"/>
    <x v="1"/>
    <x v="1"/>
    <x v="5"/>
    <x v="611"/>
    <n v="1397.67"/>
    <n v="3131.37"/>
    <n v="0.10299999999999999"/>
    <n v="20"/>
    <n v="56176.777799999996"/>
    <n v="27953.4"/>
    <n v="28223.377799999995"/>
    <n v="0.50240293062874808"/>
    <x v="31"/>
    <x v="31"/>
    <s v="Q3-2025"/>
    <s v="Europe → Germany → Berlin"/>
    <s v="Monitors"/>
    <s v="High"/>
    <x v="0"/>
    <x v="31"/>
  </r>
  <r>
    <x v="614"/>
    <s v="Original"/>
    <x v="457"/>
    <d v="2025-09-24T00:00:00"/>
    <n v="30"/>
    <x v="1"/>
    <x v="7"/>
    <s v="Nairobi"/>
    <s v="Consumer"/>
    <x v="2"/>
    <x v="0"/>
    <x v="6"/>
    <x v="612"/>
    <n v="589.14"/>
    <n v="1300.58"/>
    <n v="5.5E-2"/>
    <n v="11"/>
    <n v="13519.529099999998"/>
    <n v="6480.54"/>
    <n v="7038.989099999998"/>
    <n v="0.52065342275863724"/>
    <x v="31"/>
    <x v="31"/>
    <s v="Q3-2025"/>
    <s v="Africa → Kenya → Nairobi"/>
    <s v="Components"/>
    <s v="Medium"/>
    <x v="0"/>
    <x v="31"/>
  </r>
  <r>
    <x v="615"/>
    <s v="Original"/>
    <x v="458"/>
    <d v="2025-09-04T00:00:00"/>
    <n v="7"/>
    <x v="1"/>
    <x v="5"/>
    <s v="Port Harcourt"/>
    <s v="Small Business"/>
    <x v="3"/>
    <x v="1"/>
    <x v="3"/>
    <x v="613"/>
    <n v="521.05999999999995"/>
    <n v="1240.31"/>
    <n v="0.14599999999999999"/>
    <n v="18"/>
    <n v="19066.045319999997"/>
    <n v="9379.0799999999981"/>
    <n v="9686.9653199999993"/>
    <n v="0.50807417885650974"/>
    <x v="31"/>
    <x v="31"/>
    <s v="Q3-2025"/>
    <s v="Africa → Nigeria → Port Harcourt"/>
    <s v="Accessories"/>
    <s v="Medium"/>
    <x v="0"/>
    <x v="31"/>
  </r>
  <r>
    <x v="616"/>
    <s v="Original"/>
    <x v="458"/>
    <d v="2025-09-05T00:00:00"/>
    <n v="8"/>
    <x v="1"/>
    <x v="5"/>
    <s v="Port Harcourt"/>
    <s v="Small Business"/>
    <x v="4"/>
    <x v="14"/>
    <x v="0"/>
    <x v="614"/>
    <n v="1271.0999999999999"/>
    <n v="1932.42"/>
    <n v="0.25"/>
    <n v="21"/>
    <n v="30435.614999999998"/>
    <n v="26693.1"/>
    <n v="3742.5149999999994"/>
    <n v="0.12296498690760807"/>
    <x v="31"/>
    <x v="31"/>
    <s v="Q3-2025"/>
    <s v="Africa → Nigeria → Port Harcourt"/>
    <s v="Laptops"/>
    <s v="High"/>
    <x v="0"/>
    <x v="31"/>
  </r>
  <r>
    <x v="617"/>
    <s v="Original"/>
    <x v="459"/>
    <d v="2025-09-03T00:00:00"/>
    <n v="4"/>
    <x v="2"/>
    <x v="2"/>
    <s v="Marseille"/>
    <s v="Small Business"/>
    <x v="4"/>
    <x v="13"/>
    <x v="0"/>
    <x v="615"/>
    <n v="1286.56"/>
    <n v="2777.35"/>
    <n v="0.13200000000000001"/>
    <n v="15"/>
    <n v="36161.097000000002"/>
    <n v="19298.399999999998"/>
    <n v="16862.697000000004"/>
    <n v="0.46632150014696744"/>
    <x v="31"/>
    <x v="31"/>
    <s v="Q3-2025"/>
    <s v="Europe → France → Marseille"/>
    <s v="Laptops"/>
    <s v="High"/>
    <x v="0"/>
    <x v="31"/>
  </r>
  <r>
    <x v="618"/>
    <s v="Original"/>
    <x v="459"/>
    <d v="2025-09-22T00:00:00"/>
    <n v="23"/>
    <x v="2"/>
    <x v="2"/>
    <s v="Marseille"/>
    <s v="Corporate"/>
    <x v="2"/>
    <x v="14"/>
    <x v="6"/>
    <x v="616"/>
    <n v="663.9"/>
    <n v="947.77"/>
    <n v="0.17399999999999999"/>
    <n v="15"/>
    <n v="11742.8703"/>
    <n v="9958.5"/>
    <n v="1784.3703000000005"/>
    <n v="0.1519535049280073"/>
    <x v="31"/>
    <x v="31"/>
    <s v="Q3-2025"/>
    <s v="Europe → France → Marseille"/>
    <s v="Components"/>
    <s v="Medium"/>
    <x v="0"/>
    <x v="31"/>
  </r>
  <r>
    <x v="619"/>
    <s v="Original"/>
    <x v="460"/>
    <d v="2025-09-30T00:00:00"/>
    <n v="29"/>
    <x v="0"/>
    <x v="9"/>
    <s v="Brasília"/>
    <s v="Education"/>
    <x v="3"/>
    <x v="10"/>
    <x v="3"/>
    <x v="617"/>
    <n v="780.59"/>
    <n v="631.57000000000005"/>
    <n v="0"/>
    <n v="12"/>
    <n v="7578.84"/>
    <n v="9367.08"/>
    <n v="-1788.2399999999998"/>
    <n v="-0.23595167598207639"/>
    <x v="32"/>
    <x v="32"/>
    <s v="Q3-2025"/>
    <s v="Americas → Brazil → Brasília"/>
    <s v="Accessories"/>
    <s v="Low"/>
    <x v="0"/>
    <x v="32"/>
  </r>
  <r>
    <x v="620"/>
    <s v="Original"/>
    <x v="461"/>
    <d v="2025-09-11T00:00:00"/>
    <n v="9"/>
    <x v="0"/>
    <x v="0"/>
    <s v="Toronto"/>
    <s v="Corporate"/>
    <x v="0"/>
    <x v="3"/>
    <x v="1"/>
    <x v="618"/>
    <n v="1207.6300000000001"/>
    <n v="921.68"/>
    <n v="0.19600000000000001"/>
    <n v="17"/>
    <n v="12597.52224"/>
    <n v="20529.710000000003"/>
    <n v="-7932.1877600000025"/>
    <n v="-0.62966253274897988"/>
    <x v="32"/>
    <x v="32"/>
    <s v="Q3-2025"/>
    <s v="Americas → Canada → Toronto"/>
    <s v="Printers"/>
    <s v="Medium"/>
    <x v="0"/>
    <x v="32"/>
  </r>
  <r>
    <x v="621"/>
    <s v="Original"/>
    <x v="462"/>
    <d v="2025-09-16T00:00:00"/>
    <n v="8"/>
    <x v="3"/>
    <x v="11"/>
    <s v="Osaka"/>
    <s v="Corporate"/>
    <x v="0"/>
    <x v="11"/>
    <x v="2"/>
    <x v="619"/>
    <n v="1225.57"/>
    <n v="2705.57"/>
    <n v="0.183"/>
    <n v="16"/>
    <n v="35367.211040000002"/>
    <n v="19609.12"/>
    <n v="15758.091040000003"/>
    <n v="0.44555650775453404"/>
    <x v="32"/>
    <x v="32"/>
    <s v="Q3-2025"/>
    <s v="Asia → Japan → Osaka"/>
    <s v="Phones"/>
    <s v="High"/>
    <x v="2"/>
    <x v="30"/>
  </r>
  <r>
    <x v="622"/>
    <s v="Original"/>
    <x v="462"/>
    <d v="2025-10-05T00:00:00"/>
    <n v="27"/>
    <x v="0"/>
    <x v="9"/>
    <s v="Rio de Janeiro"/>
    <s v="Education"/>
    <x v="1"/>
    <x v="11"/>
    <x v="5"/>
    <x v="620"/>
    <n v="660.78"/>
    <n v="1630.39"/>
    <n v="0.218"/>
    <n v="13"/>
    <n v="16574.544740000001"/>
    <n v="8590.14"/>
    <n v="7984.4047400000018"/>
    <n v="0.48172694123724097"/>
    <x v="32"/>
    <x v="32"/>
    <s v="Q3-2025"/>
    <s v="Americas → Brazil → Rio de Janeiro"/>
    <s v="Monitors"/>
    <s v="High"/>
    <x v="0"/>
    <x v="32"/>
  </r>
  <r>
    <x v="623"/>
    <s v="Original"/>
    <x v="463"/>
    <d v="2025-09-12T00:00:00"/>
    <n v="2"/>
    <x v="3"/>
    <x v="11"/>
    <s v="Tokyo"/>
    <s v="Consumer"/>
    <x v="1"/>
    <x v="5"/>
    <x v="6"/>
    <x v="621"/>
    <n v="1470.15"/>
    <n v="2593.7800000000002"/>
    <n v="0.11"/>
    <n v="12"/>
    <n v="27701.570400000001"/>
    <n v="17641.800000000003"/>
    <n v="10059.770399999998"/>
    <n v="0.36314801849645306"/>
    <x v="32"/>
    <x v="32"/>
    <s v="Q3-2025"/>
    <s v="Asia → Japan → Tokyo"/>
    <s v="Components"/>
    <s v="High"/>
    <x v="2"/>
    <x v="30"/>
  </r>
  <r>
    <x v="624"/>
    <s v="Original"/>
    <x v="463"/>
    <d v="2025-09-30T00:00:00"/>
    <n v="20"/>
    <x v="1"/>
    <x v="7"/>
    <s v="Mombasa"/>
    <s v="Corporate"/>
    <x v="2"/>
    <x v="9"/>
    <x v="2"/>
    <x v="622"/>
    <n v="1009.48"/>
    <n v="1088.81"/>
    <n v="0.16"/>
    <n v="6"/>
    <n v="5487.6023999999998"/>
    <n v="6056.88"/>
    <n v="-569.27760000000035"/>
    <n v="-0.10373885688219693"/>
    <x v="32"/>
    <x v="32"/>
    <s v="Q3-2025"/>
    <s v="Africa → Kenya → Mombasa"/>
    <s v="Phones"/>
    <s v="Medium"/>
    <x v="0"/>
    <x v="32"/>
  </r>
  <r>
    <x v="625"/>
    <s v="Original"/>
    <x v="464"/>
    <d v="2025-09-28T00:00:00"/>
    <n v="17"/>
    <x v="1"/>
    <x v="7"/>
    <s v="Nairobi"/>
    <s v="Non-Profit"/>
    <x v="0"/>
    <x v="13"/>
    <x v="0"/>
    <x v="623"/>
    <n v="891.46"/>
    <n v="728.61"/>
    <n v="0.185"/>
    <n v="6"/>
    <n v="3562.9028999999996"/>
    <n v="5348.76"/>
    <n v="-1785.8571000000006"/>
    <n v="-0.50123653383874167"/>
    <x v="32"/>
    <x v="32"/>
    <s v="Q3-2025"/>
    <s v="Africa → Kenya → Nairobi"/>
    <s v="Laptops"/>
    <s v="Low"/>
    <x v="0"/>
    <x v="32"/>
  </r>
  <r>
    <x v="626"/>
    <s v="Original"/>
    <x v="465"/>
    <d v="2025-09-30T00:00:00"/>
    <n v="18"/>
    <x v="3"/>
    <x v="11"/>
    <s v="Nagoya"/>
    <s v="Non-Profit"/>
    <x v="4"/>
    <x v="7"/>
    <x v="5"/>
    <x v="624"/>
    <n v="1212.99"/>
    <n v="1653.64"/>
    <n v="0.107"/>
    <n v="8"/>
    <n v="11813.604160000001"/>
    <n v="9703.92"/>
    <n v="2109.6841600000007"/>
    <n v="0.17858090819931455"/>
    <x v="32"/>
    <x v="32"/>
    <s v="Q3-2025"/>
    <s v="Asia → Japan → Nagoya"/>
    <s v="Monitors"/>
    <s v="High"/>
    <x v="2"/>
    <x v="30"/>
  </r>
  <r>
    <x v="627"/>
    <s v="Original"/>
    <x v="466"/>
    <d v="2025-09-26T00:00:00"/>
    <n v="12"/>
    <x v="2"/>
    <x v="6"/>
    <s v="London"/>
    <s v="Small Business"/>
    <x v="2"/>
    <x v="8"/>
    <x v="4"/>
    <x v="625"/>
    <n v="425.15"/>
    <n v="885.92"/>
    <n v="0.23899999999999999"/>
    <n v="13"/>
    <n v="8764.4065599999994"/>
    <n v="5526.95"/>
    <n v="3237.4565599999996"/>
    <n v="0.3693868532725848"/>
    <x v="32"/>
    <x v="32"/>
    <s v="Q3-2025"/>
    <s v="Europe → United Kingdom → London"/>
    <s v="Networking"/>
    <s v="Medium"/>
    <x v="0"/>
    <x v="32"/>
  </r>
  <r>
    <x v="628"/>
    <s v="Original"/>
    <x v="466"/>
    <d v="2025-09-23T00:00:00"/>
    <n v="9"/>
    <x v="1"/>
    <x v="1"/>
    <s v="Durban"/>
    <s v="Non-Profit"/>
    <x v="1"/>
    <x v="2"/>
    <x v="6"/>
    <x v="626"/>
    <n v="1310.3"/>
    <n v="2875.8"/>
    <n v="8.3000000000000004E-2"/>
    <n v="5"/>
    <n v="13185.543"/>
    <n v="6551.5"/>
    <n v="6634.0429999999997"/>
    <n v="0.50313005691157353"/>
    <x v="32"/>
    <x v="32"/>
    <s v="Q3-2025"/>
    <s v="Africa → South Africa → Durban"/>
    <s v="Components"/>
    <s v="High"/>
    <x v="0"/>
    <x v="32"/>
  </r>
  <r>
    <x v="629"/>
    <s v="Original"/>
    <x v="467"/>
    <d v="2025-09-18T00:00:00"/>
    <n v="3"/>
    <x v="0"/>
    <x v="9"/>
    <s v="Rio de Janeiro"/>
    <s v="Non-Profit"/>
    <x v="2"/>
    <x v="9"/>
    <x v="3"/>
    <x v="627"/>
    <n v="5.5"/>
    <n v="5.92"/>
    <n v="0.21199999999999999"/>
    <n v="4"/>
    <n v="18.659839999999999"/>
    <n v="22"/>
    <n v="-3.3401600000000009"/>
    <n v="-0.17900260666758133"/>
    <x v="32"/>
    <x v="32"/>
    <s v="Q3-2025"/>
    <s v="Americas → Brazil → Rio de Janeiro"/>
    <s v="Accessories"/>
    <s v="Low"/>
    <x v="0"/>
    <x v="32"/>
  </r>
  <r>
    <x v="630"/>
    <s v="Original"/>
    <x v="467"/>
    <d v="2025-09-25T00:00:00"/>
    <n v="10"/>
    <x v="3"/>
    <x v="10"/>
    <s v="Delhi"/>
    <s v="Consumer"/>
    <x v="3"/>
    <x v="1"/>
    <x v="2"/>
    <x v="628"/>
    <n v="1488.91"/>
    <n v="1483.74"/>
    <n v="0.16800000000000001"/>
    <n v="24"/>
    <n v="29627.320319999999"/>
    <n v="35733.840000000004"/>
    <n v="-6106.5196800000049"/>
    <n v="-0.20611110333450519"/>
    <x v="32"/>
    <x v="32"/>
    <s v="Q3-2025"/>
    <s v="Asia → India → Delhi"/>
    <s v="Phones"/>
    <s v="Medium"/>
    <x v="1"/>
    <x v="3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2">
  <r>
    <s v="ORD-2023-723587"/>
    <s v="Original"/>
    <d v="2023-01-02T00:00:00"/>
    <d v="2023-01-05T00:00:00"/>
    <n v="3"/>
    <x v="0"/>
    <s v="Canada"/>
    <s v="Toronto"/>
    <s v="Corporate"/>
    <x v="0"/>
    <s v="B. Chen"/>
    <x v="0"/>
    <x v="0"/>
    <n v="315.87"/>
    <n v="591.67999999999995"/>
    <n v="0"/>
    <n v="7"/>
    <n v="4141.7599999999993"/>
    <n v="2211.09"/>
    <n v="1930.6699999999992"/>
    <n v="0.46614724175229844"/>
    <s v="Jan-2023"/>
    <d v="2023-01-01T00:00:00"/>
    <s v="Q1-2023"/>
    <s v="Americas → Canada → Toronto"/>
    <s v="Laptops"/>
    <s v="Low"/>
    <d v="2023-01-01T00:00:00"/>
    <n v="0"/>
  </r>
  <r>
    <s v="ORD-2023-689428"/>
    <s v="Original"/>
    <d v="2023-01-07T00:00:00"/>
    <d v="2023-01-30T00:00:00"/>
    <n v="23"/>
    <x v="1"/>
    <s v="South Africa"/>
    <s v="Cape Town"/>
    <s v="Consumer"/>
    <x v="1"/>
    <s v="A. Patel"/>
    <x v="1"/>
    <x v="1"/>
    <n v="299.02"/>
    <n v="724.7"/>
    <n v="0.14000000000000001"/>
    <n v="5"/>
    <n v="3116.21"/>
    <n v="1495.1"/>
    <n v="1621.1100000000001"/>
    <n v="0.52021847051386139"/>
    <s v="Jan-2023"/>
    <d v="2023-01-01T00:00:00"/>
    <s v="Q1-2023"/>
    <s v="Africa → South Africa → Cape Town"/>
    <s v="Printers"/>
    <s v="Low"/>
    <d v="2023-01-01T00:00:00"/>
    <n v="0"/>
  </r>
  <r>
    <s v="ORD-2023-884192"/>
    <s v="Original"/>
    <d v="2023-01-10T00:00:00"/>
    <d v="2023-01-29T00:00:00"/>
    <n v="19"/>
    <x v="2"/>
    <s v="France"/>
    <s v="Lyon"/>
    <s v="Non-Profit"/>
    <x v="2"/>
    <s v="D. Smith"/>
    <x v="0"/>
    <x v="2"/>
    <n v="401.66"/>
    <n v="772.09"/>
    <n v="8.8999999999999996E-2"/>
    <n v="14"/>
    <n v="9847.2358600000007"/>
    <n v="5623.2400000000007"/>
    <n v="4223.99586"/>
    <n v="0.42895244107619046"/>
    <s v="Jan-2023"/>
    <d v="2023-01-01T00:00:00"/>
    <s v="Q1-2023"/>
    <s v="Europe → France → Lyon"/>
    <s v="Laptops"/>
    <s v="Low"/>
    <d v="2023-01-01T00:00:00"/>
    <n v="0"/>
  </r>
  <r>
    <s v="ORD-2023-700699"/>
    <s v="Original"/>
    <d v="2023-01-12T00:00:00"/>
    <d v="2023-01-26T00:00:00"/>
    <n v="14"/>
    <x v="3"/>
    <s v="China"/>
    <s v="Shenzhen"/>
    <s v="Non-Profit"/>
    <x v="3"/>
    <s v="M. Rossi"/>
    <x v="1"/>
    <x v="3"/>
    <n v="1083.0899999999999"/>
    <n v="1425.87"/>
    <n v="0"/>
    <n v="8"/>
    <n v="11406.96"/>
    <n v="8664.7199999999993"/>
    <n v="2742.24"/>
    <n v="0.24040059752992909"/>
    <s v="Jan-2023"/>
    <d v="2023-01-01T00:00:00"/>
    <s v="Q1-2023"/>
    <s v="Asia → China → Shenzhen"/>
    <s v="Printers"/>
    <s v="Medium"/>
    <d v="2023-01-01T00:00:00"/>
    <n v="0"/>
  </r>
  <r>
    <s v="ORD-2023-382017"/>
    <s v="Original"/>
    <d v="2023-01-13T00:00:00"/>
    <d v="2023-01-19T00:00:00"/>
    <n v="6"/>
    <x v="0"/>
    <s v="USA"/>
    <s v="Chicago"/>
    <s v="Corporate"/>
    <x v="2"/>
    <s v="H. Kim"/>
    <x v="2"/>
    <x v="4"/>
    <n v="833.57"/>
    <n v="881.57"/>
    <n v="5.7000000000000002E-2"/>
    <n v="18"/>
    <n v="14963.769179999999"/>
    <n v="15004.26"/>
    <n v="-40.490820000000895"/>
    <n v="-2.7059238560107821E-3"/>
    <s v="Jan-2023"/>
    <d v="2023-01-01T00:00:00"/>
    <s v="Q1-2023"/>
    <s v="Americas → USA → Chicago"/>
    <s v="Phones"/>
    <s v="Medium"/>
    <d v="2023-01-01T00:00:00"/>
    <n v="0"/>
  </r>
  <r>
    <s v="ORD-2023-112666"/>
    <s v="Original"/>
    <d v="2023-01-15T00:00:00"/>
    <d v="2023-01-20T00:00:00"/>
    <n v="5"/>
    <x v="1"/>
    <s v="Nigeria"/>
    <s v="Abuja"/>
    <s v="Education"/>
    <x v="1"/>
    <s v="O. Wang"/>
    <x v="1"/>
    <x v="5"/>
    <n v="28.38"/>
    <n v="47.22"/>
    <n v="0.19400000000000001"/>
    <n v="18"/>
    <n v="685.06776000000002"/>
    <n v="510.84"/>
    <n v="174.22776000000005"/>
    <n v="0.25432193743871417"/>
    <s v="Jan-2023"/>
    <d v="2023-01-01T00:00:00"/>
    <s v="Q1-2023"/>
    <s v="Africa → Nigeria → Abuja"/>
    <s v="Printers"/>
    <s v="Low"/>
    <d v="2023-01-01T00:00:00"/>
    <n v="0"/>
  </r>
  <r>
    <s v="ORD-2023-780206"/>
    <s v="Original"/>
    <d v="2023-01-19T00:00:00"/>
    <d v="2023-02-03T00:00:00"/>
    <n v="15"/>
    <x v="2"/>
    <s v="United Kingdom"/>
    <s v="London"/>
    <s v="Enterprise"/>
    <x v="0"/>
    <s v="G. Dubois"/>
    <x v="3"/>
    <x v="6"/>
    <n v="873.06"/>
    <n v="2101.5500000000002"/>
    <n v="6.6000000000000003E-2"/>
    <n v="10"/>
    <n v="19628.476999999999"/>
    <n v="8730.5999999999985"/>
    <n v="10897.877"/>
    <n v="0.55520746719167269"/>
    <s v="Jan-2023"/>
    <d v="2023-01-01T00:00:00"/>
    <s v="Q1-2023"/>
    <s v="Europe → United Kingdom → London"/>
    <s v="Accessories"/>
    <s v="High"/>
    <d v="2023-01-01T00:00:00"/>
    <n v="0"/>
  </r>
  <r>
    <s v="ORD-2023-586275"/>
    <s v="Original"/>
    <d v="2023-01-20T00:00:00"/>
    <d v="2023-02-03T00:00:00"/>
    <n v="14"/>
    <x v="1"/>
    <s v="Kenya"/>
    <s v="Kisumu"/>
    <s v="Corporate"/>
    <x v="3"/>
    <s v="M. Rossi"/>
    <x v="4"/>
    <x v="7"/>
    <n v="884.36"/>
    <n v="1545.34"/>
    <n v="0.24299999999999999"/>
    <n v="41"/>
    <n v="47962.717579999997"/>
    <n v="36258.76"/>
    <n v="11703.957579999995"/>
    <n v="0.24402198562827965"/>
    <s v="Jan-2023"/>
    <d v="2023-01-01T00:00:00"/>
    <s v="Q1-2023"/>
    <s v="Africa → Kenya → Kisumu"/>
    <s v="Networking"/>
    <s v="Medium"/>
    <d v="2023-01-01T00:00:00"/>
    <n v="0"/>
  </r>
  <r>
    <s v="ORD-2023-521818"/>
    <s v="Original"/>
    <d v="2023-01-22T00:00:00"/>
    <d v="2023-01-30T00:00:00"/>
    <n v="8"/>
    <x v="0"/>
    <s v="USA"/>
    <s v="San Francisco"/>
    <s v="Small Business"/>
    <x v="1"/>
    <s v="A. Patel"/>
    <x v="4"/>
    <x v="8"/>
    <n v="413.52"/>
    <n v="1004.34"/>
    <n v="0.111"/>
    <n v="18"/>
    <n v="16071.44868"/>
    <n v="7443.36"/>
    <n v="8628.0886800000007"/>
    <n v="0.53685817948304593"/>
    <s v="Jan-2023"/>
    <d v="2023-01-01T00:00:00"/>
    <s v="Q1-2023"/>
    <s v="Americas → USA → San Francisco"/>
    <s v="Networking"/>
    <s v="Medium"/>
    <d v="2023-01-01T00:00:00"/>
    <n v="0"/>
  </r>
  <r>
    <s v="ORD-2023-613317"/>
    <s v="Original"/>
    <d v="2023-01-22T00:00:00"/>
    <d v="2023-01-27T00:00:00"/>
    <n v="5"/>
    <x v="2"/>
    <s v="Germany"/>
    <s v="Munich"/>
    <s v="Corporate"/>
    <x v="2"/>
    <s v="F. Müller"/>
    <x v="5"/>
    <x v="9"/>
    <n v="150.86000000000001"/>
    <n v="346.96"/>
    <n v="0.19600000000000001"/>
    <n v="8"/>
    <n v="2231.6467200000002"/>
    <n v="1206.8800000000001"/>
    <n v="1024.7667200000001"/>
    <n v="0.45919755614365343"/>
    <s v="Jan-2023"/>
    <d v="2023-01-01T00:00:00"/>
    <s v="Q1-2023"/>
    <s v="Europe → Germany → Munich"/>
    <s v="Monitors"/>
    <s v="Low"/>
    <d v="2023-01-01T00:00:00"/>
    <n v="0"/>
  </r>
  <r>
    <s v="ORD-2023-811823"/>
    <s v="Original"/>
    <d v="2023-01-26T00:00:00"/>
    <d v="2023-02-15T00:00:00"/>
    <n v="20"/>
    <x v="2"/>
    <s v="Germany"/>
    <s v="Berlin"/>
    <s v="Small Business"/>
    <x v="1"/>
    <s v="O. Wang"/>
    <x v="4"/>
    <x v="10"/>
    <n v="492.62"/>
    <n v="366.7"/>
    <n v="8.8999999999999996E-2"/>
    <n v="10"/>
    <n v="3340.6370000000002"/>
    <n v="4926.2"/>
    <n v="-1585.5629999999996"/>
    <n v="-0.47462894052840809"/>
    <s v="Jan-2023"/>
    <d v="2023-01-01T00:00:00"/>
    <s v="Q1-2023"/>
    <s v="Europe → Germany → Berlin"/>
    <s v="Networking"/>
    <s v="Low"/>
    <d v="2023-01-01T00:00:00"/>
    <n v="0"/>
  </r>
  <r>
    <s v="ORD-2023-430904"/>
    <s v="Original"/>
    <d v="2023-01-27T00:00:00"/>
    <d v="2023-01-31T00:00:00"/>
    <n v="4"/>
    <x v="2"/>
    <s v="United Kingdom"/>
    <s v="Manchester"/>
    <s v="Enterprise"/>
    <x v="1"/>
    <s v="N. Brown"/>
    <x v="0"/>
    <x v="11"/>
    <n v="941.2"/>
    <n v="668.02"/>
    <n v="0.22"/>
    <n v="16"/>
    <n v="8336.8896000000004"/>
    <n v="15059.2"/>
    <n v="-6722.3104000000003"/>
    <n v="-0.80633314371825193"/>
    <s v="Jan-2023"/>
    <d v="2023-01-01T00:00:00"/>
    <s v="Q1-2023"/>
    <s v="Europe → United Kingdom → Manchester"/>
    <s v="Laptops"/>
    <s v="Low"/>
    <d v="2023-01-01T00:00:00"/>
    <n v="0"/>
  </r>
  <r>
    <s v="ORD-2023-856322"/>
    <s v="Original"/>
    <d v="2023-01-29T00:00:00"/>
    <d v="2023-02-06T00:00:00"/>
    <n v="8"/>
    <x v="0"/>
    <s v="Brazil"/>
    <s v="Brasília"/>
    <s v="Corporate"/>
    <x v="4"/>
    <s v="D. Smith"/>
    <x v="5"/>
    <x v="12"/>
    <n v="41.84"/>
    <n v="86.2"/>
    <n v="0.22600000000000001"/>
    <n v="27"/>
    <n v="1801.4076000000002"/>
    <n v="1129.68"/>
    <n v="671.72760000000017"/>
    <n v="0.37289039970742882"/>
    <s v="Jan-2023"/>
    <d v="2023-01-01T00:00:00"/>
    <s v="Q1-2023"/>
    <s v="Americas → Brazil → Brasília"/>
    <s v="Monitors"/>
    <s v="Low"/>
    <d v="2023-01-01T00:00:00"/>
    <n v="0"/>
  </r>
  <r>
    <s v="ORD-2023-575584"/>
    <s v="Original"/>
    <d v="2023-01-30T00:00:00"/>
    <d v="2023-02-21T00:00:00"/>
    <n v="22"/>
    <x v="2"/>
    <s v="Germany"/>
    <s v="Munich"/>
    <s v="Small Business"/>
    <x v="4"/>
    <s v="G. Dubois"/>
    <x v="4"/>
    <x v="13"/>
    <n v="1142.8800000000001"/>
    <n v="1465.29"/>
    <n v="0.186"/>
    <n v="7"/>
    <n v="8349.2224200000001"/>
    <n v="8000.1600000000008"/>
    <n v="349.06241999999929"/>
    <n v="4.1807775915017401E-2"/>
    <s v="Jan-2023"/>
    <d v="2023-01-01T00:00:00"/>
    <s v="Q1-2023"/>
    <s v="Europe → Germany → Munich"/>
    <s v="Networking"/>
    <s v="Medium"/>
    <d v="2023-01-01T00:00:00"/>
    <n v="0"/>
  </r>
  <r>
    <s v="ORD-2023-855675"/>
    <s v="Original"/>
    <d v="2023-02-05T00:00:00"/>
    <d v="2023-02-28T00:00:00"/>
    <n v="23"/>
    <x v="0"/>
    <s v="USA"/>
    <s v="Austin"/>
    <s v="Non-Profit"/>
    <x v="0"/>
    <s v="L. Okafor"/>
    <x v="2"/>
    <x v="14"/>
    <n v="1214.49"/>
    <n v="1533.95"/>
    <n v="0"/>
    <n v="11"/>
    <n v="16873.45"/>
    <n v="13359.39"/>
    <n v="3514.0600000000013"/>
    <n v="0.20825972163369086"/>
    <s v="Feb-2023"/>
    <d v="2023-02-01T00:00:00"/>
    <s v="Q1-2023"/>
    <s v="Americas → USA → Austin"/>
    <s v="Phones"/>
    <s v="Medium"/>
    <d v="2023-01-01T00:00:00"/>
    <n v="1"/>
  </r>
  <r>
    <s v="ORD-2023-271836"/>
    <s v="Original"/>
    <d v="2023-02-07T00:00:00"/>
    <d v="2023-02-12T00:00:00"/>
    <n v="5"/>
    <x v="0"/>
    <s v="Brazil"/>
    <s v="São Paulo"/>
    <s v="Education"/>
    <x v="1"/>
    <s v="N. Brown"/>
    <x v="6"/>
    <x v="15"/>
    <n v="948.55"/>
    <n v="2089.16"/>
    <n v="7.0000000000000001E-3"/>
    <n v="12"/>
    <n v="24894.430559999997"/>
    <n v="11382.599999999999"/>
    <n v="13511.830559999999"/>
    <n v="0.54276519912492427"/>
    <s v="Feb-2023"/>
    <d v="2023-02-01T00:00:00"/>
    <s v="Q1-2023"/>
    <s v="Americas → Brazil → São Paulo"/>
    <s v="Components"/>
    <s v="High"/>
    <d v="2023-01-01T00:00:00"/>
    <n v="1"/>
  </r>
  <r>
    <s v="ORD-2023-159379"/>
    <s v="Original"/>
    <d v="2023-02-08T00:00:00"/>
    <d v="2023-02-11T00:00:00"/>
    <n v="3"/>
    <x v="1"/>
    <s v="South Africa"/>
    <s v="Cape Town"/>
    <s v="Corporate"/>
    <x v="2"/>
    <s v="M. Rossi"/>
    <x v="4"/>
    <x v="16"/>
    <n v="1410.05"/>
    <n v="2763.95"/>
    <n v="0.161"/>
    <n v="26"/>
    <n v="60292.805299999993"/>
    <n v="36661.299999999996"/>
    <n v="23631.505299999997"/>
    <n v="0.39194569206750779"/>
    <s v="Feb-2023"/>
    <d v="2023-02-01T00:00:00"/>
    <s v="Q1-2023"/>
    <s v="Africa → South Africa → Cape Town"/>
    <s v="Networking"/>
    <s v="High"/>
    <d v="2023-01-01T00:00:00"/>
    <n v="1"/>
  </r>
  <r>
    <s v="ORD-2023-960380"/>
    <s v="Original"/>
    <d v="2023-02-11T00:00:00"/>
    <d v="2023-02-12T00:00:00"/>
    <n v="1"/>
    <x v="1"/>
    <s v="Nigeria"/>
    <s v="Port Harcourt"/>
    <s v="Non-Profit"/>
    <x v="2"/>
    <s v="D. Smith"/>
    <x v="3"/>
    <x v="17"/>
    <n v="944.61"/>
    <n v="839.04"/>
    <n v="5.8999999999999997E-2"/>
    <n v="6"/>
    <n v="4737.2198399999997"/>
    <n v="5667.66"/>
    <n v="-930.44016000000011"/>
    <n v="-0.19641059343363726"/>
    <s v="Feb-2023"/>
    <d v="2023-02-01T00:00:00"/>
    <s v="Q1-2023"/>
    <s v="Africa → Nigeria → Port Harcourt"/>
    <s v="Accessories"/>
    <s v="Medium"/>
    <d v="2023-01-01T00:00:00"/>
    <n v="1"/>
  </r>
  <r>
    <s v="ORD-2023-480975"/>
    <s v="Original"/>
    <d v="2023-02-15T00:00:00"/>
    <d v="2023-02-26T00:00:00"/>
    <n v="11"/>
    <x v="1"/>
    <s v="South Africa"/>
    <s v="Johannesburg"/>
    <s v="Non-Profit"/>
    <x v="3"/>
    <s v="K. Singh"/>
    <x v="0"/>
    <x v="18"/>
    <n v="498.5"/>
    <n v="755.87"/>
    <n v="0.13"/>
    <n v="40"/>
    <n v="26304.275999999998"/>
    <n v="19940"/>
    <n v="6364.275999999998"/>
    <n v="0.24194834330357537"/>
    <s v="Feb-2023"/>
    <d v="2023-02-01T00:00:00"/>
    <s v="Q1-2023"/>
    <s v="Africa → South Africa → Johannesburg"/>
    <s v="Laptops"/>
    <s v="Low"/>
    <d v="2023-01-01T00:00:00"/>
    <n v="1"/>
  </r>
  <r>
    <s v="ORD-2023-884625"/>
    <s v="Original"/>
    <d v="2023-02-19T00:00:00"/>
    <d v="2023-03-12T00:00:00"/>
    <n v="21"/>
    <x v="2"/>
    <s v="Germany"/>
    <s v="Berlin"/>
    <s v="Small Business"/>
    <x v="2"/>
    <s v="L. Okafor"/>
    <x v="5"/>
    <x v="19"/>
    <n v="1234.81"/>
    <n v="2055.2399999999998"/>
    <n v="5.2999999999999999E-2"/>
    <n v="44"/>
    <n v="85637.740319999997"/>
    <n v="54331.64"/>
    <n v="31306.100319999998"/>
    <n v="0.36556429680441616"/>
    <s v="Feb-2023"/>
    <d v="2023-02-01T00:00:00"/>
    <s v="Q1-2023"/>
    <s v="Europe → Germany → Berlin"/>
    <s v="Monitors"/>
    <s v="High"/>
    <d v="2023-01-01T00:00:00"/>
    <n v="1"/>
  </r>
  <r>
    <s v="ORD-2023-848013"/>
    <s v="Original"/>
    <d v="2023-02-20T00:00:00"/>
    <d v="2023-03-04T00:00:00"/>
    <n v="12"/>
    <x v="3"/>
    <s v="India"/>
    <s v="Delhi"/>
    <s v="Consumer"/>
    <x v="0"/>
    <s v="M. Rossi"/>
    <x v="5"/>
    <x v="20"/>
    <n v="299.75"/>
    <n v="523.01"/>
    <n v="0.157"/>
    <n v="50"/>
    <n v="22044.871499999997"/>
    <n v="14987.5"/>
    <n v="7057.3714999999975"/>
    <n v="0.32013665854210122"/>
    <s v="Feb-2023"/>
    <d v="2023-02-01T00:00:00"/>
    <s v="Q1-2023"/>
    <s v="Asia → India → Delhi"/>
    <s v="Monitors"/>
    <s v="Low"/>
    <d v="2023-02-01T00:00:00"/>
    <n v="0"/>
  </r>
  <r>
    <s v="ORD-2023-156396"/>
    <s v="Original"/>
    <d v="2023-02-21T00:00:00"/>
    <d v="2023-03-12T00:00:00"/>
    <n v="19"/>
    <x v="1"/>
    <s v="Kenya"/>
    <s v="Nakuru"/>
    <s v="Corporate"/>
    <x v="1"/>
    <s v="F. Müller"/>
    <x v="4"/>
    <x v="21"/>
    <n v="352.65"/>
    <n v="485.86"/>
    <n v="4.1000000000000002E-2"/>
    <n v="6"/>
    <n v="2795.6384399999997"/>
    <n v="2115.8999999999996"/>
    <n v="679.73844000000008"/>
    <n v="0.24314247159943908"/>
    <s v="Feb-2023"/>
    <d v="2023-02-01T00:00:00"/>
    <s v="Q1-2023"/>
    <s v="Africa → Kenya → Nakuru"/>
    <s v="Networking"/>
    <s v="Low"/>
    <d v="2023-01-01T00:00:00"/>
    <n v="1"/>
  </r>
  <r>
    <s v="ORD-2023-562894"/>
    <s v="Original"/>
    <d v="2023-02-23T00:00:00"/>
    <d v="2023-03-25T00:00:00"/>
    <n v="30"/>
    <x v="0"/>
    <s v="Canada"/>
    <s v="Montreal"/>
    <s v="Enterprise"/>
    <x v="1"/>
    <s v="D. Smith"/>
    <x v="2"/>
    <x v="22"/>
    <n v="1242.6600000000001"/>
    <n v="1794.07"/>
    <n v="8.8999999999999996E-2"/>
    <n v="16"/>
    <n v="26150.364320000001"/>
    <n v="19882.560000000001"/>
    <n v="6267.8043199999993"/>
    <n v="0.23968325042440553"/>
    <s v="Feb-2023"/>
    <d v="2023-02-01T00:00:00"/>
    <s v="Q1-2023"/>
    <s v="Americas → Canada → Montreal"/>
    <s v="Phones"/>
    <s v="High"/>
    <d v="2023-01-01T00:00:00"/>
    <n v="1"/>
  </r>
  <r>
    <s v="ORD-2023-735274"/>
    <s v="Original"/>
    <d v="2023-02-23T00:00:00"/>
    <d v="2023-03-08T00:00:00"/>
    <n v="13"/>
    <x v="2"/>
    <s v="United Kingdom"/>
    <s v="Manchester"/>
    <s v="Small Business"/>
    <x v="2"/>
    <s v="C. Otieno"/>
    <x v="1"/>
    <x v="23"/>
    <n v="307.37"/>
    <n v="462.61"/>
    <n v="0.188"/>
    <n v="11"/>
    <n v="4132.0325200000007"/>
    <n v="3381.07"/>
    <n v="750.9625200000005"/>
    <n v="0.18174167709599739"/>
    <s v="Feb-2023"/>
    <d v="2023-02-01T00:00:00"/>
    <s v="Q1-2023"/>
    <s v="Europe → United Kingdom → Manchester"/>
    <s v="Printers"/>
    <s v="Low"/>
    <d v="2023-01-01T00:00:00"/>
    <n v="1"/>
  </r>
  <r>
    <s v="ORD-2023-744942"/>
    <s v="Original"/>
    <d v="2023-02-23T00:00:00"/>
    <d v="2023-03-18T00:00:00"/>
    <n v="23"/>
    <x v="3"/>
    <s v="China"/>
    <s v="Beijing"/>
    <s v="Education"/>
    <x v="0"/>
    <s v="K. Singh"/>
    <x v="1"/>
    <x v="24"/>
    <n v="770.11"/>
    <n v="1667.82"/>
    <n v="6.9000000000000006E-2"/>
    <n v="7"/>
    <n v="10869.182940000001"/>
    <n v="5390.77"/>
    <n v="5478.4129400000002"/>
    <n v="0.50403171703355287"/>
    <s v="Feb-2023"/>
    <d v="2023-02-01T00:00:00"/>
    <s v="Q1-2023"/>
    <s v="Asia → China → Beijing"/>
    <s v="Printers"/>
    <s v="High"/>
    <d v="2023-01-01T00:00:00"/>
    <n v="1"/>
  </r>
  <r>
    <s v="ORD-2023-286994"/>
    <s v="Original"/>
    <d v="2023-02-24T00:00:00"/>
    <d v="2023-03-09T00:00:00"/>
    <n v="13"/>
    <x v="0"/>
    <s v="USA"/>
    <s v="New York"/>
    <s v="Enterprise"/>
    <x v="1"/>
    <s v="M. Rossi"/>
    <x v="6"/>
    <x v="25"/>
    <n v="6.85"/>
    <n v="10.18"/>
    <n v="4.7E-2"/>
    <n v="10"/>
    <n v="97.0154"/>
    <n v="68.5"/>
    <n v="28.5154"/>
    <n v="0.2939265312517394"/>
    <s v="Feb-2023"/>
    <d v="2023-02-01T00:00:00"/>
    <s v="Q1-2023"/>
    <s v="Americas → USA → New York"/>
    <s v="Components"/>
    <s v="Low"/>
    <d v="2023-01-01T00:00:00"/>
    <n v="1"/>
  </r>
  <r>
    <s v="ORD-2023-619493"/>
    <s v="Original"/>
    <d v="2023-02-27T00:00:00"/>
    <d v="2023-03-06T00:00:00"/>
    <n v="7"/>
    <x v="0"/>
    <s v="USA"/>
    <s v="San Francisco"/>
    <s v="Non-Profit"/>
    <x v="1"/>
    <s v="L. Okafor"/>
    <x v="4"/>
    <x v="26"/>
    <n v="1015.91"/>
    <n v="2331.48"/>
    <n v="0.14599999999999999"/>
    <n v="26"/>
    <n v="51768.181920000003"/>
    <n v="26413.66"/>
    <n v="25354.521920000003"/>
    <n v="0.48977037592669626"/>
    <s v="Feb-2023"/>
    <d v="2023-02-01T00:00:00"/>
    <s v="Q1-2023"/>
    <s v="Americas → USA → San Francisco"/>
    <s v="Networking"/>
    <s v="High"/>
    <d v="2023-01-01T00:00:00"/>
    <n v="1"/>
  </r>
  <r>
    <s v="ORD-2023-373538"/>
    <s v="Original"/>
    <d v="2023-02-28T00:00:00"/>
    <d v="2023-03-25T00:00:00"/>
    <n v="25"/>
    <x v="1"/>
    <s v="Kenya"/>
    <s v="Nairobi"/>
    <s v="Corporate"/>
    <x v="3"/>
    <s v="I. Johnson"/>
    <x v="4"/>
    <x v="27"/>
    <n v="1460.76"/>
    <n v="1752.912"/>
    <n v="0.13100000000000001"/>
    <n v="12"/>
    <n v="18279.366335999999"/>
    <n v="17529.12"/>
    <n v="750.24633600000016"/>
    <n v="4.1043344840813206E-2"/>
    <s v="Feb-2023"/>
    <d v="2023-02-01T00:00:00"/>
    <s v="Q1-2023"/>
    <s v="Africa → Kenya → Nairobi"/>
    <s v="Networking"/>
    <s v="High"/>
    <d v="2023-01-01T00:00:00"/>
    <n v="1"/>
  </r>
  <r>
    <s v="ORD-2023-422918"/>
    <s v="Original"/>
    <d v="2023-02-28T00:00:00"/>
    <d v="2023-03-20T00:00:00"/>
    <n v="20"/>
    <x v="2"/>
    <s v="Germany"/>
    <s v="Berlin"/>
    <s v="Small Business"/>
    <x v="2"/>
    <s v="H. Kim"/>
    <x v="0"/>
    <x v="28"/>
    <n v="1200.78"/>
    <n v="2001.17"/>
    <n v="0.29199999999999998"/>
    <n v="18"/>
    <n v="25502.910479999999"/>
    <n v="21614.04"/>
    <n v="3888.8704799999978"/>
    <n v="0.15248732034132906"/>
    <s v="Feb-2023"/>
    <d v="2023-02-01T00:00:00"/>
    <s v="Q1-2023"/>
    <s v="Europe → Germany → Berlin"/>
    <s v="Laptops"/>
    <s v="High"/>
    <d v="2023-01-01T00:00:00"/>
    <n v="1"/>
  </r>
  <r>
    <s v="ORD-2023-888245"/>
    <s v="Original"/>
    <d v="2023-02-28T00:00:00"/>
    <d v="2023-03-07T00:00:00"/>
    <n v="7"/>
    <x v="2"/>
    <s v="France"/>
    <s v="Marseille"/>
    <s v="Corporate"/>
    <x v="3"/>
    <s v="K. Singh"/>
    <x v="4"/>
    <x v="29"/>
    <n v="1299.81"/>
    <n v="3149.13"/>
    <n v="0.10299999999999999"/>
    <n v="14"/>
    <n v="39546.774539999999"/>
    <n v="18197.34"/>
    <n v="21349.434539999998"/>
    <n v="0.53985273864511729"/>
    <s v="Feb-2023"/>
    <d v="2023-02-01T00:00:00"/>
    <s v="Q1-2023"/>
    <s v="Europe → France → Marseille"/>
    <s v="Networking"/>
    <s v="High"/>
    <d v="2023-01-01T00:00:00"/>
    <n v="1"/>
  </r>
  <r>
    <s v="ORD-2023-472078"/>
    <s v="Original"/>
    <d v="2023-02-28T00:00:00"/>
    <d v="2023-03-06T00:00:00"/>
    <n v="6"/>
    <x v="2"/>
    <s v="Germany"/>
    <s v="Frankfurt"/>
    <s v="Small Business"/>
    <x v="4"/>
    <s v="D. Smith"/>
    <x v="1"/>
    <x v="30"/>
    <n v="880.02"/>
    <n v="1251.21"/>
    <n v="0.123"/>
    <n v="29"/>
    <n v="31822.023930000003"/>
    <n v="25520.579999999998"/>
    <n v="6301.4439300000049"/>
    <n v="0.19802146915172672"/>
    <s v="Feb-2023"/>
    <d v="2023-02-01T00:00:00"/>
    <s v="Q1-2023"/>
    <s v="Europe → Germany → Frankfurt"/>
    <s v="Printers"/>
    <s v="Medium"/>
    <d v="2023-01-01T00:00:00"/>
    <n v="1"/>
  </r>
  <r>
    <s v="ORD-2023-869884"/>
    <s v="Original"/>
    <d v="2023-03-02T00:00:00"/>
    <d v="2023-03-05T00:00:00"/>
    <n v="3"/>
    <x v="0"/>
    <s v="Brazil"/>
    <s v="Brasília"/>
    <s v="Enterprise"/>
    <x v="2"/>
    <s v="G. Dubois"/>
    <x v="5"/>
    <x v="31"/>
    <n v="1473.58"/>
    <n v="3436.52"/>
    <n v="0.108"/>
    <n v="8"/>
    <n v="24523.006720000001"/>
    <n v="11788.64"/>
    <n v="12734.366720000002"/>
    <n v="0.51928243813652564"/>
    <s v="Mar-2023"/>
    <d v="2023-03-01T00:00:00"/>
    <s v="Q1-2023"/>
    <s v="Americas → Brazil → Brasília"/>
    <s v="Monitors"/>
    <s v="High"/>
    <d v="2023-01-01T00:00:00"/>
    <n v="2"/>
  </r>
  <r>
    <s v="ORD-2023-139236"/>
    <s v="Original"/>
    <d v="2023-03-03T00:00:00"/>
    <d v="2023-03-20T00:00:00"/>
    <n v="17"/>
    <x v="3"/>
    <s v="Japan"/>
    <s v="Nagoya"/>
    <s v="Small Business"/>
    <x v="1"/>
    <s v="D. Smith"/>
    <x v="4"/>
    <x v="32"/>
    <n v="1171.17"/>
    <n v="2030.64"/>
    <n v="0.157"/>
    <n v="11"/>
    <n v="18830.12472"/>
    <n v="12882.87"/>
    <n v="5947.254719999999"/>
    <n v="0.31583724528830415"/>
    <s v="Mar-2023"/>
    <d v="2023-03-01T00:00:00"/>
    <s v="Q1-2023"/>
    <s v="Asia → Japan → Nagoya"/>
    <s v="Networking"/>
    <s v="High"/>
    <d v="2023-03-01T00:00:00"/>
    <n v="0"/>
  </r>
  <r>
    <s v="ORD-2023-276806"/>
    <s v="Original"/>
    <d v="2023-03-04T00:00:00"/>
    <d v="2023-03-24T00:00:00"/>
    <n v="20"/>
    <x v="0"/>
    <s v="Canada"/>
    <s v="Montreal"/>
    <s v="Consumer"/>
    <x v="0"/>
    <s v="I. Johnson"/>
    <x v="0"/>
    <x v="33"/>
    <n v="481.71"/>
    <n v="912.45"/>
    <n v="0.20300000000000001"/>
    <n v="24"/>
    <n v="17453.3436"/>
    <n v="11561.039999999999"/>
    <n v="5892.3036000000011"/>
    <n v="0.33760313983619739"/>
    <s v="Mar-2023"/>
    <d v="2023-03-01T00:00:00"/>
    <s v="Q1-2023"/>
    <s v="Americas → Canada → Montreal"/>
    <s v="Laptops"/>
    <s v="Medium"/>
    <d v="2023-01-01T00:00:00"/>
    <n v="2"/>
  </r>
  <r>
    <s v="ORD-2023-854471"/>
    <s v="Original"/>
    <d v="2023-03-06T00:00:00"/>
    <d v="2023-04-04T00:00:00"/>
    <n v="29"/>
    <x v="3"/>
    <s v="China"/>
    <s v="Beijing"/>
    <s v="Small Business"/>
    <x v="2"/>
    <s v="C. Otieno"/>
    <x v="5"/>
    <x v="34"/>
    <n v="1126.29"/>
    <n v="2050.87"/>
    <n v="6.4000000000000001E-2"/>
    <n v="7"/>
    <n v="13437.300239999999"/>
    <n v="7884.03"/>
    <n v="5553.2702399999989"/>
    <n v="0.41327276616690373"/>
    <s v="Mar-2023"/>
    <d v="2023-03-01T00:00:00"/>
    <s v="Q1-2023"/>
    <s v="Asia → China → Beijing"/>
    <s v="Monitors"/>
    <s v="High"/>
    <d v="2023-01-01T00:00:00"/>
    <n v="2"/>
  </r>
  <r>
    <s v="ORD-2023-949710"/>
    <s v="Original"/>
    <d v="2023-03-07T00:00:00"/>
    <d v="2023-04-01T00:00:00"/>
    <n v="25"/>
    <x v="1"/>
    <s v="Kenya"/>
    <s v="Nairobi"/>
    <s v="Consumer"/>
    <x v="4"/>
    <s v="D. Smith"/>
    <x v="1"/>
    <x v="35"/>
    <n v="1024.0999999999999"/>
    <n v="918.19"/>
    <n v="0.189"/>
    <n v="10"/>
    <n v="7446.5209000000004"/>
    <n v="10241"/>
    <n v="-2794.4790999999996"/>
    <n v="-0.37527311579827827"/>
    <s v="Mar-2023"/>
    <d v="2023-03-01T00:00:00"/>
    <s v="Q1-2023"/>
    <s v="Africa → Kenya → Nairobi"/>
    <s v="Printers"/>
    <s v="Medium"/>
    <d v="2023-01-01T00:00:00"/>
    <n v="2"/>
  </r>
  <r>
    <s v="ORD-2023-281890"/>
    <s v="Original"/>
    <d v="2023-03-13T00:00:00"/>
    <d v="2023-04-04T00:00:00"/>
    <n v="22"/>
    <x v="1"/>
    <s v="South Africa"/>
    <s v="Durban"/>
    <s v="Small Business"/>
    <x v="3"/>
    <s v="A. Patel"/>
    <x v="6"/>
    <x v="36"/>
    <n v="1113.7"/>
    <n v="1620.6"/>
    <n v="0.13900000000000001"/>
    <n v="11"/>
    <n v="15348.702599999999"/>
    <n v="12250.7"/>
    <n v="3098.002599999998"/>
    <n v="0.20184133348182787"/>
    <s v="Mar-2023"/>
    <d v="2023-03-01T00:00:00"/>
    <s v="Q1-2023"/>
    <s v="Africa → South Africa → Durban"/>
    <s v="Components"/>
    <s v="Medium"/>
    <d v="2023-01-01T00:00:00"/>
    <n v="2"/>
  </r>
  <r>
    <s v="ORD-2023-946143"/>
    <s v="Original"/>
    <d v="2023-03-14T00:00:00"/>
    <d v="2023-03-30T00:00:00"/>
    <n v="16"/>
    <x v="1"/>
    <s v="South Africa"/>
    <s v="Cape Town"/>
    <s v="Consumer"/>
    <x v="0"/>
    <s v="K. Singh"/>
    <x v="6"/>
    <x v="37"/>
    <n v="1309.77"/>
    <n v="1589.07"/>
    <n v="0.10199999999999999"/>
    <n v="10"/>
    <n v="14269.848599999999"/>
    <n v="13097.7"/>
    <n v="1172.1485999999986"/>
    <n v="8.2141628328137886E-2"/>
    <s v="Mar-2023"/>
    <d v="2023-03-01T00:00:00"/>
    <s v="Q1-2023"/>
    <s v="Africa → South Africa → Cape Town"/>
    <s v="Components"/>
    <s v="Medium"/>
    <d v="2023-01-01T00:00:00"/>
    <n v="2"/>
  </r>
  <r>
    <s v="ORD-2023-799597"/>
    <s v="Original"/>
    <d v="2023-03-14T00:00:00"/>
    <d v="2023-03-18T00:00:00"/>
    <n v="4"/>
    <x v="2"/>
    <s v="Germany"/>
    <s v="Frankfurt"/>
    <s v="Enterprise"/>
    <x v="2"/>
    <s v="A. Patel"/>
    <x v="6"/>
    <x v="38"/>
    <n v="472.33"/>
    <n v="360.34"/>
    <n v="0.16500000000000001"/>
    <n v="14"/>
    <n v="4212.3745999999992"/>
    <n v="6612.62"/>
    <n v="-2400.2454000000007"/>
    <n v="-0.56980815523861561"/>
    <s v="Mar-2023"/>
    <d v="2023-03-01T00:00:00"/>
    <s v="Q1-2023"/>
    <s v="Europe → Germany → Frankfurt"/>
    <s v="Components"/>
    <s v="Low"/>
    <d v="2023-01-01T00:00:00"/>
    <n v="2"/>
  </r>
  <r>
    <s v="ORD-2023-933238"/>
    <s v="Original"/>
    <d v="2023-03-17T00:00:00"/>
    <d v="2023-04-06T00:00:00"/>
    <n v="20"/>
    <x v="2"/>
    <s v="Germany"/>
    <s v="Munich"/>
    <s v="Consumer"/>
    <x v="3"/>
    <s v="O. Wang"/>
    <x v="2"/>
    <x v="39"/>
    <n v="692.18"/>
    <n v="1159.3499999999999"/>
    <n v="0.112"/>
    <n v="2"/>
    <n v="2059.0056"/>
    <n v="1384.36"/>
    <n v="674.64560000000006"/>
    <n v="0.32765602968734037"/>
    <s v="Mar-2023"/>
    <d v="2023-03-01T00:00:00"/>
    <s v="Q1-2023"/>
    <s v="Europe → Germany → Munich"/>
    <s v="Phones"/>
    <s v="Medium"/>
    <d v="2023-01-01T00:00:00"/>
    <n v="2"/>
  </r>
  <r>
    <s v="ORD-2023-548874"/>
    <s v="Original"/>
    <d v="2023-03-19T00:00:00"/>
    <d v="2023-04-09T00:00:00"/>
    <n v="21"/>
    <x v="2"/>
    <s v="United Kingdom"/>
    <s v="Manchester"/>
    <s v="Consumer"/>
    <x v="3"/>
    <s v="L. Okafor"/>
    <x v="3"/>
    <x v="40"/>
    <n v="1082.17"/>
    <n v="1234.0999999999999"/>
    <n v="0.189"/>
    <n v="16"/>
    <n v="16013.681599999998"/>
    <n v="17314.72"/>
    <n v="-1301.0384000000031"/>
    <n v="-8.124542703534228E-2"/>
    <s v="Mar-2023"/>
    <d v="2023-03-01T00:00:00"/>
    <s v="Q1-2023"/>
    <s v="Europe → United Kingdom → Manchester"/>
    <s v="Accessories"/>
    <s v="Medium"/>
    <d v="2023-01-01T00:00:00"/>
    <n v="2"/>
  </r>
  <r>
    <s v="ORD-2023-835010"/>
    <s v="Original"/>
    <d v="2023-03-23T00:00:00"/>
    <d v="2023-04-15T00:00:00"/>
    <n v="23"/>
    <x v="1"/>
    <s v="Kenya"/>
    <s v="Mombasa"/>
    <s v="Small Business"/>
    <x v="3"/>
    <s v="C. Otieno"/>
    <x v="3"/>
    <x v="41"/>
    <n v="875.36"/>
    <n v="1178.6199999999999"/>
    <n v="0.151"/>
    <n v="53"/>
    <n v="53034.364139999991"/>
    <n v="46394.080000000002"/>
    <n v="6640.2841399999888"/>
    <n v="0.12520719815685888"/>
    <s v="Mar-2023"/>
    <d v="2023-03-01T00:00:00"/>
    <s v="Q1-2023"/>
    <s v="Africa → Kenya → Mombasa"/>
    <s v="Accessories"/>
    <s v="Medium"/>
    <d v="2023-01-01T00:00:00"/>
    <n v="2"/>
  </r>
  <r>
    <s v="ORD-2023-240507"/>
    <s v="Original"/>
    <d v="2023-03-25T00:00:00"/>
    <d v="2023-03-26T00:00:00"/>
    <n v="1"/>
    <x v="3"/>
    <s v="Japan"/>
    <s v="Osaka"/>
    <s v="Small Business"/>
    <x v="0"/>
    <s v="I. Johnson"/>
    <x v="5"/>
    <x v="42"/>
    <n v="135.12"/>
    <n v="301.7"/>
    <n v="0.14000000000000001"/>
    <n v="47"/>
    <n v="12194.714"/>
    <n v="6350.64"/>
    <n v="5844.0739999999996"/>
    <n v="0.47923009920527859"/>
    <s v="Mar-2023"/>
    <d v="2023-03-01T00:00:00"/>
    <s v="Q1-2023"/>
    <s v="Asia → Japan → Osaka"/>
    <s v="Monitors"/>
    <s v="Low"/>
    <d v="2023-03-01T00:00:00"/>
    <n v="0"/>
  </r>
  <r>
    <s v="ORD-2023-864121"/>
    <s v="Original"/>
    <d v="2023-03-27T00:00:00"/>
    <d v="2023-04-22T00:00:00"/>
    <n v="26"/>
    <x v="3"/>
    <s v="India"/>
    <s v="Delhi"/>
    <s v="Non-Profit"/>
    <x v="4"/>
    <s v="J. Njeri"/>
    <x v="1"/>
    <x v="43"/>
    <n v="178.53"/>
    <n v="199.37"/>
    <n v="0.10100000000000001"/>
    <n v="37"/>
    <n v="6631.6443100000006"/>
    <n v="6605.61"/>
    <n v="26.034310000000914"/>
    <n v="3.9257699573457538E-3"/>
    <s v="Mar-2023"/>
    <d v="2023-03-01T00:00:00"/>
    <s v="Q1-2023"/>
    <s v="Asia → India → Delhi"/>
    <s v="Printers"/>
    <s v="Low"/>
    <d v="2023-02-01T00:00:00"/>
    <n v="1"/>
  </r>
  <r>
    <s v="ORD-2023-419187"/>
    <s v="Original"/>
    <d v="2023-03-31T00:00:00"/>
    <d v="2023-04-05T00:00:00"/>
    <n v="5"/>
    <x v="1"/>
    <s v="Kenya"/>
    <s v="Nakuru"/>
    <s v="Education"/>
    <x v="4"/>
    <s v="B. Chen"/>
    <x v="0"/>
    <x v="44"/>
    <n v="533.26"/>
    <n v="385.72"/>
    <n v="0"/>
    <n v="15"/>
    <n v="5785.8"/>
    <n v="7998.9"/>
    <n v="-2213.0999999999995"/>
    <n v="-0.38250544436378708"/>
    <s v="Mar-2023"/>
    <d v="2023-03-01T00:00:00"/>
    <s v="Q1-2023"/>
    <s v="Africa → Kenya → Nakuru"/>
    <s v="Laptops"/>
    <s v="Low"/>
    <d v="2023-01-01T00:00:00"/>
    <n v="2"/>
  </r>
  <r>
    <s v="ORD-2023-613287"/>
    <s v="Original"/>
    <d v="2023-03-31T00:00:00"/>
    <d v="2023-04-12T00:00:00"/>
    <n v="12"/>
    <x v="1"/>
    <s v="Kenya"/>
    <s v="Mombasa"/>
    <s v="Small Business"/>
    <x v="1"/>
    <s v="C. Otieno"/>
    <x v="2"/>
    <x v="45"/>
    <n v="304.22000000000003"/>
    <n v="393.31"/>
    <n v="0.26500000000000001"/>
    <n v="15"/>
    <n v="4336.2427499999994"/>
    <n v="4563.3"/>
    <n v="-227.05725000000075"/>
    <n v="-5.2362670424759034E-2"/>
    <s v="Mar-2023"/>
    <d v="2023-03-01T00:00:00"/>
    <s v="Q1-2023"/>
    <s v="Africa → Kenya → Mombasa"/>
    <s v="Phones"/>
    <s v="Low"/>
    <d v="2023-01-01T00:00:00"/>
    <n v="2"/>
  </r>
  <r>
    <s v="ORD-2023-727290"/>
    <s v="Original"/>
    <d v="2023-04-03T00:00:00"/>
    <d v="2023-04-16T00:00:00"/>
    <n v="13"/>
    <x v="2"/>
    <s v="France"/>
    <s v="Marseille"/>
    <s v="Non-Profit"/>
    <x v="4"/>
    <s v="M. Rossi"/>
    <x v="3"/>
    <x v="46"/>
    <n v="790.54"/>
    <n v="601.49"/>
    <n v="0"/>
    <n v="15"/>
    <n v="9022.35"/>
    <n v="11858.099999999999"/>
    <n v="-2835.7499999999982"/>
    <n v="-0.31430281467688553"/>
    <s v="Apr-2023"/>
    <d v="2023-04-01T00:00:00"/>
    <s v="Q2-2023"/>
    <s v="Europe → France → Marseille"/>
    <s v="Accessories"/>
    <s v="Low"/>
    <d v="2023-01-01T00:00:00"/>
    <n v="3"/>
  </r>
  <r>
    <s v="ORD-2023-987700"/>
    <s v="Original"/>
    <d v="2023-04-05T00:00:00"/>
    <d v="2023-04-16T00:00:00"/>
    <n v="11"/>
    <x v="0"/>
    <s v="Canada"/>
    <s v="Vancouver"/>
    <s v="Non-Profit"/>
    <x v="1"/>
    <s v="O. Wang"/>
    <x v="5"/>
    <x v="47"/>
    <n v="213.1"/>
    <n v="501.31"/>
    <n v="5.6000000000000001E-2"/>
    <n v="15"/>
    <n v="7098.5495999999994"/>
    <n v="3196.5"/>
    <n v="3902.0495999999994"/>
    <n v="0.54969674368409005"/>
    <s v="Apr-2023"/>
    <d v="2023-04-01T00:00:00"/>
    <s v="Q2-2023"/>
    <s v="Americas → Canada → Vancouver"/>
    <s v="Monitors"/>
    <s v="Low"/>
    <d v="2023-01-01T00:00:00"/>
    <n v="3"/>
  </r>
  <r>
    <s v="ORD-2023-868734"/>
    <s v="Original"/>
    <d v="2023-04-06T00:00:00"/>
    <d v="2023-04-27T00:00:00"/>
    <n v="21"/>
    <x v="2"/>
    <s v="United Kingdom"/>
    <s v="Manchester"/>
    <s v="Enterprise"/>
    <x v="0"/>
    <s v="I. Johnson"/>
    <x v="1"/>
    <x v="48"/>
    <n v="1084.79"/>
    <n v="2484.9899999999998"/>
    <n v="3.4000000000000002E-2"/>
    <n v="18"/>
    <n v="43209.006119999991"/>
    <n v="19526.22"/>
    <n v="23682.78611999999"/>
    <n v="0.54809837685755114"/>
    <s v="Apr-2023"/>
    <d v="2023-04-01T00:00:00"/>
    <s v="Q2-2023"/>
    <s v="Europe → United Kingdom → Manchester"/>
    <s v="Printers"/>
    <s v="High"/>
    <d v="2023-01-01T00:00:00"/>
    <n v="3"/>
  </r>
  <r>
    <s v="ORD-2023-545150"/>
    <s v="Original"/>
    <d v="2023-04-06T00:00:00"/>
    <d v="2023-04-08T00:00:00"/>
    <n v="2"/>
    <x v="1"/>
    <s v="Nigeria"/>
    <s v="Abuja"/>
    <s v="Small Business"/>
    <x v="4"/>
    <s v="K. Singh"/>
    <x v="5"/>
    <x v="49"/>
    <n v="720.35"/>
    <n v="1571.66"/>
    <n v="0.107"/>
    <n v="23"/>
    <n v="32280.32474"/>
    <n v="16568.05"/>
    <n v="15712.274740000001"/>
    <n v="0.4867446305622265"/>
    <s v="Apr-2023"/>
    <d v="2023-04-01T00:00:00"/>
    <s v="Q2-2023"/>
    <s v="Africa → Nigeria → Abuja"/>
    <s v="Monitors"/>
    <s v="Medium"/>
    <d v="2023-01-01T00:00:00"/>
    <n v="3"/>
  </r>
  <r>
    <s v="ORD-2023-294716"/>
    <s v="Original"/>
    <d v="2023-04-10T00:00:00"/>
    <d v="2023-04-25T00:00:00"/>
    <n v="15"/>
    <x v="2"/>
    <s v="United Kingdom"/>
    <s v="London"/>
    <s v="Small Business"/>
    <x v="3"/>
    <s v="D. Smith"/>
    <x v="1"/>
    <x v="50"/>
    <n v="405.66"/>
    <n v="962.51"/>
    <n v="0.19"/>
    <n v="7"/>
    <n v="5457.4317000000001"/>
    <n v="2839.6200000000003"/>
    <n v="2617.8116999999997"/>
    <n v="0.47967832561239376"/>
    <s v="Apr-2023"/>
    <d v="2023-04-01T00:00:00"/>
    <s v="Q2-2023"/>
    <s v="Europe → United Kingdom → London"/>
    <s v="Printers"/>
    <s v="Medium"/>
    <d v="2023-01-01T00:00:00"/>
    <n v="3"/>
  </r>
  <r>
    <s v="ORD-2023-867285"/>
    <s v="Original"/>
    <d v="2023-04-12T00:00:00"/>
    <d v="2023-04-17T00:00:00"/>
    <n v="5"/>
    <x v="2"/>
    <s v="France"/>
    <s v="Lyon"/>
    <s v="Enterprise"/>
    <x v="2"/>
    <s v="E. Garcia"/>
    <x v="5"/>
    <x v="51"/>
    <n v="1087.81"/>
    <n v="2323.87"/>
    <n v="9.4E-2"/>
    <n v="13"/>
    <n v="27370.540859999997"/>
    <n v="14141.529999999999"/>
    <n v="13229.010859999999"/>
    <n v="0.48333026839572651"/>
    <s v="Apr-2023"/>
    <d v="2023-04-01T00:00:00"/>
    <s v="Q2-2023"/>
    <s v="Europe → France → Lyon"/>
    <s v="Monitors"/>
    <s v="High"/>
    <d v="2023-01-01T00:00:00"/>
    <n v="3"/>
  </r>
  <r>
    <s v="ORD-2023-766015"/>
    <s v="Original"/>
    <d v="2023-04-13T00:00:00"/>
    <d v="2023-04-20T00:00:00"/>
    <n v="7"/>
    <x v="0"/>
    <s v="USA"/>
    <s v="San Francisco"/>
    <s v="Education"/>
    <x v="4"/>
    <s v="G. Dubois"/>
    <x v="4"/>
    <x v="52"/>
    <n v="32.1"/>
    <n v="70.599999999999994"/>
    <n v="0.28199999999999997"/>
    <n v="22"/>
    <n v="1115.1975999999997"/>
    <n v="706.2"/>
    <n v="408.99759999999969"/>
    <n v="0.36674899587301818"/>
    <s v="Apr-2023"/>
    <d v="2023-04-01T00:00:00"/>
    <s v="Q2-2023"/>
    <s v="Americas → USA → San Francisco"/>
    <s v="Networking"/>
    <s v="Low"/>
    <d v="2023-01-01T00:00:00"/>
    <n v="3"/>
  </r>
  <r>
    <s v="ORD-2023-867166"/>
    <s v="Original"/>
    <d v="2023-04-13T00:00:00"/>
    <d v="2023-04-20T00:00:00"/>
    <n v="7"/>
    <x v="2"/>
    <s v="France"/>
    <s v="Lyon"/>
    <s v="Small Business"/>
    <x v="1"/>
    <s v="A. Patel"/>
    <x v="0"/>
    <x v="53"/>
    <n v="227.02"/>
    <n v="434.72"/>
    <n v="9.8000000000000004E-2"/>
    <n v="10"/>
    <n v="3921.1744000000008"/>
    <n v="2270.2000000000003"/>
    <n v="1650.9744000000005"/>
    <n v="0.42104079838938052"/>
    <s v="Apr-2023"/>
    <d v="2023-04-01T00:00:00"/>
    <s v="Q2-2023"/>
    <s v="Europe → France → Lyon"/>
    <s v="Laptops"/>
    <s v="Low"/>
    <d v="2023-01-01T00:00:00"/>
    <n v="3"/>
  </r>
  <r>
    <s v="ORD-2023-356427"/>
    <s v="Original"/>
    <d v="2023-04-13T00:00:00"/>
    <d v="2023-05-02T00:00:00"/>
    <n v="19"/>
    <x v="0"/>
    <s v="Canada"/>
    <s v="Montreal"/>
    <s v="Consumer"/>
    <x v="0"/>
    <s v="E. Garcia"/>
    <x v="5"/>
    <x v="54"/>
    <n v="671.05"/>
    <n v="1645.48"/>
    <n v="0.13700000000000001"/>
    <n v="6"/>
    <n v="8520.2954399999999"/>
    <n v="4026.2999999999997"/>
    <n v="4493.9954400000006"/>
    <n v="0.52744596377517172"/>
    <s v="Apr-2023"/>
    <d v="2023-04-01T00:00:00"/>
    <s v="Q2-2023"/>
    <s v="Americas → Canada → Montreal"/>
    <s v="Monitors"/>
    <s v="High"/>
    <d v="2023-01-01T00:00:00"/>
    <n v="3"/>
  </r>
  <r>
    <s v="ORD-2023-897079"/>
    <s v="Original"/>
    <d v="2023-04-14T00:00:00"/>
    <d v="2023-05-14T00:00:00"/>
    <n v="30"/>
    <x v="1"/>
    <s v="Kenya"/>
    <s v="Nakuru"/>
    <s v="Consumer"/>
    <x v="4"/>
    <s v="M. Rossi"/>
    <x v="2"/>
    <x v="55"/>
    <n v="209.25"/>
    <n v="434.8"/>
    <n v="0"/>
    <n v="9"/>
    <n v="3913.2000000000003"/>
    <n v="1883.25"/>
    <n v="2029.9500000000003"/>
    <n v="0.51874425022999082"/>
    <s v="Apr-2023"/>
    <d v="2023-04-01T00:00:00"/>
    <s v="Q2-2023"/>
    <s v="Africa → Kenya → Nakuru"/>
    <s v="Phones"/>
    <s v="Low"/>
    <d v="2023-01-01T00:00:00"/>
    <n v="3"/>
  </r>
  <r>
    <s v="ORD-2023-701153"/>
    <s v="Original"/>
    <d v="2023-04-14T00:00:00"/>
    <d v="2023-05-13T00:00:00"/>
    <n v="29"/>
    <x v="2"/>
    <s v="Germany"/>
    <s v="Frankfurt"/>
    <s v="Consumer"/>
    <x v="2"/>
    <s v="J. Njeri"/>
    <x v="1"/>
    <x v="56"/>
    <n v="1320.33"/>
    <n v="2645.23"/>
    <n v="0.155"/>
    <n v="25"/>
    <n v="55880.483749999999"/>
    <n v="33008.25"/>
    <n v="22872.233749999999"/>
    <n v="0.40930629470436536"/>
    <s v="Apr-2023"/>
    <d v="2023-04-01T00:00:00"/>
    <s v="Q2-2023"/>
    <s v="Europe → Germany → Frankfurt"/>
    <s v="Printers"/>
    <s v="High"/>
    <d v="2023-01-01T00:00:00"/>
    <n v="3"/>
  </r>
  <r>
    <s v="ORD-2023-609394"/>
    <s v="Original"/>
    <d v="2023-04-16T00:00:00"/>
    <d v="2023-04-19T00:00:00"/>
    <n v="3"/>
    <x v="2"/>
    <s v="Germany"/>
    <s v="Munich"/>
    <s v="Corporate"/>
    <x v="2"/>
    <s v="B. Chen"/>
    <x v="3"/>
    <x v="57"/>
    <n v="553.61"/>
    <n v="699.47"/>
    <n v="0.02"/>
    <n v="33"/>
    <n v="22620.859800000002"/>
    <n v="18269.13"/>
    <n v="4351.729800000001"/>
    <n v="0.19237685209472014"/>
    <s v="Apr-2023"/>
    <d v="2023-04-01T00:00:00"/>
    <s v="Q2-2023"/>
    <s v="Europe → Germany → Munich"/>
    <s v="Accessories"/>
    <s v="Low"/>
    <d v="2023-01-01T00:00:00"/>
    <n v="3"/>
  </r>
  <r>
    <s v="ORD-2023-664790"/>
    <s v="Original"/>
    <d v="2023-04-16T00:00:00"/>
    <d v="2023-04-23T00:00:00"/>
    <n v="7"/>
    <x v="0"/>
    <s v="USA"/>
    <s v="Austin"/>
    <s v="Corporate"/>
    <x v="0"/>
    <s v="O. Wang"/>
    <x v="1"/>
    <x v="58"/>
    <n v="1099.1500000000001"/>
    <n v="1431.37"/>
    <n v="0.104"/>
    <n v="8"/>
    <n v="10260.060159999999"/>
    <n v="8793.2000000000007"/>
    <n v="1466.8601599999984"/>
    <n v="0.14296798821109433"/>
    <s v="Apr-2023"/>
    <d v="2023-04-01T00:00:00"/>
    <s v="Q2-2023"/>
    <s v="Americas → USA → Austin"/>
    <s v="Printers"/>
    <s v="Medium"/>
    <d v="2023-01-01T00:00:00"/>
    <n v="3"/>
  </r>
  <r>
    <s v="ORD-2023-157993"/>
    <s v="Original"/>
    <d v="2023-04-18T00:00:00"/>
    <d v="2023-05-18T00:00:00"/>
    <n v="30"/>
    <x v="3"/>
    <s v="China"/>
    <s v="Shenzhen"/>
    <s v="Non-Profit"/>
    <x v="3"/>
    <s v="H. Kim"/>
    <x v="0"/>
    <x v="59"/>
    <n v="329.03"/>
    <n v="391.15"/>
    <n v="0.19700000000000001"/>
    <n v="46"/>
    <n v="14448.298699999998"/>
    <n v="15135.38"/>
    <n v="-687.08130000000165"/>
    <n v="-4.7554477815440081E-2"/>
    <s v="Apr-2023"/>
    <d v="2023-04-01T00:00:00"/>
    <s v="Q2-2023"/>
    <s v="Asia → China → Shenzhen"/>
    <s v="Laptops"/>
    <s v="Low"/>
    <d v="2023-01-01T00:00:00"/>
    <n v="3"/>
  </r>
  <r>
    <s v="ORD-2023-308124"/>
    <s v="Original"/>
    <d v="2023-04-19T00:00:00"/>
    <d v="2023-04-30T00:00:00"/>
    <n v="11"/>
    <x v="3"/>
    <s v="India"/>
    <s v="Delhi"/>
    <s v="Small Business"/>
    <x v="3"/>
    <s v="A. Patel"/>
    <x v="4"/>
    <x v="60"/>
    <n v="826.55"/>
    <n v="1397.05"/>
    <n v="0.16900000000000001"/>
    <n v="28"/>
    <n v="32506.559399999998"/>
    <n v="23143.399999999998"/>
    <n v="9363.1594000000005"/>
    <n v="0.28803907804527601"/>
    <s v="Apr-2023"/>
    <d v="2023-04-01T00:00:00"/>
    <s v="Q2-2023"/>
    <s v="Asia → India → Delhi"/>
    <s v="Networking"/>
    <s v="Medium"/>
    <d v="2023-02-01T00:00:00"/>
    <n v="2"/>
  </r>
  <r>
    <s v="ORD-2023-390998"/>
    <s v="Original"/>
    <d v="2023-04-19T00:00:00"/>
    <d v="2023-04-28T00:00:00"/>
    <n v="9"/>
    <x v="2"/>
    <s v="Germany"/>
    <s v="Berlin"/>
    <s v="Education"/>
    <x v="1"/>
    <s v="E. Garcia"/>
    <x v="5"/>
    <x v="61"/>
    <n v="1178.42"/>
    <n v="2446.56"/>
    <n v="2.9000000000000001E-2"/>
    <n v="11"/>
    <n v="26131.70736"/>
    <n v="12962.62"/>
    <n v="13169.08736"/>
    <n v="0.5039505141618883"/>
    <s v="Apr-2023"/>
    <d v="2023-04-01T00:00:00"/>
    <s v="Q2-2023"/>
    <s v="Europe → Germany → Berlin"/>
    <s v="Monitors"/>
    <s v="High"/>
    <d v="2023-01-01T00:00:00"/>
    <n v="3"/>
  </r>
  <r>
    <s v="ORD-2023-501220"/>
    <s v="Original"/>
    <d v="2023-04-19T00:00:00"/>
    <d v="2023-05-07T00:00:00"/>
    <n v="18"/>
    <x v="2"/>
    <s v="United Kingdom"/>
    <s v="Birmingham"/>
    <s v="Enterprise"/>
    <x v="3"/>
    <s v="N. Brown"/>
    <x v="0"/>
    <x v="62"/>
    <n v="1089.1500000000001"/>
    <n v="1088.2"/>
    <n v="5.0999999999999997E-2"/>
    <n v="15"/>
    <n v="15490.527"/>
    <n v="16337.250000000002"/>
    <n v="-846.72300000000178"/>
    <n v="-5.4660696824582002E-2"/>
    <s v="Apr-2023"/>
    <d v="2023-04-01T00:00:00"/>
    <s v="Q2-2023"/>
    <s v="Europe → United Kingdom → Birmingham"/>
    <s v="Laptops"/>
    <s v="Medium"/>
    <d v="2023-01-01T00:00:00"/>
    <n v="3"/>
  </r>
  <r>
    <s v="ORD-2023-747341"/>
    <s v="Original"/>
    <d v="2023-04-19T00:00:00"/>
    <d v="2023-04-28T00:00:00"/>
    <n v="9"/>
    <x v="0"/>
    <s v="Brazil"/>
    <s v="Rio de Janeiro"/>
    <s v="Corporate"/>
    <x v="0"/>
    <s v="M. Rossi"/>
    <x v="2"/>
    <x v="63"/>
    <n v="1013.54"/>
    <n v="927.93"/>
    <n v="0.17499999999999999"/>
    <n v="16"/>
    <n v="12248.675999999999"/>
    <n v="16216.64"/>
    <n v="-3967.9639999999999"/>
    <n v="-0.32395044166406234"/>
    <s v="Apr-2023"/>
    <d v="2023-04-01T00:00:00"/>
    <s v="Q2-2023"/>
    <s v="Americas → Brazil → Rio de Janeiro"/>
    <s v="Phones"/>
    <s v="Medium"/>
    <d v="2023-01-01T00:00:00"/>
    <n v="3"/>
  </r>
  <r>
    <s v="ORD-2023-256951"/>
    <s v="Original"/>
    <d v="2023-04-19T00:00:00"/>
    <d v="2023-05-07T00:00:00"/>
    <n v="18"/>
    <x v="2"/>
    <s v="United Kingdom"/>
    <s v="London"/>
    <s v="Non-Profit"/>
    <x v="2"/>
    <s v="H. Kim"/>
    <x v="4"/>
    <x v="64"/>
    <n v="516.96"/>
    <n v="745.38"/>
    <n v="0.19700000000000001"/>
    <n v="4"/>
    <n v="2394.1605599999998"/>
    <n v="2067.84"/>
    <n v="326.32055999999966"/>
    <n v="0.13629852794835101"/>
    <s v="Apr-2023"/>
    <d v="2023-04-01T00:00:00"/>
    <s v="Q2-2023"/>
    <s v="Europe → United Kingdom → London"/>
    <s v="Networking"/>
    <s v="Low"/>
    <d v="2023-01-01T00:00:00"/>
    <n v="3"/>
  </r>
  <r>
    <s v="ORD-2023-809913"/>
    <s v="Original"/>
    <d v="2023-04-21T00:00:00"/>
    <d v="2023-05-10T00:00:00"/>
    <n v="19"/>
    <x v="3"/>
    <s v="China"/>
    <s v="Shanghai"/>
    <s v="Corporate"/>
    <x v="3"/>
    <s v="A. Patel"/>
    <x v="6"/>
    <x v="65"/>
    <n v="882.33"/>
    <n v="1880.15"/>
    <n v="0.05"/>
    <n v="5"/>
    <n v="8930.7124999999996"/>
    <n v="4411.6500000000005"/>
    <n v="4519.0624999999991"/>
    <n v="0.50601365792482955"/>
    <s v="Apr-2023"/>
    <d v="2023-04-01T00:00:00"/>
    <s v="Q2-2023"/>
    <s v="Asia → China → Shanghai"/>
    <s v="Components"/>
    <s v="High"/>
    <d v="2023-01-01T00:00:00"/>
    <n v="3"/>
  </r>
  <r>
    <s v="ORD-2023-752962"/>
    <s v="Original"/>
    <d v="2023-04-21T00:00:00"/>
    <d v="2023-04-28T00:00:00"/>
    <n v="7"/>
    <x v="3"/>
    <s v="Japan"/>
    <s v="Nagoya"/>
    <s v="Small Business"/>
    <x v="2"/>
    <s v="M. Rossi"/>
    <x v="6"/>
    <x v="66"/>
    <n v="607.04"/>
    <n v="1229.3399999999999"/>
    <n v="0.14699999999999999"/>
    <n v="7"/>
    <n v="7340.3891399999993"/>
    <n v="4249.28"/>
    <n v="3091.1091399999996"/>
    <n v="0.42110970972310058"/>
    <s v="Apr-2023"/>
    <d v="2023-04-01T00:00:00"/>
    <s v="Q2-2023"/>
    <s v="Asia → Japan → Nagoya"/>
    <s v="Components"/>
    <s v="Medium"/>
    <d v="2023-03-01T00:00:00"/>
    <n v="1"/>
  </r>
  <r>
    <s v="ORD-2023-107265"/>
    <s v="Original"/>
    <d v="2023-04-22T00:00:00"/>
    <d v="2023-05-14T00:00:00"/>
    <n v="22"/>
    <x v="3"/>
    <s v="Japan"/>
    <s v="Nagoya"/>
    <s v="Enterprise"/>
    <x v="3"/>
    <s v="A. Patel"/>
    <x v="3"/>
    <x v="67"/>
    <n v="1209.22"/>
    <n v="1404.33"/>
    <n v="0.10299999999999999"/>
    <n v="11"/>
    <n v="13856.52411"/>
    <n v="13301.42"/>
    <n v="555.10411000000022"/>
    <n v="4.0060848275751328E-2"/>
    <s v="Apr-2023"/>
    <d v="2023-04-01T00:00:00"/>
    <s v="Q2-2023"/>
    <s v="Asia → Japan → Nagoya"/>
    <s v="Accessories"/>
    <s v="Medium"/>
    <d v="2023-03-01T00:00:00"/>
    <n v="1"/>
  </r>
  <r>
    <s v="ORD-2023-937291"/>
    <s v="Original"/>
    <d v="2023-04-23T00:00:00"/>
    <d v="2023-04-28T00:00:00"/>
    <n v="5"/>
    <x v="1"/>
    <s v="Kenya"/>
    <s v="Nairobi"/>
    <s v="Small Business"/>
    <x v="2"/>
    <s v="E. Garcia"/>
    <x v="0"/>
    <x v="68"/>
    <n v="756.51"/>
    <n v="850.8"/>
    <n v="7.3999999999999996E-2"/>
    <n v="9"/>
    <n v="7090.5672000000004"/>
    <n v="6808.59"/>
    <n v="281.97720000000027"/>
    <n v="3.9767932810791252E-2"/>
    <s v="Apr-2023"/>
    <d v="2023-04-01T00:00:00"/>
    <s v="Q2-2023"/>
    <s v="Africa → Kenya → Nairobi"/>
    <s v="Laptops"/>
    <s v="Medium"/>
    <d v="2023-01-01T00:00:00"/>
    <n v="3"/>
  </r>
  <r>
    <s v="ORD-2023-340056"/>
    <s v="Original"/>
    <d v="2023-04-26T00:00:00"/>
    <d v="2023-05-03T00:00:00"/>
    <n v="7"/>
    <x v="2"/>
    <s v="France"/>
    <s v="Marseille"/>
    <s v="Consumer"/>
    <x v="2"/>
    <s v="M. Rossi"/>
    <x v="6"/>
    <x v="69"/>
    <n v="81.489999999999995"/>
    <n v="113.08"/>
    <n v="0.121"/>
    <n v="5"/>
    <n v="496.98660000000001"/>
    <n v="407.45"/>
    <n v="89.536600000000021"/>
    <n v="0.18015898215364362"/>
    <s v="Apr-2023"/>
    <d v="2023-04-01T00:00:00"/>
    <s v="Q2-2023"/>
    <s v="Europe → France → Marseille"/>
    <s v="Components"/>
    <s v="Low"/>
    <d v="2023-01-01T00:00:00"/>
    <n v="3"/>
  </r>
  <r>
    <s v="ORD-2023-125739"/>
    <s v="Original"/>
    <d v="2023-05-01T00:00:00"/>
    <d v="2023-05-18T00:00:00"/>
    <n v="17"/>
    <x v="1"/>
    <s v="Nigeria"/>
    <s v="Port Harcourt"/>
    <s v="Corporate"/>
    <x v="2"/>
    <s v="F. Müller"/>
    <x v="6"/>
    <x v="70"/>
    <n v="327.97"/>
    <n v="299.94"/>
    <n v="4.9000000000000002E-2"/>
    <n v="3"/>
    <n v="855.72881999999993"/>
    <n v="983.91000000000008"/>
    <n v="-128.18118000000015"/>
    <n v="-0.14979182306843442"/>
    <s v="May-2023"/>
    <d v="2023-05-01T00:00:00"/>
    <s v="Q2-2023"/>
    <s v="Africa → Nigeria → Port Harcourt"/>
    <s v="Components"/>
    <s v="Low"/>
    <d v="2023-01-01T00:00:00"/>
    <n v="4"/>
  </r>
  <r>
    <s v="ORD-2023-906481"/>
    <s v="Original"/>
    <d v="2023-05-02T00:00:00"/>
    <d v="2023-05-18T00:00:00"/>
    <n v="16"/>
    <x v="3"/>
    <s v="India"/>
    <s v="Delhi"/>
    <s v="Small Business"/>
    <x v="4"/>
    <s v="K. Singh"/>
    <x v="5"/>
    <x v="71"/>
    <n v="1463.92"/>
    <n v="2252.2399999999998"/>
    <n v="0.11799999999999999"/>
    <n v="44"/>
    <n v="87404.929919999995"/>
    <n v="64412.480000000003"/>
    <n v="22992.449919999992"/>
    <n v="0.26305667130040061"/>
    <s v="May-2023"/>
    <d v="2023-05-01T00:00:00"/>
    <s v="Q2-2023"/>
    <s v="Asia → India → Delhi"/>
    <s v="Monitors"/>
    <s v="High"/>
    <d v="2023-02-01T00:00:00"/>
    <n v="3"/>
  </r>
  <r>
    <s v="ORD-2023-880296"/>
    <s v="Original"/>
    <d v="2023-05-02T00:00:00"/>
    <d v="2023-05-19T00:00:00"/>
    <n v="17"/>
    <x v="3"/>
    <s v="China"/>
    <s v="Shanghai"/>
    <s v="Non-Profit"/>
    <x v="2"/>
    <s v="J. Njeri"/>
    <x v="5"/>
    <x v="72"/>
    <n v="714.28"/>
    <n v="757.59"/>
    <n v="0.13600000000000001"/>
    <n v="12"/>
    <n v="7854.6931199999999"/>
    <n v="8571.36"/>
    <n v="-716.66688000000067"/>
    <n v="-9.1240595787910383E-2"/>
    <s v="May-2023"/>
    <d v="2023-05-01T00:00:00"/>
    <s v="Q2-2023"/>
    <s v="Asia → China → Shanghai"/>
    <s v="Monitors"/>
    <s v="Low"/>
    <d v="2023-01-01T00:00:00"/>
    <n v="4"/>
  </r>
  <r>
    <s v="ORD-2023-573656"/>
    <s v="Original"/>
    <d v="2023-05-02T00:00:00"/>
    <d v="2023-05-16T00:00:00"/>
    <n v="14"/>
    <x v="3"/>
    <s v="India"/>
    <s v="Bengaluru"/>
    <s v="Non-Profit"/>
    <x v="3"/>
    <s v="L. Okafor"/>
    <x v="5"/>
    <x v="73"/>
    <n v="475.37"/>
    <n v="963.73"/>
    <n v="4.1000000000000002E-2"/>
    <n v="22"/>
    <n v="20332.775539999999"/>
    <n v="10458.14"/>
    <n v="9874.6355399999993"/>
    <n v="0.48565113604750881"/>
    <s v="May-2023"/>
    <d v="2023-05-01T00:00:00"/>
    <s v="Q2-2023"/>
    <s v="Asia → India → Bengaluru"/>
    <s v="Monitors"/>
    <s v="Medium"/>
    <d v="2023-02-01T00:00:00"/>
    <n v="3"/>
  </r>
  <r>
    <s v="ORD-2023-378676"/>
    <s v="Original"/>
    <d v="2023-05-03T00:00:00"/>
    <d v="2023-05-16T00:00:00"/>
    <n v="13"/>
    <x v="0"/>
    <s v="USA"/>
    <s v="New York"/>
    <s v="Corporate"/>
    <x v="4"/>
    <s v="L. Okafor"/>
    <x v="2"/>
    <x v="74"/>
    <n v="64.5"/>
    <n v="123.62"/>
    <n v="0"/>
    <n v="3"/>
    <n v="370.86"/>
    <n v="193.5"/>
    <n v="177.36"/>
    <n v="0.47823976702798904"/>
    <s v="May-2023"/>
    <d v="2023-05-01T00:00:00"/>
    <s v="Q2-2023"/>
    <s v="Americas → USA → New York"/>
    <s v="Phones"/>
    <s v="Low"/>
    <d v="2023-01-01T00:00:00"/>
    <n v="4"/>
  </r>
  <r>
    <s v="ORD-2023-177794"/>
    <s v="Original"/>
    <d v="2023-05-04T00:00:00"/>
    <d v="2023-05-26T00:00:00"/>
    <n v="22"/>
    <x v="0"/>
    <s v="USA"/>
    <s v="San Francisco"/>
    <s v="Enterprise"/>
    <x v="1"/>
    <s v="J. Njeri"/>
    <x v="4"/>
    <x v="75"/>
    <n v="249.71"/>
    <n v="361.33"/>
    <n v="9.4E-2"/>
    <n v="12"/>
    <n v="3928.3797600000003"/>
    <n v="2996.52"/>
    <n v="931.85976000000028"/>
    <n v="0.23721223937881206"/>
    <s v="May-2023"/>
    <d v="2023-05-01T00:00:00"/>
    <s v="Q2-2023"/>
    <s v="Americas → USA → San Francisco"/>
    <s v="Networking"/>
    <s v="Low"/>
    <d v="2023-01-01T00:00:00"/>
    <n v="4"/>
  </r>
  <r>
    <s v="ORD-2023-898009"/>
    <s v="Original"/>
    <d v="2023-05-04T00:00:00"/>
    <d v="2023-05-16T00:00:00"/>
    <n v="12"/>
    <x v="1"/>
    <s v="Nigeria"/>
    <s v="Abuja"/>
    <s v="Small Business"/>
    <x v="4"/>
    <s v="J. Njeri"/>
    <x v="2"/>
    <x v="76"/>
    <n v="77.739999999999995"/>
    <n v="147.12"/>
    <n v="0"/>
    <n v="15"/>
    <n v="2206.8000000000002"/>
    <n v="1166.0999999999999"/>
    <n v="1040.7000000000003"/>
    <n v="0.47158781946710177"/>
    <s v="May-2023"/>
    <d v="2023-05-01T00:00:00"/>
    <s v="Q2-2023"/>
    <s v="Africa → Nigeria → Abuja"/>
    <s v="Phones"/>
    <s v="Low"/>
    <d v="2023-01-01T00:00:00"/>
    <n v="4"/>
  </r>
  <r>
    <s v="ORD-2023-363031"/>
    <s v="Original"/>
    <d v="2023-05-06T00:00:00"/>
    <d v="2023-05-14T00:00:00"/>
    <n v="8"/>
    <x v="3"/>
    <s v="Japan"/>
    <s v="Osaka"/>
    <s v="Enterprise"/>
    <x v="4"/>
    <s v="B. Chen"/>
    <x v="2"/>
    <x v="77"/>
    <n v="291.18"/>
    <n v="479.54"/>
    <n v="0.14099999999999999"/>
    <n v="22"/>
    <n v="9062.34692"/>
    <n v="6405.96"/>
    <n v="2656.3869199999999"/>
    <n v="0.29312350801066001"/>
    <s v="May-2023"/>
    <d v="2023-05-01T00:00:00"/>
    <s v="Q2-2023"/>
    <s v="Asia → Japan → Osaka"/>
    <s v="Phones"/>
    <s v="Low"/>
    <d v="2023-03-01T00:00:00"/>
    <n v="2"/>
  </r>
  <r>
    <s v="ORD-2023-632893"/>
    <s v="Original"/>
    <d v="2023-05-07T00:00:00"/>
    <d v="2023-05-12T00:00:00"/>
    <n v="5"/>
    <x v="1"/>
    <s v="Nigeria"/>
    <s v="Port Harcourt"/>
    <s v="Non-Profit"/>
    <x v="4"/>
    <s v="A. Patel"/>
    <x v="6"/>
    <x v="78"/>
    <n v="1269.6500000000001"/>
    <n v="2462.77"/>
    <n v="0.107"/>
    <n v="8"/>
    <n v="17594.028880000002"/>
    <n v="10157.200000000001"/>
    <n v="7436.8288800000009"/>
    <n v="0.42269050089225502"/>
    <s v="May-2023"/>
    <d v="2023-05-01T00:00:00"/>
    <s v="Q2-2023"/>
    <s v="Africa → Nigeria → Port Harcourt"/>
    <s v="Components"/>
    <s v="High"/>
    <d v="2023-01-01T00:00:00"/>
    <n v="4"/>
  </r>
  <r>
    <s v="ORD-2023-144816"/>
    <s v="Original"/>
    <d v="2023-05-07T00:00:00"/>
    <d v="2023-05-29T00:00:00"/>
    <n v="22"/>
    <x v="1"/>
    <s v="South Africa"/>
    <s v="Durban"/>
    <s v="Education"/>
    <x v="0"/>
    <s v="K. Singh"/>
    <x v="3"/>
    <x v="79"/>
    <n v="653.86"/>
    <n v="931.84"/>
    <n v="0.121"/>
    <n v="12"/>
    <n v="9829.0483199999999"/>
    <n v="7846.32"/>
    <n v="1982.7283200000002"/>
    <n v="0.20172129136506273"/>
    <s v="May-2023"/>
    <d v="2023-05-01T00:00:00"/>
    <s v="Q2-2023"/>
    <s v="Africa → South Africa → Durban"/>
    <s v="Accessories"/>
    <s v="Medium"/>
    <d v="2023-01-01T00:00:00"/>
    <n v="4"/>
  </r>
  <r>
    <s v="ORD-2023-957692"/>
    <s v="Original"/>
    <d v="2023-05-07T00:00:00"/>
    <d v="2023-05-20T00:00:00"/>
    <n v="13"/>
    <x v="3"/>
    <s v="India"/>
    <s v="Mumbai"/>
    <s v="Enterprise"/>
    <x v="3"/>
    <s v="D. Smith"/>
    <x v="3"/>
    <x v="80"/>
    <n v="1443.28"/>
    <n v="2580.5700000000002"/>
    <n v="0"/>
    <n v="18"/>
    <n v="46450.26"/>
    <n v="25979.040000000001"/>
    <n v="20471.22"/>
    <n v="0.4407127107577008"/>
    <s v="May-2023"/>
    <d v="2023-05-01T00:00:00"/>
    <s v="Q2-2023"/>
    <s v="Asia → India → Mumbai"/>
    <s v="Accessories"/>
    <s v="High"/>
    <d v="2023-02-01T00:00:00"/>
    <n v="3"/>
  </r>
  <r>
    <s v="ORD-2023-913592"/>
    <s v="Original"/>
    <d v="2023-05-10T00:00:00"/>
    <d v="2023-05-14T00:00:00"/>
    <n v="4"/>
    <x v="3"/>
    <s v="India"/>
    <s v="Delhi"/>
    <s v="Non-Profit"/>
    <x v="0"/>
    <s v="C. Otieno"/>
    <x v="5"/>
    <x v="81"/>
    <n v="622.6"/>
    <n v="833.69"/>
    <n v="0.20899999999999999"/>
    <n v="14"/>
    <n v="9232.2830599999998"/>
    <n v="8716.4"/>
    <n v="515.88306000000011"/>
    <n v="5.5878167582959715E-2"/>
    <s v="May-2023"/>
    <d v="2023-05-01T00:00:00"/>
    <s v="Q2-2023"/>
    <s v="Asia → India → Delhi"/>
    <s v="Monitors"/>
    <s v="Medium"/>
    <d v="2023-02-01T00:00:00"/>
    <n v="3"/>
  </r>
  <r>
    <s v="ORD-2023-472050"/>
    <s v="Original"/>
    <d v="2023-05-10T00:00:00"/>
    <d v="2023-05-27T00:00:00"/>
    <n v="17"/>
    <x v="3"/>
    <s v="India"/>
    <s v="Mumbai"/>
    <s v="Consumer"/>
    <x v="3"/>
    <s v="M. Rossi"/>
    <x v="0"/>
    <x v="82"/>
    <n v="1286.1600000000001"/>
    <n v="3101.11"/>
    <n v="0.1"/>
    <n v="23"/>
    <n v="64192.976999999999"/>
    <n v="29581.68"/>
    <n v="34611.296999999999"/>
    <n v="0.53917575749758417"/>
    <s v="May-2023"/>
    <d v="2023-05-01T00:00:00"/>
    <s v="Q2-2023"/>
    <s v="Asia → India → Mumbai"/>
    <s v="Laptops"/>
    <s v="High"/>
    <d v="2023-02-01T00:00:00"/>
    <n v="3"/>
  </r>
  <r>
    <s v="ORD-2023-867836"/>
    <s v="Original"/>
    <d v="2023-05-11T00:00:00"/>
    <d v="2023-05-28T00:00:00"/>
    <n v="17"/>
    <x v="3"/>
    <s v="China"/>
    <s v="Shenzhen"/>
    <s v="Enterprise"/>
    <x v="4"/>
    <s v="E. Garcia"/>
    <x v="4"/>
    <x v="83"/>
    <n v="1331.19"/>
    <n v="2903.09"/>
    <n v="0.14299999999999999"/>
    <n v="8"/>
    <n v="19903.585040000002"/>
    <n v="10649.52"/>
    <n v="9254.0650400000013"/>
    <n v="0.46494463290920784"/>
    <s v="May-2023"/>
    <d v="2023-05-01T00:00:00"/>
    <s v="Q2-2023"/>
    <s v="Asia → China → Shenzhen"/>
    <s v="Networking"/>
    <s v="High"/>
    <d v="2023-01-01T00:00:00"/>
    <n v="4"/>
  </r>
  <r>
    <s v="ORD-2023-251563"/>
    <s v="Original"/>
    <d v="2023-05-11T00:00:00"/>
    <d v="2023-06-07T00:00:00"/>
    <n v="27"/>
    <x v="1"/>
    <s v="Kenya"/>
    <s v="Mombasa"/>
    <s v="Corporate"/>
    <x v="1"/>
    <s v="J. Njeri"/>
    <x v="2"/>
    <x v="84"/>
    <n v="12.85"/>
    <n v="15.41"/>
    <n v="0.13700000000000001"/>
    <n v="39"/>
    <n v="518.65436999999997"/>
    <n v="501.15"/>
    <n v="17.504369999999994"/>
    <n v="3.3749585489851353E-2"/>
    <s v="May-2023"/>
    <d v="2023-05-01T00:00:00"/>
    <s v="Q2-2023"/>
    <s v="Africa → Kenya → Mombasa"/>
    <s v="Phones"/>
    <s v="Low"/>
    <d v="2023-01-01T00:00:00"/>
    <n v="4"/>
  </r>
  <r>
    <s v="ORD-2023-931633"/>
    <s v="Original"/>
    <d v="2023-05-14T00:00:00"/>
    <d v="2023-05-22T00:00:00"/>
    <n v="8"/>
    <x v="1"/>
    <s v="Kenya"/>
    <s v="Mombasa"/>
    <s v="Small Business"/>
    <x v="0"/>
    <s v="F. Müller"/>
    <x v="1"/>
    <x v="85"/>
    <n v="432.01"/>
    <n v="913.78"/>
    <n v="4.9000000000000002E-2"/>
    <n v="12"/>
    <n v="10428.057360000001"/>
    <n v="5184.12"/>
    <n v="5243.9373600000008"/>
    <n v="0.50286809699711899"/>
    <s v="May-2023"/>
    <d v="2023-05-01T00:00:00"/>
    <s v="Q2-2023"/>
    <s v="Africa → Kenya → Mombasa"/>
    <s v="Printers"/>
    <s v="Medium"/>
    <d v="2023-01-01T00:00:00"/>
    <n v="4"/>
  </r>
  <r>
    <s v="ORD-2023-184577"/>
    <s v="Original"/>
    <d v="2023-05-17T00:00:00"/>
    <d v="2023-06-03T00:00:00"/>
    <n v="17"/>
    <x v="3"/>
    <s v="China"/>
    <s v="Beijing"/>
    <s v="Non-Profit"/>
    <x v="0"/>
    <s v="M. Rossi"/>
    <x v="1"/>
    <x v="86"/>
    <n v="979.59"/>
    <n v="2210.94"/>
    <n v="0.15"/>
    <n v="11"/>
    <n v="20672.289000000001"/>
    <n v="10775.49"/>
    <n v="9896.7990000000009"/>
    <n v="0.47874712858358359"/>
    <s v="May-2023"/>
    <d v="2023-05-01T00:00:00"/>
    <s v="Q2-2023"/>
    <s v="Asia → China → Beijing"/>
    <s v="Printers"/>
    <s v="High"/>
    <d v="2023-01-01T00:00:00"/>
    <n v="4"/>
  </r>
  <r>
    <s v="ORD-2023-704111"/>
    <s v="Original"/>
    <d v="2023-05-17T00:00:00"/>
    <d v="2023-06-15T00:00:00"/>
    <n v="29"/>
    <x v="1"/>
    <s v="South Africa"/>
    <s v="Durban"/>
    <s v="Enterprise"/>
    <x v="3"/>
    <s v="K. Singh"/>
    <x v="3"/>
    <x v="87"/>
    <n v="40.89"/>
    <n v="62.82"/>
    <n v="0.129"/>
    <n v="17"/>
    <n v="930.17574000000002"/>
    <n v="695.13"/>
    <n v="235.04574000000002"/>
    <n v="0.25268960465470752"/>
    <s v="May-2023"/>
    <d v="2023-05-01T00:00:00"/>
    <s v="Q2-2023"/>
    <s v="Africa → South Africa → Durban"/>
    <s v="Accessories"/>
    <s v="Low"/>
    <d v="2023-01-01T00:00:00"/>
    <n v="4"/>
  </r>
  <r>
    <s v="ORD-2023-382272"/>
    <s v="Original"/>
    <d v="2023-05-20T00:00:00"/>
    <d v="2023-05-26T00:00:00"/>
    <n v="6"/>
    <x v="1"/>
    <s v="South Africa"/>
    <s v="Durban"/>
    <s v="Corporate"/>
    <x v="0"/>
    <s v="A. Patel"/>
    <x v="6"/>
    <x v="88"/>
    <n v="917.88"/>
    <n v="1347.92"/>
    <n v="0.3"/>
    <n v="5"/>
    <n v="4717.72"/>
    <n v="4589.3999999999996"/>
    <n v="128.32000000000062"/>
    <n v="2.7199579457873848E-2"/>
    <s v="May-2023"/>
    <d v="2023-05-01T00:00:00"/>
    <s v="Q2-2023"/>
    <s v="Africa → South Africa → Durban"/>
    <s v="Components"/>
    <s v="Medium"/>
    <d v="2023-01-01T00:00:00"/>
    <n v="4"/>
  </r>
  <r>
    <s v="ORD-2023-638181"/>
    <s v="Original"/>
    <d v="2023-05-20T00:00:00"/>
    <d v="2023-06-07T00:00:00"/>
    <n v="18"/>
    <x v="1"/>
    <s v="Nigeria"/>
    <s v="Port Harcourt"/>
    <s v="Enterprise"/>
    <x v="0"/>
    <s v="E. Garcia"/>
    <x v="6"/>
    <x v="89"/>
    <n v="1120.06"/>
    <n v="2068.21"/>
    <n v="7.8E-2"/>
    <n v="12"/>
    <n v="22882.675440000003"/>
    <n v="13440.72"/>
    <n v="9441.9554400000034"/>
    <n v="0.41262462795303284"/>
    <s v="May-2023"/>
    <d v="2023-05-01T00:00:00"/>
    <s v="Q2-2023"/>
    <s v="Africa → Nigeria → Port Harcourt"/>
    <s v="Components"/>
    <s v="High"/>
    <d v="2023-01-01T00:00:00"/>
    <n v="4"/>
  </r>
  <r>
    <s v="ORD-2023-676553"/>
    <s v="Original"/>
    <d v="2023-05-20T00:00:00"/>
    <d v="2023-06-19T00:00:00"/>
    <n v="30"/>
    <x v="3"/>
    <s v="India"/>
    <s v="Delhi"/>
    <s v="Non-Profit"/>
    <x v="4"/>
    <s v="H. Kim"/>
    <x v="0"/>
    <x v="90"/>
    <n v="1161.2"/>
    <n v="878.73"/>
    <n v="0.19"/>
    <n v="31"/>
    <n v="22064.910300000003"/>
    <n v="35997.200000000004"/>
    <n v="-13932.289700000001"/>
    <n v="-0.63142290227212028"/>
    <s v="May-2023"/>
    <d v="2023-05-01T00:00:00"/>
    <s v="Q2-2023"/>
    <s v="Asia → India → Delhi"/>
    <s v="Laptops"/>
    <s v="Medium"/>
    <d v="2023-02-01T00:00:00"/>
    <n v="3"/>
  </r>
  <r>
    <s v="ORD-2023-603650"/>
    <s v="Original"/>
    <d v="2023-05-23T00:00:00"/>
    <d v="2023-06-10T00:00:00"/>
    <n v="18"/>
    <x v="3"/>
    <s v="China"/>
    <s v="Shanghai"/>
    <s v="Corporate"/>
    <x v="0"/>
    <s v="E. Garcia"/>
    <x v="6"/>
    <x v="91"/>
    <n v="54.62"/>
    <n v="48.94"/>
    <n v="0.14799999999999999"/>
    <n v="16"/>
    <n v="667.15008"/>
    <n v="873.92"/>
    <n v="-206.76991999999996"/>
    <n v="-0.3099301434543783"/>
    <s v="May-2023"/>
    <d v="2023-05-01T00:00:00"/>
    <s v="Q2-2023"/>
    <s v="Asia → China → Shanghai"/>
    <s v="Components"/>
    <s v="Low"/>
    <d v="2023-01-01T00:00:00"/>
    <n v="4"/>
  </r>
  <r>
    <s v="ORD-2023-588455"/>
    <s v="Original"/>
    <d v="2023-05-23T00:00:00"/>
    <d v="2023-05-25T00:00:00"/>
    <n v="2"/>
    <x v="0"/>
    <s v="Brazil"/>
    <s v="Rio de Janeiro"/>
    <s v="Enterprise"/>
    <x v="3"/>
    <s v="M. Rossi"/>
    <x v="1"/>
    <x v="92"/>
    <n v="690.49"/>
    <n v="1290.29"/>
    <n v="4.2000000000000003E-2"/>
    <n v="22"/>
    <n v="27194.152039999997"/>
    <n v="15190.78"/>
    <n v="12003.372039999997"/>
    <n v="0.44139534199647718"/>
    <s v="May-2023"/>
    <d v="2023-05-01T00:00:00"/>
    <s v="Q2-2023"/>
    <s v="Americas → Brazil → Rio de Janeiro"/>
    <s v="Printers"/>
    <s v="Medium"/>
    <d v="2023-01-01T00:00:00"/>
    <n v="4"/>
  </r>
  <r>
    <s v="ORD-2023-172095"/>
    <s v="Original"/>
    <d v="2023-05-24T00:00:00"/>
    <d v="2023-06-21T00:00:00"/>
    <n v="28"/>
    <x v="0"/>
    <s v="USA"/>
    <s v="Austin"/>
    <s v="Small Business"/>
    <x v="4"/>
    <s v="G. Dubois"/>
    <x v="5"/>
    <x v="93"/>
    <n v="813.97"/>
    <n v="1568.83"/>
    <n v="1.7000000000000001E-2"/>
    <n v="15"/>
    <n v="23132.398349999996"/>
    <n v="12209.550000000001"/>
    <n v="10922.848349999995"/>
    <n v="0.4721883215364911"/>
    <s v="May-2023"/>
    <d v="2023-05-01T00:00:00"/>
    <s v="Q2-2023"/>
    <s v="Americas → USA → Austin"/>
    <s v="Monitors"/>
    <s v="Medium"/>
    <d v="2023-01-01T00:00:00"/>
    <n v="4"/>
  </r>
  <r>
    <s v="ORD-2023-521280"/>
    <s v="Original"/>
    <d v="2023-05-27T00:00:00"/>
    <d v="2023-06-19T00:00:00"/>
    <n v="23"/>
    <x v="2"/>
    <s v="Germany"/>
    <s v="Berlin"/>
    <s v="Education"/>
    <x v="3"/>
    <s v="O. Wang"/>
    <x v="3"/>
    <x v="94"/>
    <n v="1471.58"/>
    <n v="2576.65"/>
    <n v="4.0000000000000001E-3"/>
    <n v="7"/>
    <n v="17964.4038"/>
    <n v="10301.06"/>
    <n v="7663.3438000000006"/>
    <n v="0.4265849223451546"/>
    <s v="May-2023"/>
    <d v="2023-05-01T00:00:00"/>
    <s v="Q2-2023"/>
    <s v="Europe → Germany → Berlin"/>
    <s v="Accessories"/>
    <s v="High"/>
    <d v="2023-01-01T00:00:00"/>
    <n v="4"/>
  </r>
  <r>
    <s v="ORD-2023-927385"/>
    <s v="Original"/>
    <d v="2023-05-29T00:00:00"/>
    <d v="2023-06-20T00:00:00"/>
    <n v="22"/>
    <x v="2"/>
    <s v="United Kingdom"/>
    <s v="London"/>
    <s v="Small Business"/>
    <x v="2"/>
    <s v="K. Singh"/>
    <x v="6"/>
    <x v="95"/>
    <n v="1295.3900000000001"/>
    <n v="2905.06"/>
    <n v="0.14799999999999999"/>
    <n v="8"/>
    <n v="19800.88896"/>
    <n v="10363.120000000001"/>
    <n v="9437.7689599999994"/>
    <n v="0.47663359857556614"/>
    <s v="May-2023"/>
    <d v="2023-05-01T00:00:00"/>
    <s v="Q2-2023"/>
    <s v="Europe → United Kingdom → London"/>
    <s v="Components"/>
    <s v="High"/>
    <d v="2023-01-01T00:00:00"/>
    <n v="4"/>
  </r>
  <r>
    <s v="ORD-2023-349264"/>
    <s v="Original"/>
    <d v="2023-06-01T00:00:00"/>
    <d v="2023-06-08T00:00:00"/>
    <n v="7"/>
    <x v="2"/>
    <s v="Germany"/>
    <s v="Frankfurt"/>
    <s v="Consumer"/>
    <x v="1"/>
    <s v="A. Patel"/>
    <x v="2"/>
    <x v="96"/>
    <n v="804.17"/>
    <n v="1072.29"/>
    <n v="3.2000000000000001E-2"/>
    <n v="5"/>
    <n v="5189.8836000000001"/>
    <n v="4020.85"/>
    <n v="1169.0336000000002"/>
    <n v="0.2252523736755869"/>
    <s v="Jun-2023"/>
    <d v="2023-06-01T00:00:00"/>
    <s v="Q2-2023"/>
    <s v="Europe → Germany → Frankfurt"/>
    <s v="Phones"/>
    <s v="Medium"/>
    <d v="2023-01-01T00:00:00"/>
    <n v="5"/>
  </r>
  <r>
    <s v="ORD-2023-868460"/>
    <s v="Original"/>
    <d v="2023-06-01T00:00:00"/>
    <d v="2023-06-08T00:00:00"/>
    <n v="7"/>
    <x v="3"/>
    <s v="India"/>
    <s v="Bengaluru"/>
    <s v="Corporate"/>
    <x v="3"/>
    <s v="E. Garcia"/>
    <x v="3"/>
    <x v="97"/>
    <n v="669.37"/>
    <n v="997.2"/>
    <n v="8.2000000000000003E-2"/>
    <n v="5"/>
    <n v="4577.1480000000001"/>
    <n v="3346.85"/>
    <n v="1230.2980000000002"/>
    <n v="0.26879139586484863"/>
    <s v="Jun-2023"/>
    <d v="2023-06-01T00:00:00"/>
    <s v="Q2-2023"/>
    <s v="Asia → India → Bengaluru"/>
    <s v="Accessories"/>
    <s v="Medium"/>
    <d v="2023-02-01T00:00:00"/>
    <n v="4"/>
  </r>
  <r>
    <s v="ORD-2023-244375"/>
    <s v="Original"/>
    <d v="2023-06-03T00:00:00"/>
    <d v="2023-07-01T00:00:00"/>
    <n v="28"/>
    <x v="0"/>
    <s v="Brazil"/>
    <s v="Brasília"/>
    <s v="Small Business"/>
    <x v="4"/>
    <s v="A. Patel"/>
    <x v="6"/>
    <x v="98"/>
    <n v="860.4"/>
    <n v="2066.6"/>
    <n v="0.01"/>
    <n v="3"/>
    <n v="6137.8019999999988"/>
    <n v="2581.1999999999998"/>
    <n v="3556.601999999999"/>
    <n v="0.57945857491004105"/>
    <s v="Jun-2023"/>
    <d v="2023-06-01T00:00:00"/>
    <s v="Q2-2023"/>
    <s v="Americas → Brazil → Brasília"/>
    <s v="Components"/>
    <s v="High"/>
    <d v="2023-01-01T00:00:00"/>
    <n v="5"/>
  </r>
  <r>
    <s v="ORD-2023-386663"/>
    <s v="Original"/>
    <d v="2023-06-05T00:00:00"/>
    <d v="2023-06-28T00:00:00"/>
    <n v="23"/>
    <x v="2"/>
    <s v="United Kingdom"/>
    <s v="Birmingham"/>
    <s v="Corporate"/>
    <x v="2"/>
    <s v="K. Singh"/>
    <x v="1"/>
    <x v="99"/>
    <n v="605.82000000000005"/>
    <n v="771.12"/>
    <n v="0.13200000000000001"/>
    <n v="19"/>
    <n v="12717.311040000001"/>
    <n v="11510.580000000002"/>
    <n v="1206.7310399999988"/>
    <n v="9.4888851597986767E-2"/>
    <s v="Jun-2023"/>
    <d v="2023-06-01T00:00:00"/>
    <s v="Q2-2023"/>
    <s v="Europe → United Kingdom → Birmingham"/>
    <s v="Printers"/>
    <s v="Low"/>
    <d v="2023-01-01T00:00:00"/>
    <n v="5"/>
  </r>
  <r>
    <s v="ORD-2023-427304"/>
    <s v="Original"/>
    <d v="2023-06-09T00:00:00"/>
    <d v="2023-06-19T00:00:00"/>
    <n v="10"/>
    <x v="3"/>
    <s v="China"/>
    <s v="Beijing"/>
    <s v="Enterprise"/>
    <x v="3"/>
    <s v="F. Müller"/>
    <x v="5"/>
    <x v="100"/>
    <n v="339.61"/>
    <n v="621.02"/>
    <n v="7.0999999999999994E-2"/>
    <n v="10"/>
    <n v="5769.2758000000003"/>
    <n v="3396.1000000000004"/>
    <n v="2373.1758"/>
    <n v="0.41134726129750981"/>
    <s v="Jun-2023"/>
    <d v="2023-06-01T00:00:00"/>
    <s v="Q2-2023"/>
    <s v="Asia → China → Beijing"/>
    <s v="Monitors"/>
    <s v="Low"/>
    <d v="2023-01-01T00:00:00"/>
    <n v="5"/>
  </r>
  <r>
    <s v="ORD-2023-536542"/>
    <s v="Original"/>
    <d v="2023-06-10T00:00:00"/>
    <d v="2023-06-18T00:00:00"/>
    <n v="8"/>
    <x v="1"/>
    <s v="Kenya"/>
    <s v="Nakuru"/>
    <s v="Enterprise"/>
    <x v="2"/>
    <s v="H. Kim"/>
    <x v="2"/>
    <x v="101"/>
    <n v="894.23"/>
    <n v="1421.55"/>
    <n v="0.109"/>
    <n v="3"/>
    <n v="3799.8031499999997"/>
    <n v="2682.69"/>
    <n v="1117.1131499999997"/>
    <n v="0.29399237431549574"/>
    <s v="Jun-2023"/>
    <d v="2023-06-01T00:00:00"/>
    <s v="Q2-2023"/>
    <s v="Africa → Kenya → Nakuru"/>
    <s v="Phones"/>
    <s v="Medium"/>
    <d v="2023-01-01T00:00:00"/>
    <n v="5"/>
  </r>
  <r>
    <s v="ORD-2023-769774"/>
    <s v="Original"/>
    <d v="2023-06-13T00:00:00"/>
    <d v="2023-06-24T00:00:00"/>
    <n v="11"/>
    <x v="0"/>
    <s v="Canada"/>
    <s v="Toronto"/>
    <s v="Corporate"/>
    <x v="1"/>
    <s v="C. Otieno"/>
    <x v="1"/>
    <x v="102"/>
    <n v="247.07"/>
    <n v="495.19"/>
    <n v="2.8000000000000001E-2"/>
    <n v="4"/>
    <n v="1925.29872"/>
    <n v="988.28"/>
    <n v="937.01872000000003"/>
    <n v="0.48668744764968214"/>
    <s v="Jun-2023"/>
    <d v="2023-06-01T00:00:00"/>
    <s v="Q2-2023"/>
    <s v="Americas → Canada → Toronto"/>
    <s v="Printers"/>
    <s v="Low"/>
    <d v="2023-01-01T00:00:00"/>
    <n v="5"/>
  </r>
  <r>
    <s v="ORD-2023-290279"/>
    <s v="Original"/>
    <d v="2023-06-14T00:00:00"/>
    <d v="2023-06-16T00:00:00"/>
    <n v="2"/>
    <x v="2"/>
    <s v="United Kingdom"/>
    <s v="Manchester"/>
    <s v="Non-Profit"/>
    <x v="2"/>
    <s v="K. Singh"/>
    <x v="6"/>
    <x v="103"/>
    <n v="357.36"/>
    <n v="703.62"/>
    <n v="0.25700000000000001"/>
    <n v="20"/>
    <n v="10455.7932"/>
    <n v="7147.2000000000007"/>
    <n v="3308.5931999999993"/>
    <n v="0.31643636563125593"/>
    <s v="Jun-2023"/>
    <d v="2023-06-01T00:00:00"/>
    <s v="Q2-2023"/>
    <s v="Europe → United Kingdom → Manchester"/>
    <s v="Components"/>
    <s v="Low"/>
    <d v="2023-01-01T00:00:00"/>
    <n v="5"/>
  </r>
  <r>
    <s v="ORD-2023-715175"/>
    <s v="Original"/>
    <d v="2023-06-15T00:00:00"/>
    <d v="2023-06-23T00:00:00"/>
    <n v="8"/>
    <x v="0"/>
    <s v="USA"/>
    <s v="San Francisco"/>
    <s v="Consumer"/>
    <x v="0"/>
    <s v="O. Wang"/>
    <x v="5"/>
    <x v="104"/>
    <n v="1097.0899999999999"/>
    <n v="2182.31"/>
    <n v="0.112"/>
    <n v="9"/>
    <n v="17441.021520000002"/>
    <n v="9873.81"/>
    <n v="7567.2115200000026"/>
    <n v="0.43387432962699546"/>
    <s v="Jun-2023"/>
    <d v="2023-06-01T00:00:00"/>
    <s v="Q2-2023"/>
    <s v="Americas → USA → San Francisco"/>
    <s v="Monitors"/>
    <s v="High"/>
    <d v="2023-01-01T00:00:00"/>
    <n v="5"/>
  </r>
  <r>
    <s v="ORD-2023-173313"/>
    <s v="Original"/>
    <d v="2023-06-15T00:00:00"/>
    <d v="2023-07-12T00:00:00"/>
    <n v="27"/>
    <x v="2"/>
    <s v="United Kingdom"/>
    <s v="Manchester"/>
    <s v="Consumer"/>
    <x v="2"/>
    <s v="I. Johnson"/>
    <x v="3"/>
    <x v="105"/>
    <n v="751.28"/>
    <n v="1111.8800000000001"/>
    <n v="0.13500000000000001"/>
    <n v="7"/>
    <n v="6732.4334000000008"/>
    <n v="5258.96"/>
    <n v="1473.4734000000008"/>
    <n v="0.21886193482433863"/>
    <s v="Jun-2023"/>
    <d v="2023-06-01T00:00:00"/>
    <s v="Q2-2023"/>
    <s v="Europe → United Kingdom → Manchester"/>
    <s v="Accessories"/>
    <s v="Medium"/>
    <d v="2023-01-01T00:00:00"/>
    <n v="5"/>
  </r>
  <r>
    <s v="ORD-2023-651638"/>
    <s v="Original"/>
    <d v="2023-06-17T00:00:00"/>
    <d v="2023-06-24T00:00:00"/>
    <n v="7"/>
    <x v="0"/>
    <s v="USA"/>
    <s v="San Francisco"/>
    <s v="Corporate"/>
    <x v="3"/>
    <s v="I. Johnson"/>
    <x v="1"/>
    <x v="106"/>
    <n v="313.99"/>
    <n v="454.42"/>
    <n v="0.129"/>
    <n v="9"/>
    <n v="3562.1983800000003"/>
    <n v="2825.91"/>
    <n v="736.28838000000042"/>
    <n v="0.20669493988147858"/>
    <s v="Jun-2023"/>
    <d v="2023-06-01T00:00:00"/>
    <s v="Q2-2023"/>
    <s v="Americas → USA → San Francisco"/>
    <s v="Printers"/>
    <s v="Low"/>
    <d v="2023-01-01T00:00:00"/>
    <n v="5"/>
  </r>
  <r>
    <s v="ORD-2023-602648"/>
    <s v="Original"/>
    <d v="2023-06-20T00:00:00"/>
    <d v="2023-07-08T00:00:00"/>
    <n v="18"/>
    <x v="0"/>
    <s v="USA"/>
    <s v="Austin"/>
    <s v="Non-Profit"/>
    <x v="2"/>
    <s v="F. Müller"/>
    <x v="5"/>
    <x v="107"/>
    <n v="337"/>
    <n v="511.03"/>
    <n v="0.108"/>
    <n v="7"/>
    <n v="3190.8713200000002"/>
    <n v="2359"/>
    <n v="831.8713200000002"/>
    <n v="0.26070349963219458"/>
    <s v="Jun-2023"/>
    <d v="2023-06-01T00:00:00"/>
    <s v="Q2-2023"/>
    <s v="Americas → USA → Austin"/>
    <s v="Monitors"/>
    <s v="Low"/>
    <d v="2023-01-01T00:00:00"/>
    <n v="5"/>
  </r>
  <r>
    <s v="ORD-2023-594955"/>
    <s v="Original"/>
    <d v="2023-06-20T00:00:00"/>
    <d v="2023-07-08T00:00:00"/>
    <n v="18"/>
    <x v="0"/>
    <s v="USA"/>
    <s v="New York"/>
    <s v="Consumer"/>
    <x v="4"/>
    <s v="O. Wang"/>
    <x v="4"/>
    <x v="108"/>
    <n v="1145.53"/>
    <n v="1278.3"/>
    <n v="0.09"/>
    <n v="41"/>
    <n v="47693.373"/>
    <n v="46966.729999999996"/>
    <n v="726.64300000000367"/>
    <n v="1.5235722581416158E-2"/>
    <s v="Jun-2023"/>
    <d v="2023-06-01T00:00:00"/>
    <s v="Q2-2023"/>
    <s v="Americas → USA → New York"/>
    <s v="Networking"/>
    <s v="Medium"/>
    <d v="2023-01-01T00:00:00"/>
    <n v="5"/>
  </r>
  <r>
    <s v="ORD-2023-434071"/>
    <s v="Original"/>
    <d v="2023-06-20T00:00:00"/>
    <d v="2023-07-04T00:00:00"/>
    <n v="14"/>
    <x v="0"/>
    <s v="Brazil"/>
    <s v="Brasília"/>
    <s v="Non-Profit"/>
    <x v="2"/>
    <s v="C. Otieno"/>
    <x v="4"/>
    <x v="109"/>
    <n v="1292.8599999999999"/>
    <n v="2981.01"/>
    <n v="0.14199999999999999"/>
    <n v="12"/>
    <n v="30692.47896"/>
    <n v="15514.32"/>
    <n v="15178.158960000001"/>
    <n v="0.49452372288927687"/>
    <s v="Jun-2023"/>
    <d v="2023-06-01T00:00:00"/>
    <s v="Q2-2023"/>
    <s v="Americas → Brazil → Brasília"/>
    <s v="Networking"/>
    <s v="High"/>
    <d v="2023-01-01T00:00:00"/>
    <n v="5"/>
  </r>
  <r>
    <s v="ORD-2023-399631"/>
    <s v="Original"/>
    <d v="2023-06-22T00:00:00"/>
    <d v="2023-07-21T00:00:00"/>
    <n v="29"/>
    <x v="2"/>
    <s v="France"/>
    <s v="Lyon"/>
    <s v="Corporate"/>
    <x v="3"/>
    <s v="J. Njeri"/>
    <x v="3"/>
    <x v="110"/>
    <n v="734.34"/>
    <n v="887.9"/>
    <n v="2.5000000000000001E-2"/>
    <n v="12"/>
    <n v="10388.429999999998"/>
    <n v="8812.08"/>
    <n v="1576.3499999999985"/>
    <n v="0.15174092716608753"/>
    <s v="Jun-2023"/>
    <d v="2023-06-01T00:00:00"/>
    <s v="Q2-2023"/>
    <s v="Europe → France → Lyon"/>
    <s v="Accessories"/>
    <s v="Medium"/>
    <d v="2023-01-01T00:00:00"/>
    <n v="5"/>
  </r>
  <r>
    <s v="ORD-2023-128295"/>
    <s v="Original"/>
    <d v="2023-06-23T00:00:00"/>
    <d v="2023-07-03T00:00:00"/>
    <n v="10"/>
    <x v="1"/>
    <s v="Nigeria"/>
    <s v="Abuja"/>
    <s v="Consumer"/>
    <x v="1"/>
    <s v="J. Njeri"/>
    <x v="1"/>
    <x v="111"/>
    <n v="337.75"/>
    <n v="548.89"/>
    <n v="0"/>
    <n v="13"/>
    <n v="7135.57"/>
    <n v="4390.75"/>
    <n v="2744.8199999999997"/>
    <n v="0.38466723751571352"/>
    <s v="Jun-2023"/>
    <d v="2023-06-01T00:00:00"/>
    <s v="Q2-2023"/>
    <s v="Africa → Nigeria → Abuja"/>
    <s v="Printers"/>
    <s v="Low"/>
    <d v="2023-01-01T00:00:00"/>
    <n v="5"/>
  </r>
  <r>
    <s v="ORD-2023-921939"/>
    <s v="Original"/>
    <d v="2023-06-23T00:00:00"/>
    <d v="2023-07-18T00:00:00"/>
    <n v="25"/>
    <x v="0"/>
    <s v="Canada"/>
    <s v="Vancouver"/>
    <s v="Enterprise"/>
    <x v="1"/>
    <s v="N. Brown"/>
    <x v="2"/>
    <x v="112"/>
    <n v="807.02"/>
    <n v="1435.54"/>
    <n v="0"/>
    <n v="23"/>
    <n v="33017.42"/>
    <n v="18561.46"/>
    <n v="14455.96"/>
    <n v="0.43782827368098415"/>
    <s v="Jun-2023"/>
    <d v="2023-06-01T00:00:00"/>
    <s v="Q2-2023"/>
    <s v="Americas → Canada → Vancouver"/>
    <s v="Phones"/>
    <s v="Medium"/>
    <d v="2023-01-01T00:00:00"/>
    <n v="5"/>
  </r>
  <r>
    <s v="ORD-2023-374486"/>
    <s v="Original"/>
    <d v="2023-06-24T00:00:00"/>
    <d v="2023-06-30T00:00:00"/>
    <n v="6"/>
    <x v="0"/>
    <s v="Brazil"/>
    <s v="Rio de Janeiro"/>
    <s v="Non-Profit"/>
    <x v="3"/>
    <s v="E. Garcia"/>
    <x v="1"/>
    <x v="113"/>
    <n v="804.01"/>
    <n v="1405.07"/>
    <n v="9.6000000000000002E-2"/>
    <n v="8"/>
    <n v="10161.46624"/>
    <n v="6432.08"/>
    <n v="3729.3862399999998"/>
    <n v="0.36701260939287439"/>
    <s v="Jun-2023"/>
    <d v="2023-06-01T00:00:00"/>
    <s v="Q2-2023"/>
    <s v="Americas → Brazil → Rio de Janeiro"/>
    <s v="Printers"/>
    <s v="Medium"/>
    <d v="2023-01-01T00:00:00"/>
    <n v="5"/>
  </r>
  <r>
    <s v="ORD-2023-610470"/>
    <s v="Original"/>
    <d v="2023-06-24T00:00:00"/>
    <d v="2023-07-21T00:00:00"/>
    <n v="27"/>
    <x v="3"/>
    <s v="Japan"/>
    <s v="Nagoya"/>
    <s v="Consumer"/>
    <x v="4"/>
    <s v="J. Njeri"/>
    <x v="2"/>
    <x v="114"/>
    <n v="554.76"/>
    <n v="728.69"/>
    <n v="0.22"/>
    <n v="7"/>
    <n v="3978.6474000000003"/>
    <n v="3883.3199999999997"/>
    <n v="95.32740000000058"/>
    <n v="2.395975074343119E-2"/>
    <s v="Jun-2023"/>
    <d v="2023-06-01T00:00:00"/>
    <s v="Q2-2023"/>
    <s v="Asia → Japan → Nagoya"/>
    <s v="Phones"/>
    <s v="Low"/>
    <d v="2023-03-01T00:00:00"/>
    <n v="3"/>
  </r>
  <r>
    <s v="ORD-2023-890605"/>
    <s v="Original"/>
    <d v="2023-06-24T00:00:00"/>
    <d v="2023-06-30T00:00:00"/>
    <n v="6"/>
    <x v="0"/>
    <s v="Canada"/>
    <s v="Toronto"/>
    <s v="Non-Profit"/>
    <x v="3"/>
    <s v="M. Rossi"/>
    <x v="3"/>
    <x v="115"/>
    <n v="471.42"/>
    <n v="824.81"/>
    <n v="8.7999999999999995E-2"/>
    <n v="15"/>
    <n v="11283.400799999999"/>
    <n v="7071.3"/>
    <n v="4212.1007999999993"/>
    <n v="0.37330064531608231"/>
    <s v="Jun-2023"/>
    <d v="2023-06-01T00:00:00"/>
    <s v="Q2-2023"/>
    <s v="Americas → Canada → Toronto"/>
    <s v="Accessories"/>
    <s v="Medium"/>
    <d v="2023-01-01T00:00:00"/>
    <n v="5"/>
  </r>
  <r>
    <s v="ORD-2023-258768"/>
    <s v="Original"/>
    <d v="2023-06-29T00:00:00"/>
    <d v="2023-07-02T00:00:00"/>
    <n v="3"/>
    <x v="3"/>
    <s v="Japan"/>
    <s v="Nagoya"/>
    <s v="Education"/>
    <x v="4"/>
    <s v="F. Müller"/>
    <x v="5"/>
    <x v="116"/>
    <n v="55.65"/>
    <n v="83.57"/>
    <n v="6.6000000000000003E-2"/>
    <n v="8"/>
    <n v="624.43503999999996"/>
    <n v="445.2"/>
    <n v="179.23503999999997"/>
    <n v="0.2870355257449998"/>
    <s v="Jun-2023"/>
    <d v="2023-06-01T00:00:00"/>
    <s v="Q2-2023"/>
    <s v="Asia → Japan → Nagoya"/>
    <s v="Monitors"/>
    <s v="Low"/>
    <d v="2023-03-01T00:00:00"/>
    <n v="3"/>
  </r>
  <r>
    <s v="ORD-2023-159821"/>
    <s v="Original"/>
    <d v="2023-07-01T00:00:00"/>
    <d v="2023-07-08T00:00:00"/>
    <n v="7"/>
    <x v="1"/>
    <s v="Nigeria"/>
    <s v="Port Harcourt"/>
    <s v="Corporate"/>
    <x v="3"/>
    <s v="A. Patel"/>
    <x v="0"/>
    <x v="117"/>
    <n v="834.26"/>
    <n v="1780.56"/>
    <n v="1.4E-2"/>
    <n v="47"/>
    <n v="82514.711519999997"/>
    <n v="39210.22"/>
    <n v="43304.491519999996"/>
    <n v="0.5248093427497933"/>
    <s v="Jul-2023"/>
    <d v="2023-07-01T00:00:00"/>
    <s v="Q3-2023"/>
    <s v="Africa → Nigeria → Port Harcourt"/>
    <s v="Laptops"/>
    <s v="High"/>
    <d v="2023-01-01T00:00:00"/>
    <n v="6"/>
  </r>
  <r>
    <s v="ORD-2023-215819"/>
    <s v="Original"/>
    <d v="2023-07-01T00:00:00"/>
    <d v="2023-07-11T00:00:00"/>
    <n v="10"/>
    <x v="2"/>
    <s v="France"/>
    <s v="Paris"/>
    <s v="Corporate"/>
    <x v="2"/>
    <s v="F. Müller"/>
    <x v="4"/>
    <x v="118"/>
    <n v="479.5"/>
    <n v="656.66"/>
    <n v="0.14899999999999999"/>
    <n v="14"/>
    <n v="7823.4472399999995"/>
    <n v="6713"/>
    <n v="1110.4472399999995"/>
    <n v="0.14193835606412289"/>
    <s v="Jul-2023"/>
    <d v="2023-07-01T00:00:00"/>
    <s v="Q3-2023"/>
    <s v="Europe → France → Paris"/>
    <s v="Networking"/>
    <s v="Low"/>
    <d v="2023-01-01T00:00:00"/>
    <n v="6"/>
  </r>
  <r>
    <s v="ORD-2023-453699"/>
    <s v="Original"/>
    <d v="2023-07-01T00:00:00"/>
    <d v="2023-07-08T00:00:00"/>
    <n v="7"/>
    <x v="2"/>
    <s v="Germany"/>
    <s v="Frankfurt"/>
    <s v="Small Business"/>
    <x v="0"/>
    <s v="N. Brown"/>
    <x v="0"/>
    <x v="119"/>
    <n v="460.21"/>
    <n v="1139.1500000000001"/>
    <n v="0.115"/>
    <n v="14"/>
    <n v="14114.068500000001"/>
    <n v="6442.94"/>
    <n v="7671.1285000000016"/>
    <n v="0.54350937151821255"/>
    <s v="Jul-2023"/>
    <d v="2023-07-01T00:00:00"/>
    <s v="Q3-2023"/>
    <s v="Europe → Germany → Frankfurt"/>
    <s v="Laptops"/>
    <s v="Medium"/>
    <d v="2023-01-01T00:00:00"/>
    <n v="6"/>
  </r>
  <r>
    <s v="ORD-2023-920483"/>
    <s v="Original"/>
    <d v="2023-07-02T00:00:00"/>
    <d v="2023-08-01T00:00:00"/>
    <n v="30"/>
    <x v="2"/>
    <s v="United Kingdom"/>
    <s v="Birmingham"/>
    <s v="Small Business"/>
    <x v="3"/>
    <s v="B. Chen"/>
    <x v="6"/>
    <x v="120"/>
    <n v="137.46"/>
    <n v="188.3"/>
    <n v="3.7999999999999999E-2"/>
    <n v="37"/>
    <n v="6702.3501999999999"/>
    <n v="5086.0200000000004"/>
    <n v="1616.3301999999994"/>
    <n v="0.24115872071262398"/>
    <s v="Jul-2023"/>
    <d v="2023-07-01T00:00:00"/>
    <s v="Q3-2023"/>
    <s v="Europe → United Kingdom → Birmingham"/>
    <s v="Components"/>
    <s v="Low"/>
    <d v="2023-01-01T00:00:00"/>
    <n v="6"/>
  </r>
  <r>
    <s v="ORD-2023-497686"/>
    <s v="Original"/>
    <d v="2023-07-03T00:00:00"/>
    <d v="2023-07-23T00:00:00"/>
    <n v="20"/>
    <x v="1"/>
    <s v="South Africa"/>
    <s v="Johannesburg"/>
    <s v="Small Business"/>
    <x v="0"/>
    <s v="F. Müller"/>
    <x v="0"/>
    <x v="121"/>
    <n v="1001.96"/>
    <n v="1254.95"/>
    <n v="4.4999999999999998E-2"/>
    <n v="18"/>
    <n v="21572.590500000002"/>
    <n v="18035.28"/>
    <n v="3537.3105000000032"/>
    <n v="0.16397244920585699"/>
    <s v="Jul-2023"/>
    <d v="2023-07-01T00:00:00"/>
    <s v="Q3-2023"/>
    <s v="Africa → South Africa → Johannesburg"/>
    <s v="Laptops"/>
    <s v="Medium"/>
    <d v="2023-01-01T00:00:00"/>
    <n v="6"/>
  </r>
  <r>
    <s v="ORD-2023-309373"/>
    <s v="Original"/>
    <d v="2023-07-05T00:00:00"/>
    <d v="2023-07-14T00:00:00"/>
    <n v="9"/>
    <x v="0"/>
    <s v="Brazil"/>
    <s v="Brasília"/>
    <s v="Enterprise"/>
    <x v="2"/>
    <s v="B. Chen"/>
    <x v="4"/>
    <x v="122"/>
    <n v="578.85"/>
    <n v="998.76"/>
    <n v="8.2000000000000003E-2"/>
    <n v="28"/>
    <n v="25672.127039999999"/>
    <n v="16207.800000000001"/>
    <n v="9464.3270399999983"/>
    <n v="0.36866158480960831"/>
    <s v="Jul-2023"/>
    <d v="2023-07-01T00:00:00"/>
    <s v="Q3-2023"/>
    <s v="Americas → Brazil → Brasília"/>
    <s v="Networking"/>
    <s v="Medium"/>
    <d v="2023-01-01T00:00:00"/>
    <n v="6"/>
  </r>
  <r>
    <s v="ORD-2023-621393"/>
    <s v="Original"/>
    <d v="2023-07-07T00:00:00"/>
    <d v="2023-07-13T00:00:00"/>
    <n v="6"/>
    <x v="1"/>
    <s v="South Africa"/>
    <s v="Cape Town"/>
    <s v="Small Business"/>
    <x v="4"/>
    <s v="B. Chen"/>
    <x v="3"/>
    <x v="123"/>
    <n v="612.59"/>
    <n v="1424.74"/>
    <n v="4.3999999999999997E-2"/>
    <n v="15"/>
    <n v="20430.771599999996"/>
    <n v="9188.85"/>
    <n v="11241.921599999996"/>
    <n v="0.55024459281802152"/>
    <s v="Jul-2023"/>
    <d v="2023-07-01T00:00:00"/>
    <s v="Q3-2023"/>
    <s v="Africa → South Africa → Cape Town"/>
    <s v="Accessories"/>
    <s v="Medium"/>
    <d v="2023-01-01T00:00:00"/>
    <n v="6"/>
  </r>
  <r>
    <s v="ORD-2023-286720"/>
    <s v="Original"/>
    <d v="2023-07-08T00:00:00"/>
    <d v="2023-07-09T00:00:00"/>
    <n v="1"/>
    <x v="1"/>
    <s v="Kenya"/>
    <s v="Nairobi"/>
    <s v="Consumer"/>
    <x v="1"/>
    <s v="D. Smith"/>
    <x v="0"/>
    <x v="124"/>
    <n v="1258.72"/>
    <n v="2797.41"/>
    <n v="0"/>
    <n v="7"/>
    <n v="19581.87"/>
    <n v="8811.0400000000009"/>
    <n v="10770.829999999998"/>
    <n v="0.55004093071805704"/>
    <s v="Jul-2023"/>
    <d v="2023-07-01T00:00:00"/>
    <s v="Q3-2023"/>
    <s v="Africa → Kenya → Nairobi"/>
    <s v="Laptops"/>
    <s v="High"/>
    <d v="2023-01-01T00:00:00"/>
    <n v="6"/>
  </r>
  <r>
    <s v="ORD-2023-539967"/>
    <s v="Original"/>
    <d v="2023-07-09T00:00:00"/>
    <d v="2023-07-19T00:00:00"/>
    <n v="10"/>
    <x v="3"/>
    <s v="Japan"/>
    <s v="Tokyo"/>
    <s v="Enterprise"/>
    <x v="0"/>
    <s v="N. Brown"/>
    <x v="6"/>
    <x v="125"/>
    <n v="141.26"/>
    <n v="206.88"/>
    <n v="0.107"/>
    <n v="9"/>
    <n v="1662.6945600000001"/>
    <n v="1271.3399999999999"/>
    <n v="391.35456000000022"/>
    <n v="0.23537369365062469"/>
    <s v="Jul-2023"/>
    <d v="2023-07-01T00:00:00"/>
    <s v="Q3-2023"/>
    <s v="Asia → Japan → Tokyo"/>
    <s v="Components"/>
    <s v="Low"/>
    <d v="2023-03-01T00:00:00"/>
    <n v="4"/>
  </r>
  <r>
    <s v="ORD-2023-292714"/>
    <s v="Original"/>
    <d v="2023-07-10T00:00:00"/>
    <d v="2023-08-01T00:00:00"/>
    <n v="22"/>
    <x v="2"/>
    <s v="France"/>
    <s v="Marseille"/>
    <s v="Consumer"/>
    <x v="4"/>
    <s v="B. Chen"/>
    <x v="1"/>
    <x v="126"/>
    <n v="1303.56"/>
    <n v="1791.37"/>
    <n v="0.126"/>
    <n v="22"/>
    <n v="34444.462359999998"/>
    <n v="28678.32"/>
    <n v="5766.142359999998"/>
    <n v="0.16740404596055358"/>
    <s v="Jul-2023"/>
    <d v="2023-07-01T00:00:00"/>
    <s v="Q3-2023"/>
    <s v="Europe → France → Marseille"/>
    <s v="Printers"/>
    <s v="High"/>
    <d v="2023-01-01T00:00:00"/>
    <n v="6"/>
  </r>
  <r>
    <s v="ORD-2023-825084"/>
    <s v="Original"/>
    <d v="2023-07-14T00:00:00"/>
    <d v="2023-07-21T00:00:00"/>
    <n v="7"/>
    <x v="1"/>
    <s v="South Africa"/>
    <s v="Durban"/>
    <s v="Enterprise"/>
    <x v="4"/>
    <s v="Unassigned"/>
    <x v="5"/>
    <x v="127"/>
    <n v="620.74"/>
    <n v="1330.07"/>
    <n v="0.29899999999999999"/>
    <n v="28"/>
    <n v="26106.613960000002"/>
    <n v="17380.72"/>
    <n v="8725.8939600000012"/>
    <n v="0.33424073965967516"/>
    <s v="Jul-2023"/>
    <d v="2023-07-01T00:00:00"/>
    <s v="Q3-2023"/>
    <s v="Africa → South Africa → Durban"/>
    <s v="Monitors"/>
    <s v="Medium"/>
    <d v="2023-01-01T00:00:00"/>
    <n v="6"/>
  </r>
  <r>
    <s v="ORD-2023-479747"/>
    <s v="Original"/>
    <d v="2023-07-14T00:00:00"/>
    <d v="2023-07-21T00:00:00"/>
    <n v="7"/>
    <x v="1"/>
    <s v="Nigeria"/>
    <s v="Lagos"/>
    <s v="Education"/>
    <x v="3"/>
    <s v="I. Johnson"/>
    <x v="3"/>
    <x v="128"/>
    <n v="956.38"/>
    <n v="1454.22"/>
    <n v="3.9E-2"/>
    <n v="19"/>
    <n v="26552.60298"/>
    <n v="18171.22"/>
    <n v="8381.3829799999985"/>
    <n v="0.31565202802576603"/>
    <s v="Jul-2023"/>
    <d v="2023-07-01T00:00:00"/>
    <s v="Q3-2023"/>
    <s v="Africa → Nigeria → Lagos"/>
    <s v="Accessories"/>
    <s v="Medium"/>
    <d v="2023-01-01T00:00:00"/>
    <n v="6"/>
  </r>
  <r>
    <s v="ORD-2023-569862"/>
    <s v="Original"/>
    <d v="2023-07-16T00:00:00"/>
    <d v="2023-08-13T00:00:00"/>
    <n v="28"/>
    <x v="2"/>
    <s v="United Kingdom"/>
    <s v="Manchester"/>
    <s v="Non-Profit"/>
    <x v="1"/>
    <s v="J. Njeri"/>
    <x v="0"/>
    <x v="129"/>
    <n v="1039.03"/>
    <n v="2545.81"/>
    <n v="0.216"/>
    <n v="21"/>
    <n v="41914.215840000004"/>
    <n v="21819.63"/>
    <n v="20094.585840000003"/>
    <n v="0.47942172929364774"/>
    <s v="Jul-2023"/>
    <d v="2023-07-01T00:00:00"/>
    <s v="Q3-2023"/>
    <s v="Europe → United Kingdom → Manchester"/>
    <s v="Laptops"/>
    <s v="High"/>
    <d v="2023-01-01T00:00:00"/>
    <n v="6"/>
  </r>
  <r>
    <s v="ORD-2023-369150"/>
    <s v="Original"/>
    <d v="2023-07-18T00:00:00"/>
    <d v="2023-08-10T00:00:00"/>
    <n v="23"/>
    <x v="1"/>
    <s v="South Africa"/>
    <s v="Johannesburg"/>
    <s v="Small Business"/>
    <x v="3"/>
    <s v="L. Okafor"/>
    <x v="6"/>
    <x v="130"/>
    <n v="1271.56"/>
    <n v="995.47"/>
    <n v="0.192"/>
    <n v="13"/>
    <n v="10456.416880000001"/>
    <n v="16530.28"/>
    <n v="-6073.8631199999982"/>
    <n v="-0.58087423155607754"/>
    <s v="Jul-2023"/>
    <d v="2023-07-01T00:00:00"/>
    <s v="Q3-2023"/>
    <s v="Africa → South Africa → Johannesburg"/>
    <s v="Components"/>
    <s v="Medium"/>
    <d v="2023-01-01T00:00:00"/>
    <n v="6"/>
  </r>
  <r>
    <s v="ORD-2023-594700"/>
    <s v="Original"/>
    <d v="2023-07-18T00:00:00"/>
    <d v="2023-07-22T00:00:00"/>
    <n v="4"/>
    <x v="0"/>
    <s v="Brazil"/>
    <s v="São Paulo"/>
    <s v="Consumer"/>
    <x v="2"/>
    <s v="F. Müller"/>
    <x v="4"/>
    <x v="131"/>
    <n v="1269.55"/>
    <n v="2071.1"/>
    <n v="0.129"/>
    <n v="22"/>
    <n v="39686.4182"/>
    <n v="27930.1"/>
    <n v="11756.318200000002"/>
    <n v="0.29623026549672354"/>
    <s v="Jul-2023"/>
    <d v="2023-07-01T00:00:00"/>
    <s v="Q3-2023"/>
    <s v="Americas → Brazil → São Paulo"/>
    <s v="Networking"/>
    <s v="High"/>
    <d v="2023-01-01T00:00:00"/>
    <n v="6"/>
  </r>
  <r>
    <s v="ORD-2023-825836"/>
    <s v="Original"/>
    <d v="2023-07-19T00:00:00"/>
    <d v="2023-07-31T00:00:00"/>
    <n v="12"/>
    <x v="0"/>
    <s v="Brazil"/>
    <s v="Rio de Janeiro"/>
    <s v="Corporate"/>
    <x v="3"/>
    <s v="C. Otieno"/>
    <x v="5"/>
    <x v="132"/>
    <n v="1334.64"/>
    <n v="2273.42"/>
    <n v="0.11799999999999999"/>
    <n v="14"/>
    <n v="28072.190160000002"/>
    <n v="18684.960000000003"/>
    <n v="9387.2301599999992"/>
    <n v="0.33439607335575267"/>
    <s v="Jul-2023"/>
    <d v="2023-07-01T00:00:00"/>
    <s v="Q3-2023"/>
    <s v="Americas → Brazil → Rio de Janeiro"/>
    <s v="Monitors"/>
    <s v="High"/>
    <d v="2023-01-01T00:00:00"/>
    <n v="6"/>
  </r>
  <r>
    <s v="ORD-2023-109927"/>
    <s v="Original"/>
    <d v="2023-07-22T00:00:00"/>
    <d v="2023-07-28T00:00:00"/>
    <n v="6"/>
    <x v="3"/>
    <s v="India"/>
    <s v="Delhi"/>
    <s v="Small Business"/>
    <x v="0"/>
    <s v="E. Garcia"/>
    <x v="1"/>
    <x v="133"/>
    <n v="946.99"/>
    <n v="2132.19"/>
    <n v="0.16500000000000001"/>
    <n v="7"/>
    <n v="12462.65055"/>
    <n v="6628.93"/>
    <n v="5833.72055"/>
    <n v="0.46809629513362228"/>
    <s v="Jul-2023"/>
    <d v="2023-07-01T00:00:00"/>
    <s v="Q3-2023"/>
    <s v="Asia → India → Delhi"/>
    <s v="Printers"/>
    <s v="High"/>
    <d v="2023-02-01T00:00:00"/>
    <n v="5"/>
  </r>
  <r>
    <s v="ORD-2023-369160"/>
    <s v="Original"/>
    <d v="2023-07-24T00:00:00"/>
    <d v="2023-08-13T00:00:00"/>
    <n v="20"/>
    <x v="0"/>
    <s v="Canada"/>
    <s v="Montreal"/>
    <s v="Education"/>
    <x v="2"/>
    <s v="C. Otieno"/>
    <x v="5"/>
    <x v="134"/>
    <n v="1082.3800000000001"/>
    <n v="1766.55"/>
    <n v="0.16400000000000001"/>
    <n v="20"/>
    <n v="29536.716"/>
    <n v="21647.600000000002"/>
    <n v="7889.1159999999982"/>
    <n v="0.26709523157550752"/>
    <s v="Jul-2023"/>
    <d v="2023-07-01T00:00:00"/>
    <s v="Q3-2023"/>
    <s v="Americas → Canada → Montreal"/>
    <s v="Monitors"/>
    <s v="High"/>
    <d v="2023-01-01T00:00:00"/>
    <n v="6"/>
  </r>
  <r>
    <s v="ORD-2023-261081"/>
    <s v="Original"/>
    <d v="2023-07-24T00:00:00"/>
    <d v="2023-08-19T00:00:00"/>
    <n v="26"/>
    <x v="1"/>
    <s v="Kenya"/>
    <s v="Nairobi"/>
    <s v="Enterprise"/>
    <x v="0"/>
    <s v="M. Rossi"/>
    <x v="3"/>
    <x v="135"/>
    <n v="661.45"/>
    <n v="1634.86"/>
    <n v="0.3"/>
    <n v="24"/>
    <n v="27465.647999999997"/>
    <n v="15874.800000000001"/>
    <n v="11590.847999999996"/>
    <n v="0.42201254454291404"/>
    <s v="Jul-2023"/>
    <d v="2023-07-01T00:00:00"/>
    <s v="Q3-2023"/>
    <s v="Africa → Kenya → Nairobi"/>
    <s v="Accessories"/>
    <s v="High"/>
    <d v="2023-01-01T00:00:00"/>
    <n v="6"/>
  </r>
  <r>
    <s v="ORD-2023-660608"/>
    <s v="Original"/>
    <d v="2023-07-25T00:00:00"/>
    <d v="2023-08-10T00:00:00"/>
    <n v="16"/>
    <x v="1"/>
    <s v="Nigeria"/>
    <s v="Port Harcourt"/>
    <s v="Corporate"/>
    <x v="0"/>
    <s v="I. Johnson"/>
    <x v="3"/>
    <x v="136"/>
    <n v="506.83"/>
    <n v="441.74"/>
    <n v="0.24"/>
    <n v="9"/>
    <n v="3021.5016000000001"/>
    <n v="4561.47"/>
    <n v="-1539.9684000000002"/>
    <n v="-0.50966989393618067"/>
    <s v="Jul-2023"/>
    <d v="2023-07-01T00:00:00"/>
    <s v="Q3-2023"/>
    <s v="Africa → Nigeria → Port Harcourt"/>
    <s v="Accessories"/>
    <s v="Low"/>
    <d v="2023-01-01T00:00:00"/>
    <n v="6"/>
  </r>
  <r>
    <s v="ORD-2023-912395"/>
    <s v="Original"/>
    <d v="2023-07-26T00:00:00"/>
    <d v="2023-08-25T00:00:00"/>
    <n v="30"/>
    <x v="0"/>
    <s v="USA"/>
    <s v="New York"/>
    <s v="Consumer"/>
    <x v="3"/>
    <s v="M. Rossi"/>
    <x v="3"/>
    <x v="137"/>
    <n v="1261.48"/>
    <n v="1643.18"/>
    <n v="0.151"/>
    <n v="23"/>
    <n v="32086.37586"/>
    <n v="29014.04"/>
    <n v="3072.3358599999992"/>
    <n v="9.5752037357079045E-2"/>
    <s v="Jul-2023"/>
    <d v="2023-07-01T00:00:00"/>
    <s v="Q3-2023"/>
    <s v="Americas → USA → New York"/>
    <s v="Accessories"/>
    <s v="High"/>
    <d v="2023-01-01T00:00:00"/>
    <n v="6"/>
  </r>
  <r>
    <s v="ORD-2023-290237"/>
    <s v="Original"/>
    <d v="2023-07-30T00:00:00"/>
    <d v="2023-08-07T00:00:00"/>
    <n v="8"/>
    <x v="3"/>
    <s v="Japan"/>
    <s v="Nagoya"/>
    <s v="Education"/>
    <x v="4"/>
    <s v="A. Patel"/>
    <x v="4"/>
    <x v="138"/>
    <n v="1352.44"/>
    <n v="2698.01"/>
    <n v="0.13100000000000001"/>
    <n v="13"/>
    <n v="30479.418970000002"/>
    <n v="17581.72"/>
    <n v="12897.698970000001"/>
    <n v="0.42316091992090887"/>
    <s v="Jul-2023"/>
    <d v="2023-07-01T00:00:00"/>
    <s v="Q3-2023"/>
    <s v="Asia → Japan → Nagoya"/>
    <s v="Networking"/>
    <s v="High"/>
    <d v="2023-03-01T00:00:00"/>
    <n v="4"/>
  </r>
  <r>
    <s v="ORD-2023-451931"/>
    <s v="Original"/>
    <d v="2023-07-30T00:00:00"/>
    <d v="2023-08-19T00:00:00"/>
    <n v="20"/>
    <x v="2"/>
    <s v="France"/>
    <s v="Paris"/>
    <s v="Enterprise"/>
    <x v="4"/>
    <s v="G. Dubois"/>
    <x v="4"/>
    <x v="139"/>
    <n v="1418.51"/>
    <n v="2789.61"/>
    <n v="0.17100000000000001"/>
    <n v="8"/>
    <n v="18500.693520000001"/>
    <n v="11348.08"/>
    <n v="7152.6135200000008"/>
    <n v="0.38661326464695689"/>
    <s v="Jul-2023"/>
    <d v="2023-07-01T00:00:00"/>
    <s v="Q3-2023"/>
    <s v="Europe → France → Paris"/>
    <s v="Networking"/>
    <s v="High"/>
    <d v="2023-01-01T00:00:00"/>
    <n v="6"/>
  </r>
  <r>
    <s v="ORD-2023-713614"/>
    <s v="Original"/>
    <d v="2023-08-02T00:00:00"/>
    <d v="2023-08-19T00:00:00"/>
    <n v="17"/>
    <x v="0"/>
    <s v="Canada"/>
    <s v="Vancouver"/>
    <s v="Corporate"/>
    <x v="1"/>
    <s v="F. Müller"/>
    <x v="4"/>
    <x v="140"/>
    <n v="175.38"/>
    <n v="347.9"/>
    <n v="7.1999999999999995E-2"/>
    <n v="43"/>
    <n v="13882.6016"/>
    <n v="7541.34"/>
    <n v="6341.2615999999998"/>
    <n v="0.45677761148169804"/>
    <s v="Aug-2023"/>
    <d v="2023-08-01T00:00:00"/>
    <s v="Q3-2023"/>
    <s v="Americas → Canada → Vancouver"/>
    <s v="Networking"/>
    <s v="Low"/>
    <d v="2023-01-01T00:00:00"/>
    <n v="7"/>
  </r>
  <r>
    <s v="ORD-2023-253245"/>
    <s v="Original"/>
    <d v="2023-08-03T00:00:00"/>
    <d v="2023-08-14T00:00:00"/>
    <n v="11"/>
    <x v="0"/>
    <s v="Brazil"/>
    <s v="Brasília"/>
    <s v="Corporate"/>
    <x v="2"/>
    <s v="J. Njeri"/>
    <x v="3"/>
    <x v="141"/>
    <n v="232.73"/>
    <n v="334.19"/>
    <n v="0.13400000000000001"/>
    <n v="25"/>
    <n v="7235.2134999999998"/>
    <n v="5818.25"/>
    <n v="1416.9634999999998"/>
    <n v="0.1958426658729559"/>
    <s v="Aug-2023"/>
    <d v="2023-08-01T00:00:00"/>
    <s v="Q3-2023"/>
    <s v="Americas → Brazil → Brasília"/>
    <s v="Accessories"/>
    <s v="Low"/>
    <d v="2023-01-01T00:00:00"/>
    <n v="7"/>
  </r>
  <r>
    <s v="ORD-2023-885216"/>
    <s v="Original"/>
    <d v="2023-08-03T00:00:00"/>
    <d v="2023-08-10T00:00:00"/>
    <n v="7"/>
    <x v="3"/>
    <s v="China"/>
    <s v="Shanghai"/>
    <s v="Non-Profit"/>
    <x v="2"/>
    <s v="J. Njeri"/>
    <x v="4"/>
    <x v="142"/>
    <n v="1021.97"/>
    <n v="2296.25"/>
    <n v="0.161"/>
    <n v="26"/>
    <n v="50090.397499999999"/>
    <n v="26571.22"/>
    <n v="23519.177499999998"/>
    <n v="0.46953465482081669"/>
    <s v="Aug-2023"/>
    <d v="2023-08-01T00:00:00"/>
    <s v="Q3-2023"/>
    <s v="Asia → China → Shanghai"/>
    <s v="Networking"/>
    <s v="High"/>
    <d v="2023-01-01T00:00:00"/>
    <n v="7"/>
  </r>
  <r>
    <s v="ORD-2023-548934"/>
    <s v="Original"/>
    <d v="2023-08-03T00:00:00"/>
    <d v="2023-08-30T00:00:00"/>
    <n v="27"/>
    <x v="3"/>
    <s v="China"/>
    <s v="Shanghai"/>
    <s v="Consumer"/>
    <x v="0"/>
    <s v="N. Brown"/>
    <x v="5"/>
    <x v="143"/>
    <n v="226.04"/>
    <n v="545.72"/>
    <n v="0.151"/>
    <n v="11"/>
    <n v="5096.4790800000001"/>
    <n v="2486.44"/>
    <n v="2610.03908"/>
    <n v="0.51212592831834014"/>
    <s v="Aug-2023"/>
    <d v="2023-08-01T00:00:00"/>
    <s v="Q3-2023"/>
    <s v="Asia → China → Shanghai"/>
    <s v="Monitors"/>
    <s v="Low"/>
    <d v="2023-01-01T00:00:00"/>
    <n v="7"/>
  </r>
  <r>
    <s v="ORD-2023-630430"/>
    <s v="Original"/>
    <d v="2023-08-04T00:00:00"/>
    <d v="2023-08-24T00:00:00"/>
    <n v="20"/>
    <x v="0"/>
    <s v="Brazil"/>
    <s v="Brasília"/>
    <s v="Non-Profit"/>
    <x v="2"/>
    <s v="Unassigned"/>
    <x v="4"/>
    <x v="144"/>
    <n v="582.88"/>
    <n v="1044.1400000000001"/>
    <n v="0.216"/>
    <n v="10"/>
    <n v="8186.057600000001"/>
    <n v="5828.8"/>
    <n v="2357.2576000000008"/>
    <n v="0.28796005539956138"/>
    <s v="Aug-2023"/>
    <d v="2023-08-01T00:00:00"/>
    <s v="Q3-2023"/>
    <s v="Americas → Brazil → Brasília"/>
    <s v="Networking"/>
    <s v="Medium"/>
    <d v="2023-01-01T00:00:00"/>
    <n v="7"/>
  </r>
  <r>
    <s v="ORD-2023-197661"/>
    <s v="Original"/>
    <d v="2023-08-08T00:00:00"/>
    <d v="2023-08-22T00:00:00"/>
    <n v="14"/>
    <x v="2"/>
    <s v="United Kingdom"/>
    <s v="Birmingham"/>
    <s v="Non-Profit"/>
    <x v="2"/>
    <s v="N. Brown"/>
    <x v="5"/>
    <x v="145"/>
    <n v="446.69"/>
    <n v="967.25"/>
    <n v="9.4E-2"/>
    <n v="10"/>
    <n v="8763.2849999999999"/>
    <n v="4466.8999999999996"/>
    <n v="4296.3850000000002"/>
    <n v="0.49027105702941309"/>
    <s v="Aug-2023"/>
    <d v="2023-08-01T00:00:00"/>
    <s v="Q3-2023"/>
    <s v="Europe → United Kingdom → Birmingham"/>
    <s v="Monitors"/>
    <s v="Medium"/>
    <d v="2023-01-01T00:00:00"/>
    <n v="7"/>
  </r>
  <r>
    <s v="ORD-2023-867175"/>
    <s v="Original"/>
    <d v="2023-08-10T00:00:00"/>
    <d v="2023-08-15T00:00:00"/>
    <n v="5"/>
    <x v="0"/>
    <s v="Brazil"/>
    <s v="São Paulo"/>
    <s v="Education"/>
    <x v="2"/>
    <s v="G. Dubois"/>
    <x v="4"/>
    <x v="146"/>
    <n v="1307.52"/>
    <n v="1921.65"/>
    <n v="0.123"/>
    <n v="13"/>
    <n v="21908.731650000002"/>
    <n v="16997.759999999998"/>
    <n v="4910.9716500000031"/>
    <n v="0.22415590863289445"/>
    <s v="Aug-2023"/>
    <d v="2023-08-01T00:00:00"/>
    <s v="Q3-2023"/>
    <s v="Americas → Brazil → São Paulo"/>
    <s v="Networking"/>
    <s v="High"/>
    <d v="2023-01-01T00:00:00"/>
    <n v="7"/>
  </r>
  <r>
    <s v="ORD-2023-883066"/>
    <s v="Original"/>
    <d v="2023-08-12T00:00:00"/>
    <d v="2023-09-06T00:00:00"/>
    <n v="25"/>
    <x v="3"/>
    <s v="China"/>
    <s v="Shanghai"/>
    <s v="Small Business"/>
    <x v="3"/>
    <s v="B. Chen"/>
    <x v="6"/>
    <x v="147"/>
    <n v="950.77"/>
    <n v="694.78"/>
    <n v="8.4000000000000005E-2"/>
    <n v="14"/>
    <n v="8909.8587200000002"/>
    <n v="13310.779999999999"/>
    <n v="-4400.9212799999987"/>
    <n v="-0.49393839097821279"/>
    <s v="Aug-2023"/>
    <d v="2023-08-01T00:00:00"/>
    <s v="Q3-2023"/>
    <s v="Asia → China → Shanghai"/>
    <s v="Components"/>
    <s v="Low"/>
    <d v="2023-01-01T00:00:00"/>
    <n v="7"/>
  </r>
  <r>
    <s v="ORD-2023-133848"/>
    <s v="Original"/>
    <d v="2023-08-15T00:00:00"/>
    <d v="2023-09-07T00:00:00"/>
    <n v="23"/>
    <x v="0"/>
    <s v="USA"/>
    <s v="New York"/>
    <s v="Enterprise"/>
    <x v="1"/>
    <s v="K. Singh"/>
    <x v="2"/>
    <x v="148"/>
    <n v="590.33000000000004"/>
    <n v="973.04"/>
    <n v="0"/>
    <n v="26"/>
    <n v="25299.040000000001"/>
    <n v="15348.580000000002"/>
    <n v="9950.4599999999991"/>
    <n v="0.39331373838691108"/>
    <s v="Aug-2023"/>
    <d v="2023-08-01T00:00:00"/>
    <s v="Q3-2023"/>
    <s v="Americas → USA → New York"/>
    <s v="Phones"/>
    <s v="Medium"/>
    <d v="2023-01-01T00:00:00"/>
    <n v="7"/>
  </r>
  <r>
    <s v="ORD-2023-274037"/>
    <s v="Original"/>
    <d v="2023-08-15T00:00:00"/>
    <d v="2023-08-25T00:00:00"/>
    <n v="10"/>
    <x v="1"/>
    <s v="Kenya"/>
    <s v="Nairobi"/>
    <s v="Small Business"/>
    <x v="3"/>
    <s v="N. Brown"/>
    <x v="2"/>
    <x v="149"/>
    <n v="91.85"/>
    <n v="111.29"/>
    <n v="0"/>
    <n v="6"/>
    <n v="667.74"/>
    <n v="551.09999999999991"/>
    <n v="116.6400000000001"/>
    <n v="0.17467876718483258"/>
    <s v="Aug-2023"/>
    <d v="2023-08-01T00:00:00"/>
    <s v="Q3-2023"/>
    <s v="Africa → Kenya → Nairobi"/>
    <s v="Phones"/>
    <s v="Low"/>
    <d v="2023-01-01T00:00:00"/>
    <n v="7"/>
  </r>
  <r>
    <s v="ORD-2023-525643"/>
    <s v="Original"/>
    <d v="2023-08-17T00:00:00"/>
    <d v="2023-09-03T00:00:00"/>
    <n v="17"/>
    <x v="1"/>
    <s v="South Africa"/>
    <s v="Durban"/>
    <s v="Enterprise"/>
    <x v="3"/>
    <s v="A. Patel"/>
    <x v="2"/>
    <x v="150"/>
    <n v="676.37"/>
    <n v="1276.67"/>
    <n v="6.6000000000000003E-2"/>
    <n v="10"/>
    <n v="11924.0978"/>
    <n v="6763.7"/>
    <n v="5160.3977999999997"/>
    <n v="0.4327705027712872"/>
    <s v="Aug-2023"/>
    <d v="2023-08-01T00:00:00"/>
    <s v="Q3-2023"/>
    <s v="Africa → South Africa → Durban"/>
    <s v="Phones"/>
    <s v="Medium"/>
    <d v="2023-01-01T00:00:00"/>
    <n v="7"/>
  </r>
  <r>
    <s v="ORD-2023-749324"/>
    <s v="Original"/>
    <d v="2023-08-19T00:00:00"/>
    <d v="2023-09-07T00:00:00"/>
    <n v="19"/>
    <x v="1"/>
    <s v="South Africa"/>
    <s v="Johannesburg"/>
    <s v="Enterprise"/>
    <x v="3"/>
    <s v="D. Smith"/>
    <x v="5"/>
    <x v="151"/>
    <n v="494.61"/>
    <n v="605.23"/>
    <n v="0.20399999999999999"/>
    <n v="18"/>
    <n v="8671.7354400000004"/>
    <n v="8902.98"/>
    <n v="-231.24455999999918"/>
    <n v="-2.6666468505639647E-2"/>
    <s v="Aug-2023"/>
    <d v="2023-08-01T00:00:00"/>
    <s v="Q3-2023"/>
    <s v="Africa → South Africa → Johannesburg"/>
    <s v="Monitors"/>
    <s v="Low"/>
    <d v="2023-01-01T00:00:00"/>
    <n v="7"/>
  </r>
  <r>
    <s v="ORD-2023-343322"/>
    <s v="Original"/>
    <d v="2023-08-19T00:00:00"/>
    <d v="2023-09-12T00:00:00"/>
    <n v="24"/>
    <x v="0"/>
    <s v="Canada"/>
    <s v="Vancouver"/>
    <s v="Enterprise"/>
    <x v="3"/>
    <s v="I. Johnson"/>
    <x v="1"/>
    <x v="152"/>
    <n v="1183.95"/>
    <n v="1503.53"/>
    <n v="0.24099999999999999"/>
    <n v="16"/>
    <n v="18258.868320000001"/>
    <n v="18943.2"/>
    <n v="-684.33167999999932"/>
    <n v="-3.7479413729623705E-2"/>
    <s v="Aug-2023"/>
    <d v="2023-08-01T00:00:00"/>
    <s v="Q3-2023"/>
    <s v="Americas → Canada → Vancouver"/>
    <s v="Printers"/>
    <s v="Medium"/>
    <d v="2023-01-01T00:00:00"/>
    <n v="7"/>
  </r>
  <r>
    <s v="ORD-2023-334213"/>
    <s v="Original"/>
    <d v="2023-08-19T00:00:00"/>
    <d v="2023-08-23T00:00:00"/>
    <n v="4"/>
    <x v="1"/>
    <s v="Nigeria"/>
    <s v="Abuja"/>
    <s v="Small Business"/>
    <x v="1"/>
    <s v="J. Njeri"/>
    <x v="5"/>
    <x v="153"/>
    <n v="790.63"/>
    <n v="1382.31"/>
    <n v="0.10100000000000001"/>
    <n v="7"/>
    <n v="8698.8768300000011"/>
    <n v="5534.41"/>
    <n v="3164.4668300000012"/>
    <n v="0.36377878338116448"/>
    <s v="Aug-2023"/>
    <d v="2023-08-01T00:00:00"/>
    <s v="Q3-2023"/>
    <s v="Africa → Nigeria → Abuja"/>
    <s v="Monitors"/>
    <s v="Medium"/>
    <d v="2023-01-01T00:00:00"/>
    <n v="7"/>
  </r>
  <r>
    <s v="ORD-2023-603238"/>
    <s v="Original"/>
    <d v="2023-08-21T00:00:00"/>
    <d v="2023-09-04T00:00:00"/>
    <n v="14"/>
    <x v="0"/>
    <s v="Canada"/>
    <s v="Montreal"/>
    <s v="Education"/>
    <x v="0"/>
    <s v="F. Müller"/>
    <x v="6"/>
    <x v="154"/>
    <n v="178.19"/>
    <n v="284.43"/>
    <n v="8.8999999999999996E-2"/>
    <n v="8"/>
    <n v="2072.9258400000003"/>
    <n v="1425.52"/>
    <n v="647.40584000000035"/>
    <n v="0.31231500302972742"/>
    <s v="Aug-2023"/>
    <d v="2023-08-01T00:00:00"/>
    <s v="Q3-2023"/>
    <s v="Americas → Canada → Montreal"/>
    <s v="Components"/>
    <s v="Low"/>
    <d v="2023-01-01T00:00:00"/>
    <n v="7"/>
  </r>
  <r>
    <s v="ORD-2023-375011"/>
    <s v="Original"/>
    <d v="2023-08-23T00:00:00"/>
    <d v="2023-09-22T00:00:00"/>
    <n v="30"/>
    <x v="2"/>
    <s v="United Kingdom"/>
    <s v="London"/>
    <s v="Consumer"/>
    <x v="0"/>
    <s v="O. Wang"/>
    <x v="3"/>
    <x v="155"/>
    <n v="209.81"/>
    <n v="523"/>
    <n v="5.8999999999999997E-2"/>
    <n v="15"/>
    <n v="7382.1450000000004"/>
    <n v="3147.15"/>
    <n v="4234.9950000000008"/>
    <n v="0.57368082041195356"/>
    <s v="Aug-2023"/>
    <d v="2023-08-01T00:00:00"/>
    <s v="Q3-2023"/>
    <s v="Europe → United Kingdom → London"/>
    <s v="Accessories"/>
    <s v="Low"/>
    <d v="2023-01-01T00:00:00"/>
    <n v="7"/>
  </r>
  <r>
    <s v="ORD-2023-640022"/>
    <s v="Original"/>
    <d v="2023-08-24T00:00:00"/>
    <d v="2023-09-20T00:00:00"/>
    <n v="27"/>
    <x v="1"/>
    <s v="South Africa"/>
    <s v="Durban"/>
    <s v="Small Business"/>
    <x v="4"/>
    <s v="M. Rossi"/>
    <x v="1"/>
    <x v="156"/>
    <n v="1399.64"/>
    <n v="3342.11"/>
    <n v="0"/>
    <n v="10"/>
    <n v="33421.1"/>
    <n v="13996.400000000001"/>
    <n v="19424.699999999997"/>
    <n v="0.58121067229983447"/>
    <s v="Aug-2023"/>
    <d v="2023-08-01T00:00:00"/>
    <s v="Q3-2023"/>
    <s v="Africa → South Africa → Durban"/>
    <s v="Printers"/>
    <s v="High"/>
    <d v="2023-01-01T00:00:00"/>
    <n v="7"/>
  </r>
  <r>
    <s v="ORD-2023-732585"/>
    <s v="Original"/>
    <d v="2023-08-25T00:00:00"/>
    <d v="2023-09-16T00:00:00"/>
    <n v="22"/>
    <x v="1"/>
    <s v="Nigeria"/>
    <s v="Abuja"/>
    <s v="Corporate"/>
    <x v="4"/>
    <s v="L. Okafor"/>
    <x v="2"/>
    <x v="157"/>
    <n v="1196.83"/>
    <n v="2513.5100000000002"/>
    <n v="8.3000000000000004E-2"/>
    <n v="7"/>
    <n v="16134.22069"/>
    <n v="8377.81"/>
    <n v="7756.4106900000006"/>
    <n v="0.48074281609445374"/>
    <s v="Aug-2023"/>
    <d v="2023-08-01T00:00:00"/>
    <s v="Q3-2023"/>
    <s v="Africa → Nigeria → Abuja"/>
    <s v="Phones"/>
    <s v="High"/>
    <d v="2023-01-01T00:00:00"/>
    <n v="7"/>
  </r>
  <r>
    <s v="ORD-2023-713375"/>
    <s v="Original"/>
    <d v="2023-08-26T00:00:00"/>
    <d v="2023-09-10T00:00:00"/>
    <n v="15"/>
    <x v="1"/>
    <s v="South Africa"/>
    <s v="Cape Town"/>
    <s v="Non-Profit"/>
    <x v="2"/>
    <s v="N. Brown"/>
    <x v="6"/>
    <x v="158"/>
    <n v="241.14"/>
    <n v="496.52"/>
    <n v="9.2999999999999999E-2"/>
    <n v="10"/>
    <n v="4503.4363999999996"/>
    <n v="2411.3999999999996"/>
    <n v="2092.0364"/>
    <n v="0.46454223268257994"/>
    <s v="Aug-2023"/>
    <d v="2023-08-01T00:00:00"/>
    <s v="Q3-2023"/>
    <s v="Africa → South Africa → Cape Town"/>
    <s v="Components"/>
    <s v="Low"/>
    <d v="2023-01-01T00:00:00"/>
    <n v="7"/>
  </r>
  <r>
    <s v="ORD-2023-664749"/>
    <s v="Original"/>
    <d v="2023-08-27T00:00:00"/>
    <d v="2023-09-11T00:00:00"/>
    <n v="15"/>
    <x v="2"/>
    <s v="United Kingdom"/>
    <s v="London"/>
    <s v="Consumer"/>
    <x v="4"/>
    <s v="N. Brown"/>
    <x v="1"/>
    <x v="159"/>
    <n v="943.79"/>
    <n v="1913.76"/>
    <n v="9.0999999999999998E-2"/>
    <n v="9"/>
    <n v="15656.47056"/>
    <n v="8494.11"/>
    <n v="7162.3605599999992"/>
    <n v="0.45746967891338081"/>
    <s v="Aug-2023"/>
    <d v="2023-08-01T00:00:00"/>
    <s v="Q3-2023"/>
    <s v="Europe → United Kingdom → London"/>
    <s v="Printers"/>
    <s v="High"/>
    <d v="2023-01-01T00:00:00"/>
    <n v="7"/>
  </r>
  <r>
    <s v="ORD-2023-987081"/>
    <s v="Original"/>
    <d v="2023-08-29T00:00:00"/>
    <d v="2023-09-13T00:00:00"/>
    <n v="15"/>
    <x v="0"/>
    <s v="Canada"/>
    <s v="Vancouver"/>
    <s v="Small Business"/>
    <x v="4"/>
    <s v="O. Wang"/>
    <x v="1"/>
    <x v="160"/>
    <n v="1287.6400000000001"/>
    <n v="2717.15"/>
    <n v="3.2000000000000001E-2"/>
    <n v="7"/>
    <n v="18411.4084"/>
    <n v="9013.4800000000014"/>
    <n v="9397.9283999999989"/>
    <n v="0.51044049405802105"/>
    <s v="Aug-2023"/>
    <d v="2023-08-01T00:00:00"/>
    <s v="Q3-2023"/>
    <s v="Americas → Canada → Vancouver"/>
    <s v="Printers"/>
    <s v="High"/>
    <d v="2023-01-01T00:00:00"/>
    <n v="7"/>
  </r>
  <r>
    <s v="ORD-2023-243704"/>
    <s v="Original"/>
    <d v="2023-08-29T00:00:00"/>
    <d v="2023-09-19T00:00:00"/>
    <n v="21"/>
    <x v="2"/>
    <s v="France"/>
    <s v="Lyon"/>
    <s v="Small Business"/>
    <x v="2"/>
    <s v="B. Chen"/>
    <x v="1"/>
    <x v="161"/>
    <n v="784.46"/>
    <n v="1843.51"/>
    <n v="0.13800000000000001"/>
    <n v="23"/>
    <n v="36549.429260000004"/>
    <n v="18042.580000000002"/>
    <n v="18506.849260000003"/>
    <n v="0.50635125184441798"/>
    <s v="Aug-2023"/>
    <d v="2023-08-01T00:00:00"/>
    <s v="Q3-2023"/>
    <s v="Europe → France → Lyon"/>
    <s v="Printers"/>
    <s v="High"/>
    <d v="2023-01-01T00:00:00"/>
    <n v="7"/>
  </r>
  <r>
    <s v="ORD-2023-235230"/>
    <s v="Original"/>
    <d v="2023-08-30T00:00:00"/>
    <d v="2023-09-01T00:00:00"/>
    <n v="2"/>
    <x v="2"/>
    <s v="Germany"/>
    <s v="Munich"/>
    <s v="Corporate"/>
    <x v="2"/>
    <s v="N. Brown"/>
    <x v="4"/>
    <x v="162"/>
    <n v="44.42"/>
    <n v="41.9"/>
    <n v="0.14399999999999999"/>
    <n v="6"/>
    <n v="215.19839999999996"/>
    <n v="266.52"/>
    <n v="-51.321600000000018"/>
    <n v="-0.23848504449847224"/>
    <s v="Aug-2023"/>
    <d v="2023-08-01T00:00:00"/>
    <s v="Q3-2023"/>
    <s v="Europe → Germany → Munich"/>
    <s v="Networking"/>
    <s v="Low"/>
    <d v="2023-01-01T00:00:00"/>
    <n v="7"/>
  </r>
  <r>
    <s v="ORD-2023-944052"/>
    <s v="Original"/>
    <d v="2023-08-30T00:00:00"/>
    <d v="2023-09-03T00:00:00"/>
    <n v="4"/>
    <x v="3"/>
    <s v="India"/>
    <s v="Delhi"/>
    <s v="Small Business"/>
    <x v="4"/>
    <s v="L. Okafor"/>
    <x v="3"/>
    <x v="163"/>
    <n v="1082.25"/>
    <n v="2433.34"/>
    <n v="0.27"/>
    <n v="4"/>
    <n v="7105.3528000000006"/>
    <n v="4329"/>
    <n v="2776.3528000000006"/>
    <n v="0.3907410199251472"/>
    <s v="Aug-2023"/>
    <d v="2023-08-01T00:00:00"/>
    <s v="Q3-2023"/>
    <s v="Asia → India → Delhi"/>
    <s v="Accessories"/>
    <s v="High"/>
    <d v="2023-02-01T00:00:00"/>
    <n v="6"/>
  </r>
  <r>
    <s v="ORD-2023-488227"/>
    <s v="Original"/>
    <d v="2023-09-08T00:00:00"/>
    <d v="2023-10-02T00:00:00"/>
    <n v="24"/>
    <x v="0"/>
    <s v="Canada"/>
    <s v="Toronto"/>
    <s v="Education"/>
    <x v="2"/>
    <s v="A. Patel"/>
    <x v="3"/>
    <x v="164"/>
    <n v="1299.03"/>
    <n v="2451.2199999999998"/>
    <n v="0.20799999999999999"/>
    <n v="8"/>
    <n v="15530.929919999999"/>
    <n v="10392.24"/>
    <n v="5138.6899199999989"/>
    <n v="0.3308681416032041"/>
    <s v="Sept-2023"/>
    <d v="2023-09-01T00:00:00"/>
    <s v="Q3-2023"/>
    <s v="Americas → Canada → Toronto"/>
    <s v="Accessories"/>
    <s v="High"/>
    <d v="2023-01-01T00:00:00"/>
    <n v="8"/>
  </r>
  <r>
    <s v="ORD-2023-755337"/>
    <s v="Original"/>
    <d v="2023-09-08T00:00:00"/>
    <d v="2023-09-14T00:00:00"/>
    <n v="6"/>
    <x v="1"/>
    <s v="Kenya"/>
    <s v="Nakuru"/>
    <s v="Education"/>
    <x v="2"/>
    <s v="I. Johnson"/>
    <x v="3"/>
    <x v="165"/>
    <n v="251.03"/>
    <n v="411.48"/>
    <n v="0.16500000000000001"/>
    <n v="3"/>
    <n v="1030.7574"/>
    <n v="753.09"/>
    <n v="277.66739999999993"/>
    <n v="0.26938191275658069"/>
    <s v="Sept-2023"/>
    <d v="2023-09-01T00:00:00"/>
    <s v="Q3-2023"/>
    <s v="Africa → Kenya → Nakuru"/>
    <s v="Accessories"/>
    <s v="Low"/>
    <d v="2023-01-01T00:00:00"/>
    <n v="8"/>
  </r>
  <r>
    <s v="ORD-2023-192324"/>
    <s v="Original"/>
    <d v="2023-09-14T00:00:00"/>
    <d v="2023-09-16T00:00:00"/>
    <n v="2"/>
    <x v="2"/>
    <s v="France"/>
    <s v="Lyon"/>
    <s v="Non-Profit"/>
    <x v="2"/>
    <s v="B. Chen"/>
    <x v="1"/>
    <x v="166"/>
    <n v="376.83"/>
    <n v="732.88"/>
    <n v="0.188"/>
    <n v="25"/>
    <n v="14877.464000000002"/>
    <n v="9420.75"/>
    <n v="5456.7140000000018"/>
    <n v="0.36677716040852132"/>
    <s v="Sept-2023"/>
    <d v="2023-09-01T00:00:00"/>
    <s v="Q3-2023"/>
    <s v="Europe → France → Lyon"/>
    <s v="Printers"/>
    <s v="Low"/>
    <d v="2023-01-01T00:00:00"/>
    <n v="8"/>
  </r>
  <r>
    <s v="ORD-2023-552115"/>
    <s v="Original"/>
    <d v="2023-09-17T00:00:00"/>
    <d v="2023-10-02T00:00:00"/>
    <n v="15"/>
    <x v="0"/>
    <s v="Brazil"/>
    <s v="Rio de Janeiro"/>
    <s v="Small Business"/>
    <x v="3"/>
    <s v="B. Chen"/>
    <x v="0"/>
    <x v="167"/>
    <n v="689.33"/>
    <n v="668.27"/>
    <n v="0.186"/>
    <n v="13"/>
    <n v="7071.6331400000008"/>
    <n v="8961.2900000000009"/>
    <n v="-1889.6568600000001"/>
    <n v="-0.26721647214861033"/>
    <s v="Sept-2023"/>
    <d v="2023-09-01T00:00:00"/>
    <s v="Q3-2023"/>
    <s v="Americas → Brazil → Rio de Janeiro"/>
    <s v="Laptops"/>
    <s v="Low"/>
    <d v="2023-01-01T00:00:00"/>
    <n v="8"/>
  </r>
  <r>
    <s v="ORD-2023-722117"/>
    <s v="Original"/>
    <d v="2023-09-18T00:00:00"/>
    <d v="2023-10-08T00:00:00"/>
    <n v="20"/>
    <x v="3"/>
    <s v="India"/>
    <s v="Delhi"/>
    <s v="Small Business"/>
    <x v="2"/>
    <s v="B. Chen"/>
    <x v="6"/>
    <x v="168"/>
    <n v="825.64"/>
    <n v="1108.43"/>
    <n v="0.114"/>
    <n v="7"/>
    <n v="6874.4828600000001"/>
    <n v="5779.48"/>
    <n v="1095.0028600000005"/>
    <n v="0.15928512475773349"/>
    <s v="Sept-2023"/>
    <d v="2023-09-01T00:00:00"/>
    <s v="Q3-2023"/>
    <s v="Asia → India → Delhi"/>
    <s v="Components"/>
    <s v="Medium"/>
    <d v="2023-02-01T00:00:00"/>
    <n v="7"/>
  </r>
  <r>
    <s v="ORD-2023-517216"/>
    <s v="Original"/>
    <d v="2023-09-19T00:00:00"/>
    <d v="2023-10-08T00:00:00"/>
    <n v="19"/>
    <x v="3"/>
    <s v="India"/>
    <s v="Bengaluru"/>
    <s v="Education"/>
    <x v="2"/>
    <s v="J. Njeri"/>
    <x v="1"/>
    <x v="169"/>
    <n v="385.32"/>
    <n v="606.76"/>
    <n v="8.5999999999999993E-2"/>
    <n v="8"/>
    <n v="4436.6291200000005"/>
    <n v="3082.56"/>
    <n v="1354.0691200000006"/>
    <n v="0.30520223425842735"/>
    <s v="Sept-2023"/>
    <d v="2023-09-01T00:00:00"/>
    <s v="Q3-2023"/>
    <s v="Asia → India → Bengaluru"/>
    <s v="Printers"/>
    <s v="Low"/>
    <d v="2023-02-01T00:00:00"/>
    <n v="7"/>
  </r>
  <r>
    <s v="ORD-2023-842820"/>
    <s v="Original"/>
    <d v="2023-09-20T00:00:00"/>
    <d v="2023-09-28T00:00:00"/>
    <n v="8"/>
    <x v="3"/>
    <s v="India"/>
    <s v="Unknown"/>
    <s v="Corporate"/>
    <x v="5"/>
    <s v="B. Chen"/>
    <x v="3"/>
    <x v="170"/>
    <n v="1362.06"/>
    <n v="3398.37"/>
    <n v="0.157"/>
    <n v="11"/>
    <n v="31513.085009999999"/>
    <n v="14982.66"/>
    <n v="16530.425009999999"/>
    <n v="0.52455749745714919"/>
    <s v="Sept-2023"/>
    <d v="2023-09-01T00:00:00"/>
    <s v="Q3-2023"/>
    <s v="Asia → India → Unknown"/>
    <s v="Accessories"/>
    <s v="High"/>
    <d v="2023-02-01T00:00:00"/>
    <n v="7"/>
  </r>
  <r>
    <s v="ORD-2023-450877"/>
    <s v="Original"/>
    <d v="2023-09-21T00:00:00"/>
    <d v="2023-10-10T00:00:00"/>
    <n v="19"/>
    <x v="3"/>
    <s v="Japan"/>
    <s v="Tokyo"/>
    <s v="Education"/>
    <x v="1"/>
    <s v="D. Smith"/>
    <x v="6"/>
    <x v="171"/>
    <n v="845.63"/>
    <n v="2062.12"/>
    <n v="0.13400000000000001"/>
    <n v="5"/>
    <n v="8928.9795999999988"/>
    <n v="4228.1499999999996"/>
    <n v="4700.8295999999991"/>
    <n v="0.52646884757133949"/>
    <s v="Sept-2023"/>
    <d v="2023-09-01T00:00:00"/>
    <s v="Q3-2023"/>
    <s v="Asia → Japan → Tokyo"/>
    <s v="Components"/>
    <s v="High"/>
    <d v="2023-03-01T00:00:00"/>
    <n v="6"/>
  </r>
  <r>
    <s v="ORD-2023-271918"/>
    <s v="Original"/>
    <d v="2023-09-25T00:00:00"/>
    <d v="2023-10-02T00:00:00"/>
    <n v="7"/>
    <x v="0"/>
    <s v="USA"/>
    <s v="New York"/>
    <s v="Education"/>
    <x v="4"/>
    <s v="I. Johnson"/>
    <x v="3"/>
    <x v="172"/>
    <n v="145.58000000000001"/>
    <n v="228.15"/>
    <n v="0.20399999999999999"/>
    <n v="5"/>
    <n v="908.03700000000003"/>
    <n v="727.90000000000009"/>
    <n v="180.13699999999994"/>
    <n v="0.19838068272548359"/>
    <s v="Sept-2023"/>
    <d v="2023-09-01T00:00:00"/>
    <s v="Q3-2023"/>
    <s v="Americas → USA → New York"/>
    <s v="Accessories"/>
    <s v="Low"/>
    <d v="2023-01-01T00:00:00"/>
    <n v="8"/>
  </r>
  <r>
    <s v="ORD-2023-132101"/>
    <s v="Original"/>
    <d v="2023-09-25T00:00:00"/>
    <d v="2023-10-09T00:00:00"/>
    <n v="14"/>
    <x v="0"/>
    <s v="USA"/>
    <s v="New York"/>
    <s v="Small Business"/>
    <x v="4"/>
    <s v="J. Njeri"/>
    <x v="0"/>
    <x v="173"/>
    <n v="1279.56"/>
    <n v="3083.8"/>
    <n v="0.106"/>
    <n v="5"/>
    <n v="13784.586000000001"/>
    <n v="6397.7999999999993"/>
    <n v="7386.7860000000019"/>
    <n v="0.53587289455047848"/>
    <s v="Sept-2023"/>
    <d v="2023-09-01T00:00:00"/>
    <s v="Q3-2023"/>
    <s v="Americas → USA → New York"/>
    <s v="Laptops"/>
    <s v="High"/>
    <d v="2023-01-01T00:00:00"/>
    <n v="8"/>
  </r>
  <r>
    <s v="ORD-2023-619385"/>
    <s v="Original"/>
    <d v="2023-09-30T00:00:00"/>
    <d v="2023-10-03T00:00:00"/>
    <n v="3"/>
    <x v="3"/>
    <s v="China"/>
    <s v="Beijing"/>
    <s v="Non-Profit"/>
    <x v="3"/>
    <s v="J. Njeri"/>
    <x v="0"/>
    <x v="174"/>
    <n v="1019.36"/>
    <n v="972.91"/>
    <n v="0.14699999999999999"/>
    <n v="17"/>
    <n v="14108.16791"/>
    <n v="17329.12"/>
    <n v="-3220.9520899999989"/>
    <n v="-0.22830406545678819"/>
    <s v="Sept-2023"/>
    <d v="2023-09-01T00:00:00"/>
    <s v="Q3-2023"/>
    <s v="Asia → China → Beijing"/>
    <s v="Laptops"/>
    <s v="Medium"/>
    <d v="2023-01-01T00:00:00"/>
    <n v="8"/>
  </r>
  <r>
    <s v="ORD-2023-568013"/>
    <s v="Original"/>
    <d v="2023-09-30T00:00:00"/>
    <d v="2023-10-30T00:00:00"/>
    <n v="30"/>
    <x v="3"/>
    <s v="Japan"/>
    <s v="Tokyo"/>
    <s v="Enterprise"/>
    <x v="1"/>
    <s v="D. Smith"/>
    <x v="1"/>
    <x v="175"/>
    <n v="649.13"/>
    <n v="975.43"/>
    <n v="0.157"/>
    <n v="27"/>
    <n v="22201.762229999997"/>
    <n v="17526.509999999998"/>
    <n v="4675.2522299999982"/>
    <n v="0.21058023149543473"/>
    <s v="Sept-2023"/>
    <d v="2023-09-01T00:00:00"/>
    <s v="Q3-2023"/>
    <s v="Asia → Japan → Tokyo"/>
    <s v="Printers"/>
    <s v="Medium"/>
    <d v="2023-03-01T00:00:00"/>
    <n v="6"/>
  </r>
  <r>
    <s v="ORD-2023-302041"/>
    <s v="Original"/>
    <d v="2023-10-04T00:00:00"/>
    <d v="2023-10-29T00:00:00"/>
    <n v="25"/>
    <x v="0"/>
    <s v="USA"/>
    <s v="San Francisco"/>
    <s v="Small Business"/>
    <x v="0"/>
    <s v="O. Wang"/>
    <x v="3"/>
    <x v="176"/>
    <n v="1239.8399999999999"/>
    <n v="1482.75"/>
    <n v="6.7000000000000004E-2"/>
    <n v="4"/>
    <n v="5533.6230000000005"/>
    <n v="4959.3599999999997"/>
    <n v="574.26300000000083"/>
    <n v="0.10377703721413634"/>
    <s v="Oct-2023"/>
    <d v="2023-10-01T00:00:00"/>
    <s v="Q4-2023"/>
    <s v="Americas → USA → San Francisco"/>
    <s v="Accessories"/>
    <s v="Medium"/>
    <d v="2023-01-01T00:00:00"/>
    <n v="9"/>
  </r>
  <r>
    <s v="ORD-2023-474313"/>
    <s v="Original"/>
    <d v="2023-10-05T00:00:00"/>
    <d v="2023-10-06T00:00:00"/>
    <n v="1"/>
    <x v="3"/>
    <s v="India"/>
    <s v="Bengaluru"/>
    <s v="Non-Profit"/>
    <x v="1"/>
    <s v="I. Johnson"/>
    <x v="6"/>
    <x v="177"/>
    <n v="1470.26"/>
    <n v="2562.5500000000002"/>
    <n v="0.17299999999999999"/>
    <n v="9"/>
    <n v="19073.059649999999"/>
    <n v="13232.34"/>
    <n v="5840.7196499999991"/>
    <n v="0.30622877279157462"/>
    <s v="Oct-2023"/>
    <d v="2023-10-01T00:00:00"/>
    <s v="Q4-2023"/>
    <s v="Asia → India → Bengaluru"/>
    <s v="Components"/>
    <s v="High"/>
    <d v="2023-02-01T00:00:00"/>
    <n v="8"/>
  </r>
  <r>
    <s v="ORD-2023-166668"/>
    <s v="Original"/>
    <d v="2023-10-05T00:00:00"/>
    <d v="2023-10-31T00:00:00"/>
    <n v="26"/>
    <x v="3"/>
    <s v="China"/>
    <s v="Shanghai"/>
    <s v="Consumer"/>
    <x v="5"/>
    <s v="J. Njeri"/>
    <x v="1"/>
    <x v="178"/>
    <n v="649.91"/>
    <n v="1360.12"/>
    <n v="0.19400000000000001"/>
    <n v="9"/>
    <n v="9866.3104799999983"/>
    <n v="5849.19"/>
    <n v="4017.1204799999987"/>
    <n v="0.40715528749506769"/>
    <s v="Oct-2023"/>
    <d v="2023-10-01T00:00:00"/>
    <s v="Q4-2023"/>
    <s v="Asia → China → Shanghai"/>
    <s v="Printers"/>
    <s v="Medium"/>
    <d v="2023-01-01T00:00:00"/>
    <n v="9"/>
  </r>
  <r>
    <s v="ORD-2023-304451"/>
    <s v="Original"/>
    <d v="2023-10-07T00:00:00"/>
    <d v="2023-10-23T00:00:00"/>
    <n v="16"/>
    <x v="3"/>
    <s v="India"/>
    <s v="Hyderabad"/>
    <s v="Consumer"/>
    <x v="3"/>
    <s v="G. Dubois"/>
    <x v="5"/>
    <x v="179"/>
    <n v="906.81"/>
    <n v="1395.56"/>
    <n v="0.185"/>
    <n v="6"/>
    <n v="6824.2884000000004"/>
    <n v="5440.86"/>
    <n v="1383.4284000000007"/>
    <n v="0.20272126834498974"/>
    <s v="Oct-2023"/>
    <d v="2023-10-01T00:00:00"/>
    <s v="Q4-2023"/>
    <s v="Asia → India → Hyderabad"/>
    <s v="Monitors"/>
    <s v="Medium"/>
    <d v="2023-02-01T00:00:00"/>
    <n v="8"/>
  </r>
  <r>
    <s v="ORD-2023-368449"/>
    <s v="Original"/>
    <d v="2023-10-09T00:00:00"/>
    <d v="2023-10-26T00:00:00"/>
    <n v="17"/>
    <x v="3"/>
    <s v="China"/>
    <s v="Shanghai"/>
    <s v="Consumer"/>
    <x v="4"/>
    <s v="C. Otieno"/>
    <x v="6"/>
    <x v="180"/>
    <n v="1132.03"/>
    <n v="2137.21"/>
    <n v="0.3"/>
    <n v="35"/>
    <n v="52361.645000000004"/>
    <n v="39621.049999999996"/>
    <n v="12740.595000000008"/>
    <n v="0.24331922727026639"/>
    <s v="Oct-2023"/>
    <d v="2023-10-01T00:00:00"/>
    <s v="Q4-2023"/>
    <s v="Asia → China → Shanghai"/>
    <s v="Components"/>
    <s v="High"/>
    <d v="2023-01-01T00:00:00"/>
    <n v="9"/>
  </r>
  <r>
    <s v="ORD-2023-502205"/>
    <s v="Original"/>
    <d v="2023-10-09T00:00:00"/>
    <d v="2023-10-11T00:00:00"/>
    <n v="2"/>
    <x v="1"/>
    <s v="Nigeria"/>
    <s v="Port Harcourt"/>
    <s v="Education"/>
    <x v="4"/>
    <s v="K. Singh"/>
    <x v="4"/>
    <x v="181"/>
    <n v="391.16"/>
    <n v="902.47"/>
    <n v="4.0000000000000001E-3"/>
    <n v="12"/>
    <n v="10786.32144"/>
    <n v="4693.92"/>
    <n v="6092.4014399999996"/>
    <n v="0.56482661618139207"/>
    <s v="Oct-2023"/>
    <d v="2023-10-01T00:00:00"/>
    <s v="Q4-2023"/>
    <s v="Africa → Nigeria → Port Harcourt"/>
    <s v="Networking"/>
    <s v="Medium"/>
    <d v="2023-01-01T00:00:00"/>
    <n v="9"/>
  </r>
  <r>
    <s v="ORD-2023-888140"/>
    <s v="Original"/>
    <d v="2023-10-11T00:00:00"/>
    <d v="2023-10-13T00:00:00"/>
    <n v="2"/>
    <x v="0"/>
    <s v="Brazil"/>
    <s v="Brasília"/>
    <s v="Consumer"/>
    <x v="0"/>
    <s v="Unassigned"/>
    <x v="3"/>
    <x v="182"/>
    <n v="715.94"/>
    <n v="550.07000000000005"/>
    <n v="0.14000000000000001"/>
    <n v="16"/>
    <n v="7568.9632000000001"/>
    <n v="11455.04"/>
    <n v="-3886.0768000000007"/>
    <n v="-0.51342260456491595"/>
    <s v="Oct-2023"/>
    <d v="2023-10-01T00:00:00"/>
    <s v="Q4-2023"/>
    <s v="Americas → Brazil → Brasília"/>
    <s v="Accessories"/>
    <s v="Low"/>
    <d v="2023-01-01T00:00:00"/>
    <n v="9"/>
  </r>
  <r>
    <s v="ORD-2023-623293"/>
    <s v="Original"/>
    <d v="2023-10-12T00:00:00"/>
    <d v="2023-10-29T00:00:00"/>
    <n v="17"/>
    <x v="3"/>
    <s v="Japan"/>
    <s v="Nagoya"/>
    <s v="Non-Profit"/>
    <x v="2"/>
    <s v="H. Kim"/>
    <x v="2"/>
    <x v="183"/>
    <n v="1102.19"/>
    <n v="1711.16"/>
    <n v="0.151"/>
    <n v="10"/>
    <n v="14527.748400000002"/>
    <n v="11021.900000000001"/>
    <n v="3505.8484000000008"/>
    <n v="0.24132083675127525"/>
    <s v="Oct-2023"/>
    <d v="2023-10-01T00:00:00"/>
    <s v="Q4-2023"/>
    <s v="Asia → Japan → Nagoya"/>
    <s v="Phones"/>
    <s v="High"/>
    <d v="2023-03-01T00:00:00"/>
    <n v="7"/>
  </r>
  <r>
    <s v="ORD-2023-925146"/>
    <s v="Original"/>
    <d v="2023-10-15T00:00:00"/>
    <d v="2023-11-13T00:00:00"/>
    <n v="29"/>
    <x v="3"/>
    <s v="China"/>
    <s v="Shenzhen"/>
    <s v="Non-Profit"/>
    <x v="0"/>
    <s v="J. Njeri"/>
    <x v="1"/>
    <x v="184"/>
    <n v="986.44"/>
    <n v="790.61"/>
    <n v="7.1999999999999995E-2"/>
    <n v="6"/>
    <n v="4402.1164799999997"/>
    <n v="5918.64"/>
    <n v="-1516.5235200000006"/>
    <n v="-0.34449872621271499"/>
    <s v="Oct-2023"/>
    <d v="2023-10-01T00:00:00"/>
    <s v="Q4-2023"/>
    <s v="Asia → China → Shenzhen"/>
    <s v="Printers"/>
    <s v="Low"/>
    <d v="2023-01-01T00:00:00"/>
    <n v="9"/>
  </r>
  <r>
    <s v="ORD-2023-378104"/>
    <s v="Original"/>
    <d v="2023-10-18T00:00:00"/>
    <d v="2023-10-20T00:00:00"/>
    <n v="2"/>
    <x v="1"/>
    <s v="Kenya"/>
    <s v="Kisumu"/>
    <s v="Consumer"/>
    <x v="3"/>
    <s v="J. Njeri"/>
    <x v="2"/>
    <x v="185"/>
    <n v="774.12"/>
    <n v="908.3"/>
    <n v="0"/>
    <n v="30"/>
    <n v="27249"/>
    <n v="23223.599999999999"/>
    <n v="4025.4000000000015"/>
    <n v="0.14772652207420461"/>
    <s v="Oct-2023"/>
    <d v="2023-10-01T00:00:00"/>
    <s v="Q4-2023"/>
    <s v="Africa → Kenya → Kisumu"/>
    <s v="Phones"/>
    <s v="Medium"/>
    <d v="2023-01-01T00:00:00"/>
    <n v="9"/>
  </r>
  <r>
    <s v="ORD-2023-667815"/>
    <s v="Original"/>
    <d v="2023-10-21T00:00:00"/>
    <d v="2023-11-09T00:00:00"/>
    <n v="19"/>
    <x v="2"/>
    <s v="United Kingdom"/>
    <s v="London"/>
    <s v="Non-Profit"/>
    <x v="2"/>
    <s v="A. Patel"/>
    <x v="3"/>
    <x v="186"/>
    <n v="1142.48"/>
    <n v="2105.5300000000002"/>
    <n v="0.20699999999999999"/>
    <n v="14"/>
    <n v="23375.594060000003"/>
    <n v="15994.720000000001"/>
    <n v="7380.8740600000019"/>
    <n v="0.31575129346680658"/>
    <s v="Oct-2023"/>
    <d v="2023-10-01T00:00:00"/>
    <s v="Q4-2023"/>
    <s v="Europe → United Kingdom → London"/>
    <s v="Accessories"/>
    <s v="High"/>
    <d v="2023-01-01T00:00:00"/>
    <n v="9"/>
  </r>
  <r>
    <s v="ORD-2023-659070"/>
    <s v="Original"/>
    <d v="2023-10-21T00:00:00"/>
    <d v="2023-10-27T00:00:00"/>
    <n v="6"/>
    <x v="2"/>
    <s v="United Kingdom"/>
    <s v="Manchester"/>
    <s v="Enterprise"/>
    <x v="0"/>
    <s v="J. Njeri"/>
    <x v="5"/>
    <x v="187"/>
    <n v="384.19"/>
    <n v="278.35000000000002"/>
    <n v="5.6000000000000001E-2"/>
    <n v="10"/>
    <n v="2627.6239999999998"/>
    <n v="3841.9"/>
    <n v="-1214.2760000000003"/>
    <n v="-0.46211938998882657"/>
    <s v="Oct-2023"/>
    <d v="2023-10-01T00:00:00"/>
    <s v="Q4-2023"/>
    <s v="Europe → United Kingdom → Manchester"/>
    <s v="Monitors"/>
    <s v="Low"/>
    <d v="2023-01-01T00:00:00"/>
    <n v="9"/>
  </r>
  <r>
    <s v="ORD-2023-163610"/>
    <s v="Original"/>
    <d v="2023-10-22T00:00:00"/>
    <d v="2023-11-16T00:00:00"/>
    <n v="25"/>
    <x v="0"/>
    <s v="Canada"/>
    <s v="Toronto"/>
    <s v="Small Business"/>
    <x v="4"/>
    <s v="I. Johnson"/>
    <x v="0"/>
    <x v="188"/>
    <n v="1373.31"/>
    <n v="3154.14"/>
    <n v="0.2"/>
    <n v="11"/>
    <n v="27756.432000000001"/>
    <n v="15106.41"/>
    <n v="12650.022000000001"/>
    <n v="0.45575101295440279"/>
    <s v="Oct-2023"/>
    <d v="2023-10-01T00:00:00"/>
    <s v="Q4-2023"/>
    <s v="Americas → Canada → Toronto"/>
    <s v="Laptops"/>
    <s v="High"/>
    <d v="2023-01-01T00:00:00"/>
    <n v="9"/>
  </r>
  <r>
    <s v="ORD-2023-597666"/>
    <s v="Original"/>
    <d v="2023-10-25T00:00:00"/>
    <d v="2023-11-24T00:00:00"/>
    <n v="30"/>
    <x v="2"/>
    <s v="France"/>
    <s v="Paris"/>
    <s v="Enterprise"/>
    <x v="0"/>
    <s v="C. Otieno"/>
    <x v="2"/>
    <x v="189"/>
    <n v="287.85000000000002"/>
    <n v="602.91999999999996"/>
    <n v="0.222"/>
    <n v="11"/>
    <n v="5159.7893599999998"/>
    <n v="3166.3500000000004"/>
    <n v="1993.4393599999994"/>
    <n v="0.38634122847216373"/>
    <s v="Oct-2023"/>
    <d v="2023-10-01T00:00:00"/>
    <s v="Q4-2023"/>
    <s v="Europe → France → Paris"/>
    <s v="Phones"/>
    <s v="Low"/>
    <d v="2023-01-01T00:00:00"/>
    <n v="9"/>
  </r>
  <r>
    <s v="ORD-2023-406606"/>
    <s v="Original"/>
    <d v="2023-10-25T00:00:00"/>
    <d v="2023-10-28T00:00:00"/>
    <n v="3"/>
    <x v="0"/>
    <s v="Brazil"/>
    <s v="Brasília"/>
    <s v="Corporate"/>
    <x v="0"/>
    <s v="L. Okafor"/>
    <x v="3"/>
    <x v="190"/>
    <n v="509.31"/>
    <n v="1145.9000000000001"/>
    <n v="5.7000000000000002E-2"/>
    <n v="8"/>
    <n v="8644.6696000000011"/>
    <n v="4074.48"/>
    <n v="4570.1896000000015"/>
    <n v="0.52867140231709964"/>
    <s v="Oct-2023"/>
    <d v="2023-10-01T00:00:00"/>
    <s v="Q4-2023"/>
    <s v="Americas → Brazil → Brasília"/>
    <s v="Accessories"/>
    <s v="Medium"/>
    <d v="2023-01-01T00:00:00"/>
    <n v="9"/>
  </r>
  <r>
    <s v="ORD-2023-835226"/>
    <s v="Original"/>
    <d v="2023-10-26T00:00:00"/>
    <d v="2023-11-05T00:00:00"/>
    <n v="10"/>
    <x v="1"/>
    <s v="South Africa"/>
    <s v="Cape Town"/>
    <s v="Non-Profit"/>
    <x v="1"/>
    <s v="I. Johnson"/>
    <x v="0"/>
    <x v="191"/>
    <n v="20.38"/>
    <n v="42.56"/>
    <n v="7.1999999999999995E-2"/>
    <n v="11"/>
    <n v="434.45248000000004"/>
    <n v="224.17999999999998"/>
    <n v="210.27248000000006"/>
    <n v="0.48399419885921713"/>
    <s v="Oct-2023"/>
    <d v="2023-10-01T00:00:00"/>
    <s v="Q4-2023"/>
    <s v="Africa → South Africa → Cape Town"/>
    <s v="Laptops"/>
    <s v="Low"/>
    <d v="2023-01-01T00:00:00"/>
    <n v="9"/>
  </r>
  <r>
    <s v="ORD-2023-211715"/>
    <s v="Original"/>
    <d v="2023-10-30T00:00:00"/>
    <d v="2023-11-14T00:00:00"/>
    <n v="15"/>
    <x v="3"/>
    <s v="India"/>
    <s v="Bengaluru"/>
    <s v="Corporate"/>
    <x v="1"/>
    <s v="F. Müller"/>
    <x v="0"/>
    <x v="192"/>
    <n v="953.46"/>
    <n v="2066.75"/>
    <n v="0.13800000000000001"/>
    <n v="5"/>
    <n v="8907.6924999999992"/>
    <n v="4767.3"/>
    <n v="4140.392499999999"/>
    <n v="0.46481089238318446"/>
    <s v="Oct-2023"/>
    <d v="2023-10-01T00:00:00"/>
    <s v="Q4-2023"/>
    <s v="Asia → India → Bengaluru"/>
    <s v="Laptops"/>
    <s v="High"/>
    <d v="2023-02-01T00:00:00"/>
    <n v="8"/>
  </r>
  <r>
    <s v="ORD-2023-842488"/>
    <s v="Original"/>
    <d v="2023-10-31T00:00:00"/>
    <d v="2023-11-02T00:00:00"/>
    <n v="2"/>
    <x v="1"/>
    <s v="Kenya"/>
    <s v="Kisumu"/>
    <s v="Education"/>
    <x v="3"/>
    <s v="O. Wang"/>
    <x v="3"/>
    <x v="193"/>
    <n v="867.89"/>
    <n v="1349.94"/>
    <n v="0.184"/>
    <n v="10"/>
    <n v="11015.510400000003"/>
    <n v="8678.9"/>
    <n v="2336.6104000000032"/>
    <n v="0.21212003031652557"/>
    <s v="Oct-2023"/>
    <d v="2023-10-01T00:00:00"/>
    <s v="Q4-2023"/>
    <s v="Africa → Kenya → Kisumu"/>
    <s v="Accessories"/>
    <s v="Medium"/>
    <d v="2023-01-01T00:00:00"/>
    <n v="9"/>
  </r>
  <r>
    <s v="ORD-2023-653343"/>
    <s v="Original"/>
    <d v="2023-11-10T00:00:00"/>
    <d v="2023-11-28T00:00:00"/>
    <n v="18"/>
    <x v="0"/>
    <s v="Brazil"/>
    <s v="Brasília"/>
    <s v="Education"/>
    <x v="4"/>
    <s v="L. Okafor"/>
    <x v="3"/>
    <x v="194"/>
    <n v="388.51"/>
    <n v="776.46"/>
    <n v="0.157"/>
    <n v="12"/>
    <n v="7854.6693599999999"/>
    <n v="4662.12"/>
    <n v="3192.54936"/>
    <n v="0.40645241876864946"/>
    <s v="Nov-2023"/>
    <d v="2023-11-01T00:00:00"/>
    <s v="Q4-2023"/>
    <s v="Americas → Brazil → Brasília"/>
    <s v="Accessories"/>
    <s v="Low"/>
    <d v="2023-01-01T00:00:00"/>
    <n v="10"/>
  </r>
  <r>
    <s v="ORD-2023-619570"/>
    <s v="Original"/>
    <d v="2023-11-14T00:00:00"/>
    <d v="2023-11-30T00:00:00"/>
    <n v="16"/>
    <x v="0"/>
    <s v="Brazil"/>
    <s v="São Paulo"/>
    <s v="Enterprise"/>
    <x v="2"/>
    <s v="K. Singh"/>
    <x v="4"/>
    <x v="195"/>
    <n v="1017.92"/>
    <n v="1175.25"/>
    <n v="7.4999999999999997E-2"/>
    <n v="15"/>
    <n v="16306.59375"/>
    <n v="15268.8"/>
    <n v="1037.7937500000007"/>
    <n v="6.3642583234159542E-2"/>
    <s v="Nov-2023"/>
    <d v="2023-11-01T00:00:00"/>
    <s v="Q4-2023"/>
    <s v="Americas → Brazil → São Paulo"/>
    <s v="Networking"/>
    <s v="Medium"/>
    <d v="2023-01-01T00:00:00"/>
    <n v="10"/>
  </r>
  <r>
    <s v="ORD-2023-181257"/>
    <s v="Original"/>
    <d v="2023-11-15T00:00:00"/>
    <d v="2023-12-06T00:00:00"/>
    <n v="21"/>
    <x v="2"/>
    <s v="United Kingdom"/>
    <s v="Manchester"/>
    <s v="Education"/>
    <x v="2"/>
    <s v="H. Kim"/>
    <x v="3"/>
    <x v="196"/>
    <n v="1184.99"/>
    <n v="1154.3399999999999"/>
    <n v="2.8000000000000001E-2"/>
    <n v="5"/>
    <n v="5610.0923999999995"/>
    <n v="5924.95"/>
    <n v="-314.85760000000028"/>
    <n v="-5.6123424990290764E-2"/>
    <s v="Nov-2023"/>
    <d v="2023-11-01T00:00:00"/>
    <s v="Q4-2023"/>
    <s v="Europe → United Kingdom → Manchester"/>
    <s v="Accessories"/>
    <s v="Medium"/>
    <d v="2023-01-01T00:00:00"/>
    <n v="10"/>
  </r>
  <r>
    <s v="ORD-2023-576840"/>
    <s v="Original"/>
    <d v="2023-11-19T00:00:00"/>
    <d v="2023-12-13T00:00:00"/>
    <n v="24"/>
    <x v="2"/>
    <s v="France"/>
    <s v="Lyon"/>
    <s v="Non-Profit"/>
    <x v="2"/>
    <s v="H. Kim"/>
    <x v="5"/>
    <x v="197"/>
    <n v="1297.42"/>
    <n v="2742.97"/>
    <n v="6.9000000000000006E-2"/>
    <n v="9"/>
    <n v="22983.34563"/>
    <n v="11676.78"/>
    <n v="11306.565629999999"/>
    <n v="0.49194602961727291"/>
    <s v="Nov-2023"/>
    <d v="2023-11-01T00:00:00"/>
    <s v="Q4-2023"/>
    <s v="Europe → France → Lyon"/>
    <s v="Monitors"/>
    <s v="High"/>
    <d v="2023-01-01T00:00:00"/>
    <n v="10"/>
  </r>
  <r>
    <s v="ORD-2023-561823"/>
    <s v="Original"/>
    <d v="2023-11-19T00:00:00"/>
    <d v="2023-12-12T00:00:00"/>
    <n v="23"/>
    <x v="3"/>
    <s v="India"/>
    <s v="Delhi"/>
    <s v="Small Business"/>
    <x v="2"/>
    <s v="C. Otieno"/>
    <x v="4"/>
    <x v="198"/>
    <n v="1349.04"/>
    <n v="2636.6"/>
    <n v="0.114"/>
    <n v="14"/>
    <n v="32704.386400000003"/>
    <n v="18886.559999999998"/>
    <n v="13817.826400000005"/>
    <n v="0.42250682312143928"/>
    <s v="Nov-2023"/>
    <d v="2023-11-01T00:00:00"/>
    <s v="Q4-2023"/>
    <s v="Asia → India → Delhi"/>
    <s v="Networking"/>
    <s v="High"/>
    <d v="2023-02-01T00:00:00"/>
    <n v="9"/>
  </r>
  <r>
    <s v="ORD-2023-455933"/>
    <s v="Original"/>
    <d v="2023-11-19T00:00:00"/>
    <d v="2023-12-19T00:00:00"/>
    <n v="30"/>
    <x v="3"/>
    <s v="Japan"/>
    <s v="Nagoya"/>
    <s v="Consumer"/>
    <x v="3"/>
    <s v="Unassigned"/>
    <x v="2"/>
    <x v="199"/>
    <n v="807.11"/>
    <n v="1853.86"/>
    <n v="0.13900000000000001"/>
    <n v="8"/>
    <n v="12769.38768"/>
    <n v="6456.88"/>
    <n v="6312.5076799999997"/>
    <n v="0.49434693645388639"/>
    <s v="Nov-2023"/>
    <d v="2023-11-01T00:00:00"/>
    <s v="Q4-2023"/>
    <s v="Asia → Japan → Nagoya"/>
    <s v="Phones"/>
    <s v="High"/>
    <d v="2023-03-01T00:00:00"/>
    <n v="8"/>
  </r>
  <r>
    <s v="ORD-2023-975863"/>
    <s v="Original"/>
    <d v="2023-11-20T00:00:00"/>
    <d v="2023-12-05T00:00:00"/>
    <n v="15"/>
    <x v="3"/>
    <s v="Japan"/>
    <s v="Tokyo"/>
    <s v="Enterprise"/>
    <x v="3"/>
    <s v="L. Okafor"/>
    <x v="4"/>
    <x v="200"/>
    <n v="354.24"/>
    <n v="249.87"/>
    <n v="0"/>
    <n v="6"/>
    <n v="1499.22"/>
    <n v="2125.44"/>
    <n v="-626.22"/>
    <n v="-0.41769720254532355"/>
    <s v="Nov-2023"/>
    <d v="2023-11-01T00:00:00"/>
    <s v="Q4-2023"/>
    <s v="Asia → Japan → Tokyo"/>
    <s v="Networking"/>
    <s v="Low"/>
    <d v="2023-03-01T00:00:00"/>
    <n v="8"/>
  </r>
  <r>
    <s v="ORD-2023-964434"/>
    <s v="Original"/>
    <d v="2023-11-28T00:00:00"/>
    <d v="2023-12-07T00:00:00"/>
    <n v="9"/>
    <x v="3"/>
    <s v="India"/>
    <s v="Delhi"/>
    <s v="Enterprise"/>
    <x v="4"/>
    <s v="L. Okafor"/>
    <x v="2"/>
    <x v="201"/>
    <n v="699.33"/>
    <n v="873.75"/>
    <n v="0.23499999999999999"/>
    <n v="10"/>
    <n v="6684.1875"/>
    <n v="6993.3"/>
    <n v="-309.11250000000018"/>
    <n v="-4.6245336475076469E-2"/>
    <s v="Nov-2023"/>
    <d v="2023-11-01T00:00:00"/>
    <s v="Q4-2023"/>
    <s v="Asia → India → Delhi"/>
    <s v="Phones"/>
    <s v="Medium"/>
    <d v="2023-02-01T00:00:00"/>
    <n v="9"/>
  </r>
  <r>
    <s v="ORD-2023-825495"/>
    <s v="Original"/>
    <d v="2023-11-30T00:00:00"/>
    <d v="2023-12-07T00:00:00"/>
    <n v="7"/>
    <x v="1"/>
    <s v="South Africa"/>
    <s v="Durban"/>
    <s v="Small Business"/>
    <x v="4"/>
    <s v="E. Garcia"/>
    <x v="0"/>
    <x v="202"/>
    <n v="275.56"/>
    <n v="630.72"/>
    <n v="0.107"/>
    <n v="23"/>
    <n v="12954.358080000002"/>
    <n v="6337.88"/>
    <n v="6616.4780800000017"/>
    <n v="0.5107530638831933"/>
    <s v="Nov-2023"/>
    <d v="2023-11-01T00:00:00"/>
    <s v="Q4-2023"/>
    <s v="Africa → South Africa → Durban"/>
    <s v="Laptops"/>
    <s v="Low"/>
    <d v="2023-01-01T00:00:00"/>
    <n v="10"/>
  </r>
  <r>
    <s v="ORD-2023-191563"/>
    <s v="Original"/>
    <d v="2023-11-30T00:00:00"/>
    <d v="2023-12-10T00:00:00"/>
    <n v="10"/>
    <x v="2"/>
    <s v="Germany"/>
    <s v="Munich"/>
    <s v="Small Business"/>
    <x v="2"/>
    <s v="F. Müller"/>
    <x v="0"/>
    <x v="203"/>
    <n v="174.74"/>
    <n v="415.96"/>
    <n v="0.125"/>
    <n v="21"/>
    <n v="7643.2649999999994"/>
    <n v="3669.54"/>
    <n v="3973.7249999999995"/>
    <n v="0.51989889137691803"/>
    <s v="Nov-2023"/>
    <d v="2023-11-01T00:00:00"/>
    <s v="Q4-2023"/>
    <s v="Europe → Germany → Munich"/>
    <s v="Laptops"/>
    <s v="Low"/>
    <d v="2023-01-01T00:00:00"/>
    <n v="10"/>
  </r>
  <r>
    <s v="ORD-2023-573146"/>
    <s v="Original"/>
    <d v="2023-12-01T00:00:00"/>
    <d v="2023-12-18T00:00:00"/>
    <n v="17"/>
    <x v="3"/>
    <s v="Japan"/>
    <s v="Nagoya"/>
    <s v="Small Business"/>
    <x v="2"/>
    <s v="N. Brown"/>
    <x v="0"/>
    <x v="204"/>
    <n v="1495.79"/>
    <n v="2783.12"/>
    <n v="0.02"/>
    <n v="5"/>
    <n v="13637.287999999999"/>
    <n v="7478.95"/>
    <n v="6158.3379999999988"/>
    <n v="0.45158084217331185"/>
    <s v="Dec-2023"/>
    <d v="2023-12-01T00:00:00"/>
    <s v="Q4-2023"/>
    <s v="Asia → Japan → Nagoya"/>
    <s v="Laptops"/>
    <s v="High"/>
    <d v="2023-03-01T00:00:00"/>
    <n v="9"/>
  </r>
  <r>
    <s v="ORD-2023-212701"/>
    <s v="Original"/>
    <d v="2023-12-02T00:00:00"/>
    <d v="2023-12-16T00:00:00"/>
    <n v="14"/>
    <x v="2"/>
    <s v="Germany"/>
    <s v="Frankfurt"/>
    <s v="Education"/>
    <x v="2"/>
    <s v="N. Brown"/>
    <x v="5"/>
    <x v="205"/>
    <n v="879.08"/>
    <n v="1093.3900000000001"/>
    <n v="0.113"/>
    <n v="17"/>
    <n v="16487.22781"/>
    <n v="14944.36"/>
    <n v="1542.8678099999997"/>
    <n v="9.3579577341935186E-2"/>
    <s v="Dec-2023"/>
    <d v="2023-12-01T00:00:00"/>
    <s v="Q4-2023"/>
    <s v="Europe → Germany → Frankfurt"/>
    <s v="Monitors"/>
    <s v="Medium"/>
    <d v="2023-01-01T00:00:00"/>
    <n v="11"/>
  </r>
  <r>
    <s v="ORD-2023-239789"/>
    <s v="Original"/>
    <d v="2023-12-03T00:00:00"/>
    <d v="2023-12-26T00:00:00"/>
    <n v="23"/>
    <x v="0"/>
    <s v="Brazil"/>
    <s v="Rio de Janeiro"/>
    <s v="Education"/>
    <x v="3"/>
    <s v="O. Wang"/>
    <x v="2"/>
    <x v="206"/>
    <n v="1303.1099999999999"/>
    <n v="1145.67"/>
    <n v="0.184"/>
    <n v="13"/>
    <n v="12153.267360000002"/>
    <n v="16940.43"/>
    <n v="-4787.1626399999986"/>
    <n v="-0.39389922875851208"/>
    <s v="Dec-2023"/>
    <d v="2023-12-01T00:00:00"/>
    <s v="Q4-2023"/>
    <s v="Americas → Brazil → Rio de Janeiro"/>
    <s v="Phones"/>
    <s v="Medium"/>
    <d v="2023-01-01T00:00:00"/>
    <n v="11"/>
  </r>
  <r>
    <s v="ORD-2023-581799"/>
    <s v="Original"/>
    <d v="2023-12-05T00:00:00"/>
    <d v="2023-12-12T00:00:00"/>
    <n v="7"/>
    <x v="0"/>
    <s v="Brazil"/>
    <s v="Brasília"/>
    <s v="Corporate"/>
    <x v="2"/>
    <s v="F. Müller"/>
    <x v="2"/>
    <x v="207"/>
    <n v="307.43"/>
    <n v="495.19"/>
    <n v="0"/>
    <n v="42"/>
    <n v="20797.98"/>
    <n v="12912.06"/>
    <n v="7885.92"/>
    <n v="0.37916759223732305"/>
    <s v="Dec-2023"/>
    <d v="2023-12-01T00:00:00"/>
    <s v="Q4-2023"/>
    <s v="Americas → Brazil → Brasília"/>
    <s v="Phones"/>
    <s v="Low"/>
    <d v="2023-01-01T00:00:00"/>
    <n v="11"/>
  </r>
  <r>
    <s v="ORD-2023-824839"/>
    <s v="Original"/>
    <d v="2023-12-06T00:00:00"/>
    <d v="2023-12-31T00:00:00"/>
    <n v="25"/>
    <x v="3"/>
    <s v="Japan"/>
    <s v="Osaka"/>
    <s v="Consumer"/>
    <x v="3"/>
    <s v="L. Okafor"/>
    <x v="1"/>
    <x v="208"/>
    <n v="663.03"/>
    <n v="813.51"/>
    <n v="0.10199999999999999"/>
    <n v="15"/>
    <n v="10957.9797"/>
    <n v="9945.4499999999989"/>
    <n v="1012.529700000001"/>
    <n v="9.2401129379715952E-2"/>
    <s v="Dec-2023"/>
    <d v="2023-12-01T00:00:00"/>
    <s v="Q4-2023"/>
    <s v="Asia → Japan → Osaka"/>
    <s v="Printers"/>
    <s v="Low"/>
    <d v="2023-03-01T00:00:00"/>
    <n v="9"/>
  </r>
  <r>
    <s v="ORD-2023-596758"/>
    <s v="Original"/>
    <d v="2023-12-07T00:00:00"/>
    <d v="2023-12-14T00:00:00"/>
    <n v="7"/>
    <x v="3"/>
    <s v="Japan"/>
    <s v="Tokyo"/>
    <s v="Non-Profit"/>
    <x v="4"/>
    <s v="H. Kim"/>
    <x v="1"/>
    <x v="209"/>
    <n v="1097.5899999999999"/>
    <n v="845.55"/>
    <n v="0.184"/>
    <n v="6"/>
    <n v="4139.8127999999997"/>
    <n v="6585.5399999999991"/>
    <n v="-2445.7271999999994"/>
    <n v="-0.59078207594314402"/>
    <s v="Dec-2023"/>
    <d v="2023-12-01T00:00:00"/>
    <s v="Q4-2023"/>
    <s v="Asia → Japan → Tokyo"/>
    <s v="Printers"/>
    <s v="Medium"/>
    <d v="2023-03-01T00:00:00"/>
    <n v="9"/>
  </r>
  <r>
    <s v="ORD-2023-961864"/>
    <s v="Original"/>
    <d v="2023-12-07T00:00:00"/>
    <d v="2024-01-02T00:00:00"/>
    <n v="26"/>
    <x v="2"/>
    <s v="Germany"/>
    <s v="Frankfurt"/>
    <s v="Enterprise"/>
    <x v="0"/>
    <s v="E. Garcia"/>
    <x v="6"/>
    <x v="210"/>
    <n v="1071.99"/>
    <n v="2397.3000000000002"/>
    <n v="6.2E-2"/>
    <n v="18"/>
    <n v="40476.013200000001"/>
    <n v="19295.82"/>
    <n v="21180.193200000002"/>
    <n v="0.52327765324476183"/>
    <s v="Dec-2023"/>
    <d v="2023-12-01T00:00:00"/>
    <s v="Q4-2023"/>
    <s v="Europe → Germany → Frankfurt"/>
    <s v="Components"/>
    <s v="High"/>
    <d v="2023-01-01T00:00:00"/>
    <n v="11"/>
  </r>
  <r>
    <s v="ORD-2023-674887"/>
    <s v="Original"/>
    <d v="2023-12-16T00:00:00"/>
    <d v="2023-12-19T00:00:00"/>
    <n v="3"/>
    <x v="3"/>
    <s v="China"/>
    <s v="Beijing"/>
    <s v="Education"/>
    <x v="3"/>
    <s v="A. Patel"/>
    <x v="3"/>
    <x v="211"/>
    <n v="1415.05"/>
    <n v="1972.38"/>
    <n v="0"/>
    <n v="12"/>
    <n v="23668.560000000001"/>
    <n v="16980.599999999999"/>
    <n v="6687.9600000000028"/>
    <n v="0.28256725377462771"/>
    <s v="Dec-2023"/>
    <d v="2023-12-01T00:00:00"/>
    <s v="Q4-2023"/>
    <s v="Asia → China → Beijing"/>
    <s v="Accessories"/>
    <s v="High"/>
    <d v="2023-01-01T00:00:00"/>
    <n v="11"/>
  </r>
  <r>
    <s v="ORD-2023-728177"/>
    <s v="Original"/>
    <d v="2023-12-18T00:00:00"/>
    <d v="2024-01-14T00:00:00"/>
    <n v="27"/>
    <x v="3"/>
    <s v="India"/>
    <s v="Mumbai"/>
    <s v="Consumer"/>
    <x v="0"/>
    <s v="D. Smith"/>
    <x v="4"/>
    <x v="212"/>
    <n v="1408.3"/>
    <n v="2193.13"/>
    <n v="7.0999999999999994E-2"/>
    <n v="7"/>
    <n v="14261.92439"/>
    <n v="9858.1"/>
    <n v="4403.8243899999998"/>
    <n v="0.30878191957656281"/>
    <s v="Dec-2023"/>
    <d v="2023-12-01T00:00:00"/>
    <s v="Q4-2023"/>
    <s v="Asia → India → Mumbai"/>
    <s v="Networking"/>
    <s v="High"/>
    <d v="2023-02-01T00:00:00"/>
    <n v="10"/>
  </r>
  <r>
    <s v="ORD-2023-195665"/>
    <s v="Original"/>
    <d v="2023-12-19T00:00:00"/>
    <d v="2023-12-20T00:00:00"/>
    <n v="1"/>
    <x v="0"/>
    <s v="Brazil"/>
    <s v="Rio de Janeiro"/>
    <s v="Consumer"/>
    <x v="0"/>
    <s v="J. Njeri"/>
    <x v="2"/>
    <x v="213"/>
    <n v="1080.43"/>
    <n v="2529.15"/>
    <n v="0.14699999999999999"/>
    <n v="10"/>
    <n v="21573.6495"/>
    <n v="10804.300000000001"/>
    <n v="10769.349499999998"/>
    <n v="0.49918997247081437"/>
    <s v="Dec-2023"/>
    <d v="2023-12-01T00:00:00"/>
    <s v="Q4-2023"/>
    <s v="Americas → Brazil → Rio de Janeiro"/>
    <s v="Phones"/>
    <s v="High"/>
    <d v="2023-01-01T00:00:00"/>
    <n v="11"/>
  </r>
  <r>
    <s v="ORD-2023-126505"/>
    <s v="Original"/>
    <d v="2023-12-19T00:00:00"/>
    <d v="2024-01-01T00:00:00"/>
    <n v="13"/>
    <x v="0"/>
    <s v="Canada"/>
    <s v="Toronto"/>
    <s v="Enterprise"/>
    <x v="3"/>
    <s v="K. Singh"/>
    <x v="5"/>
    <x v="214"/>
    <n v="856.1"/>
    <n v="901.48"/>
    <n v="5.6000000000000001E-2"/>
    <n v="17"/>
    <n v="14466.95104"/>
    <n v="14553.7"/>
    <n v="-86.748960000000807"/>
    <n v="-5.9963540182134192E-3"/>
    <s v="Dec-2023"/>
    <d v="2023-12-01T00:00:00"/>
    <s v="Q4-2023"/>
    <s v="Americas → Canada → Toronto"/>
    <s v="Monitors"/>
    <s v="Medium"/>
    <d v="2023-01-01T00:00:00"/>
    <n v="11"/>
  </r>
  <r>
    <s v="ORD-2023-431328"/>
    <s v="Original"/>
    <d v="2023-12-20T00:00:00"/>
    <d v="2024-01-14T00:00:00"/>
    <n v="25"/>
    <x v="3"/>
    <s v="India"/>
    <s v="Mumbai"/>
    <s v="Non-Profit"/>
    <x v="4"/>
    <s v="L. Okafor"/>
    <x v="5"/>
    <x v="215"/>
    <n v="1085.6099999999999"/>
    <n v="1246.4100000000001"/>
    <n v="0.113"/>
    <n v="7"/>
    <n v="7738.9596900000006"/>
    <n v="7599.2699999999995"/>
    <n v="139.68969000000106"/>
    <n v="1.8050189637310417E-2"/>
    <s v="Dec-2023"/>
    <d v="2023-12-01T00:00:00"/>
    <s v="Q4-2023"/>
    <s v="Asia → India → Mumbai"/>
    <s v="Monitors"/>
    <s v="Medium"/>
    <d v="2023-02-01T00:00:00"/>
    <n v="10"/>
  </r>
  <r>
    <s v="ORD-2023-208944"/>
    <s v="Original"/>
    <d v="2023-12-21T00:00:00"/>
    <d v="2024-01-06T00:00:00"/>
    <n v="16"/>
    <x v="1"/>
    <s v="Nigeria"/>
    <s v="Unknown"/>
    <s v="Corporate"/>
    <x v="4"/>
    <s v="K. Singh"/>
    <x v="6"/>
    <x v="216"/>
    <n v="932.61"/>
    <n v="1982.98"/>
    <n v="0.14399999999999999"/>
    <n v="16"/>
    <n v="27158.894079999998"/>
    <n v="14921.76"/>
    <n v="12237.134079999998"/>
    <n v="0.45057556629345635"/>
    <s v="Dec-2023"/>
    <d v="2023-12-01T00:00:00"/>
    <s v="Q4-2023"/>
    <s v="Africa → Nigeria → Unknown"/>
    <s v="Components"/>
    <s v="High"/>
    <d v="2023-01-01T00:00:00"/>
    <n v="11"/>
  </r>
  <r>
    <s v="ORD-2023-841426"/>
    <s v="Original"/>
    <d v="2023-12-22T00:00:00"/>
    <d v="2023-12-23T00:00:00"/>
    <n v="1"/>
    <x v="1"/>
    <s v="South Africa"/>
    <s v="Cape Town"/>
    <s v="Non-Profit"/>
    <x v="4"/>
    <s v="D. Smith"/>
    <x v="6"/>
    <x v="217"/>
    <n v="1186.18"/>
    <n v="1285.0899999999999"/>
    <n v="7.0000000000000007E-2"/>
    <n v="11"/>
    <n v="13146.470699999998"/>
    <n v="13047.980000000001"/>
    <n v="98.49069999999665"/>
    <n v="7.4917977796121861E-3"/>
    <s v="Dec-2023"/>
    <d v="2023-12-01T00:00:00"/>
    <s v="Q4-2023"/>
    <s v="Africa → South Africa → Cape Town"/>
    <s v="Components"/>
    <s v="Medium"/>
    <d v="2023-01-01T00:00:00"/>
    <n v="11"/>
  </r>
  <r>
    <s v="ORD-2023-249805"/>
    <s v="Original"/>
    <d v="2023-12-22T00:00:00"/>
    <d v="2024-01-16T00:00:00"/>
    <n v="25"/>
    <x v="3"/>
    <s v="India"/>
    <s v="Hyderabad"/>
    <s v="Small Business"/>
    <x v="3"/>
    <s v="A. Patel"/>
    <x v="6"/>
    <x v="218"/>
    <n v="1346.81"/>
    <n v="978.09"/>
    <n v="0.159"/>
    <n v="17"/>
    <n v="13983.752729999998"/>
    <n v="22895.77"/>
    <n v="-8912.0172700000021"/>
    <n v="-0.6373122753293996"/>
    <s v="Dec-2023"/>
    <d v="2023-12-01T00:00:00"/>
    <s v="Q4-2023"/>
    <s v="Asia → India → Hyderabad"/>
    <s v="Components"/>
    <s v="Medium"/>
    <d v="2023-02-01T00:00:00"/>
    <n v="10"/>
  </r>
  <r>
    <s v="ORD-2023-967239"/>
    <s v="Original"/>
    <d v="2023-12-24T00:00:00"/>
    <d v="2024-01-01T00:00:00"/>
    <n v="8"/>
    <x v="0"/>
    <s v="Brazil"/>
    <s v="São Paulo"/>
    <s v="Education"/>
    <x v="2"/>
    <s v="C. Otieno"/>
    <x v="2"/>
    <x v="219"/>
    <n v="526.49"/>
    <n v="496.2"/>
    <n v="0"/>
    <n v="14"/>
    <n v="6946.8"/>
    <n v="7370.8600000000006"/>
    <n v="-424.0600000000004"/>
    <n v="-6.1043933897621985E-2"/>
    <s v="Dec-2023"/>
    <d v="2023-12-01T00:00:00"/>
    <s v="Q4-2023"/>
    <s v="Americas → Brazil → São Paulo"/>
    <s v="Phones"/>
    <s v="Low"/>
    <d v="2023-01-01T00:00:00"/>
    <n v="11"/>
  </r>
  <r>
    <s v="ORD-2023-580751"/>
    <s v="Original"/>
    <d v="2023-12-24T00:00:00"/>
    <d v="2024-01-13T00:00:00"/>
    <n v="20"/>
    <x v="3"/>
    <s v="Japan"/>
    <s v="Nagoya"/>
    <s v="Education"/>
    <x v="2"/>
    <s v="B. Chen"/>
    <x v="0"/>
    <x v="220"/>
    <n v="625.37"/>
    <n v="1319.04"/>
    <n v="7.3999999999999996E-2"/>
    <n v="8"/>
    <n v="9771.4483199999995"/>
    <n v="5002.96"/>
    <n v="4768.4883199999995"/>
    <n v="0.48800220436513547"/>
    <s v="Dec-2023"/>
    <d v="2023-12-01T00:00:00"/>
    <s v="Q4-2023"/>
    <s v="Asia → Japan → Nagoya"/>
    <s v="Laptops"/>
    <s v="Medium"/>
    <d v="2023-03-01T00:00:00"/>
    <n v="9"/>
  </r>
  <r>
    <s v="ORD-2023-813340"/>
    <s v="Original"/>
    <d v="2023-12-26T00:00:00"/>
    <d v="2024-01-03T00:00:00"/>
    <n v="8"/>
    <x v="2"/>
    <s v="France"/>
    <s v="Lyon"/>
    <s v="Small Business"/>
    <x v="3"/>
    <s v="M. Rossi"/>
    <x v="0"/>
    <x v="221"/>
    <n v="492.75"/>
    <n v="731.29"/>
    <n v="5.8000000000000003E-2"/>
    <n v="6"/>
    <n v="4133.25108"/>
    <n v="2956.5"/>
    <n v="1176.75108"/>
    <n v="0.28470350753528384"/>
    <s v="Dec-2023"/>
    <d v="2023-12-01T00:00:00"/>
    <s v="Q4-2023"/>
    <s v="Europe → France → Lyon"/>
    <s v="Laptops"/>
    <s v="Low"/>
    <d v="2023-01-01T00:00:00"/>
    <n v="11"/>
  </r>
  <r>
    <s v="ORD-2023-974506"/>
    <s v="Original"/>
    <d v="2023-12-28T00:00:00"/>
    <d v="2024-01-01T00:00:00"/>
    <n v="4"/>
    <x v="1"/>
    <s v="South Africa"/>
    <s v="Cape Town"/>
    <s v="Education"/>
    <x v="0"/>
    <s v="A. Patel"/>
    <x v="1"/>
    <x v="222"/>
    <n v="1141.8"/>
    <n v="2318.7399999999998"/>
    <n v="0.107"/>
    <n v="32"/>
    <n v="66260.314239999992"/>
    <n v="36537.599999999999"/>
    <n v="29722.714239999994"/>
    <n v="0.44857490612468304"/>
    <s v="Dec-2023"/>
    <d v="2023-12-01T00:00:00"/>
    <s v="Q4-2023"/>
    <s v="Africa → South Africa → Cape Town"/>
    <s v="Printers"/>
    <s v="High"/>
    <d v="2023-01-01T00:00:00"/>
    <n v="11"/>
  </r>
  <r>
    <s v="ORD-2023-178249"/>
    <s v="Original"/>
    <d v="2023-12-29T00:00:00"/>
    <d v="2024-01-20T00:00:00"/>
    <n v="22"/>
    <x v="1"/>
    <s v="Kenya"/>
    <s v="Kisumu"/>
    <s v="Corporate"/>
    <x v="2"/>
    <s v="L. Okafor"/>
    <x v="2"/>
    <x v="223"/>
    <n v="1395.49"/>
    <n v="1679.42"/>
    <n v="0.20300000000000001"/>
    <n v="12"/>
    <n v="16061.972879999999"/>
    <n v="16745.88"/>
    <n v="-683.90712000000167"/>
    <n v="-4.2579272490964493E-2"/>
    <s v="Dec-2023"/>
    <d v="2023-12-01T00:00:00"/>
    <s v="Q4-2023"/>
    <s v="Africa → Kenya → Kisumu"/>
    <s v="Phones"/>
    <s v="High"/>
    <d v="2023-01-01T00:00:00"/>
    <n v="11"/>
  </r>
  <r>
    <s v="ORD-2023-808024"/>
    <s v="Original"/>
    <d v="2023-12-30T00:00:00"/>
    <d v="2024-01-08T00:00:00"/>
    <n v="9"/>
    <x v="2"/>
    <s v="France"/>
    <s v="Marseille"/>
    <s v="Consumer"/>
    <x v="4"/>
    <s v="L. Okafor"/>
    <x v="3"/>
    <x v="224"/>
    <n v="861.1"/>
    <n v="1224.72"/>
    <n v="0.17399999999999999"/>
    <n v="24"/>
    <n v="24278.849280000002"/>
    <n v="20666.400000000001"/>
    <n v="3612.4492800000007"/>
    <n v="0.14878997098827909"/>
    <s v="Dec-2023"/>
    <d v="2023-12-01T00:00:00"/>
    <s v="Q4-2023"/>
    <s v="Europe → France → Marseille"/>
    <s v="Accessories"/>
    <s v="Medium"/>
    <d v="2023-01-01T00:00:00"/>
    <n v="11"/>
  </r>
  <r>
    <s v="ORD-2024-921935"/>
    <s v="Original"/>
    <d v="2024-01-01T00:00:00"/>
    <d v="2024-01-27T00:00:00"/>
    <n v="26"/>
    <x v="2"/>
    <s v="United Kingdom"/>
    <s v="Manchester"/>
    <s v="Education"/>
    <x v="0"/>
    <s v="D. Smith"/>
    <x v="3"/>
    <x v="225"/>
    <n v="657.45"/>
    <n v="1325.96"/>
    <n v="0.16700000000000001"/>
    <n v="21"/>
    <n v="23195.01828"/>
    <n v="13806.45"/>
    <n v="9388.5682799999995"/>
    <n v="0.40476658249048808"/>
    <s v="Jan-2024"/>
    <d v="2024-01-01T00:00:00"/>
    <s v="Q1-2024"/>
    <s v="Europe → United Kingdom → Manchester"/>
    <s v="Accessories"/>
    <s v="Medium"/>
    <d v="2023-01-01T00:00:00"/>
    <n v="12"/>
  </r>
  <r>
    <s v="ORD-2024-719055"/>
    <s v="Original"/>
    <d v="2024-01-02T00:00:00"/>
    <d v="2024-01-09T00:00:00"/>
    <n v="7"/>
    <x v="0"/>
    <s v="USA"/>
    <s v="Chicago"/>
    <s v="Education"/>
    <x v="4"/>
    <s v="B. Chen"/>
    <x v="4"/>
    <x v="226"/>
    <n v="404.77"/>
    <n v="433.88"/>
    <n v="0.215"/>
    <n v="22"/>
    <n v="7493.1076000000012"/>
    <n v="8904.9399999999987"/>
    <n v="-1411.8323999999975"/>
    <n v="-0.18841747314558746"/>
    <s v="Jan-2024"/>
    <d v="2024-01-01T00:00:00"/>
    <s v="Q1-2024"/>
    <s v="Americas → USA → Chicago"/>
    <s v="Networking"/>
    <s v="Low"/>
    <d v="2023-01-01T00:00:00"/>
    <n v="12"/>
  </r>
  <r>
    <s v="ORD-2024-105586"/>
    <s v="Original"/>
    <d v="2024-01-02T00:00:00"/>
    <d v="2024-01-15T00:00:00"/>
    <n v="13"/>
    <x v="3"/>
    <s v="Japan"/>
    <s v="Nagoya"/>
    <s v="Small Business"/>
    <x v="4"/>
    <s v="G. Dubois"/>
    <x v="4"/>
    <x v="227"/>
    <n v="1219.06"/>
    <n v="2738.69"/>
    <n v="7.5999999999999998E-2"/>
    <n v="16"/>
    <n v="40488.792960000006"/>
    <n v="19504.96"/>
    <n v="20983.832960000007"/>
    <n v="0.51826274447673737"/>
    <s v="Jan-2024"/>
    <d v="2024-01-01T00:00:00"/>
    <s v="Q1-2024"/>
    <s v="Asia → Japan → Nagoya"/>
    <s v="Networking"/>
    <s v="High"/>
    <d v="2023-03-01T00:00:00"/>
    <n v="10"/>
  </r>
  <r>
    <s v="ORD-2024-355095"/>
    <s v="Original"/>
    <d v="2024-01-02T00:00:00"/>
    <d v="2024-01-09T00:00:00"/>
    <n v="7"/>
    <x v="0"/>
    <s v="Canada"/>
    <s v="Vancouver"/>
    <s v="Education"/>
    <x v="2"/>
    <s v="A. Patel"/>
    <x v="0"/>
    <x v="228"/>
    <n v="444.41"/>
    <n v="754.24"/>
    <n v="0.20699999999999999"/>
    <n v="32"/>
    <n v="19139.594240000002"/>
    <n v="14221.12"/>
    <n v="4918.4742400000014"/>
    <n v="0.25697902360546598"/>
    <s v="Jan-2024"/>
    <d v="2024-01-01T00:00:00"/>
    <s v="Q1-2024"/>
    <s v="Americas → Canada → Vancouver"/>
    <s v="Laptops"/>
    <s v="Low"/>
    <d v="2023-01-01T00:00:00"/>
    <n v="12"/>
  </r>
  <r>
    <s v="ORD-2024-872291"/>
    <s v="Original"/>
    <d v="2024-01-08T00:00:00"/>
    <d v="2024-01-12T00:00:00"/>
    <n v="4"/>
    <x v="3"/>
    <s v="India"/>
    <s v="Bengaluru"/>
    <s v="Corporate"/>
    <x v="2"/>
    <s v="E. Garcia"/>
    <x v="1"/>
    <x v="229"/>
    <n v="802.32"/>
    <n v="602.34"/>
    <n v="0.12"/>
    <n v="25"/>
    <n v="13251.48"/>
    <n v="20058"/>
    <n v="-6806.52"/>
    <n v="-0.51364224977134632"/>
    <s v="Jan-2024"/>
    <d v="2024-01-01T00:00:00"/>
    <s v="Q1-2024"/>
    <s v="Asia → India → Bengaluru"/>
    <s v="Printers"/>
    <s v="Low"/>
    <d v="2023-02-01T00:00:00"/>
    <n v="11"/>
  </r>
  <r>
    <s v="ORD-2024-885858"/>
    <s v="Original"/>
    <d v="2024-01-10T00:00:00"/>
    <d v="2024-01-23T00:00:00"/>
    <n v="13"/>
    <x v="2"/>
    <s v="France"/>
    <s v="Marseille"/>
    <s v="Corporate"/>
    <x v="2"/>
    <s v="A. Patel"/>
    <x v="1"/>
    <x v="230"/>
    <n v="720"/>
    <n v="907.59"/>
    <n v="0.154"/>
    <n v="10"/>
    <n v="7678.2113999999992"/>
    <n v="7200"/>
    <n v="478.21139999999923"/>
    <n v="6.2281614179052078E-2"/>
    <s v="Jan-2024"/>
    <d v="2024-01-01T00:00:00"/>
    <s v="Q1-2024"/>
    <s v="Europe → France → Marseille"/>
    <s v="Printers"/>
    <s v="Medium"/>
    <d v="2023-01-01T00:00:00"/>
    <n v="12"/>
  </r>
  <r>
    <s v="ORD-2024-296582"/>
    <s v="Original"/>
    <d v="2024-01-11T00:00:00"/>
    <d v="2024-02-02T00:00:00"/>
    <n v="22"/>
    <x v="1"/>
    <s v="South Africa"/>
    <s v="Durban"/>
    <s v="Consumer"/>
    <x v="1"/>
    <s v="K. Singh"/>
    <x v="4"/>
    <x v="231"/>
    <n v="1206.2"/>
    <n v="1759.79"/>
    <n v="0"/>
    <n v="6"/>
    <n v="10558.74"/>
    <n v="7237.2000000000007"/>
    <n v="3321.5399999999991"/>
    <n v="0.31457730751964713"/>
    <s v="Jan-2024"/>
    <d v="2024-01-01T00:00:00"/>
    <s v="Q1-2024"/>
    <s v="Africa → South Africa → Durban"/>
    <s v="Networking"/>
    <s v="High"/>
    <d v="2023-01-01T00:00:00"/>
    <n v="12"/>
  </r>
  <r>
    <s v="ORD-2024-281211"/>
    <s v="Original"/>
    <d v="2024-01-11T00:00:00"/>
    <d v="2024-02-02T00:00:00"/>
    <n v="22"/>
    <x v="3"/>
    <s v="Japan"/>
    <s v="Nagoya"/>
    <s v="Small Business"/>
    <x v="1"/>
    <s v="Unassigned"/>
    <x v="1"/>
    <x v="232"/>
    <n v="1237.68"/>
    <n v="1432.8"/>
    <n v="6.8000000000000005E-2"/>
    <n v="13"/>
    <n v="17359.804799999998"/>
    <n v="16089.84"/>
    <n v="1269.9647999999979"/>
    <n v="7.315547695559331E-2"/>
    <s v="Jan-2024"/>
    <d v="2024-01-01T00:00:00"/>
    <s v="Q1-2024"/>
    <s v="Asia → Japan → Nagoya"/>
    <s v="Printers"/>
    <s v="Medium"/>
    <d v="2023-03-01T00:00:00"/>
    <n v="10"/>
  </r>
  <r>
    <s v="ORD-2024-999607"/>
    <s v="Original"/>
    <d v="2024-01-12T00:00:00"/>
    <d v="2024-01-29T00:00:00"/>
    <n v="17"/>
    <x v="0"/>
    <s v="USA"/>
    <s v="Chicago"/>
    <s v="Education"/>
    <x v="0"/>
    <s v="A. Patel"/>
    <x v="1"/>
    <x v="233"/>
    <n v="493.76"/>
    <n v="625.04"/>
    <n v="0.25800000000000001"/>
    <n v="10"/>
    <n v="4637.7968000000001"/>
    <n v="4937.6000000000004"/>
    <n v="-299.80320000000029"/>
    <n v="-6.464345311549663E-2"/>
    <s v="Jan-2024"/>
    <d v="2024-01-01T00:00:00"/>
    <s v="Q1-2024"/>
    <s v="Americas → USA → Chicago"/>
    <s v="Printers"/>
    <s v="Low"/>
    <d v="2023-01-01T00:00:00"/>
    <n v="12"/>
  </r>
  <r>
    <s v="ORD-2024-153053"/>
    <s v="Original"/>
    <d v="2024-01-12T00:00:00"/>
    <d v="2024-01-29T00:00:00"/>
    <n v="17"/>
    <x v="3"/>
    <s v="India"/>
    <s v="Hyderabad"/>
    <s v="Small Business"/>
    <x v="2"/>
    <s v="B. Chen"/>
    <x v="6"/>
    <x v="234"/>
    <n v="310.02"/>
    <n v="619.51"/>
    <n v="4.2000000000000003E-2"/>
    <n v="4"/>
    <n v="2373.9623200000001"/>
    <n v="1240.08"/>
    <n v="1133.8823200000002"/>
    <n v="0.47763282106347843"/>
    <s v="Jan-2024"/>
    <d v="2024-01-01T00:00:00"/>
    <s v="Q1-2024"/>
    <s v="Asia → India → Hyderabad"/>
    <s v="Components"/>
    <s v="Low"/>
    <d v="2023-02-01T00:00:00"/>
    <n v="11"/>
  </r>
  <r>
    <s v="ORD-2024-851883"/>
    <s v="Original"/>
    <d v="2024-01-13T00:00:00"/>
    <d v="2024-01-22T00:00:00"/>
    <n v="9"/>
    <x v="3"/>
    <s v="India"/>
    <s v="Mumbai"/>
    <s v="Enterprise"/>
    <x v="4"/>
    <s v="J. Njeri"/>
    <x v="6"/>
    <x v="235"/>
    <n v="313.60000000000002"/>
    <n v="334.28"/>
    <n v="0.14000000000000001"/>
    <n v="22"/>
    <n v="6324.5775999999996"/>
    <n v="6899.2000000000007"/>
    <n v="-574.62240000000111"/>
    <n v="-9.0855458868905517E-2"/>
    <s v="Jan-2024"/>
    <d v="2024-01-01T00:00:00"/>
    <s v="Q1-2024"/>
    <s v="Asia → India → Mumbai"/>
    <s v="Components"/>
    <s v="Low"/>
    <d v="2023-02-01T00:00:00"/>
    <n v="11"/>
  </r>
  <r>
    <s v="ORD-2024-366010"/>
    <s v="Original"/>
    <d v="2024-01-13T00:00:00"/>
    <d v="2024-02-05T00:00:00"/>
    <n v="23"/>
    <x v="2"/>
    <s v="Germany"/>
    <s v="Frankfurt"/>
    <s v="Education"/>
    <x v="2"/>
    <s v="B. Chen"/>
    <x v="0"/>
    <x v="236"/>
    <n v="1017.93"/>
    <n v="1529.14"/>
    <n v="0.155"/>
    <n v="12"/>
    <n v="15505.479600000001"/>
    <n v="12215.16"/>
    <n v="3290.3196000000007"/>
    <n v="0.21220366508366503"/>
    <s v="Jan-2024"/>
    <d v="2024-01-01T00:00:00"/>
    <s v="Q1-2024"/>
    <s v="Europe → Germany → Frankfurt"/>
    <s v="Laptops"/>
    <s v="Medium"/>
    <d v="2023-01-01T00:00:00"/>
    <n v="12"/>
  </r>
  <r>
    <s v="ORD-2024-206311"/>
    <s v="Original"/>
    <d v="2024-01-13T00:00:00"/>
    <d v="2024-01-15T00:00:00"/>
    <n v="2"/>
    <x v="0"/>
    <s v="USA"/>
    <s v="San Francisco"/>
    <s v="Non-Profit"/>
    <x v="2"/>
    <s v="E. Garcia"/>
    <x v="6"/>
    <x v="237"/>
    <n v="1061.3699999999999"/>
    <n v="1938.33"/>
    <n v="0.17"/>
    <n v="4"/>
    <n v="6435.2555999999995"/>
    <n v="4245.4799999999996"/>
    <n v="2189.7755999999999"/>
    <n v="0.34027795259600879"/>
    <s v="Jan-2024"/>
    <d v="2024-01-01T00:00:00"/>
    <s v="Q1-2024"/>
    <s v="Americas → USA → San Francisco"/>
    <s v="Components"/>
    <s v="High"/>
    <d v="2023-01-01T00:00:00"/>
    <n v="12"/>
  </r>
  <r>
    <s v="ORD-2024-749242"/>
    <s v="Original"/>
    <d v="2024-01-16T00:00:00"/>
    <d v="2024-02-11T00:00:00"/>
    <n v="26"/>
    <x v="2"/>
    <s v="Germany"/>
    <s v="Frankfurt"/>
    <s v="Non-Profit"/>
    <x v="0"/>
    <s v="E. Garcia"/>
    <x v="5"/>
    <x v="238"/>
    <n v="504.93"/>
    <n v="819.06"/>
    <n v="0.22600000000000001"/>
    <n v="15"/>
    <n v="9509.2865999999995"/>
    <n v="7573.95"/>
    <n v="1935.3365999999996"/>
    <n v="0.20352069312959814"/>
    <s v="Jan-2024"/>
    <d v="2024-01-01T00:00:00"/>
    <s v="Q1-2024"/>
    <s v="Europe → Germany → Frankfurt"/>
    <s v="Monitors"/>
    <s v="Low"/>
    <d v="2023-01-01T00:00:00"/>
    <n v="12"/>
  </r>
  <r>
    <s v="ORD-2024-892173"/>
    <s v="Original"/>
    <d v="2024-01-18T00:00:00"/>
    <d v="2024-02-03T00:00:00"/>
    <n v="16"/>
    <x v="1"/>
    <s v="South Africa"/>
    <s v="Cape Town"/>
    <s v="Non-Profit"/>
    <x v="0"/>
    <s v="L. Okafor"/>
    <x v="1"/>
    <x v="239"/>
    <n v="666.23"/>
    <n v="1382.91"/>
    <n v="0.17599999999999999"/>
    <n v="13"/>
    <n v="14813.731920000002"/>
    <n v="8660.99"/>
    <n v="6152.7419200000022"/>
    <n v="0.41534043907553048"/>
    <s v="Jan-2024"/>
    <d v="2024-01-01T00:00:00"/>
    <s v="Q1-2024"/>
    <s v="Africa → South Africa → Cape Town"/>
    <s v="Printers"/>
    <s v="Medium"/>
    <d v="2023-01-01T00:00:00"/>
    <n v="12"/>
  </r>
  <r>
    <s v="ORD-2024-890180"/>
    <s v="Original"/>
    <d v="2024-01-20T00:00:00"/>
    <d v="2024-02-13T00:00:00"/>
    <n v="24"/>
    <x v="2"/>
    <s v="France"/>
    <s v="Marseille"/>
    <s v="Corporate"/>
    <x v="3"/>
    <s v="H. Kim"/>
    <x v="1"/>
    <x v="240"/>
    <n v="643.53"/>
    <n v="1439.01"/>
    <n v="0"/>
    <n v="15"/>
    <n v="21585.15"/>
    <n v="9652.9499999999989"/>
    <n v="11932.200000000003"/>
    <n v="0.55279671440782208"/>
    <s v="Jan-2024"/>
    <d v="2024-01-01T00:00:00"/>
    <s v="Q1-2024"/>
    <s v="Europe → France → Marseille"/>
    <s v="Printers"/>
    <s v="Medium"/>
    <d v="2023-01-01T00:00:00"/>
    <n v="12"/>
  </r>
  <r>
    <s v="ORD-2024-604471"/>
    <s v="Original"/>
    <d v="2024-01-21T00:00:00"/>
    <d v="2024-01-25T00:00:00"/>
    <n v="4"/>
    <x v="3"/>
    <s v="India"/>
    <s v="Delhi"/>
    <s v="Consumer"/>
    <x v="2"/>
    <s v="C. Otieno"/>
    <x v="5"/>
    <x v="241"/>
    <n v="523.70000000000005"/>
    <n v="1109.92"/>
    <n v="0.03"/>
    <n v="11"/>
    <n v="11842.8464"/>
    <n v="5760.7000000000007"/>
    <n v="6082.1463999999996"/>
    <n v="0.51357133197302973"/>
    <s v="Jan-2024"/>
    <d v="2024-01-01T00:00:00"/>
    <s v="Q1-2024"/>
    <s v="Asia → India → Delhi"/>
    <s v="Monitors"/>
    <s v="Medium"/>
    <d v="2023-02-01T00:00:00"/>
    <n v="11"/>
  </r>
  <r>
    <s v="ORD-2024-207669"/>
    <s v="Original"/>
    <d v="2024-01-24T00:00:00"/>
    <d v="2024-02-04T00:00:00"/>
    <n v="11"/>
    <x v="2"/>
    <s v="United Kingdom"/>
    <s v="Manchester"/>
    <s v="Consumer"/>
    <x v="3"/>
    <s v="B. Chen"/>
    <x v="0"/>
    <x v="242"/>
    <n v="525.34"/>
    <n v="1233.79"/>
    <n v="0.14299999999999999"/>
    <n v="4"/>
    <n v="4229.4321199999995"/>
    <n v="2101.36"/>
    <n v="2128.0721199999994"/>
    <n v="0.50315788494082736"/>
    <s v="Jan-2024"/>
    <d v="2024-01-01T00:00:00"/>
    <s v="Q1-2024"/>
    <s v="Europe → United Kingdom → Manchester"/>
    <s v="Laptops"/>
    <s v="Medium"/>
    <d v="2023-01-01T00:00:00"/>
    <n v="12"/>
  </r>
  <r>
    <s v="ORD-2024-499009"/>
    <s v="Original"/>
    <d v="2024-01-25T00:00:00"/>
    <d v="2024-01-27T00:00:00"/>
    <n v="2"/>
    <x v="0"/>
    <s v="Brazil"/>
    <s v="São Paulo"/>
    <s v="Non-Profit"/>
    <x v="4"/>
    <s v="N. Brown"/>
    <x v="0"/>
    <x v="243"/>
    <n v="1410.97"/>
    <n v="1650.75"/>
    <n v="0.13500000000000001"/>
    <n v="6"/>
    <n v="8567.3924999999999"/>
    <n v="8465.82"/>
    <n v="101.57250000000022"/>
    <n v="1.1855707556295596E-2"/>
    <s v="Jan-2024"/>
    <d v="2024-01-01T00:00:00"/>
    <s v="Q1-2024"/>
    <s v="Americas → Brazil → São Paulo"/>
    <s v="Laptops"/>
    <s v="High"/>
    <d v="2023-01-01T00:00:00"/>
    <n v="12"/>
  </r>
  <r>
    <s v="ORD-2024-532184"/>
    <s v="Original"/>
    <d v="2024-01-25T00:00:00"/>
    <d v="2024-02-08T00:00:00"/>
    <n v="14"/>
    <x v="3"/>
    <s v="Japan"/>
    <s v="Osaka"/>
    <s v="Consumer"/>
    <x v="4"/>
    <s v="I. Johnson"/>
    <x v="4"/>
    <x v="244"/>
    <n v="937.16"/>
    <n v="1069.77"/>
    <n v="3.7999999999999999E-2"/>
    <n v="9"/>
    <n v="9262.0686600000008"/>
    <n v="8434.44"/>
    <n v="827.62866000000031"/>
    <n v="8.9356783066645962E-2"/>
    <s v="Jan-2024"/>
    <d v="2024-01-01T00:00:00"/>
    <s v="Q1-2024"/>
    <s v="Asia → Japan → Osaka"/>
    <s v="Networking"/>
    <s v="Medium"/>
    <d v="2023-03-01T00:00:00"/>
    <n v="10"/>
  </r>
  <r>
    <s v="ORD-2024-210687"/>
    <s v="Original"/>
    <d v="2024-01-28T00:00:00"/>
    <d v="2024-02-09T00:00:00"/>
    <n v="12"/>
    <x v="2"/>
    <s v="Germany"/>
    <s v="Berlin"/>
    <s v="Corporate"/>
    <x v="1"/>
    <s v="G. Dubois"/>
    <x v="3"/>
    <x v="245"/>
    <n v="644.16999999999996"/>
    <n v="700.12"/>
    <n v="6.0000000000000001E-3"/>
    <n v="23"/>
    <n v="16006.14344"/>
    <n v="14815.91"/>
    <n v="1190.23344"/>
    <n v="7.436103796405813E-2"/>
    <s v="Jan-2024"/>
    <d v="2024-01-01T00:00:00"/>
    <s v="Q1-2024"/>
    <s v="Europe → Germany → Berlin"/>
    <s v="Accessories"/>
    <s v="Low"/>
    <d v="2023-01-01T00:00:00"/>
    <n v="12"/>
  </r>
  <r>
    <s v="ORD-2024-277241"/>
    <s v="Original"/>
    <d v="2024-01-28T00:00:00"/>
    <d v="2024-01-30T00:00:00"/>
    <n v="2"/>
    <x v="1"/>
    <s v="South Africa"/>
    <s v="Cape Town"/>
    <s v="Consumer"/>
    <x v="2"/>
    <s v="F. Müller"/>
    <x v="3"/>
    <x v="246"/>
    <n v="798.45"/>
    <n v="1592.02"/>
    <n v="6.6000000000000003E-2"/>
    <n v="18"/>
    <n v="26765.040239999998"/>
    <n v="14372.1"/>
    <n v="12392.940239999998"/>
    <n v="0.46302714768494585"/>
    <s v="Jan-2024"/>
    <d v="2024-01-01T00:00:00"/>
    <s v="Q1-2024"/>
    <s v="Africa → South Africa → Cape Town"/>
    <s v="Accessories"/>
    <s v="Medium"/>
    <d v="2023-01-01T00:00:00"/>
    <n v="12"/>
  </r>
  <r>
    <s v="ORD-2024-838925"/>
    <s v="Original"/>
    <d v="2024-01-28T00:00:00"/>
    <d v="2024-02-02T00:00:00"/>
    <n v="5"/>
    <x v="1"/>
    <s v="South Africa"/>
    <s v="Cape Town"/>
    <s v="Enterprise"/>
    <x v="2"/>
    <s v="O. Wang"/>
    <x v="6"/>
    <x v="247"/>
    <n v="109.75"/>
    <n v="124.25"/>
    <n v="0.12"/>
    <n v="19"/>
    <n v="2077.46"/>
    <n v="2085.25"/>
    <n v="-7.7899999999999636"/>
    <n v="-3.7497713554051405E-3"/>
    <s v="Jan-2024"/>
    <d v="2024-01-01T00:00:00"/>
    <s v="Q1-2024"/>
    <s v="Africa → South Africa → Cape Town"/>
    <s v="Components"/>
    <s v="Low"/>
    <d v="2023-01-01T00:00:00"/>
    <n v="12"/>
  </r>
  <r>
    <s v="ORD-2024-764468"/>
    <s v="Original"/>
    <d v="2024-02-01T00:00:00"/>
    <d v="2024-02-21T00:00:00"/>
    <n v="20"/>
    <x v="2"/>
    <s v="France"/>
    <s v="Paris"/>
    <s v="Small Business"/>
    <x v="4"/>
    <s v="A. Patel"/>
    <x v="4"/>
    <x v="248"/>
    <n v="656.2"/>
    <n v="1467.17"/>
    <n v="1.7999999999999999E-2"/>
    <n v="5"/>
    <n v="7203.8047000000006"/>
    <n v="3281"/>
    <n v="3922.8047000000006"/>
    <n v="0.54454623124360946"/>
    <s v="Feb-2024"/>
    <d v="2024-02-01T00:00:00"/>
    <s v="Q1-2024"/>
    <s v="Europe → France → Paris"/>
    <s v="Networking"/>
    <s v="Medium"/>
    <d v="2023-01-01T00:00:00"/>
    <n v="13"/>
  </r>
  <r>
    <s v="ORD-2024-331408"/>
    <s v="Original"/>
    <d v="2024-02-01T00:00:00"/>
    <d v="2024-02-08T00:00:00"/>
    <n v="7"/>
    <x v="0"/>
    <s v="USA"/>
    <s v="Austin"/>
    <s v="Consumer"/>
    <x v="0"/>
    <s v="H. Kim"/>
    <x v="1"/>
    <x v="249"/>
    <n v="714.43"/>
    <n v="1595.52"/>
    <n v="0.19400000000000001"/>
    <n v="14"/>
    <n v="18003.847679999999"/>
    <n v="10002.019999999999"/>
    <n v="8001.8276800000003"/>
    <n v="0.44445097638151093"/>
    <s v="Feb-2024"/>
    <d v="2024-02-01T00:00:00"/>
    <s v="Q1-2024"/>
    <s v="Americas → USA → Austin"/>
    <s v="Printers"/>
    <s v="Medium"/>
    <d v="2023-01-01T00:00:00"/>
    <n v="13"/>
  </r>
  <r>
    <s v="ORD-2024-960952"/>
    <s v="Original"/>
    <d v="2024-02-03T00:00:00"/>
    <d v="2024-02-21T00:00:00"/>
    <n v="18"/>
    <x v="2"/>
    <s v="Germany"/>
    <s v="Frankfurt"/>
    <s v="Corporate"/>
    <x v="3"/>
    <s v="H. Kim"/>
    <x v="6"/>
    <x v="250"/>
    <n v="39.229999999999997"/>
    <n v="30.09"/>
    <n v="0.17699999999999999"/>
    <n v="13"/>
    <n v="321.93290999999999"/>
    <n v="509.98999999999995"/>
    <n v="-188.05708999999996"/>
    <n v="-0.58414993981199359"/>
    <s v="Feb-2024"/>
    <d v="2024-02-01T00:00:00"/>
    <s v="Q1-2024"/>
    <s v="Europe → Germany → Frankfurt"/>
    <s v="Components"/>
    <s v="Low"/>
    <d v="2023-01-01T00:00:00"/>
    <n v="13"/>
  </r>
  <r>
    <s v="ORD-2024-760799"/>
    <s v="Original"/>
    <d v="2024-02-03T00:00:00"/>
    <d v="2024-02-19T00:00:00"/>
    <n v="16"/>
    <x v="3"/>
    <s v="China"/>
    <s v="Shenzhen"/>
    <s v="Small Business"/>
    <x v="1"/>
    <s v="H. Kim"/>
    <x v="0"/>
    <x v="251"/>
    <n v="993.75"/>
    <n v="1310.29"/>
    <n v="0.215"/>
    <n v="19"/>
    <n v="19542.975350000001"/>
    <n v="18881.25"/>
    <n v="661.72535000000062"/>
    <n v="3.3860010471742245E-2"/>
    <s v="Feb-2024"/>
    <d v="2024-02-01T00:00:00"/>
    <s v="Q1-2024"/>
    <s v="Asia → China → Shenzhen"/>
    <s v="Laptops"/>
    <s v="Medium"/>
    <d v="2023-01-01T00:00:00"/>
    <n v="13"/>
  </r>
  <r>
    <s v="ORD-2024-647571"/>
    <s v="Original"/>
    <d v="2024-02-06T00:00:00"/>
    <d v="2024-02-28T00:00:00"/>
    <n v="22"/>
    <x v="1"/>
    <s v="Kenya"/>
    <s v="Kisumu"/>
    <s v="Non-Profit"/>
    <x v="1"/>
    <s v="K. Singh"/>
    <x v="5"/>
    <x v="252"/>
    <n v="834.93"/>
    <n v="1588.53"/>
    <n v="0.126"/>
    <n v="6"/>
    <n v="8330.2513199999994"/>
    <n v="5009.58"/>
    <n v="3320.6713199999995"/>
    <n v="0.39862798761274343"/>
    <s v="Feb-2024"/>
    <d v="2024-02-01T00:00:00"/>
    <s v="Q1-2024"/>
    <s v="Africa → Kenya → Kisumu"/>
    <s v="Monitors"/>
    <s v="Medium"/>
    <d v="2023-01-01T00:00:00"/>
    <n v="13"/>
  </r>
  <r>
    <s v="ORD-2024-979401"/>
    <s v="Original"/>
    <d v="2024-02-08T00:00:00"/>
    <d v="2024-02-09T00:00:00"/>
    <n v="1"/>
    <x v="1"/>
    <s v="Kenya"/>
    <s v="Mombasa"/>
    <s v="Corporate"/>
    <x v="2"/>
    <s v="F. Müller"/>
    <x v="6"/>
    <x v="253"/>
    <n v="1233.52"/>
    <n v="1543.76"/>
    <n v="0.126"/>
    <n v="13"/>
    <n v="17540.201120000002"/>
    <n v="16035.76"/>
    <n v="1504.4411200000013"/>
    <n v="8.5771030201277493E-2"/>
    <s v="Feb-2024"/>
    <d v="2024-02-01T00:00:00"/>
    <s v="Q1-2024"/>
    <s v="Africa → Kenya → Mombasa"/>
    <s v="Components"/>
    <s v="Medium"/>
    <d v="2023-01-01T00:00:00"/>
    <n v="13"/>
  </r>
  <r>
    <s v="ORD-2024-968374"/>
    <s v="Original"/>
    <d v="2024-02-11T00:00:00"/>
    <d v="2024-03-03T00:00:00"/>
    <n v="21"/>
    <x v="1"/>
    <s v="Kenya"/>
    <s v="Kisumu"/>
    <s v="Enterprise"/>
    <x v="1"/>
    <s v="B. Chen"/>
    <x v="2"/>
    <x v="254"/>
    <n v="516.86"/>
    <n v="852.54"/>
    <n v="5.0999999999999997E-2"/>
    <n v="14"/>
    <n v="11326.846439999999"/>
    <n v="7236.04"/>
    <n v="4090.8064399999994"/>
    <n v="0.36116022775355994"/>
    <s v="Feb-2024"/>
    <d v="2024-02-01T00:00:00"/>
    <s v="Q1-2024"/>
    <s v="Africa → Kenya → Kisumu"/>
    <s v="Phones"/>
    <s v="Medium"/>
    <d v="2023-01-01T00:00:00"/>
    <n v="13"/>
  </r>
  <r>
    <s v="ORD-2024-232632"/>
    <s v="Original"/>
    <d v="2024-02-14T00:00:00"/>
    <d v="2024-02-21T00:00:00"/>
    <n v="7"/>
    <x v="3"/>
    <s v="China"/>
    <s v="Beijing"/>
    <s v="Corporate"/>
    <x v="0"/>
    <s v="L. Okafor"/>
    <x v="3"/>
    <x v="255"/>
    <n v="65.930000000000007"/>
    <n v="84.9"/>
    <n v="0.25900000000000001"/>
    <n v="23"/>
    <n v="1446.9507000000001"/>
    <n v="1516.39"/>
    <n v="-69.439300000000003"/>
    <n v="-4.7990093926489688E-2"/>
    <s v="Feb-2024"/>
    <d v="2024-02-01T00:00:00"/>
    <s v="Q1-2024"/>
    <s v="Asia → China → Beijing"/>
    <s v="Accessories"/>
    <s v="Low"/>
    <d v="2023-01-01T00:00:00"/>
    <n v="13"/>
  </r>
  <r>
    <s v="ORD-2024-544865"/>
    <s v="Original"/>
    <d v="2024-02-16T00:00:00"/>
    <d v="2024-03-04T00:00:00"/>
    <n v="17"/>
    <x v="0"/>
    <s v="Canada"/>
    <s v="Montreal"/>
    <s v="Non-Profit"/>
    <x v="3"/>
    <s v="D. Smith"/>
    <x v="0"/>
    <x v="256"/>
    <n v="1350.98"/>
    <n v="2210.4"/>
    <n v="0.26300000000000001"/>
    <n v="6"/>
    <n v="9774.3888000000006"/>
    <n v="8105.88"/>
    <n v="1668.5088000000005"/>
    <n v="0.17070211080615091"/>
    <s v="Feb-2024"/>
    <d v="2024-02-01T00:00:00"/>
    <s v="Q1-2024"/>
    <s v="Americas → Canada → Montreal"/>
    <s v="Laptops"/>
    <s v="High"/>
    <d v="2023-01-01T00:00:00"/>
    <n v="13"/>
  </r>
  <r>
    <s v="ORD-2024-647473"/>
    <s v="Original"/>
    <d v="2024-02-17T00:00:00"/>
    <d v="2024-03-04T00:00:00"/>
    <n v="16"/>
    <x v="3"/>
    <s v="India"/>
    <s v="Delhi"/>
    <s v="Small Business"/>
    <x v="4"/>
    <s v="F. Müller"/>
    <x v="2"/>
    <x v="257"/>
    <n v="1231.8"/>
    <n v="2015.99"/>
    <n v="0.26100000000000001"/>
    <n v="6"/>
    <n v="8938.8996600000009"/>
    <n v="7390.7999999999993"/>
    <n v="1548.0996600000017"/>
    <n v="0.17318682599464391"/>
    <s v="Feb-2024"/>
    <d v="2024-02-01T00:00:00"/>
    <s v="Q1-2024"/>
    <s v="Asia → India → Delhi"/>
    <s v="Phones"/>
    <s v="High"/>
    <d v="2023-02-01T00:00:00"/>
    <n v="12"/>
  </r>
  <r>
    <s v="ORD-2024-201376"/>
    <s v="Original"/>
    <d v="2024-02-18T00:00:00"/>
    <d v="2024-03-04T00:00:00"/>
    <n v="15"/>
    <x v="1"/>
    <s v="Kenya"/>
    <s v="Kisumu"/>
    <s v="Education"/>
    <x v="2"/>
    <s v="K. Singh"/>
    <x v="1"/>
    <x v="258"/>
    <n v="928.68"/>
    <n v="2145.17"/>
    <n v="0.13600000000000001"/>
    <n v="16"/>
    <n v="29654.83008"/>
    <n v="14858.88"/>
    <n v="14795.950080000001"/>
    <n v="0.49893896003062177"/>
    <s v="Feb-2024"/>
    <d v="2024-02-01T00:00:00"/>
    <s v="Q1-2024"/>
    <s v="Africa → Kenya → Kisumu"/>
    <s v="Printers"/>
    <s v="High"/>
    <d v="2023-01-01T00:00:00"/>
    <n v="13"/>
  </r>
  <r>
    <s v="ORD-2024-206121"/>
    <s v="Original"/>
    <d v="2024-02-18T00:00:00"/>
    <d v="2024-03-11T00:00:00"/>
    <n v="22"/>
    <x v="0"/>
    <s v="Brazil"/>
    <s v="São Paulo"/>
    <s v="Consumer"/>
    <x v="1"/>
    <s v="A. Patel"/>
    <x v="6"/>
    <x v="259"/>
    <n v="80.48"/>
    <n v="65.650000000000006"/>
    <n v="0.17599999999999999"/>
    <n v="13"/>
    <n v="703.2428000000001"/>
    <n v="1046.24"/>
    <n v="-342.99719999999991"/>
    <n v="-0.48773652570634191"/>
    <s v="Feb-2024"/>
    <d v="2024-02-01T00:00:00"/>
    <s v="Q1-2024"/>
    <s v="Americas → Brazil → São Paulo"/>
    <s v="Components"/>
    <s v="Low"/>
    <d v="2023-01-01T00:00:00"/>
    <n v="13"/>
  </r>
  <r>
    <s v="ORD-2024-129345"/>
    <s v="Original"/>
    <d v="2024-02-18T00:00:00"/>
    <d v="2024-03-03T00:00:00"/>
    <n v="14"/>
    <x v="0"/>
    <s v="Brazil"/>
    <s v="Unknown"/>
    <s v="Enterprise"/>
    <x v="0"/>
    <s v="A. Patel"/>
    <x v="1"/>
    <x v="260"/>
    <n v="624.23"/>
    <n v="1318.37"/>
    <n v="0.21"/>
    <n v="37"/>
    <n v="38535.955099999999"/>
    <n v="23096.510000000002"/>
    <n v="15439.445099999997"/>
    <n v="0.40065038118128793"/>
    <s v="Feb-2024"/>
    <d v="2024-02-01T00:00:00"/>
    <s v="Q1-2024"/>
    <s v="Americas → Brazil → Unknown"/>
    <s v="Printers"/>
    <s v="Medium"/>
    <d v="2023-01-01T00:00:00"/>
    <n v="13"/>
  </r>
  <r>
    <s v="ORD-2024-468655"/>
    <s v="Original"/>
    <d v="2024-02-19T00:00:00"/>
    <d v="2024-03-06T00:00:00"/>
    <n v="16"/>
    <x v="3"/>
    <s v="China"/>
    <s v="Beijing"/>
    <s v="Education"/>
    <x v="4"/>
    <s v="O. Wang"/>
    <x v="1"/>
    <x v="261"/>
    <n v="1477.84"/>
    <n v="3197.47"/>
    <n v="0.24299999999999999"/>
    <n v="24"/>
    <n v="58091.634960000003"/>
    <n v="35468.159999999996"/>
    <n v="22623.474960000007"/>
    <n v="0.38944462443823091"/>
    <s v="Feb-2024"/>
    <d v="2024-02-01T00:00:00"/>
    <s v="Q1-2024"/>
    <s v="Asia → China → Beijing"/>
    <s v="Printers"/>
    <s v="High"/>
    <d v="2023-01-01T00:00:00"/>
    <n v="13"/>
  </r>
  <r>
    <s v="ORD-2024-437164"/>
    <s v="Original"/>
    <d v="2024-02-20T00:00:00"/>
    <d v="2024-02-27T00:00:00"/>
    <n v="7"/>
    <x v="0"/>
    <s v="USA"/>
    <s v="New York"/>
    <s v="Enterprise"/>
    <x v="1"/>
    <s v="C. Otieno"/>
    <x v="4"/>
    <x v="262"/>
    <n v="1407.05"/>
    <n v="2858.93"/>
    <n v="0"/>
    <n v="12"/>
    <n v="34307.159999999996"/>
    <n v="16884.599999999999"/>
    <n v="17422.559999999998"/>
    <n v="0.50784034586366222"/>
    <s v="Feb-2024"/>
    <d v="2024-02-01T00:00:00"/>
    <s v="Q1-2024"/>
    <s v="Americas → USA → New York"/>
    <s v="Networking"/>
    <s v="High"/>
    <d v="2023-01-01T00:00:00"/>
    <n v="13"/>
  </r>
  <r>
    <s v="ORD-2024-811752"/>
    <s v="Original"/>
    <d v="2024-02-25T00:00:00"/>
    <d v="2024-03-09T00:00:00"/>
    <n v="13"/>
    <x v="2"/>
    <s v="France"/>
    <s v="Marseille"/>
    <s v="Small Business"/>
    <x v="0"/>
    <s v="E. Garcia"/>
    <x v="5"/>
    <x v="263"/>
    <n v="322.44"/>
    <n v="395.61"/>
    <n v="0"/>
    <n v="34"/>
    <n v="13450.74"/>
    <n v="10962.96"/>
    <n v="2487.7800000000007"/>
    <n v="0.18495487980586947"/>
    <s v="Feb-2024"/>
    <d v="2024-02-01T00:00:00"/>
    <s v="Q1-2024"/>
    <s v="Europe → France → Marseille"/>
    <s v="Monitors"/>
    <s v="Low"/>
    <d v="2023-01-01T00:00:00"/>
    <n v="13"/>
  </r>
  <r>
    <s v="ORD-2024-515105"/>
    <s v="Original"/>
    <d v="2024-02-27T00:00:00"/>
    <d v="2024-03-26T00:00:00"/>
    <n v="28"/>
    <x v="3"/>
    <s v="India"/>
    <s v="Mumbai"/>
    <s v="Education"/>
    <x v="4"/>
    <s v="G. Dubois"/>
    <x v="0"/>
    <x v="264"/>
    <n v="1035.19"/>
    <n v="2322.6999999999998"/>
    <n v="0.17299999999999999"/>
    <n v="8"/>
    <n v="15366.983199999999"/>
    <n v="8281.52"/>
    <n v="7085.4631999999983"/>
    <n v="0.46108355217047409"/>
    <s v="Feb-2024"/>
    <d v="2024-02-01T00:00:00"/>
    <s v="Q1-2024"/>
    <s v="Asia → India → Mumbai"/>
    <s v="Laptops"/>
    <s v="High"/>
    <d v="2023-02-01T00:00:00"/>
    <n v="12"/>
  </r>
  <r>
    <s v="ORD-2024-197852"/>
    <s v="Original"/>
    <d v="2024-02-29T00:00:00"/>
    <d v="2024-03-30T00:00:00"/>
    <n v="30"/>
    <x v="3"/>
    <s v="Japan"/>
    <s v="Nagoya"/>
    <s v="Small Business"/>
    <x v="2"/>
    <s v="I. Johnson"/>
    <x v="4"/>
    <x v="265"/>
    <n v="231.11"/>
    <n v="318.17"/>
    <n v="0.20100000000000001"/>
    <n v="60"/>
    <n v="15253.069799999999"/>
    <n v="13866.6"/>
    <n v="1386.4697999999989"/>
    <n v="9.0897754889969692E-2"/>
    <s v="Feb-2024"/>
    <d v="2024-02-01T00:00:00"/>
    <s v="Q1-2024"/>
    <s v="Asia → Japan → Nagoya"/>
    <s v="Networking"/>
    <s v="Low"/>
    <d v="2023-03-01T00:00:00"/>
    <n v="11"/>
  </r>
  <r>
    <s v="ORD-2024-516704"/>
    <s v="Original"/>
    <d v="2024-03-01T00:00:00"/>
    <d v="2024-03-08T00:00:00"/>
    <n v="7"/>
    <x v="0"/>
    <s v="Brazil"/>
    <s v="São Paulo"/>
    <s v="Non-Profit"/>
    <x v="2"/>
    <s v="I. Johnson"/>
    <x v="2"/>
    <x v="266"/>
    <n v="5.34"/>
    <n v="12.69"/>
    <n v="0.13200000000000001"/>
    <n v="10"/>
    <n v="110.14919999999999"/>
    <n v="53.4"/>
    <n v="56.749199999999995"/>
    <n v="0.51520301554618642"/>
    <s v="Mar-2024"/>
    <d v="2024-03-01T00:00:00"/>
    <s v="Q1-2024"/>
    <s v="Americas → Brazil → São Paulo"/>
    <s v="Phones"/>
    <s v="Low"/>
    <d v="2023-01-01T00:00:00"/>
    <n v="14"/>
  </r>
  <r>
    <s v="ORD-2024-792137"/>
    <s v="Original"/>
    <d v="2024-03-02T00:00:00"/>
    <d v="2024-03-16T00:00:00"/>
    <n v="14"/>
    <x v="0"/>
    <s v="Canada"/>
    <s v="Vancouver"/>
    <s v="Non-Profit"/>
    <x v="2"/>
    <s v="O. Wang"/>
    <x v="1"/>
    <x v="267"/>
    <n v="248.24"/>
    <n v="464.05"/>
    <n v="0.16900000000000001"/>
    <n v="11"/>
    <n v="4241.88105"/>
    <n v="2730.6400000000003"/>
    <n v="1511.2410499999996"/>
    <n v="0.3562667203975462"/>
    <s v="Mar-2024"/>
    <d v="2024-03-01T00:00:00"/>
    <s v="Q1-2024"/>
    <s v="Americas → Canada → Vancouver"/>
    <s v="Printers"/>
    <s v="Low"/>
    <d v="2023-01-01T00:00:00"/>
    <n v="14"/>
  </r>
  <r>
    <s v="ORD-2024-961501"/>
    <s v="Original"/>
    <d v="2024-03-02T00:00:00"/>
    <d v="2024-03-23T00:00:00"/>
    <n v="21"/>
    <x v="0"/>
    <s v="USA"/>
    <s v="Chicago"/>
    <s v="Small Business"/>
    <x v="1"/>
    <s v="F. Müller"/>
    <x v="6"/>
    <x v="268"/>
    <n v="225.01"/>
    <n v="333.48"/>
    <n v="0.11899999999999999"/>
    <n v="12"/>
    <n v="3525.5505600000001"/>
    <n v="2700.12"/>
    <n v="825.43056000000024"/>
    <n v="0.23412813004729685"/>
    <s v="Mar-2024"/>
    <d v="2024-03-01T00:00:00"/>
    <s v="Q1-2024"/>
    <s v="Americas → USA → Chicago"/>
    <s v="Components"/>
    <s v="Low"/>
    <d v="2023-01-01T00:00:00"/>
    <n v="14"/>
  </r>
  <r>
    <s v="ORD-2024-868223"/>
    <s v="Original"/>
    <d v="2024-03-03T00:00:00"/>
    <d v="2024-03-19T00:00:00"/>
    <n v="16"/>
    <x v="3"/>
    <s v="China"/>
    <s v="Beijing"/>
    <s v="Consumer"/>
    <x v="0"/>
    <s v="G. Dubois"/>
    <x v="2"/>
    <x v="269"/>
    <n v="988.83"/>
    <n v="1206.04"/>
    <n v="6.3E-2"/>
    <n v="34"/>
    <n v="38422.022320000004"/>
    <n v="33620.22"/>
    <n v="4801.8023200000025"/>
    <n v="0.12497526236406606"/>
    <s v="Mar-2024"/>
    <d v="2024-03-01T00:00:00"/>
    <s v="Q1-2024"/>
    <s v="Asia → China → Beijing"/>
    <s v="Phones"/>
    <s v="Medium"/>
    <d v="2023-01-01T00:00:00"/>
    <n v="14"/>
  </r>
  <r>
    <s v="ORD-2024-419248"/>
    <s v="Original"/>
    <d v="2024-03-04T00:00:00"/>
    <d v="2024-03-16T00:00:00"/>
    <n v="12"/>
    <x v="1"/>
    <s v="South Africa"/>
    <s v="Johannesburg"/>
    <s v="Enterprise"/>
    <x v="0"/>
    <s v="M. Rossi"/>
    <x v="5"/>
    <x v="270"/>
    <n v="441.08"/>
    <n v="1054.29"/>
    <n v="0.23699999999999999"/>
    <n v="6"/>
    <n v="4826.5396199999996"/>
    <n v="2646.48"/>
    <n v="2180.0596199999995"/>
    <n v="0.45168169985932899"/>
    <s v="Mar-2024"/>
    <d v="2024-03-01T00:00:00"/>
    <s v="Q1-2024"/>
    <s v="Africa → South Africa → Johannesburg"/>
    <s v="Monitors"/>
    <s v="Medium"/>
    <d v="2023-01-01T00:00:00"/>
    <n v="14"/>
  </r>
  <r>
    <s v="ORD-2024-853298"/>
    <s v="Original"/>
    <d v="2024-03-06T00:00:00"/>
    <d v="2024-03-26T00:00:00"/>
    <n v="20"/>
    <x v="1"/>
    <s v="Nigeria"/>
    <s v="Port Harcourt"/>
    <s v="Consumer"/>
    <x v="4"/>
    <s v="I. Johnson"/>
    <x v="2"/>
    <x v="271"/>
    <n v="65.64"/>
    <n v="151.88"/>
    <n v="0.16700000000000001"/>
    <n v="23"/>
    <n v="2909.8689199999999"/>
    <n v="1509.72"/>
    <n v="1400.1489199999999"/>
    <n v="0.48117250587356353"/>
    <s v="Mar-2024"/>
    <d v="2024-03-01T00:00:00"/>
    <s v="Q1-2024"/>
    <s v="Africa → Nigeria → Port Harcourt"/>
    <s v="Phones"/>
    <s v="Low"/>
    <d v="2023-01-01T00:00:00"/>
    <n v="14"/>
  </r>
  <r>
    <s v="ORD-2024-692673"/>
    <s v="Original"/>
    <d v="2024-03-07T00:00:00"/>
    <d v="2024-03-25T00:00:00"/>
    <n v="18"/>
    <x v="2"/>
    <s v="Germany"/>
    <s v="Munich"/>
    <s v="Corporate"/>
    <x v="1"/>
    <s v="B. Chen"/>
    <x v="6"/>
    <x v="272"/>
    <n v="712.84"/>
    <n v="927.51"/>
    <n v="0.24299999999999999"/>
    <n v="27"/>
    <n v="18957.37689"/>
    <n v="19246.68"/>
    <n v="-289.30311000000074"/>
    <n v="-1.5260714163076427E-2"/>
    <s v="Mar-2024"/>
    <d v="2024-03-01T00:00:00"/>
    <s v="Q1-2024"/>
    <s v="Europe → Germany → Munich"/>
    <s v="Components"/>
    <s v="Medium"/>
    <d v="2023-01-01T00:00:00"/>
    <n v="14"/>
  </r>
  <r>
    <s v="ORD-2024-356812"/>
    <s v="Original"/>
    <d v="2024-03-07T00:00:00"/>
    <d v="2024-04-03T00:00:00"/>
    <n v="27"/>
    <x v="2"/>
    <s v="Germany"/>
    <s v="Frankfurt"/>
    <s v="Corporate"/>
    <x v="2"/>
    <s v="M. Rossi"/>
    <x v="1"/>
    <x v="273"/>
    <n v="738.16"/>
    <n v="956.49"/>
    <n v="0.152"/>
    <n v="5"/>
    <n v="4055.5175999999997"/>
    <n v="3690.7999999999997"/>
    <n v="364.71759999999995"/>
    <n v="8.9931208780847108E-2"/>
    <s v="Mar-2024"/>
    <d v="2024-03-01T00:00:00"/>
    <s v="Q1-2024"/>
    <s v="Europe → Germany → Frankfurt"/>
    <s v="Printers"/>
    <s v="Medium"/>
    <d v="2023-01-01T00:00:00"/>
    <n v="14"/>
  </r>
  <r>
    <s v="ORD-2024-343877"/>
    <s v="Original"/>
    <d v="2024-03-09T00:00:00"/>
    <d v="2024-03-26T00:00:00"/>
    <n v="17"/>
    <x v="3"/>
    <s v="China"/>
    <s v="Shenzhen"/>
    <s v="Enterprise"/>
    <x v="1"/>
    <s v="K. Singh"/>
    <x v="5"/>
    <x v="274"/>
    <n v="1029.67"/>
    <n v="1118.43"/>
    <n v="0.27200000000000002"/>
    <n v="9"/>
    <n v="7327.9533600000004"/>
    <n v="9267.0300000000007"/>
    <n v="-1939.0766400000002"/>
    <n v="-0.26461367106736061"/>
    <s v="Mar-2024"/>
    <d v="2024-03-01T00:00:00"/>
    <s v="Q1-2024"/>
    <s v="Asia → China → Shenzhen"/>
    <s v="Monitors"/>
    <s v="Medium"/>
    <d v="2023-01-01T00:00:00"/>
    <n v="14"/>
  </r>
  <r>
    <s v="ORD-2024-251426"/>
    <s v="Original"/>
    <d v="2024-03-09T00:00:00"/>
    <d v="2024-03-26T00:00:00"/>
    <n v="17"/>
    <x v="0"/>
    <s v="USA"/>
    <s v="San Francisco"/>
    <s v="Education"/>
    <x v="2"/>
    <s v="I. Johnson"/>
    <x v="2"/>
    <x v="275"/>
    <n v="1137.4100000000001"/>
    <n v="1680.93"/>
    <n v="0.254"/>
    <n v="9"/>
    <n v="11285.764020000001"/>
    <n v="10236.69"/>
    <n v="1049.07402"/>
    <n v="9.2955516183121464E-2"/>
    <s v="Mar-2024"/>
    <d v="2024-03-01T00:00:00"/>
    <s v="Q1-2024"/>
    <s v="Americas → USA → San Francisco"/>
    <s v="Phones"/>
    <s v="High"/>
    <d v="2023-01-01T00:00:00"/>
    <n v="14"/>
  </r>
  <r>
    <s v="ORD-2024-907733"/>
    <s v="Original"/>
    <d v="2024-03-09T00:00:00"/>
    <d v="2024-03-22T00:00:00"/>
    <n v="13"/>
    <x v="2"/>
    <s v="United Kingdom"/>
    <s v="Manchester"/>
    <s v="Consumer"/>
    <x v="1"/>
    <s v="E. Garcia"/>
    <x v="0"/>
    <x v="276"/>
    <n v="985.45"/>
    <n v="1802.44"/>
    <n v="8.9999999999999993E-3"/>
    <n v="19"/>
    <n v="33938.142760000002"/>
    <n v="18723.55"/>
    <n v="15214.592760000003"/>
    <n v="0.44830363486867486"/>
    <s v="Mar-2024"/>
    <d v="2024-03-01T00:00:00"/>
    <s v="Q1-2024"/>
    <s v="Europe → United Kingdom → Manchester"/>
    <s v="Laptops"/>
    <s v="High"/>
    <d v="2023-01-01T00:00:00"/>
    <n v="14"/>
  </r>
  <r>
    <s v="ORD-2024-906395"/>
    <s v="Original"/>
    <d v="2024-03-10T00:00:00"/>
    <d v="2024-04-09T00:00:00"/>
    <n v="30"/>
    <x v="2"/>
    <s v="France"/>
    <s v="Lyon"/>
    <s v="Corporate"/>
    <x v="2"/>
    <s v="I. Johnson"/>
    <x v="6"/>
    <x v="277"/>
    <n v="1176.56"/>
    <n v="1911.89"/>
    <n v="0.11899999999999999"/>
    <n v="20"/>
    <n v="33687.501800000005"/>
    <n v="23531.199999999997"/>
    <n v="10156.301800000008"/>
    <n v="0.30148575160892477"/>
    <s v="Mar-2024"/>
    <d v="2024-03-01T00:00:00"/>
    <s v="Q1-2024"/>
    <s v="Europe → France → Lyon"/>
    <s v="Components"/>
    <s v="High"/>
    <d v="2023-01-01T00:00:00"/>
    <n v="14"/>
  </r>
  <r>
    <s v="ORD-2024-275203"/>
    <s v="Original"/>
    <d v="2024-03-11T00:00:00"/>
    <d v="2024-04-06T00:00:00"/>
    <n v="26"/>
    <x v="1"/>
    <s v="Kenya"/>
    <s v="Kisumu"/>
    <s v="Corporate"/>
    <x v="3"/>
    <s v="C. Otieno"/>
    <x v="6"/>
    <x v="278"/>
    <n v="279.24"/>
    <n v="608.9"/>
    <n v="0.112"/>
    <n v="9"/>
    <n v="4866.3287999999993"/>
    <n v="2513.16"/>
    <n v="2353.1687999999995"/>
    <n v="0.48356140670149533"/>
    <s v="Mar-2024"/>
    <d v="2024-03-01T00:00:00"/>
    <s v="Q1-2024"/>
    <s v="Africa → Kenya → Kisumu"/>
    <s v="Components"/>
    <s v="Low"/>
    <d v="2023-01-01T00:00:00"/>
    <n v="14"/>
  </r>
  <r>
    <s v="ORD-2024-687073"/>
    <s v="Original"/>
    <d v="2024-03-11T00:00:00"/>
    <d v="2024-03-29T00:00:00"/>
    <n v="18"/>
    <x v="0"/>
    <s v="USA"/>
    <s v="New York"/>
    <s v="Corporate"/>
    <x v="3"/>
    <s v="M. Rossi"/>
    <x v="5"/>
    <x v="279"/>
    <n v="710.98"/>
    <n v="1481.45"/>
    <n v="0.21099999999999999"/>
    <n v="9"/>
    <n v="10519.776450000001"/>
    <n v="6398.82"/>
    <n v="4120.9564500000015"/>
    <n v="0.39173422264120461"/>
    <s v="Mar-2024"/>
    <d v="2024-03-01T00:00:00"/>
    <s v="Q1-2024"/>
    <s v="Americas → USA → New York"/>
    <s v="Monitors"/>
    <s v="Medium"/>
    <d v="2023-01-01T00:00:00"/>
    <n v="14"/>
  </r>
  <r>
    <s v="ORD-2024-243988"/>
    <s v="Original"/>
    <d v="2024-03-13T00:00:00"/>
    <d v="2024-04-06T00:00:00"/>
    <n v="24"/>
    <x v="1"/>
    <s v="Nigeria"/>
    <s v="Abuja"/>
    <s v="Consumer"/>
    <x v="0"/>
    <s v="L. Okafor"/>
    <x v="6"/>
    <x v="280"/>
    <n v="1232.78"/>
    <n v="1731.75"/>
    <n v="9.2999999999999999E-2"/>
    <n v="16"/>
    <n v="25131.155999999999"/>
    <n v="19724.48"/>
    <n v="5406.6759999999995"/>
    <n v="0.21513837246484005"/>
    <s v="Mar-2024"/>
    <d v="2024-03-01T00:00:00"/>
    <s v="Q1-2024"/>
    <s v="Africa → Nigeria → Abuja"/>
    <s v="Components"/>
    <s v="High"/>
    <d v="2023-01-01T00:00:00"/>
    <n v="14"/>
  </r>
  <r>
    <s v="ORD-2024-220234"/>
    <s v="Original"/>
    <d v="2024-03-15T00:00:00"/>
    <d v="2024-04-09T00:00:00"/>
    <n v="25"/>
    <x v="0"/>
    <s v="Canada"/>
    <s v="Vancouver"/>
    <s v="Consumer"/>
    <x v="1"/>
    <s v="F. Müller"/>
    <x v="5"/>
    <x v="281"/>
    <n v="648.64"/>
    <n v="815.19"/>
    <n v="0.22500000000000001"/>
    <n v="28"/>
    <n v="17689.623"/>
    <n v="18161.919999999998"/>
    <n v="-472.29699999999866"/>
    <n v="-2.6699099240272032E-2"/>
    <s v="Mar-2024"/>
    <d v="2024-03-01T00:00:00"/>
    <s v="Q1-2024"/>
    <s v="Americas → Canada → Vancouver"/>
    <s v="Monitors"/>
    <s v="Low"/>
    <d v="2023-01-01T00:00:00"/>
    <n v="14"/>
  </r>
  <r>
    <s v="ORD-2024-834983"/>
    <s v="Original"/>
    <d v="2024-03-16T00:00:00"/>
    <d v="2024-04-13T00:00:00"/>
    <n v="28"/>
    <x v="2"/>
    <s v="France"/>
    <s v="Paris"/>
    <s v="Small Business"/>
    <x v="1"/>
    <s v="K. Singh"/>
    <x v="1"/>
    <x v="282"/>
    <n v="287.61"/>
    <n v="628.54"/>
    <n v="0.13500000000000001"/>
    <n v="21"/>
    <n v="11417.429099999999"/>
    <n v="6039.81"/>
    <n v="5377.619099999999"/>
    <n v="0.47100087531964613"/>
    <s v="Mar-2024"/>
    <d v="2024-03-01T00:00:00"/>
    <s v="Q1-2024"/>
    <s v="Europe → France → Paris"/>
    <s v="Printers"/>
    <s v="Low"/>
    <d v="2023-01-01T00:00:00"/>
    <n v="14"/>
  </r>
  <r>
    <s v="ORD-2024-287210"/>
    <s v="Original"/>
    <d v="2024-03-18T00:00:00"/>
    <d v="2024-03-21T00:00:00"/>
    <n v="3"/>
    <x v="2"/>
    <s v="Germany"/>
    <s v="Munich"/>
    <s v="Small Business"/>
    <x v="1"/>
    <s v="M. Rossi"/>
    <x v="3"/>
    <x v="283"/>
    <n v="910.63"/>
    <n v="1269.4000000000001"/>
    <n v="6.8000000000000005E-2"/>
    <n v="9"/>
    <n v="10647.727199999999"/>
    <n v="8195.67"/>
    <n v="2452.0571999999993"/>
    <n v="0.23028925834989455"/>
    <s v="Mar-2024"/>
    <d v="2024-03-01T00:00:00"/>
    <s v="Q1-2024"/>
    <s v="Europe → Germany → Munich"/>
    <s v="Accessories"/>
    <s v="Medium"/>
    <d v="2023-01-01T00:00:00"/>
    <n v="14"/>
  </r>
  <r>
    <s v="ORD-2024-446030"/>
    <s v="Original"/>
    <d v="2024-03-23T00:00:00"/>
    <d v="2024-03-26T00:00:00"/>
    <n v="3"/>
    <x v="3"/>
    <s v="India"/>
    <s v="Bengaluru"/>
    <s v="Education"/>
    <x v="2"/>
    <s v="G. Dubois"/>
    <x v="2"/>
    <x v="284"/>
    <n v="382.21"/>
    <n v="571.89"/>
    <n v="0.14799999999999999"/>
    <n v="26"/>
    <n v="12668.50728"/>
    <n v="9937.4599999999991"/>
    <n v="2731.0472800000007"/>
    <n v="0.2155776698578809"/>
    <s v="Mar-2024"/>
    <d v="2024-03-01T00:00:00"/>
    <s v="Q1-2024"/>
    <s v="Asia → India → Bengaluru"/>
    <s v="Phones"/>
    <s v="Low"/>
    <d v="2023-02-01T00:00:00"/>
    <n v="13"/>
  </r>
  <r>
    <s v="ORD-2024-207096"/>
    <s v="Original"/>
    <d v="2024-03-26T00:00:00"/>
    <d v="2024-04-05T00:00:00"/>
    <n v="10"/>
    <x v="0"/>
    <s v="USA"/>
    <s v="Austin"/>
    <s v="Consumer"/>
    <x v="2"/>
    <s v="J. Njeri"/>
    <x v="5"/>
    <x v="285"/>
    <n v="5.66"/>
    <n v="4.22"/>
    <n v="0.11899999999999999"/>
    <n v="18"/>
    <n v="66.920760000000001"/>
    <n v="101.88"/>
    <n v="-34.959239999999994"/>
    <n v="-0.52239753403876454"/>
    <s v="Mar-2024"/>
    <d v="2024-03-01T00:00:00"/>
    <s v="Q1-2024"/>
    <s v="Americas → USA → Austin"/>
    <s v="Monitors"/>
    <s v="Low"/>
    <d v="2023-01-01T00:00:00"/>
    <n v="14"/>
  </r>
  <r>
    <s v="ORD-2024-948800"/>
    <s v="Original"/>
    <d v="2024-03-27T00:00:00"/>
    <d v="2024-04-11T00:00:00"/>
    <n v="15"/>
    <x v="0"/>
    <s v="USA"/>
    <s v="San Francisco"/>
    <s v="Small Business"/>
    <x v="2"/>
    <s v="O. Wang"/>
    <x v="4"/>
    <x v="286"/>
    <n v="1338.35"/>
    <n v="2247.14"/>
    <n v="0.115"/>
    <n v="40"/>
    <n v="79548.755999999994"/>
    <n v="53534"/>
    <n v="26014.755999999994"/>
    <n v="0.32702907384246205"/>
    <s v="Mar-2024"/>
    <d v="2024-03-01T00:00:00"/>
    <s v="Q1-2024"/>
    <s v="Americas → USA → San Francisco"/>
    <s v="Networking"/>
    <s v="High"/>
    <d v="2023-01-01T00:00:00"/>
    <n v="14"/>
  </r>
  <r>
    <s v="ORD-2024-897622"/>
    <s v="Original"/>
    <d v="2024-03-30T00:00:00"/>
    <d v="2024-04-24T00:00:00"/>
    <n v="25"/>
    <x v="0"/>
    <s v="USA"/>
    <s v="Austin"/>
    <s v="Non-Profit"/>
    <x v="1"/>
    <s v="G. Dubois"/>
    <x v="0"/>
    <x v="287"/>
    <n v="160.82"/>
    <n v="258.52"/>
    <n v="0.13"/>
    <n v="17"/>
    <n v="3823.5108"/>
    <n v="2733.94"/>
    <n v="1089.5708"/>
    <n v="0.28496605789631874"/>
    <s v="Mar-2024"/>
    <d v="2024-03-01T00:00:00"/>
    <s v="Q1-2024"/>
    <s v="Americas → USA → Austin"/>
    <s v="Laptops"/>
    <s v="Low"/>
    <d v="2023-01-01T00:00:00"/>
    <n v="14"/>
  </r>
  <r>
    <s v="ORD-2024-745822"/>
    <s v="Original"/>
    <d v="2024-03-31T00:00:00"/>
    <d v="2024-04-17T00:00:00"/>
    <n v="17"/>
    <x v="2"/>
    <s v="Germany"/>
    <s v="Frankfurt"/>
    <s v="Education"/>
    <x v="2"/>
    <s v="H. Kim"/>
    <x v="5"/>
    <x v="288"/>
    <n v="1025.51"/>
    <n v="1436.54"/>
    <n v="0.13900000000000001"/>
    <n v="28"/>
    <n v="34632.106319999999"/>
    <n v="28714.28"/>
    <n v="5917.8263200000001"/>
    <n v="0.17087688127656453"/>
    <s v="Mar-2024"/>
    <d v="2024-03-01T00:00:00"/>
    <s v="Q1-2024"/>
    <s v="Europe → Germany → Frankfurt"/>
    <s v="Monitors"/>
    <s v="Medium"/>
    <d v="2023-01-01T00:00:00"/>
    <n v="14"/>
  </r>
  <r>
    <s v="ORD-2024-219735"/>
    <s v="Original"/>
    <d v="2024-04-03T00:00:00"/>
    <d v="2024-04-07T00:00:00"/>
    <n v="4"/>
    <x v="0"/>
    <s v="Brazil"/>
    <s v="Brasília"/>
    <s v="Non-Profit"/>
    <x v="2"/>
    <s v="N. Brown"/>
    <x v="2"/>
    <x v="289"/>
    <n v="1023.27"/>
    <n v="1343.64"/>
    <n v="0.13300000000000001"/>
    <n v="7"/>
    <n v="8154.5511600000009"/>
    <n v="7162.8899999999994"/>
    <n v="991.66116000000147"/>
    <n v="0.12160830688810116"/>
    <s v="Apr-2024"/>
    <d v="2024-04-01T00:00:00"/>
    <s v="Q2-2024"/>
    <s v="Americas → Brazil → Brasília"/>
    <s v="Phones"/>
    <s v="Medium"/>
    <d v="2023-01-01T00:00:00"/>
    <n v="15"/>
  </r>
  <r>
    <s v="ORD-2024-510591"/>
    <s v="Original"/>
    <d v="2024-04-03T00:00:00"/>
    <d v="2024-04-21T00:00:00"/>
    <n v="18"/>
    <x v="0"/>
    <s v="Brazil"/>
    <s v="Brasília"/>
    <s v="Small Business"/>
    <x v="0"/>
    <s v="B. Chen"/>
    <x v="4"/>
    <x v="290"/>
    <n v="1176.69"/>
    <n v="2201.54"/>
    <n v="0.17"/>
    <n v="27"/>
    <n v="49336.511399999996"/>
    <n v="31770.63"/>
    <n v="17565.881399999995"/>
    <n v="0.35604222717701106"/>
    <s v="Apr-2024"/>
    <d v="2024-04-01T00:00:00"/>
    <s v="Q2-2024"/>
    <s v="Americas → Brazil → Brasília"/>
    <s v="Networking"/>
    <s v="High"/>
    <d v="2023-01-01T00:00:00"/>
    <n v="15"/>
  </r>
  <r>
    <s v="ORD-2024-211453"/>
    <s v="Original"/>
    <d v="2024-04-04T00:00:00"/>
    <d v="2024-04-24T00:00:00"/>
    <n v="20"/>
    <x v="2"/>
    <s v="Germany"/>
    <s v="Frankfurt"/>
    <s v="Non-Profit"/>
    <x v="2"/>
    <s v="O. Wang"/>
    <x v="3"/>
    <x v="291"/>
    <n v="683.42"/>
    <n v="951.51"/>
    <n v="0"/>
    <n v="14"/>
    <n v="13321.14"/>
    <n v="9567.8799999999992"/>
    <n v="3753.26"/>
    <n v="0.28175216235247136"/>
    <s v="Apr-2024"/>
    <d v="2024-04-01T00:00:00"/>
    <s v="Q2-2024"/>
    <s v="Europe → Germany → Frankfurt"/>
    <s v="Accessories"/>
    <s v="Medium"/>
    <d v="2023-01-01T00:00:00"/>
    <n v="15"/>
  </r>
  <r>
    <s v="ORD-2024-310809"/>
    <s v="Original"/>
    <d v="2024-04-05T00:00:00"/>
    <d v="2024-04-09T00:00:00"/>
    <n v="4"/>
    <x v="1"/>
    <s v="Nigeria"/>
    <s v="Lagos"/>
    <s v="Non-Profit"/>
    <x v="2"/>
    <s v="K. Singh"/>
    <x v="6"/>
    <x v="292"/>
    <n v="395.07"/>
    <n v="970.27"/>
    <n v="0.123"/>
    <n v="38"/>
    <n v="32335.21802"/>
    <n v="15012.66"/>
    <n v="17322.55802"/>
    <n v="0.53571799049833657"/>
    <s v="Apr-2024"/>
    <d v="2024-04-01T00:00:00"/>
    <s v="Q2-2024"/>
    <s v="Africa → Nigeria → Lagos"/>
    <s v="Components"/>
    <s v="Medium"/>
    <d v="2023-01-01T00:00:00"/>
    <n v="15"/>
  </r>
  <r>
    <s v="ORD-2024-594592"/>
    <s v="Original"/>
    <d v="2024-04-06T00:00:00"/>
    <d v="2024-04-25T00:00:00"/>
    <n v="19"/>
    <x v="3"/>
    <s v="China"/>
    <s v="Shanghai"/>
    <s v="Corporate"/>
    <x v="3"/>
    <s v="K. Singh"/>
    <x v="6"/>
    <x v="293"/>
    <n v="1366.48"/>
    <n v="1678.14"/>
    <n v="0.154"/>
    <n v="10"/>
    <n v="14197.064400000001"/>
    <n v="13664.8"/>
    <n v="532.26440000000184"/>
    <n v="3.7491159087790132E-2"/>
    <s v="Apr-2024"/>
    <d v="2024-04-01T00:00:00"/>
    <s v="Q2-2024"/>
    <s v="Asia → China → Shanghai"/>
    <s v="Components"/>
    <s v="High"/>
    <d v="2023-01-01T00:00:00"/>
    <n v="15"/>
  </r>
  <r>
    <s v="ORD-2024-332076"/>
    <s v="Original"/>
    <d v="2024-04-09T00:00:00"/>
    <d v="2024-04-18T00:00:00"/>
    <n v="9"/>
    <x v="2"/>
    <s v="France"/>
    <s v="Lyon"/>
    <s v="Consumer"/>
    <x v="1"/>
    <s v="E. Garcia"/>
    <x v="1"/>
    <x v="294"/>
    <n v="1288.8499999999999"/>
    <n v="2751.84"/>
    <n v="0.158"/>
    <n v="7"/>
    <n v="16219.34496"/>
    <n v="9021.9499999999989"/>
    <n v="7197.3949600000014"/>
    <n v="0.44375373837538756"/>
    <s v="Apr-2024"/>
    <d v="2024-04-01T00:00:00"/>
    <s v="Q2-2024"/>
    <s v="Europe → France → Lyon"/>
    <s v="Printers"/>
    <s v="High"/>
    <d v="2023-01-01T00:00:00"/>
    <n v="15"/>
  </r>
  <r>
    <s v="ORD-2024-939873"/>
    <s v="Original"/>
    <d v="2024-04-12T00:00:00"/>
    <d v="2024-05-07T00:00:00"/>
    <n v="25"/>
    <x v="1"/>
    <s v="South Africa"/>
    <s v="Johannesburg"/>
    <s v="Education"/>
    <x v="0"/>
    <s v="A. Patel"/>
    <x v="0"/>
    <x v="295"/>
    <n v="1376.51"/>
    <n v="1455.91"/>
    <n v="0.185"/>
    <n v="17"/>
    <n v="20171.63305"/>
    <n v="23400.67"/>
    <n v="-3229.0369499999979"/>
    <n v="-0.1600781127634085"/>
    <s v="Apr-2024"/>
    <d v="2024-04-01T00:00:00"/>
    <s v="Q2-2024"/>
    <s v="Africa → South Africa → Johannesburg"/>
    <s v="Laptops"/>
    <s v="Medium"/>
    <d v="2023-01-01T00:00:00"/>
    <n v="15"/>
  </r>
  <r>
    <s v="ORD-2024-364080"/>
    <s v="Original"/>
    <d v="2024-04-16T00:00:00"/>
    <d v="2024-04-27T00:00:00"/>
    <n v="11"/>
    <x v="1"/>
    <s v="Kenya"/>
    <s v="Nakuru"/>
    <s v="Enterprise"/>
    <x v="1"/>
    <s v="D. Smith"/>
    <x v="1"/>
    <x v="296"/>
    <n v="401.3"/>
    <n v="826.47"/>
    <n v="0.22500000000000001"/>
    <n v="13"/>
    <n v="8326.6852500000005"/>
    <n v="5216.9000000000005"/>
    <n v="3109.7852499999999"/>
    <n v="0.37347217489696755"/>
    <s v="Apr-2024"/>
    <d v="2024-04-01T00:00:00"/>
    <s v="Q2-2024"/>
    <s v="Africa → Kenya → Nakuru"/>
    <s v="Printers"/>
    <s v="Medium"/>
    <d v="2023-01-01T00:00:00"/>
    <n v="15"/>
  </r>
  <r>
    <s v="ORD-2024-629525"/>
    <s v="Original"/>
    <d v="2024-04-18T00:00:00"/>
    <d v="2024-05-08T00:00:00"/>
    <n v="20"/>
    <x v="2"/>
    <s v="United Kingdom"/>
    <s v="London"/>
    <s v="Non-Profit"/>
    <x v="5"/>
    <s v="D. Smith"/>
    <x v="0"/>
    <x v="297"/>
    <n v="645.33000000000004"/>
    <n v="1321.85"/>
    <n v="0"/>
    <n v="10"/>
    <n v="13218.5"/>
    <n v="6453.3"/>
    <n v="6765.2"/>
    <n v="0.51179785906116426"/>
    <s v="Apr-2024"/>
    <d v="2024-04-01T00:00:00"/>
    <s v="Q2-2024"/>
    <s v="Europe → United Kingdom → London"/>
    <s v="Laptops"/>
    <s v="Medium"/>
    <d v="2023-01-01T00:00:00"/>
    <n v="15"/>
  </r>
  <r>
    <s v="ORD-2024-599522"/>
    <s v="Original"/>
    <d v="2024-04-19T00:00:00"/>
    <d v="2024-05-06T00:00:00"/>
    <n v="17"/>
    <x v="1"/>
    <s v="Nigeria"/>
    <s v="Port Harcourt"/>
    <s v="Non-Profit"/>
    <x v="1"/>
    <s v="A. Patel"/>
    <x v="1"/>
    <x v="298"/>
    <n v="865.33"/>
    <n v="1395.64"/>
    <n v="0.17499999999999999"/>
    <n v="13"/>
    <n v="14968.239"/>
    <n v="11249.29"/>
    <n v="3718.9489999999987"/>
    <n v="0.24845601409758347"/>
    <s v="Apr-2024"/>
    <d v="2024-04-01T00:00:00"/>
    <s v="Q2-2024"/>
    <s v="Africa → Nigeria → Port Harcourt"/>
    <s v="Printers"/>
    <s v="Medium"/>
    <d v="2023-01-01T00:00:00"/>
    <n v="15"/>
  </r>
  <r>
    <s v="ORD-2024-247032"/>
    <s v="Original"/>
    <d v="2024-04-21T00:00:00"/>
    <d v="2024-05-19T00:00:00"/>
    <n v="28"/>
    <x v="1"/>
    <s v="Nigeria"/>
    <s v="Lagos"/>
    <s v="Corporate"/>
    <x v="0"/>
    <s v="A. Patel"/>
    <x v="3"/>
    <x v="299"/>
    <n v="187.22"/>
    <n v="309.47000000000003"/>
    <n v="0"/>
    <n v="5"/>
    <n v="1547.3500000000001"/>
    <n v="936.1"/>
    <n v="611.25000000000011"/>
    <n v="0.39503021294471197"/>
    <s v="Apr-2024"/>
    <d v="2024-04-01T00:00:00"/>
    <s v="Q2-2024"/>
    <s v="Africa → Nigeria → Lagos"/>
    <s v="Accessories"/>
    <s v="Low"/>
    <d v="2023-01-01T00:00:00"/>
    <n v="15"/>
  </r>
  <r>
    <s v="ORD-2024-833375"/>
    <s v="Original"/>
    <d v="2024-04-24T00:00:00"/>
    <d v="2024-05-10T00:00:00"/>
    <n v="16"/>
    <x v="1"/>
    <s v="Kenya"/>
    <s v="Kisumu"/>
    <s v="Non-Profit"/>
    <x v="1"/>
    <s v="N. Brown"/>
    <x v="5"/>
    <x v="300"/>
    <n v="513.30999999999995"/>
    <n v="1186.26"/>
    <n v="9.4E-2"/>
    <n v="15"/>
    <n v="16121.273400000002"/>
    <n v="7699.65"/>
    <n v="8421.6234000000022"/>
    <n v="0.52239194702820446"/>
    <s v="Apr-2024"/>
    <d v="2024-04-01T00:00:00"/>
    <s v="Q2-2024"/>
    <s v="Africa → Kenya → Kisumu"/>
    <s v="Monitors"/>
    <s v="Medium"/>
    <d v="2023-01-01T00:00:00"/>
    <n v="15"/>
  </r>
  <r>
    <s v="ORD-2024-567435"/>
    <s v="Original"/>
    <d v="2024-04-26T00:00:00"/>
    <d v="2024-05-03T00:00:00"/>
    <n v="7"/>
    <x v="2"/>
    <s v="United Kingdom"/>
    <s v="London"/>
    <s v="Non-Profit"/>
    <x v="0"/>
    <s v="N. Brown"/>
    <x v="2"/>
    <x v="301"/>
    <n v="1232.77"/>
    <n v="891.73"/>
    <n v="0.16700000000000001"/>
    <n v="10"/>
    <n v="7428.1108999999988"/>
    <n v="12327.7"/>
    <n v="-4899.589100000002"/>
    <n v="-0.65960096260813805"/>
    <s v="Apr-2024"/>
    <d v="2024-04-01T00:00:00"/>
    <s v="Q2-2024"/>
    <s v="Europe → United Kingdom → London"/>
    <s v="Phones"/>
    <s v="Medium"/>
    <d v="2023-01-01T00:00:00"/>
    <n v="15"/>
  </r>
  <r>
    <s v="ORD-2024-855600"/>
    <s v="Original"/>
    <d v="2024-04-29T00:00:00"/>
    <d v="2024-05-19T00:00:00"/>
    <n v="20"/>
    <x v="2"/>
    <s v="Germany"/>
    <s v="Frankfurt"/>
    <s v="Enterprise"/>
    <x v="4"/>
    <s v="C. Otieno"/>
    <x v="0"/>
    <x v="302"/>
    <n v="668.97"/>
    <n v="1667.44"/>
    <n v="3.4000000000000002E-2"/>
    <n v="15"/>
    <n v="24161.205600000001"/>
    <n v="10034.550000000001"/>
    <n v="14126.6556"/>
    <n v="0.58468339013679016"/>
    <s v="Apr-2024"/>
    <d v="2024-04-01T00:00:00"/>
    <s v="Q2-2024"/>
    <s v="Europe → Germany → Frankfurt"/>
    <s v="Laptops"/>
    <s v="High"/>
    <d v="2023-01-01T00:00:00"/>
    <n v="15"/>
  </r>
  <r>
    <s v="ORD-2024-851993"/>
    <s v="Original"/>
    <d v="2024-05-01T00:00:00"/>
    <d v="2024-05-16T00:00:00"/>
    <n v="15"/>
    <x v="3"/>
    <s v="India"/>
    <s v="Bengaluru"/>
    <s v="Small Business"/>
    <x v="3"/>
    <s v="L. Okafor"/>
    <x v="6"/>
    <x v="303"/>
    <n v="901.19"/>
    <n v="2125.44"/>
    <n v="7.0999999999999994E-2"/>
    <n v="12"/>
    <n v="23694.405119999999"/>
    <n v="10814.28"/>
    <n v="12880.125119999999"/>
    <n v="0.54359352154100415"/>
    <s v="May-2024"/>
    <d v="2024-05-01T00:00:00"/>
    <s v="Q2-2024"/>
    <s v="Asia → India → Bengaluru"/>
    <s v="Components"/>
    <s v="High"/>
    <d v="2023-02-01T00:00:00"/>
    <n v="15"/>
  </r>
  <r>
    <s v="ORD-2024-402240"/>
    <s v="Original"/>
    <d v="2024-05-01T00:00:00"/>
    <d v="2024-05-26T00:00:00"/>
    <n v="25"/>
    <x v="2"/>
    <s v="Germany"/>
    <s v="Berlin"/>
    <s v="Non-Profit"/>
    <x v="3"/>
    <s v="B. Chen"/>
    <x v="4"/>
    <x v="304"/>
    <n v="930.71"/>
    <n v="1625.42"/>
    <n v="0.13800000000000001"/>
    <n v="7"/>
    <n v="9807.7842799999999"/>
    <n v="6514.97"/>
    <n v="3292.8142799999996"/>
    <n v="0.33573477821231196"/>
    <s v="May-2024"/>
    <d v="2024-05-01T00:00:00"/>
    <s v="Q2-2024"/>
    <s v="Europe → Germany → Berlin"/>
    <s v="Networking"/>
    <s v="High"/>
    <d v="2023-01-01T00:00:00"/>
    <n v="16"/>
  </r>
  <r>
    <s v="ORD-2024-589570"/>
    <s v="Original"/>
    <d v="2024-05-04T00:00:00"/>
    <d v="2024-05-29T00:00:00"/>
    <n v="25"/>
    <x v="1"/>
    <s v="Nigeria"/>
    <s v="Abuja"/>
    <s v="Non-Profit"/>
    <x v="4"/>
    <s v="O. Wang"/>
    <x v="5"/>
    <x v="305"/>
    <n v="1295.3399999999999"/>
    <n v="2530.81"/>
    <n v="3.1E-2"/>
    <n v="6"/>
    <n v="14714.12934"/>
    <n v="7772.0399999999991"/>
    <n v="6942.0893400000004"/>
    <n v="0.4717974933880798"/>
    <s v="May-2024"/>
    <d v="2024-05-01T00:00:00"/>
    <s v="Q2-2024"/>
    <s v="Africa → Nigeria → Abuja"/>
    <s v="Monitors"/>
    <s v="High"/>
    <d v="2023-01-01T00:00:00"/>
    <n v="16"/>
  </r>
  <r>
    <s v="ORD-2024-202166"/>
    <s v="Original"/>
    <d v="2024-05-05T00:00:00"/>
    <d v="2024-05-18T00:00:00"/>
    <n v="13"/>
    <x v="2"/>
    <s v="France"/>
    <s v="Marseille"/>
    <s v="Corporate"/>
    <x v="4"/>
    <s v="A. Patel"/>
    <x v="6"/>
    <x v="306"/>
    <n v="1264.04"/>
    <n v="1870.89"/>
    <n v="0"/>
    <n v="13"/>
    <n v="24321.57"/>
    <n v="16432.52"/>
    <n v="7889.0499999999993"/>
    <n v="0.32436433996653996"/>
    <s v="May-2024"/>
    <d v="2024-05-01T00:00:00"/>
    <s v="Q2-2024"/>
    <s v="Europe → France → Marseille"/>
    <s v="Components"/>
    <s v="High"/>
    <d v="2023-01-01T00:00:00"/>
    <n v="16"/>
  </r>
  <r>
    <s v="ORD-2024-527858"/>
    <s v="Original"/>
    <d v="2024-05-07T00:00:00"/>
    <d v="2024-05-12T00:00:00"/>
    <n v="5"/>
    <x v="1"/>
    <s v="Nigeria"/>
    <s v="Abuja"/>
    <s v="Non-Profit"/>
    <x v="0"/>
    <s v="L. Okafor"/>
    <x v="0"/>
    <x v="307"/>
    <n v="1163.99"/>
    <n v="1617.85"/>
    <n v="0.127"/>
    <n v="14"/>
    <n v="19773.362699999998"/>
    <n v="16295.86"/>
    <n v="3477.5026999999973"/>
    <n v="0.17586804797749436"/>
    <s v="May-2024"/>
    <d v="2024-05-01T00:00:00"/>
    <s v="Q2-2024"/>
    <s v="Africa → Nigeria → Abuja"/>
    <s v="Laptops"/>
    <s v="Medium"/>
    <d v="2023-01-01T00:00:00"/>
    <n v="16"/>
  </r>
  <r>
    <s v="ORD-2024-641220"/>
    <s v="Original"/>
    <d v="2024-05-10T00:00:00"/>
    <d v="2024-05-16T00:00:00"/>
    <n v="6"/>
    <x v="2"/>
    <s v="United Kingdom"/>
    <s v="Birmingham"/>
    <s v="Non-Profit"/>
    <x v="2"/>
    <s v="G. Dubois"/>
    <x v="0"/>
    <x v="308"/>
    <n v="210.76"/>
    <n v="221.58"/>
    <n v="8.8999999999999996E-2"/>
    <n v="5"/>
    <n v="1009.2969000000002"/>
    <n v="1053.8"/>
    <n v="-44.50309999999979"/>
    <n v="-4.4093170205912434E-2"/>
    <s v="May-2024"/>
    <d v="2024-05-01T00:00:00"/>
    <s v="Q2-2024"/>
    <s v="Europe → United Kingdom → Birmingham"/>
    <s v="Laptops"/>
    <s v="Low"/>
    <d v="2023-01-01T00:00:00"/>
    <n v="16"/>
  </r>
  <r>
    <s v="ORD-2024-973420"/>
    <s v="Original"/>
    <d v="2024-05-12T00:00:00"/>
    <d v="2024-05-24T00:00:00"/>
    <n v="12"/>
    <x v="2"/>
    <s v="United Kingdom"/>
    <s v="Manchester"/>
    <s v="Education"/>
    <x v="4"/>
    <s v="K. Singh"/>
    <x v="1"/>
    <x v="309"/>
    <n v="111.02"/>
    <n v="172.88"/>
    <n v="0.19700000000000001"/>
    <n v="29"/>
    <n v="4025.8565599999993"/>
    <n v="3219.58"/>
    <n v="806.27655999999934"/>
    <n v="0.20027453735212053"/>
    <s v="May-2024"/>
    <d v="2024-05-01T00:00:00"/>
    <s v="Q2-2024"/>
    <s v="Europe → United Kingdom → Manchester"/>
    <s v="Printers"/>
    <s v="Low"/>
    <d v="2023-01-01T00:00:00"/>
    <n v="16"/>
  </r>
  <r>
    <s v="ORD-2024-548345"/>
    <s v="Original"/>
    <d v="2024-05-14T00:00:00"/>
    <d v="2024-05-28T00:00:00"/>
    <n v="14"/>
    <x v="2"/>
    <s v="United Kingdom"/>
    <s v="Birmingham"/>
    <s v="Consumer"/>
    <x v="3"/>
    <s v="B. Chen"/>
    <x v="4"/>
    <x v="310"/>
    <n v="1421.14"/>
    <n v="3524"/>
    <n v="0"/>
    <n v="31"/>
    <n v="109244"/>
    <n v="44055.340000000004"/>
    <n v="65188.659999999996"/>
    <n v="0.59672531214528945"/>
    <s v="May-2024"/>
    <d v="2024-05-01T00:00:00"/>
    <s v="Q2-2024"/>
    <s v="Europe → United Kingdom → Birmingham"/>
    <s v="Networking"/>
    <s v="High"/>
    <d v="2023-01-01T00:00:00"/>
    <n v="16"/>
  </r>
  <r>
    <s v="ORD-2024-690270"/>
    <s v="Original"/>
    <d v="2024-05-17T00:00:00"/>
    <d v="2024-05-27T00:00:00"/>
    <n v="10"/>
    <x v="0"/>
    <s v="USA"/>
    <s v="Austin"/>
    <s v="Non-Profit"/>
    <x v="1"/>
    <s v="C. Otieno"/>
    <x v="2"/>
    <x v="311"/>
    <n v="1484.23"/>
    <n v="3472.81"/>
    <n v="0.25600000000000001"/>
    <n v="12"/>
    <n v="31005.24768"/>
    <n v="17810.760000000002"/>
    <n v="13194.487679999998"/>
    <n v="0.42555659661803413"/>
    <s v="May-2024"/>
    <d v="2024-05-01T00:00:00"/>
    <s v="Q2-2024"/>
    <s v="Americas → USA → Austin"/>
    <s v="Phones"/>
    <s v="High"/>
    <d v="2023-01-01T00:00:00"/>
    <n v="16"/>
  </r>
  <r>
    <s v="ORD-2024-500109"/>
    <s v="Original"/>
    <d v="2024-05-18T00:00:00"/>
    <d v="2024-05-23T00:00:00"/>
    <n v="5"/>
    <x v="0"/>
    <s v="USA"/>
    <s v="Chicago"/>
    <s v="Enterprise"/>
    <x v="3"/>
    <s v="H. Kim"/>
    <x v="0"/>
    <x v="312"/>
    <n v="1274.5899999999999"/>
    <n v="2553.69"/>
    <n v="0.01"/>
    <n v="8"/>
    <n v="20225.2248"/>
    <n v="10196.719999999999"/>
    <n v="10028.504800000001"/>
    <n v="0.49584145042481803"/>
    <s v="May-2024"/>
    <d v="2024-05-01T00:00:00"/>
    <s v="Q2-2024"/>
    <s v="Americas → USA → Chicago"/>
    <s v="Laptops"/>
    <s v="High"/>
    <d v="2023-01-01T00:00:00"/>
    <n v="16"/>
  </r>
  <r>
    <s v="ORD-2024-375848"/>
    <s v="Original"/>
    <d v="2024-05-18T00:00:00"/>
    <d v="2024-05-21T00:00:00"/>
    <n v="3"/>
    <x v="2"/>
    <s v="France"/>
    <s v="Marseille"/>
    <s v="Non-Profit"/>
    <x v="4"/>
    <s v="D. Smith"/>
    <x v="1"/>
    <x v="313"/>
    <n v="663.66"/>
    <n v="824.26"/>
    <n v="0.23899999999999999"/>
    <n v="11"/>
    <n v="6899.8804600000003"/>
    <n v="7300.2599999999993"/>
    <n v="-400.379539999999"/>
    <n v="-5.8027025587048933E-2"/>
    <s v="May-2024"/>
    <d v="2024-05-01T00:00:00"/>
    <s v="Q2-2024"/>
    <s v="Europe → France → Marseille"/>
    <s v="Printers"/>
    <s v="Low"/>
    <d v="2023-01-01T00:00:00"/>
    <n v="16"/>
  </r>
  <r>
    <s v="ORD-2024-555229"/>
    <s v="Original"/>
    <d v="2024-05-18T00:00:00"/>
    <d v="2024-05-22T00:00:00"/>
    <n v="4"/>
    <x v="1"/>
    <s v="Kenya"/>
    <s v="Nairobi"/>
    <s v="Corporate"/>
    <x v="2"/>
    <s v="H. Kim"/>
    <x v="3"/>
    <x v="314"/>
    <n v="857.42"/>
    <n v="1658.92"/>
    <n v="0.122"/>
    <n v="9"/>
    <n v="13108.78584"/>
    <n v="7716.78"/>
    <n v="5392.0058400000007"/>
    <n v="0.41132763215544305"/>
    <s v="May-2024"/>
    <d v="2024-05-01T00:00:00"/>
    <s v="Q2-2024"/>
    <s v="Africa → Kenya → Nairobi"/>
    <s v="Accessories"/>
    <s v="High"/>
    <d v="2023-01-01T00:00:00"/>
    <n v="16"/>
  </r>
  <r>
    <s v="ORD-2024-503082"/>
    <s v="Original"/>
    <d v="2024-05-19T00:00:00"/>
    <d v="2024-06-08T00:00:00"/>
    <n v="20"/>
    <x v="0"/>
    <s v="Brazil"/>
    <s v="Brasília"/>
    <s v="Small Business"/>
    <x v="3"/>
    <s v="E. Garcia"/>
    <x v="5"/>
    <x v="315"/>
    <n v="1075.9000000000001"/>
    <n v="1242.1500000000001"/>
    <n v="1.2E-2"/>
    <n v="7"/>
    <n v="8590.7094000000016"/>
    <n v="7531.3000000000011"/>
    <n v="1059.4094000000005"/>
    <n v="0.12332036280961853"/>
    <s v="May-2024"/>
    <d v="2024-05-01T00:00:00"/>
    <s v="Q2-2024"/>
    <s v="Americas → Brazil → Brasília"/>
    <s v="Monitors"/>
    <s v="Medium"/>
    <d v="2023-01-01T00:00:00"/>
    <n v="16"/>
  </r>
  <r>
    <s v="ORD-2024-389336"/>
    <s v="Original"/>
    <d v="2024-05-20T00:00:00"/>
    <d v="2024-06-02T00:00:00"/>
    <n v="13"/>
    <x v="0"/>
    <s v="Canada"/>
    <s v="Vancouver"/>
    <s v="Enterprise"/>
    <x v="4"/>
    <s v="K. Singh"/>
    <x v="6"/>
    <x v="316"/>
    <n v="675.43"/>
    <n v="996.36"/>
    <n v="0.182"/>
    <n v="22"/>
    <n v="17930.494560000003"/>
    <n v="14859.46"/>
    <n v="3071.0345600000037"/>
    <n v="0.17127439233332575"/>
    <s v="May-2024"/>
    <d v="2024-05-01T00:00:00"/>
    <s v="Q2-2024"/>
    <s v="Americas → Canada → Vancouver"/>
    <s v="Components"/>
    <s v="Medium"/>
    <d v="2023-01-01T00:00:00"/>
    <n v="16"/>
  </r>
  <r>
    <s v="ORD-2024-155337"/>
    <s v="Original"/>
    <d v="2024-05-21T00:00:00"/>
    <d v="2024-05-27T00:00:00"/>
    <n v="6"/>
    <x v="1"/>
    <s v="South Africa"/>
    <s v="Johannesburg"/>
    <s v="Non-Profit"/>
    <x v="1"/>
    <s v="M. Rossi"/>
    <x v="6"/>
    <x v="317"/>
    <n v="1157.51"/>
    <n v="1394.3"/>
    <n v="0.27800000000000002"/>
    <n v="12"/>
    <n v="12080.215199999999"/>
    <n v="13890.119999999999"/>
    <n v="-1809.9048000000003"/>
    <n v="-0.14982388724333326"/>
    <s v="May-2024"/>
    <d v="2024-05-01T00:00:00"/>
    <s v="Q2-2024"/>
    <s v="Africa → South Africa → Johannesburg"/>
    <s v="Components"/>
    <s v="Medium"/>
    <d v="2023-01-01T00:00:00"/>
    <n v="16"/>
  </r>
  <r>
    <s v="ORD-2024-347736"/>
    <s v="Original"/>
    <d v="2024-05-22T00:00:00"/>
    <d v="2024-06-06T00:00:00"/>
    <n v="15"/>
    <x v="3"/>
    <s v="Japan"/>
    <s v="Nagoya"/>
    <s v="Corporate"/>
    <x v="0"/>
    <s v="C. Otieno"/>
    <x v="5"/>
    <x v="318"/>
    <n v="673.88"/>
    <n v="1228.01"/>
    <n v="0.105"/>
    <n v="13"/>
    <n v="14287.896349999999"/>
    <n v="8760.44"/>
    <n v="5527.4563499999986"/>
    <n v="0.38686285332689996"/>
    <s v="May-2024"/>
    <d v="2024-05-01T00:00:00"/>
    <s v="Q2-2024"/>
    <s v="Asia → Japan → Nagoya"/>
    <s v="Monitors"/>
    <s v="Medium"/>
    <d v="2023-03-01T00:00:00"/>
    <n v="14"/>
  </r>
  <r>
    <s v="ORD-2024-329104"/>
    <s v="Original"/>
    <d v="2024-05-23T00:00:00"/>
    <d v="2024-06-14T00:00:00"/>
    <n v="22"/>
    <x v="2"/>
    <s v="France"/>
    <s v="Marseille"/>
    <s v="Small Business"/>
    <x v="1"/>
    <s v="N. Brown"/>
    <x v="5"/>
    <x v="319"/>
    <n v="1481.74"/>
    <n v="1848.97"/>
    <n v="0.254"/>
    <n v="9"/>
    <n v="12413.98458"/>
    <n v="13335.66"/>
    <n v="-921.67541999999958"/>
    <n v="-7.4244930309072407E-2"/>
    <s v="May-2024"/>
    <d v="2024-05-01T00:00:00"/>
    <s v="Q2-2024"/>
    <s v="Europe → France → Marseille"/>
    <s v="Monitors"/>
    <s v="High"/>
    <d v="2023-01-01T00:00:00"/>
    <n v="16"/>
  </r>
  <r>
    <s v="ORD-2024-970848"/>
    <s v="Original"/>
    <d v="2024-05-23T00:00:00"/>
    <d v="2024-06-03T00:00:00"/>
    <n v="11"/>
    <x v="1"/>
    <s v="South Africa"/>
    <s v="Johannesburg"/>
    <s v="Small Business"/>
    <x v="0"/>
    <s v="F. Müller"/>
    <x v="1"/>
    <x v="320"/>
    <n v="180.89"/>
    <n v="249.57"/>
    <n v="2.1999999999999999E-2"/>
    <n v="8"/>
    <n v="1952.6356799999999"/>
    <n v="1447.12"/>
    <n v="505.51567999999997"/>
    <n v="0.25888888806948362"/>
    <s v="May-2024"/>
    <d v="2024-05-01T00:00:00"/>
    <s v="Q2-2024"/>
    <s v="Africa → South Africa → Johannesburg"/>
    <s v="Printers"/>
    <s v="Low"/>
    <d v="2023-01-01T00:00:00"/>
    <n v="16"/>
  </r>
  <r>
    <s v="ORD-2024-403664"/>
    <s v="Original"/>
    <d v="2024-05-23T00:00:00"/>
    <d v="2024-06-06T00:00:00"/>
    <n v="14"/>
    <x v="0"/>
    <s v="Brazil"/>
    <s v="Rio de Janeiro"/>
    <s v="Non-Profit"/>
    <x v="1"/>
    <s v="I. Johnson"/>
    <x v="4"/>
    <x v="321"/>
    <n v="51.13"/>
    <n v="57.53"/>
    <n v="4.4999999999999998E-2"/>
    <n v="16"/>
    <n v="879.05840000000001"/>
    <n v="818.08"/>
    <n v="60.978399999999965"/>
    <n v="6.9367859973808302E-2"/>
    <s v="May-2024"/>
    <d v="2024-05-01T00:00:00"/>
    <s v="Q2-2024"/>
    <s v="Americas → Brazil → Rio de Janeiro"/>
    <s v="Networking"/>
    <s v="Low"/>
    <d v="2023-01-01T00:00:00"/>
    <n v="16"/>
  </r>
  <r>
    <s v="ORD-2024-578646"/>
    <s v="Original"/>
    <d v="2024-05-27T00:00:00"/>
    <d v="2024-06-17T00:00:00"/>
    <n v="21"/>
    <x v="3"/>
    <s v="India"/>
    <s v="Delhi"/>
    <s v="Small Business"/>
    <x v="1"/>
    <s v="H. Kim"/>
    <x v="3"/>
    <x v="322"/>
    <n v="465.02"/>
    <n v="651.55999999999995"/>
    <n v="4.2000000000000003E-2"/>
    <n v="19"/>
    <n v="11859.695119999998"/>
    <n v="8835.3799999999992"/>
    <n v="3024.3151199999993"/>
    <n v="0.25500783025187918"/>
    <s v="May-2024"/>
    <d v="2024-05-01T00:00:00"/>
    <s v="Q2-2024"/>
    <s v="Asia → India → Delhi"/>
    <s v="Accessories"/>
    <s v="Low"/>
    <d v="2023-02-01T00:00:00"/>
    <n v="15"/>
  </r>
  <r>
    <s v="ORD-2024-638884"/>
    <s v="Original"/>
    <d v="2024-05-28T00:00:00"/>
    <d v="2024-06-04T00:00:00"/>
    <n v="7"/>
    <x v="1"/>
    <s v="Nigeria"/>
    <s v="Abuja"/>
    <s v="Enterprise"/>
    <x v="1"/>
    <s v="F. Müller"/>
    <x v="3"/>
    <x v="323"/>
    <n v="1227.08"/>
    <n v="1896.62"/>
    <n v="0"/>
    <n v="18"/>
    <n v="34139.159999999996"/>
    <n v="22087.439999999999"/>
    <n v="12051.719999999998"/>
    <n v="0.353017473189147"/>
    <s v="May-2024"/>
    <d v="2024-05-01T00:00:00"/>
    <s v="Q2-2024"/>
    <s v="Africa → Nigeria → Abuja"/>
    <s v="Accessories"/>
    <s v="High"/>
    <d v="2023-01-01T00:00:00"/>
    <n v="16"/>
  </r>
  <r>
    <s v="ORD-2024-819979"/>
    <s v="Original"/>
    <d v="2024-05-28T00:00:00"/>
    <d v="2024-06-18T00:00:00"/>
    <n v="21"/>
    <x v="2"/>
    <s v="Germany"/>
    <s v="Frankfurt"/>
    <s v="Small Business"/>
    <x v="1"/>
    <s v="E. Garcia"/>
    <x v="2"/>
    <x v="324"/>
    <n v="986.85"/>
    <n v="2422.1"/>
    <n v="7.5999999999999998E-2"/>
    <n v="10"/>
    <n v="22380.204000000002"/>
    <n v="9868.5"/>
    <n v="12511.704000000002"/>
    <n v="0.55905227673527913"/>
    <s v="May-2024"/>
    <d v="2024-05-01T00:00:00"/>
    <s v="Q2-2024"/>
    <s v="Europe → Germany → Frankfurt"/>
    <s v="Phones"/>
    <s v="High"/>
    <d v="2023-01-01T00:00:00"/>
    <n v="16"/>
  </r>
  <r>
    <s v="ORD-2024-605518"/>
    <s v="Original"/>
    <d v="2024-05-30T00:00:00"/>
    <d v="2024-06-13T00:00:00"/>
    <n v="14"/>
    <x v="0"/>
    <s v="USA"/>
    <s v="San Francisco"/>
    <s v="Small Business"/>
    <x v="3"/>
    <s v="F. Müller"/>
    <x v="2"/>
    <x v="325"/>
    <n v="157.78"/>
    <n v="361.1"/>
    <n v="0.187"/>
    <n v="9"/>
    <n v="2642.1686999999997"/>
    <n v="1420.02"/>
    <n v="1222.1486999999997"/>
    <n v="0.46255513510549112"/>
    <s v="May-2024"/>
    <d v="2024-05-01T00:00:00"/>
    <s v="Q2-2024"/>
    <s v="Americas → USA → San Francisco"/>
    <s v="Phones"/>
    <s v="Low"/>
    <d v="2023-01-01T00:00:00"/>
    <n v="16"/>
  </r>
  <r>
    <s v="ORD-2024-166150"/>
    <s v="Original"/>
    <d v="2024-06-02T00:00:00"/>
    <d v="2024-06-08T00:00:00"/>
    <n v="6"/>
    <x v="1"/>
    <s v="Kenya"/>
    <s v="Kisumu"/>
    <s v="Consumer"/>
    <x v="4"/>
    <s v="A. Patel"/>
    <x v="3"/>
    <x v="326"/>
    <n v="292.94"/>
    <n v="356.55"/>
    <n v="0.22900000000000001"/>
    <n v="2"/>
    <n v="549.80010000000004"/>
    <n v="585.88"/>
    <n v="-36.079899999999952"/>
    <n v="-6.5623669402751925E-2"/>
    <s v="Jun-2024"/>
    <d v="2024-06-01T00:00:00"/>
    <s v="Q2-2024"/>
    <s v="Africa → Kenya → Kisumu"/>
    <s v="Accessories"/>
    <s v="Low"/>
    <d v="2023-01-01T00:00:00"/>
    <n v="17"/>
  </r>
  <r>
    <s v="ORD-2024-819778"/>
    <s v="Original"/>
    <d v="2024-06-02T00:00:00"/>
    <d v="2024-06-15T00:00:00"/>
    <n v="13"/>
    <x v="1"/>
    <s v="Kenya"/>
    <s v="Mombasa"/>
    <s v="Education"/>
    <x v="1"/>
    <s v="O. Wang"/>
    <x v="2"/>
    <x v="327"/>
    <n v="1295.18"/>
    <n v="3024.03"/>
    <n v="0.192"/>
    <n v="8"/>
    <n v="19547.329920000004"/>
    <n v="10361.44"/>
    <n v="9185.8899200000033"/>
    <n v="0.46993067378483178"/>
    <s v="Jun-2024"/>
    <d v="2024-06-01T00:00:00"/>
    <s v="Q2-2024"/>
    <s v="Africa → Kenya → Mombasa"/>
    <s v="Phones"/>
    <s v="High"/>
    <d v="2023-01-01T00:00:00"/>
    <n v="17"/>
  </r>
  <r>
    <s v="ORD-2024-886939"/>
    <s v="Original"/>
    <d v="2024-06-03T00:00:00"/>
    <d v="2024-06-24T00:00:00"/>
    <n v="21"/>
    <x v="0"/>
    <s v="Canada"/>
    <s v="Toronto"/>
    <s v="Small Business"/>
    <x v="2"/>
    <s v="G. Dubois"/>
    <x v="5"/>
    <x v="328"/>
    <n v="1205.5"/>
    <n v="2210.17"/>
    <n v="0.104"/>
    <n v="23"/>
    <n v="45547.183360000003"/>
    <n v="27726.5"/>
    <n v="17820.683360000003"/>
    <n v="0.39125763758314652"/>
    <s v="Jun-2024"/>
    <d v="2024-06-01T00:00:00"/>
    <s v="Q2-2024"/>
    <s v="Americas → Canada → Toronto"/>
    <s v="Monitors"/>
    <s v="High"/>
    <d v="2023-01-01T00:00:00"/>
    <n v="17"/>
  </r>
  <r>
    <s v="ORD-2024-134084"/>
    <s v="Original"/>
    <d v="2024-06-04T00:00:00"/>
    <d v="2024-06-16T00:00:00"/>
    <n v="12"/>
    <x v="3"/>
    <s v="China"/>
    <s v="Shanghai"/>
    <s v="Corporate"/>
    <x v="3"/>
    <s v="J. Njeri"/>
    <x v="1"/>
    <x v="329"/>
    <n v="918.42"/>
    <n v="1511.71"/>
    <n v="0.02"/>
    <n v="8"/>
    <n v="11851.806399999999"/>
    <n v="7347.36"/>
    <n v="4504.4463999999998"/>
    <n v="0.38006412254590999"/>
    <s v="Jun-2024"/>
    <d v="2024-06-01T00:00:00"/>
    <s v="Q2-2024"/>
    <s v="Asia → China → Shanghai"/>
    <s v="Printers"/>
    <s v="Medium"/>
    <d v="2023-01-01T00:00:00"/>
    <n v="17"/>
  </r>
  <r>
    <s v="ORD-2024-713332"/>
    <s v="Original"/>
    <d v="2024-06-05T00:00:00"/>
    <d v="2024-06-23T00:00:00"/>
    <n v="18"/>
    <x v="1"/>
    <s v="Kenya"/>
    <s v="Nairobi"/>
    <s v="Consumer"/>
    <x v="0"/>
    <s v="D. Smith"/>
    <x v="0"/>
    <x v="330"/>
    <n v="1208.74"/>
    <n v="1594.78"/>
    <n v="5.8999999999999997E-2"/>
    <n v="39"/>
    <n v="58526.83122"/>
    <n v="47140.86"/>
    <n v="11385.971219999999"/>
    <n v="0.1945427589817838"/>
    <s v="Jun-2024"/>
    <d v="2024-06-01T00:00:00"/>
    <s v="Q2-2024"/>
    <s v="Africa → Kenya → Nairobi"/>
    <s v="Laptops"/>
    <s v="Medium"/>
    <d v="2023-01-01T00:00:00"/>
    <n v="17"/>
  </r>
  <r>
    <s v="ORD-2024-465898"/>
    <s v="Original"/>
    <d v="2024-06-06T00:00:00"/>
    <d v="2024-06-24T00:00:00"/>
    <n v="18"/>
    <x v="3"/>
    <s v="India"/>
    <s v="Bengaluru"/>
    <s v="Small Business"/>
    <x v="2"/>
    <s v="H. Kim"/>
    <x v="4"/>
    <x v="331"/>
    <n v="1253.25"/>
    <n v="3087.13"/>
    <n v="7.1999999999999995E-2"/>
    <n v="11"/>
    <n v="31513.423040000001"/>
    <n v="13785.75"/>
    <n v="17727.673040000001"/>
    <n v="0.562543555408064"/>
    <s v="Jun-2024"/>
    <d v="2024-06-01T00:00:00"/>
    <s v="Q2-2024"/>
    <s v="Asia → India → Bengaluru"/>
    <s v="Networking"/>
    <s v="High"/>
    <d v="2023-02-01T00:00:00"/>
    <n v="16"/>
  </r>
  <r>
    <s v="ORD-2024-584090"/>
    <s v="Original"/>
    <d v="2024-06-07T00:00:00"/>
    <d v="2024-06-26T00:00:00"/>
    <n v="19"/>
    <x v="2"/>
    <s v="Germany"/>
    <s v="Berlin"/>
    <s v="Non-Profit"/>
    <x v="4"/>
    <s v="M. Rossi"/>
    <x v="6"/>
    <x v="332"/>
    <n v="1064.32"/>
    <n v="1848.39"/>
    <n v="7.2999999999999995E-2"/>
    <n v="38"/>
    <n v="65111.38614000001"/>
    <n v="40444.159999999996"/>
    <n v="24667.226140000013"/>
    <n v="0.3788465827921631"/>
    <s v="Jun-2024"/>
    <d v="2024-06-01T00:00:00"/>
    <s v="Q2-2024"/>
    <s v="Europe → Germany → Berlin"/>
    <s v="Components"/>
    <s v="High"/>
    <d v="2023-01-01T00:00:00"/>
    <n v="17"/>
  </r>
  <r>
    <s v="ORD-2024-626925"/>
    <s v="Original"/>
    <d v="2024-06-07T00:00:00"/>
    <d v="2024-06-09T00:00:00"/>
    <n v="2"/>
    <x v="3"/>
    <s v="China"/>
    <s v="Shanghai"/>
    <s v="Corporate"/>
    <x v="3"/>
    <s v="O. Wang"/>
    <x v="5"/>
    <x v="333"/>
    <n v="1370.28"/>
    <n v="2209.66"/>
    <n v="0.13300000000000001"/>
    <n v="16"/>
    <n v="30652.403519999996"/>
    <n v="21924.48"/>
    <n v="8727.9235199999966"/>
    <n v="0.28473863442079589"/>
    <s v="Jun-2024"/>
    <d v="2024-06-01T00:00:00"/>
    <s v="Q2-2024"/>
    <s v="Asia → China → Shanghai"/>
    <s v="Monitors"/>
    <s v="High"/>
    <d v="2023-01-01T00:00:00"/>
    <n v="17"/>
  </r>
  <r>
    <s v="ORD-2024-427031"/>
    <s v="Original"/>
    <d v="2024-06-08T00:00:00"/>
    <d v="2024-06-24T00:00:00"/>
    <n v="16"/>
    <x v="1"/>
    <s v="South Africa"/>
    <s v="Durban"/>
    <s v="Education"/>
    <x v="0"/>
    <s v="H. Kim"/>
    <x v="5"/>
    <x v="334"/>
    <n v="597.85"/>
    <n v="741.92"/>
    <n v="3.1E-2"/>
    <n v="7"/>
    <n v="5032.4433599999993"/>
    <n v="4184.95"/>
    <n v="847.49335999999948"/>
    <n v="0.16840594108544515"/>
    <s v="Jun-2024"/>
    <d v="2024-06-01T00:00:00"/>
    <s v="Q2-2024"/>
    <s v="Africa → South Africa → Durban"/>
    <s v="Monitors"/>
    <s v="Low"/>
    <d v="2023-01-01T00:00:00"/>
    <n v="17"/>
  </r>
  <r>
    <s v="ORD-2024-909942"/>
    <s v="Original"/>
    <d v="2024-06-09T00:00:00"/>
    <d v="2024-07-07T00:00:00"/>
    <n v="28"/>
    <x v="3"/>
    <s v="China"/>
    <s v="Shenzhen"/>
    <s v="Corporate"/>
    <x v="1"/>
    <s v="J. Njeri"/>
    <x v="6"/>
    <x v="335"/>
    <n v="550.22"/>
    <n v="1025.05"/>
    <n v="0"/>
    <n v="27"/>
    <n v="27676.35"/>
    <n v="14855.94"/>
    <n v="12820.409999999998"/>
    <n v="0.46322618408858102"/>
    <s v="Jun-2024"/>
    <d v="2024-06-01T00:00:00"/>
    <s v="Q2-2024"/>
    <s v="Asia → China → Shenzhen"/>
    <s v="Components"/>
    <s v="Medium"/>
    <d v="2023-01-01T00:00:00"/>
    <n v="17"/>
  </r>
  <r>
    <s v="ORD-2024-223618"/>
    <s v="Original"/>
    <d v="2024-06-10T00:00:00"/>
    <d v="2024-06-11T00:00:00"/>
    <n v="1"/>
    <x v="2"/>
    <s v="United Kingdom"/>
    <s v="Birmingham"/>
    <s v="Small Business"/>
    <x v="4"/>
    <s v="M. Rossi"/>
    <x v="0"/>
    <x v="336"/>
    <n v="1187.1300000000001"/>
    <n v="1795.17"/>
    <n v="1.2E-2"/>
    <n v="17"/>
    <n v="30151.675319999998"/>
    <n v="20181.210000000003"/>
    <n v="9970.4653199999957"/>
    <n v="0.33067699271046663"/>
    <s v="Jun-2024"/>
    <d v="2024-06-01T00:00:00"/>
    <s v="Q2-2024"/>
    <s v="Europe → United Kingdom → Birmingham"/>
    <s v="Laptops"/>
    <s v="High"/>
    <d v="2023-01-01T00:00:00"/>
    <n v="17"/>
  </r>
  <r>
    <s v="ORD-2024-566589"/>
    <s v="Original"/>
    <d v="2024-06-11T00:00:00"/>
    <d v="2024-07-09T00:00:00"/>
    <n v="28"/>
    <x v="1"/>
    <s v="Nigeria"/>
    <s v="Port Harcourt"/>
    <s v="Corporate"/>
    <x v="4"/>
    <s v="I. Johnson"/>
    <x v="2"/>
    <x v="337"/>
    <n v="895.54"/>
    <n v="1045"/>
    <n v="0.216"/>
    <n v="15"/>
    <n v="12289.2"/>
    <n v="13433.099999999999"/>
    <n v="-1143.8999999999978"/>
    <n v="-9.3081730299775234E-2"/>
    <s v="Jun-2024"/>
    <d v="2024-06-01T00:00:00"/>
    <s v="Q2-2024"/>
    <s v="Africa → Nigeria → Port Harcourt"/>
    <s v="Phones"/>
    <s v="Medium"/>
    <d v="2023-01-01T00:00:00"/>
    <n v="17"/>
  </r>
  <r>
    <s v="ORD-2024-389102"/>
    <s v="Original"/>
    <d v="2024-06-15T00:00:00"/>
    <d v="2024-07-06T00:00:00"/>
    <n v="21"/>
    <x v="0"/>
    <s v="Canada"/>
    <s v="Toronto"/>
    <s v="Enterprise"/>
    <x v="0"/>
    <s v="L. Okafor"/>
    <x v="1"/>
    <x v="338"/>
    <n v="817.23"/>
    <n v="1467.17"/>
    <n v="0.245"/>
    <n v="9"/>
    <n v="9969.4201499999999"/>
    <n v="7355.07"/>
    <n v="2614.3501500000002"/>
    <n v="0.26223693160328893"/>
    <s v="Jun-2024"/>
    <d v="2024-06-01T00:00:00"/>
    <s v="Q2-2024"/>
    <s v="Americas → Canada → Toronto"/>
    <s v="Printers"/>
    <s v="Medium"/>
    <d v="2023-01-01T00:00:00"/>
    <n v="17"/>
  </r>
  <r>
    <s v="ORD-2024-580808"/>
    <s v="Original"/>
    <d v="2024-06-16T00:00:00"/>
    <d v="2024-07-03T00:00:00"/>
    <n v="17"/>
    <x v="1"/>
    <s v="South Africa"/>
    <s v="Johannesburg"/>
    <s v="Enterprise"/>
    <x v="4"/>
    <s v="F. Müller"/>
    <x v="2"/>
    <x v="339"/>
    <n v="1173.83"/>
    <n v="2328.9"/>
    <n v="0.12"/>
    <n v="17"/>
    <n v="34840.344000000005"/>
    <n v="19955.11"/>
    <n v="14885.234000000004"/>
    <n v="0.42724130393201637"/>
    <s v="Jun-2024"/>
    <d v="2024-06-01T00:00:00"/>
    <s v="Q2-2024"/>
    <s v="Africa → South Africa → Johannesburg"/>
    <s v="Phones"/>
    <s v="High"/>
    <d v="2023-01-01T00:00:00"/>
    <n v="17"/>
  </r>
  <r>
    <s v="ORD-2024-572312"/>
    <s v="Original"/>
    <d v="2024-06-16T00:00:00"/>
    <d v="2024-06-21T00:00:00"/>
    <n v="5"/>
    <x v="3"/>
    <s v="Japan"/>
    <s v="Tokyo"/>
    <s v="Small Business"/>
    <x v="0"/>
    <s v="F. Müller"/>
    <x v="2"/>
    <x v="340"/>
    <n v="1367.13"/>
    <n v="3062.01"/>
    <n v="0.10299999999999999"/>
    <n v="25"/>
    <n v="68665.574250000005"/>
    <n v="34178.25"/>
    <n v="34487.324250000005"/>
    <n v="0.50225057645971705"/>
    <s v="Jun-2024"/>
    <d v="2024-06-01T00:00:00"/>
    <s v="Q2-2024"/>
    <s v="Asia → Japan → Tokyo"/>
    <s v="Phones"/>
    <s v="High"/>
    <d v="2023-03-01T00:00:00"/>
    <n v="15"/>
  </r>
  <r>
    <s v="ORD-2024-878493"/>
    <s v="Original"/>
    <d v="2024-06-19T00:00:00"/>
    <d v="2024-06-20T00:00:00"/>
    <n v="1"/>
    <x v="1"/>
    <s v="Kenya"/>
    <s v="Kisumu"/>
    <s v="Small Business"/>
    <x v="2"/>
    <s v="J. Njeri"/>
    <x v="0"/>
    <x v="341"/>
    <n v="231.63"/>
    <n v="537.39"/>
    <n v="0.08"/>
    <n v="12"/>
    <n v="5932.7856000000002"/>
    <n v="2779.56"/>
    <n v="3153.2256000000002"/>
    <n v="0.53149158129024587"/>
    <s v="Jun-2024"/>
    <d v="2024-06-01T00:00:00"/>
    <s v="Q2-2024"/>
    <s v="Africa → Kenya → Kisumu"/>
    <s v="Laptops"/>
    <s v="Low"/>
    <d v="2023-01-01T00:00:00"/>
    <n v="17"/>
  </r>
  <r>
    <s v="ORD-2024-704056"/>
    <s v="Original"/>
    <d v="2024-06-23T00:00:00"/>
    <d v="2024-06-25T00:00:00"/>
    <n v="2"/>
    <x v="2"/>
    <s v="United Kingdom"/>
    <s v="Birmingham"/>
    <s v="Small Business"/>
    <x v="4"/>
    <s v="L. Okafor"/>
    <x v="3"/>
    <x v="342"/>
    <n v="951.44"/>
    <n v="1646.43"/>
    <n v="0.11"/>
    <n v="24"/>
    <n v="35167.7448"/>
    <n v="22834.560000000001"/>
    <n v="12333.184799999999"/>
    <n v="0.35069592520473475"/>
    <s v="Jun-2024"/>
    <d v="2024-06-01T00:00:00"/>
    <s v="Q2-2024"/>
    <s v="Europe → United Kingdom → Birmingham"/>
    <s v="Accessories"/>
    <s v="High"/>
    <d v="2023-01-01T00:00:00"/>
    <n v="17"/>
  </r>
  <r>
    <s v="ORD-2024-787018"/>
    <s v="Original"/>
    <d v="2024-06-23T00:00:00"/>
    <d v="2024-06-28T00:00:00"/>
    <n v="5"/>
    <x v="1"/>
    <s v="Nigeria"/>
    <s v="Port Harcourt"/>
    <s v="Non-Profit"/>
    <x v="2"/>
    <s v="M. Rossi"/>
    <x v="3"/>
    <x v="343"/>
    <n v="242.31"/>
    <n v="587.95000000000005"/>
    <n v="0.22900000000000001"/>
    <n v="6"/>
    <n v="2719.8567000000003"/>
    <n v="1453.8600000000001"/>
    <n v="1265.9967000000001"/>
    <n v="0.46546448568411714"/>
    <s v="Jun-2024"/>
    <d v="2024-06-01T00:00:00"/>
    <s v="Q2-2024"/>
    <s v="Africa → Nigeria → Port Harcourt"/>
    <s v="Accessories"/>
    <s v="Low"/>
    <d v="2023-01-01T00:00:00"/>
    <n v="17"/>
  </r>
  <r>
    <s v="ORD-2024-341535"/>
    <s v="Original"/>
    <d v="2024-06-25T00:00:00"/>
    <d v="2024-06-30T00:00:00"/>
    <n v="5"/>
    <x v="1"/>
    <s v="Kenya"/>
    <s v="Kisumu"/>
    <s v="Education"/>
    <x v="2"/>
    <s v="M. Rossi"/>
    <x v="4"/>
    <x v="344"/>
    <n v="1323.55"/>
    <n v="3230.35"/>
    <n v="2.1999999999999999E-2"/>
    <n v="26"/>
    <n v="82141.339799999987"/>
    <n v="34412.299999999996"/>
    <n v="47729.039799999991"/>
    <n v="0.58105991351263542"/>
    <s v="Jun-2024"/>
    <d v="2024-06-01T00:00:00"/>
    <s v="Q2-2024"/>
    <s v="Africa → Kenya → Kisumu"/>
    <s v="Networking"/>
    <s v="High"/>
    <d v="2023-01-01T00:00:00"/>
    <n v="17"/>
  </r>
  <r>
    <s v="ORD-2024-919471"/>
    <s v="Original"/>
    <d v="2024-06-29T00:00:00"/>
    <d v="2024-07-26T00:00:00"/>
    <n v="27"/>
    <x v="1"/>
    <s v="South Africa"/>
    <s v="Durban"/>
    <s v="Enterprise"/>
    <x v="0"/>
    <s v="B. Chen"/>
    <x v="4"/>
    <x v="345"/>
    <n v="5.36"/>
    <n v="4.37"/>
    <n v="0.11799999999999999"/>
    <n v="9"/>
    <n v="34.689059999999998"/>
    <n v="48.24"/>
    <n v="-13.550940000000004"/>
    <n v="-0.39064016148030545"/>
    <s v="Jun-2024"/>
    <d v="2024-06-01T00:00:00"/>
    <s v="Q2-2024"/>
    <s v="Africa → South Africa → Durban"/>
    <s v="Networking"/>
    <s v="Low"/>
    <d v="2023-01-01T00:00:00"/>
    <n v="17"/>
  </r>
  <r>
    <s v="ORD-2024-215294"/>
    <s v="Original"/>
    <d v="2024-06-30T00:00:00"/>
    <d v="2024-07-14T00:00:00"/>
    <n v="14"/>
    <x v="0"/>
    <s v="Brazil"/>
    <s v="Brasília"/>
    <s v="Education"/>
    <x v="3"/>
    <s v="C. Otieno"/>
    <x v="3"/>
    <x v="346"/>
    <n v="1491.85"/>
    <n v="2583.02"/>
    <n v="0.16800000000000001"/>
    <n v="4"/>
    <n v="8596.2905599999995"/>
    <n v="5967.4"/>
    <n v="2628.8905599999998"/>
    <n v="0.30581685689321325"/>
    <s v="Jun-2024"/>
    <d v="2024-06-01T00:00:00"/>
    <s v="Q2-2024"/>
    <s v="Americas → Brazil → Brasília"/>
    <s v="Accessories"/>
    <s v="High"/>
    <d v="2023-01-01T00:00:00"/>
    <n v="17"/>
  </r>
  <r>
    <s v="ORD-2024-451005"/>
    <s v="Original"/>
    <d v="2024-06-30T00:00:00"/>
    <d v="2024-07-05T00:00:00"/>
    <n v="5"/>
    <x v="0"/>
    <s v="Brazil"/>
    <s v="Rio de Janeiro"/>
    <s v="Small Business"/>
    <x v="2"/>
    <s v="L. Okafor"/>
    <x v="3"/>
    <x v="347"/>
    <n v="1112.98"/>
    <n v="2095.73"/>
    <n v="7.1999999999999995E-2"/>
    <n v="17"/>
    <n v="33062.236480000007"/>
    <n v="18920.66"/>
    <n v="14141.576480000007"/>
    <n v="0.42772594916724777"/>
    <s v="Jun-2024"/>
    <d v="2024-06-01T00:00:00"/>
    <s v="Q2-2024"/>
    <s v="Americas → Brazil → Rio de Janeiro"/>
    <s v="Accessories"/>
    <s v="High"/>
    <d v="2023-01-01T00:00:00"/>
    <n v="17"/>
  </r>
  <r>
    <s v="ORD-2024-442776"/>
    <s v="Original"/>
    <d v="2024-06-30T00:00:00"/>
    <d v="2024-07-21T00:00:00"/>
    <n v="21"/>
    <x v="1"/>
    <s v="Kenya"/>
    <s v="Kisumu"/>
    <s v="Small Business"/>
    <x v="3"/>
    <s v="K. Singh"/>
    <x v="0"/>
    <x v="348"/>
    <n v="753.43"/>
    <n v="1787.2"/>
    <n v="7.2999999999999995E-2"/>
    <n v="9"/>
    <n v="14910.609600000002"/>
    <n v="6780.87"/>
    <n v="8129.7396000000017"/>
    <n v="0.54523187301476939"/>
    <s v="Jun-2024"/>
    <d v="2024-06-01T00:00:00"/>
    <s v="Q2-2024"/>
    <s v="Africa → Kenya → Kisumu"/>
    <s v="Laptops"/>
    <s v="High"/>
    <d v="2023-01-01T00:00:00"/>
    <n v="17"/>
  </r>
  <r>
    <s v="ORD-2024-892879"/>
    <s v="Original"/>
    <d v="2024-07-09T00:00:00"/>
    <d v="2024-08-08T00:00:00"/>
    <n v="30"/>
    <x v="2"/>
    <s v="France"/>
    <s v="Marseille"/>
    <s v="Corporate"/>
    <x v="2"/>
    <s v="J. Njeri"/>
    <x v="6"/>
    <x v="349"/>
    <n v="1062.3800000000001"/>
    <n v="1503.96"/>
    <n v="0.18"/>
    <n v="6"/>
    <n v="7399.4832000000006"/>
    <n v="6374.2800000000007"/>
    <n v="1025.2031999999999"/>
    <n v="0.13855064905073369"/>
    <s v="Jul-2024"/>
    <d v="2024-07-01T00:00:00"/>
    <s v="Q3-2024"/>
    <s v="Europe → France → Marseille"/>
    <s v="Components"/>
    <s v="Medium"/>
    <d v="2023-01-01T00:00:00"/>
    <n v="18"/>
  </r>
  <r>
    <s v="ORD-2024-468615"/>
    <s v="Original"/>
    <d v="2024-07-09T00:00:00"/>
    <d v="2024-07-12T00:00:00"/>
    <n v="3"/>
    <x v="3"/>
    <s v="China"/>
    <s v="Shanghai"/>
    <s v="Small Business"/>
    <x v="3"/>
    <s v="D. Smith"/>
    <x v="3"/>
    <x v="350"/>
    <n v="748.39"/>
    <n v="979.42"/>
    <n v="0"/>
    <n v="23"/>
    <n v="22526.66"/>
    <n v="17212.97"/>
    <n v="5313.6899999999987"/>
    <n v="0.23588450307324738"/>
    <s v="Jul-2024"/>
    <d v="2024-07-01T00:00:00"/>
    <s v="Q3-2024"/>
    <s v="Asia → China → Shanghai"/>
    <s v="Accessories"/>
    <s v="Medium"/>
    <d v="2023-01-01T00:00:00"/>
    <n v="18"/>
  </r>
  <r>
    <s v="ORD-2024-571797"/>
    <s v="Original"/>
    <d v="2024-07-11T00:00:00"/>
    <d v="2024-07-31T00:00:00"/>
    <n v="20"/>
    <x v="3"/>
    <s v="China"/>
    <s v="Shenzhen"/>
    <s v="Consumer"/>
    <x v="1"/>
    <s v="G. Dubois"/>
    <x v="2"/>
    <x v="351"/>
    <n v="647.26"/>
    <n v="1374.72"/>
    <n v="6.6000000000000003E-2"/>
    <n v="22"/>
    <n v="28247.74656"/>
    <n v="14239.72"/>
    <n v="14008.02656"/>
    <n v="0.49589890401508901"/>
    <s v="Jul-2024"/>
    <d v="2024-07-01T00:00:00"/>
    <s v="Q3-2024"/>
    <s v="Asia → China → Shenzhen"/>
    <s v="Phones"/>
    <s v="Medium"/>
    <d v="2023-01-01T00:00:00"/>
    <n v="18"/>
  </r>
  <r>
    <s v="ORD-2024-892908"/>
    <s v="Original"/>
    <d v="2024-07-13T00:00:00"/>
    <d v="2024-07-19T00:00:00"/>
    <n v="6"/>
    <x v="3"/>
    <s v="Japan"/>
    <s v="Nagoya"/>
    <s v="Small Business"/>
    <x v="4"/>
    <s v="F. Müller"/>
    <x v="4"/>
    <x v="352"/>
    <n v="105.13"/>
    <n v="244.13"/>
    <n v="7.0999999999999994E-2"/>
    <n v="14"/>
    <n v="3175.1547799999998"/>
    <n v="1471.82"/>
    <n v="1703.3347799999999"/>
    <n v="0.53645724319618837"/>
    <s v="Jul-2024"/>
    <d v="2024-07-01T00:00:00"/>
    <s v="Q3-2024"/>
    <s v="Asia → Japan → Nagoya"/>
    <s v="Networking"/>
    <s v="Low"/>
    <d v="2023-03-01T00:00:00"/>
    <n v="16"/>
  </r>
  <r>
    <s v="ORD-2024-202877"/>
    <s v="Original"/>
    <d v="2024-07-13T00:00:00"/>
    <d v="2024-08-03T00:00:00"/>
    <n v="21"/>
    <x v="0"/>
    <s v="Brazil"/>
    <s v="Rio de Janeiro"/>
    <s v="Corporate"/>
    <x v="4"/>
    <s v="M. Rossi"/>
    <x v="5"/>
    <x v="353"/>
    <n v="702.98"/>
    <n v="1104.8"/>
    <n v="0.17499999999999999"/>
    <n v="12"/>
    <n v="10937.519999999999"/>
    <n v="8435.76"/>
    <n v="2501.7599999999984"/>
    <n v="0.22873192460448061"/>
    <s v="Jul-2024"/>
    <d v="2024-07-01T00:00:00"/>
    <s v="Q3-2024"/>
    <s v="Americas → Brazil → Rio de Janeiro"/>
    <s v="Monitors"/>
    <s v="Medium"/>
    <d v="2023-01-01T00:00:00"/>
    <n v="18"/>
  </r>
  <r>
    <s v="ORD-2024-605629"/>
    <s v="Original"/>
    <d v="2024-07-15T00:00:00"/>
    <d v="2024-07-22T00:00:00"/>
    <n v="7"/>
    <x v="3"/>
    <s v="Japan"/>
    <s v="Tokyo"/>
    <s v="Small Business"/>
    <x v="4"/>
    <s v="G. Dubois"/>
    <x v="3"/>
    <x v="354"/>
    <n v="801.77"/>
    <n v="1218.92"/>
    <n v="0.254"/>
    <n v="16"/>
    <n v="14549.029120000001"/>
    <n v="12828.32"/>
    <n v="1720.7091200000013"/>
    <n v="0.11826968698788344"/>
    <s v="Jul-2024"/>
    <d v="2024-07-01T00:00:00"/>
    <s v="Q3-2024"/>
    <s v="Asia → Japan → Tokyo"/>
    <s v="Accessories"/>
    <s v="Medium"/>
    <d v="2023-03-01T00:00:00"/>
    <n v="16"/>
  </r>
  <r>
    <s v="ORD-2024-398783"/>
    <s v="Original"/>
    <d v="2024-07-18T00:00:00"/>
    <d v="2024-08-07T00:00:00"/>
    <n v="20"/>
    <x v="2"/>
    <s v="France"/>
    <s v="Marseille"/>
    <s v="Corporate"/>
    <x v="3"/>
    <s v="F. Müller"/>
    <x v="5"/>
    <x v="355"/>
    <n v="941.35"/>
    <n v="899.83"/>
    <n v="5.8000000000000003E-2"/>
    <n v="18"/>
    <n v="15257.51748"/>
    <n v="16944.3"/>
    <n v="-1686.7825199999988"/>
    <n v="-0.11055419220139073"/>
    <s v="Jul-2024"/>
    <d v="2024-07-01T00:00:00"/>
    <s v="Q3-2024"/>
    <s v="Europe → France → Marseille"/>
    <s v="Monitors"/>
    <s v="Medium"/>
    <d v="2023-01-01T00:00:00"/>
    <n v="18"/>
  </r>
  <r>
    <s v="ORD-2024-855073"/>
    <s v="Original"/>
    <d v="2024-07-19T00:00:00"/>
    <d v="2024-07-26T00:00:00"/>
    <n v="7"/>
    <x v="1"/>
    <s v="Kenya"/>
    <s v="Kisumu"/>
    <s v="Small Business"/>
    <x v="3"/>
    <s v="A. Patel"/>
    <x v="2"/>
    <x v="356"/>
    <n v="857.24"/>
    <n v="758.23"/>
    <n v="0.125"/>
    <n v="6"/>
    <n v="3980.7075"/>
    <n v="5143.4400000000005"/>
    <n v="-1162.7325000000005"/>
    <n v="-0.29209192084572921"/>
    <s v="Jul-2024"/>
    <d v="2024-07-01T00:00:00"/>
    <s v="Q3-2024"/>
    <s v="Africa → Kenya → Kisumu"/>
    <s v="Phones"/>
    <s v="Low"/>
    <d v="2023-01-01T00:00:00"/>
    <n v="18"/>
  </r>
  <r>
    <s v="ORD-2024-678110"/>
    <s v="Original"/>
    <d v="2024-07-24T00:00:00"/>
    <d v="2024-08-08T00:00:00"/>
    <n v="15"/>
    <x v="2"/>
    <s v="France"/>
    <s v="Marseille"/>
    <s v="Enterprise"/>
    <x v="4"/>
    <s v="H. Kim"/>
    <x v="0"/>
    <x v="357"/>
    <n v="501.5"/>
    <n v="1201.47"/>
    <n v="0.126"/>
    <n v="5"/>
    <n v="5250.4239000000007"/>
    <n v="2507.5"/>
    <n v="2742.9239000000007"/>
    <n v="0.52241951359394057"/>
    <s v="Jul-2024"/>
    <d v="2024-07-01T00:00:00"/>
    <s v="Q3-2024"/>
    <s v="Europe → France → Marseille"/>
    <s v="Laptops"/>
    <s v="Medium"/>
    <d v="2023-01-01T00:00:00"/>
    <n v="18"/>
  </r>
  <r>
    <s v="ORD-2024-798002"/>
    <s v="Original"/>
    <d v="2024-07-25T00:00:00"/>
    <d v="2024-08-01T00:00:00"/>
    <n v="7"/>
    <x v="1"/>
    <s v="Kenya"/>
    <s v="Mombasa"/>
    <s v="Non-Profit"/>
    <x v="2"/>
    <s v="J. Njeri"/>
    <x v="0"/>
    <x v="358"/>
    <n v="1494.4"/>
    <n v="3661.07"/>
    <n v="7.1999999999999995E-2"/>
    <n v="7"/>
    <n v="23782.310720000001"/>
    <n v="10460.800000000001"/>
    <n v="13321.51072"/>
    <n v="0.56014366630897339"/>
    <s v="Jul-2024"/>
    <d v="2024-07-01T00:00:00"/>
    <s v="Q3-2024"/>
    <s v="Africa → Kenya → Mombasa"/>
    <s v="Laptops"/>
    <s v="High"/>
    <d v="2023-01-01T00:00:00"/>
    <n v="18"/>
  </r>
  <r>
    <s v="ORD-2024-901115"/>
    <s v="Original"/>
    <d v="2024-07-25T00:00:00"/>
    <d v="2024-08-02T00:00:00"/>
    <n v="8"/>
    <x v="0"/>
    <s v="Canada"/>
    <s v="Montreal"/>
    <s v="Consumer"/>
    <x v="2"/>
    <s v="J. Njeri"/>
    <x v="3"/>
    <x v="359"/>
    <n v="986.81"/>
    <n v="2050.31"/>
    <n v="0.10299999999999999"/>
    <n v="43"/>
    <n v="79082.507010000001"/>
    <n v="42432.829999999994"/>
    <n v="36649.677010000007"/>
    <n v="0.46343595310358138"/>
    <s v="Jul-2024"/>
    <d v="2024-07-01T00:00:00"/>
    <s v="Q3-2024"/>
    <s v="Americas → Canada → Montreal"/>
    <s v="Accessories"/>
    <s v="High"/>
    <d v="2023-01-01T00:00:00"/>
    <n v="18"/>
  </r>
  <r>
    <s v="ORD-2024-817997"/>
    <s v="Original"/>
    <d v="2024-07-28T00:00:00"/>
    <d v="2024-08-23T00:00:00"/>
    <n v="26"/>
    <x v="3"/>
    <s v="India"/>
    <s v="Hyderabad"/>
    <s v="Corporate"/>
    <x v="3"/>
    <s v="J. Njeri"/>
    <x v="4"/>
    <x v="360"/>
    <n v="1339.24"/>
    <n v="1558.89"/>
    <n v="0.192"/>
    <n v="24"/>
    <n v="30229.994880000002"/>
    <n v="32141.760000000002"/>
    <n v="-1911.76512"/>
    <n v="-6.3240669659021781E-2"/>
    <s v="Jul-2024"/>
    <d v="2024-07-01T00:00:00"/>
    <s v="Q3-2024"/>
    <s v="Asia → India → Hyderabad"/>
    <s v="Networking"/>
    <s v="Medium"/>
    <d v="2023-02-01T00:00:00"/>
    <n v="17"/>
  </r>
  <r>
    <s v="ORD-2024-301260"/>
    <s v="Original"/>
    <d v="2024-07-29T00:00:00"/>
    <d v="2024-07-31T00:00:00"/>
    <n v="2"/>
    <x v="0"/>
    <s v="USA"/>
    <s v="New York"/>
    <s v="Education"/>
    <x v="4"/>
    <s v="I. Johnson"/>
    <x v="1"/>
    <x v="361"/>
    <n v="798.97"/>
    <n v="1814.06"/>
    <n v="0.122"/>
    <n v="16"/>
    <n v="25483.91488"/>
    <n v="12783.52"/>
    <n v="12700.39488"/>
    <n v="0.49836906691159061"/>
    <s v="Jul-2024"/>
    <d v="2024-07-01T00:00:00"/>
    <s v="Q3-2024"/>
    <s v="Americas → USA → New York"/>
    <s v="Printers"/>
    <s v="High"/>
    <d v="2023-01-01T00:00:00"/>
    <n v="18"/>
  </r>
  <r>
    <s v="ORD-2024-947056"/>
    <s v="Original"/>
    <d v="2024-07-31T00:00:00"/>
    <d v="2024-08-15T00:00:00"/>
    <n v="15"/>
    <x v="3"/>
    <s v="Japan"/>
    <s v="Tokyo"/>
    <s v="Corporate"/>
    <x v="4"/>
    <s v="F. Müller"/>
    <x v="5"/>
    <x v="362"/>
    <n v="1252.52"/>
    <n v="1417.24"/>
    <n v="0.192"/>
    <n v="5"/>
    <n v="5725.6496000000006"/>
    <n v="6262.6"/>
    <n v="-536.95039999999972"/>
    <n v="-9.3779821943696953E-2"/>
    <s v="Jul-2024"/>
    <d v="2024-07-01T00:00:00"/>
    <s v="Q3-2024"/>
    <s v="Asia → Japan → Tokyo"/>
    <s v="Monitors"/>
    <s v="Medium"/>
    <d v="2023-03-01T00:00:00"/>
    <n v="16"/>
  </r>
  <r>
    <s v="ORD-2024-689872"/>
    <s v="Original"/>
    <d v="2024-08-03T00:00:00"/>
    <d v="2024-08-09T00:00:00"/>
    <n v="6"/>
    <x v="1"/>
    <s v="Kenya"/>
    <s v="Mombasa"/>
    <s v="Consumer"/>
    <x v="4"/>
    <s v="H. Kim"/>
    <x v="0"/>
    <x v="363"/>
    <n v="643.21"/>
    <n v="1112.81"/>
    <n v="0.14099999999999999"/>
    <n v="4"/>
    <n v="3823.6151599999998"/>
    <n v="2572.84"/>
    <n v="1250.7751599999997"/>
    <n v="0.32711847496702562"/>
    <s v="Aug-2024"/>
    <d v="2024-08-01T00:00:00"/>
    <s v="Q3-2024"/>
    <s v="Africa → Kenya → Mombasa"/>
    <s v="Laptops"/>
    <s v="Medium"/>
    <d v="2023-01-01T00:00:00"/>
    <n v="19"/>
  </r>
  <r>
    <s v="ORD-2024-433936"/>
    <s v="Original"/>
    <d v="2024-08-04T00:00:00"/>
    <d v="2024-08-17T00:00:00"/>
    <n v="13"/>
    <x v="0"/>
    <s v="USA"/>
    <s v="Austin"/>
    <s v="Consumer"/>
    <x v="3"/>
    <s v="D. Smith"/>
    <x v="5"/>
    <x v="364"/>
    <n v="352.79"/>
    <n v="754.22"/>
    <n v="0.113"/>
    <n v="7"/>
    <n v="4682.9519799999998"/>
    <n v="2469.5300000000002"/>
    <n v="2213.4219799999996"/>
    <n v="0.47265528014233443"/>
    <s v="Aug-2024"/>
    <d v="2024-08-01T00:00:00"/>
    <s v="Q3-2024"/>
    <s v="Americas → USA → Austin"/>
    <s v="Monitors"/>
    <s v="Low"/>
    <d v="2023-01-01T00:00:00"/>
    <n v="19"/>
  </r>
  <r>
    <s v="ORD-2024-136321"/>
    <s v="Original"/>
    <d v="2024-08-07T00:00:00"/>
    <d v="2024-08-17T00:00:00"/>
    <n v="10"/>
    <x v="3"/>
    <s v="Japan"/>
    <s v="Osaka"/>
    <s v="Consumer"/>
    <x v="1"/>
    <s v="K. Singh"/>
    <x v="4"/>
    <x v="365"/>
    <n v="436.58"/>
    <n v="527.48"/>
    <n v="0.111"/>
    <n v="19"/>
    <n v="8909.6646800000017"/>
    <n v="8295.02"/>
    <n v="614.64468000000124"/>
    <n v="6.8986286473802644E-2"/>
    <s v="Aug-2024"/>
    <d v="2024-08-01T00:00:00"/>
    <s v="Q3-2024"/>
    <s v="Asia → Japan → Osaka"/>
    <s v="Networking"/>
    <s v="Low"/>
    <d v="2023-03-01T00:00:00"/>
    <n v="17"/>
  </r>
  <r>
    <s v="ORD-2024-915495"/>
    <s v="Original"/>
    <d v="2024-08-08T00:00:00"/>
    <d v="2024-08-20T00:00:00"/>
    <n v="12"/>
    <x v="3"/>
    <s v="Japan"/>
    <s v="Osaka"/>
    <s v="Small Business"/>
    <x v="3"/>
    <s v="H. Kim"/>
    <x v="4"/>
    <x v="366"/>
    <n v="1233.3599999999999"/>
    <n v="2120.4"/>
    <n v="0.17899999999999999"/>
    <n v="20"/>
    <n v="34816.968000000001"/>
    <n v="24667.199999999997"/>
    <n v="10149.768000000004"/>
    <n v="0.29151785991244278"/>
    <s v="Aug-2024"/>
    <d v="2024-08-01T00:00:00"/>
    <s v="Q3-2024"/>
    <s v="Asia → Japan → Osaka"/>
    <s v="Networking"/>
    <s v="High"/>
    <d v="2023-03-01T00:00:00"/>
    <n v="17"/>
  </r>
  <r>
    <s v="ORD-2024-307849"/>
    <s v="Original"/>
    <d v="2024-08-10T00:00:00"/>
    <d v="2024-09-07T00:00:00"/>
    <n v="28"/>
    <x v="2"/>
    <s v="France"/>
    <s v="Marseille"/>
    <s v="Non-Profit"/>
    <x v="2"/>
    <s v="F. Müller"/>
    <x v="1"/>
    <x v="367"/>
    <n v="229.96"/>
    <n v="564.26"/>
    <n v="0.105"/>
    <n v="5"/>
    <n v="2525.0635000000002"/>
    <n v="1149.8"/>
    <n v="1375.2635000000002"/>
    <n v="0.54464511486542821"/>
    <s v="Aug-2024"/>
    <d v="2024-08-01T00:00:00"/>
    <s v="Q3-2024"/>
    <s v="Europe → France → Marseille"/>
    <s v="Printers"/>
    <s v="Low"/>
    <d v="2023-01-01T00:00:00"/>
    <n v="19"/>
  </r>
  <r>
    <s v="ORD-2024-212990"/>
    <s v="Original"/>
    <d v="2024-08-12T00:00:00"/>
    <d v="2024-09-03T00:00:00"/>
    <n v="22"/>
    <x v="0"/>
    <s v="USA"/>
    <s v="Austin"/>
    <s v="Consumer"/>
    <x v="0"/>
    <s v="I. Johnson"/>
    <x v="0"/>
    <x v="368"/>
    <n v="797.8"/>
    <n v="886.22"/>
    <n v="0.23599999999999999"/>
    <n v="36"/>
    <n v="24374.594880000001"/>
    <n v="28720.799999999999"/>
    <n v="-4346.2051199999987"/>
    <n v="-0.17830881462428633"/>
    <s v="Aug-2024"/>
    <d v="2024-08-01T00:00:00"/>
    <s v="Q3-2024"/>
    <s v="Americas → USA → Austin"/>
    <s v="Laptops"/>
    <s v="Medium"/>
    <d v="2023-01-01T00:00:00"/>
    <n v="19"/>
  </r>
  <r>
    <s v="ORD-2024-626750"/>
    <s v="Original"/>
    <d v="2024-08-12T00:00:00"/>
    <d v="2024-08-15T00:00:00"/>
    <n v="3"/>
    <x v="0"/>
    <s v="USA"/>
    <s v="Chicago"/>
    <s v="Corporate"/>
    <x v="4"/>
    <s v="D. Smith"/>
    <x v="1"/>
    <x v="369"/>
    <n v="850.7"/>
    <n v="1118.56"/>
    <n v="0.18"/>
    <n v="19"/>
    <n v="17427.164800000002"/>
    <n v="16163.300000000001"/>
    <n v="1263.8648000000012"/>
    <n v="7.2522685962090688E-2"/>
    <s v="Aug-2024"/>
    <d v="2024-08-01T00:00:00"/>
    <s v="Q3-2024"/>
    <s v="Americas → USA → Chicago"/>
    <s v="Printers"/>
    <s v="Medium"/>
    <d v="2023-01-01T00:00:00"/>
    <n v="19"/>
  </r>
  <r>
    <s v="ORD-2024-286833"/>
    <s v="Original"/>
    <d v="2024-08-14T00:00:00"/>
    <d v="2024-09-04T00:00:00"/>
    <n v="21"/>
    <x v="2"/>
    <s v="United Kingdom"/>
    <s v="Manchester"/>
    <s v="Non-Profit"/>
    <x v="1"/>
    <s v="J. Njeri"/>
    <x v="2"/>
    <x v="370"/>
    <n v="1138.8"/>
    <n v="2250.81"/>
    <n v="0.123"/>
    <n v="12"/>
    <n v="23687.524440000001"/>
    <n v="13665.599999999999"/>
    <n v="10021.924440000003"/>
    <n v="0.42308872188756258"/>
    <s v="Aug-2024"/>
    <d v="2024-08-01T00:00:00"/>
    <s v="Q3-2024"/>
    <s v="Europe → United Kingdom → Manchester"/>
    <s v="Phones"/>
    <s v="High"/>
    <d v="2023-01-01T00:00:00"/>
    <n v="19"/>
  </r>
  <r>
    <s v="ORD-2024-353078"/>
    <s v="Original"/>
    <d v="2024-08-16T00:00:00"/>
    <d v="2024-08-26T00:00:00"/>
    <n v="10"/>
    <x v="0"/>
    <s v="USA"/>
    <s v="Chicago"/>
    <s v="Corporate"/>
    <x v="0"/>
    <s v="L. Okafor"/>
    <x v="0"/>
    <x v="174"/>
    <n v="1291.7"/>
    <n v="2657.84"/>
    <n v="8.6999999999999994E-2"/>
    <n v="21"/>
    <n v="50958.766320000002"/>
    <n v="27125.7"/>
    <n v="23833.066320000002"/>
    <n v="0.46769315745083367"/>
    <s v="Aug-2024"/>
    <d v="2024-08-01T00:00:00"/>
    <s v="Q3-2024"/>
    <s v="Americas → USA → Chicago"/>
    <s v="Laptops"/>
    <s v="High"/>
    <d v="2023-01-01T00:00:00"/>
    <n v="19"/>
  </r>
  <r>
    <s v="ORD-2024-585443"/>
    <s v="Original"/>
    <d v="2024-08-17T00:00:00"/>
    <d v="2024-08-23T00:00:00"/>
    <n v="6"/>
    <x v="0"/>
    <s v="Brazil"/>
    <s v="Rio de Janeiro"/>
    <s v="Consumer"/>
    <x v="2"/>
    <s v="M. Rossi"/>
    <x v="5"/>
    <x v="371"/>
    <n v="165.3"/>
    <n v="275.07"/>
    <n v="0.13300000000000001"/>
    <n v="25"/>
    <n v="5962.1422499999999"/>
    <n v="4132.5"/>
    <n v="1829.6422499999999"/>
    <n v="0.30687665159280625"/>
    <s v="Aug-2024"/>
    <d v="2024-08-01T00:00:00"/>
    <s v="Q3-2024"/>
    <s v="Americas → Brazil → Rio de Janeiro"/>
    <s v="Monitors"/>
    <s v="Low"/>
    <d v="2023-01-01T00:00:00"/>
    <n v="19"/>
  </r>
  <r>
    <s v="ORD-2024-993481"/>
    <s v="Original"/>
    <d v="2024-08-18T00:00:00"/>
    <d v="2024-09-12T00:00:00"/>
    <n v="25"/>
    <x v="3"/>
    <s v="India"/>
    <s v="Mumbai"/>
    <s v="Consumer"/>
    <x v="4"/>
    <s v="C. Otieno"/>
    <x v="2"/>
    <x v="372"/>
    <n v="1154.03"/>
    <n v="1590.36"/>
    <n v="0.3"/>
    <n v="18"/>
    <n v="20038.536"/>
    <n v="20772.54"/>
    <n v="-734.00400000000081"/>
    <n v="-3.6629622044245191E-2"/>
    <s v="Aug-2024"/>
    <d v="2024-08-01T00:00:00"/>
    <s v="Q3-2024"/>
    <s v="Asia → India → Mumbai"/>
    <s v="Phones"/>
    <s v="Medium"/>
    <d v="2023-02-01T00:00:00"/>
    <n v="18"/>
  </r>
  <r>
    <s v="ORD-2024-792353"/>
    <s v="Original"/>
    <d v="2024-08-19T00:00:00"/>
    <d v="2024-09-07T00:00:00"/>
    <n v="19"/>
    <x v="2"/>
    <s v="France"/>
    <s v="Lyon"/>
    <s v="Corporate"/>
    <x v="2"/>
    <s v="J. Njeri"/>
    <x v="6"/>
    <x v="373"/>
    <n v="297.58999999999997"/>
    <n v="666.41"/>
    <n v="0"/>
    <n v="10"/>
    <n v="6664.0999999999995"/>
    <n v="2975.8999999999996"/>
    <n v="3688.2"/>
    <n v="0.55344307558409989"/>
    <s v="Aug-2024"/>
    <d v="2024-08-01T00:00:00"/>
    <s v="Q3-2024"/>
    <s v="Europe → France → Lyon"/>
    <s v="Components"/>
    <s v="Low"/>
    <d v="2023-01-01T00:00:00"/>
    <n v="19"/>
  </r>
  <r>
    <s v="ORD-2024-550400"/>
    <s v="Original"/>
    <d v="2024-08-19T00:00:00"/>
    <d v="2024-09-02T00:00:00"/>
    <n v="14"/>
    <x v="0"/>
    <s v="Canada"/>
    <s v="Toronto"/>
    <s v="Consumer"/>
    <x v="0"/>
    <s v="C. Otieno"/>
    <x v="1"/>
    <x v="374"/>
    <n v="1337.01"/>
    <n v="1269.78"/>
    <n v="0.16"/>
    <n v="7"/>
    <n v="7466.3063999999986"/>
    <n v="9359.07"/>
    <n v="-1892.7636000000011"/>
    <n v="-0.25350735672996244"/>
    <s v="Aug-2024"/>
    <d v="2024-08-01T00:00:00"/>
    <s v="Q3-2024"/>
    <s v="Americas → Canada → Toronto"/>
    <s v="Printers"/>
    <s v="Medium"/>
    <d v="2023-01-01T00:00:00"/>
    <n v="19"/>
  </r>
  <r>
    <s v="ORD-2024-745424"/>
    <s v="Original"/>
    <d v="2024-08-22T00:00:00"/>
    <d v="2024-09-04T00:00:00"/>
    <n v="13"/>
    <x v="2"/>
    <s v="Germany"/>
    <s v="Frankfurt"/>
    <s v="Non-Profit"/>
    <x v="3"/>
    <s v="L. Okafor"/>
    <x v="1"/>
    <x v="375"/>
    <n v="90.04"/>
    <n v="194.62"/>
    <n v="4.2999999999999997E-2"/>
    <n v="32"/>
    <n v="5960.04288"/>
    <n v="2881.28"/>
    <n v="3078.7628799999998"/>
    <n v="0.51656723650954672"/>
    <s v="Aug-2024"/>
    <d v="2024-08-01T00:00:00"/>
    <s v="Q3-2024"/>
    <s v="Europe → Germany → Frankfurt"/>
    <s v="Printers"/>
    <s v="Low"/>
    <d v="2023-01-01T00:00:00"/>
    <n v="19"/>
  </r>
  <r>
    <s v="ORD-2024-167215"/>
    <s v="Original"/>
    <d v="2024-08-23T00:00:00"/>
    <d v="2024-08-30T00:00:00"/>
    <n v="7"/>
    <x v="1"/>
    <s v="South Africa"/>
    <s v="Johannesburg"/>
    <s v="Education"/>
    <x v="3"/>
    <s v="E. Garcia"/>
    <x v="6"/>
    <x v="376"/>
    <n v="1432.52"/>
    <n v="3036.87"/>
    <n v="0"/>
    <n v="9"/>
    <n v="27331.829999999998"/>
    <n v="12892.68"/>
    <n v="14439.149999999998"/>
    <n v="0.52829064135112791"/>
    <s v="Aug-2024"/>
    <d v="2024-08-01T00:00:00"/>
    <s v="Q3-2024"/>
    <s v="Africa → South Africa → Johannesburg"/>
    <s v="Components"/>
    <s v="High"/>
    <d v="2023-01-01T00:00:00"/>
    <n v="19"/>
  </r>
  <r>
    <s v="ORD-2024-635626"/>
    <s v="Original"/>
    <d v="2024-08-27T00:00:00"/>
    <d v="2024-09-19T00:00:00"/>
    <n v="23"/>
    <x v="2"/>
    <s v="Germany"/>
    <s v="Berlin"/>
    <s v="Small Business"/>
    <x v="2"/>
    <s v="D. Smith"/>
    <x v="5"/>
    <x v="377"/>
    <n v="1024.01"/>
    <n v="1580.97"/>
    <n v="3.6999999999999998E-2"/>
    <n v="27"/>
    <n v="41106.800970000004"/>
    <n v="27648.27"/>
    <n v="13458.530970000003"/>
    <n v="0.3274039976942531"/>
    <s v="Aug-2024"/>
    <d v="2024-08-01T00:00:00"/>
    <s v="Q3-2024"/>
    <s v="Europe → Germany → Berlin"/>
    <s v="Monitors"/>
    <s v="Medium"/>
    <d v="2023-01-01T00:00:00"/>
    <n v="19"/>
  </r>
  <r>
    <s v="ORD-2024-553449"/>
    <s v="Original"/>
    <d v="2024-08-27T00:00:00"/>
    <d v="2024-09-18T00:00:00"/>
    <n v="22"/>
    <x v="3"/>
    <s v="India"/>
    <s v="Delhi"/>
    <s v="Consumer"/>
    <x v="2"/>
    <s v="B. Chen"/>
    <x v="6"/>
    <x v="378"/>
    <n v="896.75"/>
    <n v="1651.14"/>
    <n v="2.5000000000000001E-2"/>
    <n v="15"/>
    <n v="24147.922500000001"/>
    <n v="13451.25"/>
    <n v="10696.672500000001"/>
    <n v="0.44296450346815552"/>
    <s v="Aug-2024"/>
    <d v="2024-08-01T00:00:00"/>
    <s v="Q3-2024"/>
    <s v="Asia → India → Delhi"/>
    <s v="Components"/>
    <s v="High"/>
    <d v="2023-02-01T00:00:00"/>
    <n v="18"/>
  </r>
  <r>
    <s v="ORD-2024-446699"/>
    <s v="Original"/>
    <d v="2024-08-28T00:00:00"/>
    <d v="2024-09-25T00:00:00"/>
    <n v="28"/>
    <x v="0"/>
    <s v="Brazil"/>
    <s v="Rio de Janeiro"/>
    <s v="Non-Profit"/>
    <x v="1"/>
    <s v="Unassigned"/>
    <x v="3"/>
    <x v="379"/>
    <n v="1394.65"/>
    <n v="3144.1"/>
    <n v="0.13400000000000001"/>
    <n v="13"/>
    <n v="35396.277799999996"/>
    <n v="18130.45"/>
    <n v="17265.827799999995"/>
    <n v="0.4877865378263021"/>
    <s v="Aug-2024"/>
    <d v="2024-08-01T00:00:00"/>
    <s v="Q3-2024"/>
    <s v="Americas → Brazil → Rio de Janeiro"/>
    <s v="Accessories"/>
    <s v="High"/>
    <d v="2023-01-01T00:00:00"/>
    <n v="19"/>
  </r>
  <r>
    <s v="ORD-2024-542244"/>
    <s v="Original"/>
    <d v="2024-08-30T00:00:00"/>
    <d v="2024-09-05T00:00:00"/>
    <n v="6"/>
    <x v="3"/>
    <s v="Japan"/>
    <s v="Nagoya"/>
    <s v="Education"/>
    <x v="1"/>
    <s v="N. Brown"/>
    <x v="0"/>
    <x v="380"/>
    <n v="466.16"/>
    <n v="876.81"/>
    <n v="0.24099999999999999"/>
    <n v="8"/>
    <n v="5323.9903199999999"/>
    <n v="3729.28"/>
    <n v="1594.7103199999997"/>
    <n v="0.29953291124691594"/>
    <s v="Aug-2024"/>
    <d v="2024-08-01T00:00:00"/>
    <s v="Q3-2024"/>
    <s v="Asia → Japan → Nagoya"/>
    <s v="Laptops"/>
    <s v="Medium"/>
    <d v="2023-03-01T00:00:00"/>
    <n v="17"/>
  </r>
  <r>
    <s v="ORD-2024-536442"/>
    <s v="Original"/>
    <d v="2024-08-31T00:00:00"/>
    <d v="2024-09-26T00:00:00"/>
    <n v="26"/>
    <x v="3"/>
    <s v="Japan"/>
    <s v="Tokyo"/>
    <s v="Education"/>
    <x v="1"/>
    <s v="I. Johnson"/>
    <x v="2"/>
    <x v="381"/>
    <n v="1189.03"/>
    <n v="2949.62"/>
    <n v="0.125"/>
    <n v="13"/>
    <n v="33551.927499999998"/>
    <n v="15457.39"/>
    <n v="18094.537499999999"/>
    <n v="0.53929949330034765"/>
    <s v="Aug-2024"/>
    <d v="2024-08-01T00:00:00"/>
    <s v="Q3-2024"/>
    <s v="Asia → Japan → Tokyo"/>
    <s v="Phones"/>
    <s v="High"/>
    <d v="2023-03-01T00:00:00"/>
    <n v="17"/>
  </r>
  <r>
    <s v="ORD-2024-664046"/>
    <s v="Original"/>
    <d v="2024-09-02T00:00:00"/>
    <d v="2024-09-08T00:00:00"/>
    <n v="6"/>
    <x v="0"/>
    <s v="USA"/>
    <s v="Austin"/>
    <s v="Consumer"/>
    <x v="2"/>
    <s v="H. Kim"/>
    <x v="6"/>
    <x v="382"/>
    <n v="462.94"/>
    <n v="1015.7"/>
    <n v="0.14299999999999999"/>
    <n v="14"/>
    <n v="12186.368600000002"/>
    <n v="6481.16"/>
    <n v="5705.2086000000018"/>
    <n v="0.46816314090483041"/>
    <s v="Sept-2024"/>
    <d v="2024-09-01T00:00:00"/>
    <s v="Q3-2024"/>
    <s v="Americas → USA → Austin"/>
    <s v="Components"/>
    <s v="Medium"/>
    <d v="2023-01-01T00:00:00"/>
    <n v="20"/>
  </r>
  <r>
    <s v="ORD-2024-423853"/>
    <s v="Original"/>
    <d v="2024-09-03T00:00:00"/>
    <d v="2024-09-08T00:00:00"/>
    <n v="5"/>
    <x v="1"/>
    <s v="Nigeria"/>
    <s v="Lagos"/>
    <s v="Small Business"/>
    <x v="2"/>
    <s v="K. Singh"/>
    <x v="1"/>
    <x v="383"/>
    <n v="197.63"/>
    <n v="325.79000000000002"/>
    <n v="0.11600000000000001"/>
    <n v="10"/>
    <n v="2879.9836"/>
    <n v="1976.3"/>
    <n v="903.68360000000007"/>
    <n v="0.31378081458519419"/>
    <s v="Sept-2024"/>
    <d v="2024-09-01T00:00:00"/>
    <s v="Q3-2024"/>
    <s v="Africa → Nigeria → Lagos"/>
    <s v="Printers"/>
    <s v="Low"/>
    <d v="2023-01-01T00:00:00"/>
    <n v="20"/>
  </r>
  <r>
    <s v="ORD-2024-207792"/>
    <s v="Original"/>
    <d v="2024-09-03T00:00:00"/>
    <d v="2024-09-07T00:00:00"/>
    <n v="4"/>
    <x v="3"/>
    <s v="Japan"/>
    <s v="Tokyo"/>
    <s v="Small Business"/>
    <x v="0"/>
    <s v="N. Brown"/>
    <x v="1"/>
    <x v="384"/>
    <n v="43.23"/>
    <n v="94.78"/>
    <n v="9.0999999999999998E-2"/>
    <n v="55"/>
    <n v="4738.5261"/>
    <n v="2377.6499999999996"/>
    <n v="2360.8761000000004"/>
    <n v="0.49823005090127082"/>
    <s v="Sept-2024"/>
    <d v="2024-09-01T00:00:00"/>
    <s v="Q3-2024"/>
    <s v="Asia → Japan → Tokyo"/>
    <s v="Printers"/>
    <s v="Low"/>
    <d v="2023-03-01T00:00:00"/>
    <n v="18"/>
  </r>
  <r>
    <s v="ORD-2024-569164"/>
    <s v="Original"/>
    <d v="2024-09-05T00:00:00"/>
    <d v="2024-09-25T00:00:00"/>
    <n v="20"/>
    <x v="3"/>
    <s v="Japan"/>
    <s v="Osaka"/>
    <s v="Enterprise"/>
    <x v="0"/>
    <s v="D. Smith"/>
    <x v="5"/>
    <x v="385"/>
    <n v="195.54"/>
    <n v="405.97"/>
    <n v="0.187"/>
    <n v="16"/>
    <n v="5280.8577599999999"/>
    <n v="3128.64"/>
    <n v="2152.21776"/>
    <n v="0.40755079152141377"/>
    <s v="Sept-2024"/>
    <d v="2024-09-01T00:00:00"/>
    <s v="Q3-2024"/>
    <s v="Asia → Japan → Osaka"/>
    <s v="Monitors"/>
    <s v="Low"/>
    <d v="2023-03-01T00:00:00"/>
    <n v="18"/>
  </r>
  <r>
    <s v="ORD-2024-972999"/>
    <s v="Original"/>
    <d v="2024-09-06T00:00:00"/>
    <d v="2024-10-04T00:00:00"/>
    <n v="28"/>
    <x v="1"/>
    <s v="South Africa"/>
    <s v="Cape Town"/>
    <s v="Corporate"/>
    <x v="4"/>
    <s v="D. Smith"/>
    <x v="5"/>
    <x v="386"/>
    <n v="1174.17"/>
    <n v="1641.61"/>
    <n v="0.122"/>
    <n v="9"/>
    <n v="12972.00222"/>
    <n v="10567.53"/>
    <n v="2404.4722199999997"/>
    <n v="0.18535860380079394"/>
    <s v="Sept-2024"/>
    <d v="2024-09-01T00:00:00"/>
    <s v="Q3-2024"/>
    <s v="Africa → South Africa → Cape Town"/>
    <s v="Monitors"/>
    <s v="High"/>
    <d v="2023-01-01T00:00:00"/>
    <n v="20"/>
  </r>
  <r>
    <s v="ORD-2024-594527"/>
    <s v="Original"/>
    <d v="2024-09-06T00:00:00"/>
    <d v="2024-09-13T00:00:00"/>
    <n v="7"/>
    <x v="3"/>
    <s v="Japan"/>
    <s v="Osaka"/>
    <s v="Corporate"/>
    <x v="2"/>
    <s v="A. Patel"/>
    <x v="0"/>
    <x v="387"/>
    <n v="1368.17"/>
    <n v="2307.75"/>
    <n v="0.16300000000000001"/>
    <n v="21"/>
    <n v="40563.321749999996"/>
    <n v="28731.57"/>
    <n v="11831.751749999996"/>
    <n v="0.29168596750831921"/>
    <s v="Sept-2024"/>
    <d v="2024-09-01T00:00:00"/>
    <s v="Q3-2024"/>
    <s v="Asia → Japan → Osaka"/>
    <s v="Laptops"/>
    <s v="High"/>
    <d v="2023-03-01T00:00:00"/>
    <n v="18"/>
  </r>
  <r>
    <s v="ORD-2024-862371"/>
    <s v="Original"/>
    <d v="2024-09-07T00:00:00"/>
    <d v="2024-09-13T00:00:00"/>
    <n v="6"/>
    <x v="3"/>
    <s v="India"/>
    <s v="Mumbai"/>
    <s v="Education"/>
    <x v="0"/>
    <s v="B. Chen"/>
    <x v="4"/>
    <x v="388"/>
    <n v="1066.6500000000001"/>
    <n v="2569.77"/>
    <n v="0.13400000000000001"/>
    <n v="9"/>
    <n v="20028.787380000002"/>
    <n v="9599.85"/>
    <n v="10428.937380000001"/>
    <n v="0.52069739331368348"/>
    <s v="Sept-2024"/>
    <d v="2024-09-01T00:00:00"/>
    <s v="Q3-2024"/>
    <s v="Asia → India → Mumbai"/>
    <s v="Networking"/>
    <s v="High"/>
    <d v="2023-02-01T00:00:00"/>
    <n v="19"/>
  </r>
  <r>
    <s v="ORD-2024-581530"/>
    <s v="Original"/>
    <d v="2024-09-07T00:00:00"/>
    <d v="2024-09-18T00:00:00"/>
    <n v="11"/>
    <x v="3"/>
    <s v="China"/>
    <s v="Beijing"/>
    <s v="Consumer"/>
    <x v="0"/>
    <s v="O. Wang"/>
    <x v="4"/>
    <x v="389"/>
    <n v="181.74"/>
    <n v="190.84"/>
    <n v="0.214"/>
    <n v="13"/>
    <n v="1950.0031200000001"/>
    <n v="2362.62"/>
    <n v="-412.61687999999981"/>
    <n v="-0.21159806144310159"/>
    <s v="Sept-2024"/>
    <d v="2024-09-01T00:00:00"/>
    <s v="Q3-2024"/>
    <s v="Asia → China → Beijing"/>
    <s v="Networking"/>
    <s v="Low"/>
    <d v="2023-01-01T00:00:00"/>
    <n v="20"/>
  </r>
  <r>
    <s v="ORD-2024-988736"/>
    <s v="Original"/>
    <d v="2024-09-09T00:00:00"/>
    <d v="2024-10-01T00:00:00"/>
    <n v="22"/>
    <x v="3"/>
    <s v="China"/>
    <s v="Shenzhen"/>
    <s v="Consumer"/>
    <x v="2"/>
    <s v="L. Okafor"/>
    <x v="1"/>
    <x v="390"/>
    <n v="1166.18"/>
    <n v="1335.02"/>
    <n v="0.128"/>
    <n v="6"/>
    <n v="6984.8246399999998"/>
    <n v="6997.08"/>
    <n v="-12.25536000000011"/>
    <n v="-1.7545694604582242E-3"/>
    <s v="Sept-2024"/>
    <d v="2024-09-01T00:00:00"/>
    <s v="Q3-2024"/>
    <s v="Asia → China → Shenzhen"/>
    <s v="Printers"/>
    <s v="Medium"/>
    <d v="2023-01-01T00:00:00"/>
    <n v="20"/>
  </r>
  <r>
    <s v="ORD-2024-500890"/>
    <s v="Original"/>
    <d v="2024-09-09T00:00:00"/>
    <d v="2024-10-08T00:00:00"/>
    <n v="29"/>
    <x v="0"/>
    <s v="Brazil"/>
    <s v="São Paulo"/>
    <s v="Education"/>
    <x v="2"/>
    <s v="J. Njeri"/>
    <x v="6"/>
    <x v="391"/>
    <n v="1010.33"/>
    <n v="2492.14"/>
    <n v="5.0999999999999997E-2"/>
    <n v="11"/>
    <n v="26015.449459999996"/>
    <n v="11113.630000000001"/>
    <n v="14901.819459999995"/>
    <n v="0.57280653493656752"/>
    <s v="Sept-2024"/>
    <d v="2024-09-01T00:00:00"/>
    <s v="Q3-2024"/>
    <s v="Americas → Brazil → São Paulo"/>
    <s v="Components"/>
    <s v="High"/>
    <d v="2023-01-01T00:00:00"/>
    <n v="20"/>
  </r>
  <r>
    <s v="ORD-2024-728474"/>
    <s v="Original"/>
    <d v="2024-09-09T00:00:00"/>
    <d v="2024-09-13T00:00:00"/>
    <n v="4"/>
    <x v="2"/>
    <s v="United Kingdom"/>
    <s v="London"/>
    <s v="Consumer"/>
    <x v="4"/>
    <s v="F. Müller"/>
    <x v="4"/>
    <x v="392"/>
    <n v="1133.08"/>
    <n v="976.17"/>
    <n v="4.2000000000000003E-2"/>
    <n v="27"/>
    <n v="25249.613219999999"/>
    <n v="30593.159999999996"/>
    <n v="-5343.5467799999969"/>
    <n v="-0.21162885678452373"/>
    <s v="Sept-2024"/>
    <d v="2024-09-01T00:00:00"/>
    <s v="Q3-2024"/>
    <s v="Europe → United Kingdom → London"/>
    <s v="Networking"/>
    <s v="Medium"/>
    <d v="2023-01-01T00:00:00"/>
    <n v="20"/>
  </r>
  <r>
    <s v="ORD-2024-687100"/>
    <s v="Original"/>
    <d v="2024-09-10T00:00:00"/>
    <d v="2024-10-07T00:00:00"/>
    <n v="27"/>
    <x v="1"/>
    <s v="Kenya"/>
    <s v="Kisumu"/>
    <s v="Consumer"/>
    <x v="3"/>
    <s v="L. Okafor"/>
    <x v="1"/>
    <x v="393"/>
    <n v="1248.3900000000001"/>
    <n v="1805.11"/>
    <n v="0.20300000000000001"/>
    <n v="11"/>
    <n v="15825.399369999997"/>
    <n v="13732.29"/>
    <n v="2093.1093699999965"/>
    <n v="0.13226265707820786"/>
    <s v="Sept-2024"/>
    <d v="2024-09-01T00:00:00"/>
    <s v="Q3-2024"/>
    <s v="Africa → Kenya → Kisumu"/>
    <s v="Printers"/>
    <s v="High"/>
    <d v="2023-01-01T00:00:00"/>
    <n v="20"/>
  </r>
  <r>
    <s v="ORD-2024-805860"/>
    <s v="Original"/>
    <d v="2024-09-13T00:00:00"/>
    <d v="2024-10-02T00:00:00"/>
    <n v="19"/>
    <x v="1"/>
    <s v="Kenya"/>
    <s v="Mombasa"/>
    <s v="Small Business"/>
    <x v="3"/>
    <s v="M. Rossi"/>
    <x v="2"/>
    <x v="394"/>
    <n v="1338.99"/>
    <n v="1765.76"/>
    <n v="0.126"/>
    <n v="24"/>
    <n v="37038.581760000001"/>
    <n v="32135.760000000002"/>
    <n v="4902.8217599999989"/>
    <n v="0.1323706666677725"/>
    <s v="Sept-2024"/>
    <d v="2024-09-01T00:00:00"/>
    <s v="Q3-2024"/>
    <s v="Africa → Kenya → Mombasa"/>
    <s v="Phones"/>
    <s v="High"/>
    <d v="2023-01-01T00:00:00"/>
    <n v="20"/>
  </r>
  <r>
    <s v="ORD-2024-771210"/>
    <s v="Original"/>
    <d v="2024-09-14T00:00:00"/>
    <d v="2024-10-05T00:00:00"/>
    <n v="21"/>
    <x v="3"/>
    <s v="China"/>
    <s v="Shanghai"/>
    <s v="Small Business"/>
    <x v="1"/>
    <s v="H. Kim"/>
    <x v="0"/>
    <x v="395"/>
    <n v="1405.56"/>
    <n v="2968.87"/>
    <n v="0.16900000000000001"/>
    <n v="5"/>
    <n v="12335.654849999999"/>
    <n v="7027.7999999999993"/>
    <n v="5307.8548499999997"/>
    <n v="0.4302856163327235"/>
    <s v="Sept-2024"/>
    <d v="2024-09-01T00:00:00"/>
    <s v="Q3-2024"/>
    <s v="Asia → China → Shanghai"/>
    <s v="Laptops"/>
    <s v="High"/>
    <d v="2023-01-01T00:00:00"/>
    <n v="20"/>
  </r>
  <r>
    <s v="ORD-2024-777623"/>
    <s v="Original"/>
    <d v="2024-09-19T00:00:00"/>
    <d v="2024-10-14T00:00:00"/>
    <n v="25"/>
    <x v="0"/>
    <s v="Brazil"/>
    <s v="Rio de Janeiro"/>
    <s v="Small Business"/>
    <x v="3"/>
    <s v="K. Singh"/>
    <x v="1"/>
    <x v="396"/>
    <n v="386.96"/>
    <n v="937.46"/>
    <n v="0.26600000000000001"/>
    <n v="41"/>
    <n v="28211.92124"/>
    <n v="15865.359999999999"/>
    <n v="12346.561240000001"/>
    <n v="0.43763631462626335"/>
    <s v="Sept-2024"/>
    <d v="2024-09-01T00:00:00"/>
    <s v="Q3-2024"/>
    <s v="Americas → Brazil → Rio de Janeiro"/>
    <s v="Printers"/>
    <s v="Medium"/>
    <d v="2023-01-01T00:00:00"/>
    <n v="20"/>
  </r>
  <r>
    <s v="ORD-2024-444710"/>
    <s v="Original"/>
    <d v="2024-09-22T00:00:00"/>
    <d v="2024-10-01T00:00:00"/>
    <n v="9"/>
    <x v="0"/>
    <s v="Brazil"/>
    <s v="São Paulo"/>
    <s v="Non-Profit"/>
    <x v="1"/>
    <s v="K. Singh"/>
    <x v="5"/>
    <x v="397"/>
    <n v="1378.8"/>
    <n v="1952.04"/>
    <n v="0.159"/>
    <n v="19"/>
    <n v="31191.64716"/>
    <n v="26197.200000000001"/>
    <n v="4994.4471599999997"/>
    <n v="0.16012130216723058"/>
    <s v="Sept-2024"/>
    <d v="2024-09-01T00:00:00"/>
    <s v="Q3-2024"/>
    <s v="Americas → Brazil → São Paulo"/>
    <s v="Monitors"/>
    <s v="High"/>
    <d v="2023-01-01T00:00:00"/>
    <n v="20"/>
  </r>
  <r>
    <s v="ORD-2024-438404"/>
    <s v="Original"/>
    <d v="2024-09-23T00:00:00"/>
    <d v="2024-10-18T00:00:00"/>
    <n v="25"/>
    <x v="0"/>
    <s v="Canada"/>
    <s v="Vancouver"/>
    <s v="Small Business"/>
    <x v="1"/>
    <s v="N. Brown"/>
    <x v="2"/>
    <x v="398"/>
    <n v="1297"/>
    <n v="2411.52"/>
    <n v="2.1000000000000001E-2"/>
    <n v="18"/>
    <n v="42495.805439999996"/>
    <n v="23346"/>
    <n v="19149.805439999996"/>
    <n v="0.45062813239385913"/>
    <s v="Sept-2024"/>
    <d v="2024-09-01T00:00:00"/>
    <s v="Q3-2024"/>
    <s v="Americas → Canada → Vancouver"/>
    <s v="Phones"/>
    <s v="High"/>
    <d v="2023-01-01T00:00:00"/>
    <n v="20"/>
  </r>
  <r>
    <s v="ORD-2024-510520"/>
    <s v="Original"/>
    <d v="2024-09-25T00:00:00"/>
    <d v="2024-10-03T00:00:00"/>
    <n v="8"/>
    <x v="0"/>
    <s v="Canada"/>
    <s v="Toronto"/>
    <s v="Consumer"/>
    <x v="1"/>
    <s v="E. Garcia"/>
    <x v="1"/>
    <x v="399"/>
    <n v="558.19000000000005"/>
    <n v="1031.6400000000001"/>
    <n v="0"/>
    <n v="21"/>
    <n v="21664.440000000002"/>
    <n v="11721.990000000002"/>
    <n v="9942.4500000000007"/>
    <n v="0.45892947152107322"/>
    <s v="Sept-2024"/>
    <d v="2024-09-01T00:00:00"/>
    <s v="Q3-2024"/>
    <s v="Americas → Canada → Toronto"/>
    <s v="Printers"/>
    <s v="Medium"/>
    <d v="2023-01-01T00:00:00"/>
    <n v="20"/>
  </r>
  <r>
    <s v="ORD-2024-686712"/>
    <s v="Original"/>
    <d v="2024-10-02T00:00:00"/>
    <d v="2024-10-23T00:00:00"/>
    <n v="21"/>
    <x v="1"/>
    <s v="South Africa"/>
    <s v="Durban"/>
    <s v="Corporate"/>
    <x v="4"/>
    <s v="A. Patel"/>
    <x v="6"/>
    <x v="400"/>
    <n v="1095.6099999999999"/>
    <n v="2366.5100000000002"/>
    <n v="0.152"/>
    <n v="9"/>
    <n v="18061.204320000004"/>
    <n v="9860.49"/>
    <n v="8200.7143200000046"/>
    <n v="0.4540513564158607"/>
    <s v="Oct-2024"/>
    <d v="2024-10-01T00:00:00"/>
    <s v="Q4-2024"/>
    <s v="Africa → South Africa → Durban"/>
    <s v="Components"/>
    <s v="High"/>
    <d v="2023-01-01T00:00:00"/>
    <n v="21"/>
  </r>
  <r>
    <s v="ORD-2024-237478"/>
    <s v="Original"/>
    <d v="2024-10-03T00:00:00"/>
    <d v="2024-10-11T00:00:00"/>
    <n v="8"/>
    <x v="3"/>
    <s v="China"/>
    <s v="Beijing"/>
    <s v="Enterprise"/>
    <x v="2"/>
    <s v="B. Chen"/>
    <x v="2"/>
    <x v="401"/>
    <n v="1132.6099999999999"/>
    <n v="2206.63"/>
    <n v="6.3E-2"/>
    <n v="20"/>
    <n v="41352.246200000009"/>
    <n v="22652.199999999997"/>
    <n v="18700.046200000012"/>
    <n v="0.45221355351671338"/>
    <s v="Oct-2024"/>
    <d v="2024-10-01T00:00:00"/>
    <s v="Q4-2024"/>
    <s v="Asia → China → Beijing"/>
    <s v="Phones"/>
    <s v="High"/>
    <d v="2023-01-01T00:00:00"/>
    <n v="21"/>
  </r>
  <r>
    <s v="ORD-2024-997336"/>
    <s v="Original"/>
    <d v="2024-10-04T00:00:00"/>
    <d v="2024-11-02T00:00:00"/>
    <n v="29"/>
    <x v="1"/>
    <s v="Nigeria"/>
    <s v="Abuja"/>
    <s v="Corporate"/>
    <x v="0"/>
    <s v="F. Müller"/>
    <x v="3"/>
    <x v="402"/>
    <n v="412.09"/>
    <n v="968.94"/>
    <n v="9.9000000000000005E-2"/>
    <n v="23"/>
    <n v="20079.343620000003"/>
    <n v="9478.07"/>
    <n v="10601.273620000004"/>
    <n v="0.52796913189137418"/>
    <s v="Oct-2024"/>
    <d v="2024-10-01T00:00:00"/>
    <s v="Q4-2024"/>
    <s v="Africa → Nigeria → Abuja"/>
    <s v="Accessories"/>
    <s v="Medium"/>
    <d v="2023-01-01T00:00:00"/>
    <n v="21"/>
  </r>
  <r>
    <s v="ORD-2024-500511"/>
    <s v="Original"/>
    <d v="2024-10-08T00:00:00"/>
    <d v="2024-10-15T00:00:00"/>
    <n v="7"/>
    <x v="2"/>
    <s v="United Kingdom"/>
    <s v="London"/>
    <s v="Corporate"/>
    <x v="1"/>
    <s v="E. Garcia"/>
    <x v="5"/>
    <x v="403"/>
    <n v="1108.1099999999999"/>
    <n v="2503.79"/>
    <n v="0.184"/>
    <n v="19"/>
    <n v="38818.760160000005"/>
    <n v="21054.089999999997"/>
    <n v="17764.670160000009"/>
    <n v="0.45763105485025896"/>
    <s v="Oct-2024"/>
    <d v="2024-10-01T00:00:00"/>
    <s v="Q4-2024"/>
    <s v="Europe → United Kingdom → London"/>
    <s v="Monitors"/>
    <s v="High"/>
    <d v="2023-01-01T00:00:00"/>
    <n v="21"/>
  </r>
  <r>
    <s v="ORD-2024-942981"/>
    <s v="Original"/>
    <d v="2024-10-09T00:00:00"/>
    <d v="2024-11-08T00:00:00"/>
    <n v="30"/>
    <x v="2"/>
    <s v="United Kingdom"/>
    <s v="Manchester"/>
    <s v="Small Business"/>
    <x v="0"/>
    <s v="J. Njeri"/>
    <x v="6"/>
    <x v="404"/>
    <n v="343.85"/>
    <n v="538.04"/>
    <n v="0.13900000000000001"/>
    <n v="5"/>
    <n v="2316.2621999999997"/>
    <n v="1719.25"/>
    <n v="597.01219999999967"/>
    <n v="0.25774810813732563"/>
    <s v="Oct-2024"/>
    <d v="2024-10-01T00:00:00"/>
    <s v="Q4-2024"/>
    <s v="Europe → United Kingdom → Manchester"/>
    <s v="Components"/>
    <s v="Low"/>
    <d v="2023-01-01T00:00:00"/>
    <n v="21"/>
  </r>
  <r>
    <s v="ORD-2024-964950"/>
    <s v="Original"/>
    <d v="2024-10-10T00:00:00"/>
    <d v="2024-10-11T00:00:00"/>
    <n v="1"/>
    <x v="2"/>
    <s v="United Kingdom"/>
    <s v="Manchester"/>
    <s v="Non-Profit"/>
    <x v="0"/>
    <s v="L. Okafor"/>
    <x v="6"/>
    <x v="405"/>
    <n v="1389.46"/>
    <n v="1784.7"/>
    <n v="0.14599999999999999"/>
    <n v="33"/>
    <n v="50296.415399999998"/>
    <n v="45852.18"/>
    <n v="4444.2353999999978"/>
    <n v="8.8360877503011831E-2"/>
    <s v="Oct-2024"/>
    <d v="2024-10-01T00:00:00"/>
    <s v="Q4-2024"/>
    <s v="Europe → United Kingdom → Manchester"/>
    <s v="Components"/>
    <s v="High"/>
    <d v="2023-01-01T00:00:00"/>
    <n v="21"/>
  </r>
  <r>
    <s v="ORD-2024-720756"/>
    <s v="Original"/>
    <d v="2024-10-11T00:00:00"/>
    <d v="2024-11-09T00:00:00"/>
    <n v="29"/>
    <x v="3"/>
    <s v="China"/>
    <s v="Shanghai"/>
    <s v="Non-Profit"/>
    <x v="1"/>
    <s v="F. Müller"/>
    <x v="1"/>
    <x v="406"/>
    <n v="391.64"/>
    <n v="504.76"/>
    <n v="4.0000000000000001E-3"/>
    <n v="13"/>
    <n v="6535.6324800000002"/>
    <n v="5091.32"/>
    <n v="1444.3124800000005"/>
    <n v="0.22099046793402319"/>
    <s v="Oct-2024"/>
    <d v="2024-10-01T00:00:00"/>
    <s v="Q4-2024"/>
    <s v="Asia → China → Shanghai"/>
    <s v="Printers"/>
    <s v="Low"/>
    <d v="2023-01-01T00:00:00"/>
    <n v="21"/>
  </r>
  <r>
    <s v="ORD-2024-756884"/>
    <s v="Original"/>
    <d v="2024-10-13T00:00:00"/>
    <d v="2024-10-24T00:00:00"/>
    <n v="11"/>
    <x v="2"/>
    <s v="France"/>
    <s v="Paris"/>
    <s v="Education"/>
    <x v="0"/>
    <s v="F. Müller"/>
    <x v="6"/>
    <x v="407"/>
    <n v="816.7"/>
    <n v="1010.75"/>
    <n v="4.7E-2"/>
    <n v="43"/>
    <n v="41419.524249999995"/>
    <n v="35118.1"/>
    <n v="6301.4242499999964"/>
    <n v="0.15213656757537472"/>
    <s v="Oct-2024"/>
    <d v="2024-10-01T00:00:00"/>
    <s v="Q4-2024"/>
    <s v="Europe → France → Paris"/>
    <s v="Components"/>
    <s v="Medium"/>
    <d v="2023-01-01T00:00:00"/>
    <n v="21"/>
  </r>
  <r>
    <s v="ORD-2024-966651"/>
    <s v="Original"/>
    <d v="2024-10-14T00:00:00"/>
    <d v="2024-11-08T00:00:00"/>
    <n v="25"/>
    <x v="1"/>
    <s v="Nigeria"/>
    <s v="Lagos"/>
    <s v="Enterprise"/>
    <x v="1"/>
    <s v="O. Wang"/>
    <x v="4"/>
    <x v="408"/>
    <n v="859.35"/>
    <n v="1825.61"/>
    <n v="0.187"/>
    <n v="24"/>
    <n v="35621.302319999995"/>
    <n v="20624.400000000001"/>
    <n v="14996.902319999994"/>
    <n v="0.42100937762681989"/>
    <s v="Oct-2024"/>
    <d v="2024-10-01T00:00:00"/>
    <s v="Q4-2024"/>
    <s v="Africa → Nigeria → Lagos"/>
    <s v="Networking"/>
    <s v="High"/>
    <d v="2023-01-01T00:00:00"/>
    <n v="21"/>
  </r>
  <r>
    <s v="ORD-2024-792558"/>
    <s v="Original"/>
    <d v="2024-10-16T00:00:00"/>
    <d v="2024-11-08T00:00:00"/>
    <n v="23"/>
    <x v="3"/>
    <s v="Japan"/>
    <s v="Osaka"/>
    <s v="Small Business"/>
    <x v="3"/>
    <s v="J. Njeri"/>
    <x v="4"/>
    <x v="409"/>
    <n v="82.14"/>
    <n v="166.04"/>
    <n v="0"/>
    <n v="10"/>
    <n v="1660.3999999999999"/>
    <n v="821.4"/>
    <n v="838.99999999999989"/>
    <n v="0.50529992772825827"/>
    <s v="Oct-2024"/>
    <d v="2024-10-01T00:00:00"/>
    <s v="Q4-2024"/>
    <s v="Asia → Japan → Osaka"/>
    <s v="Networking"/>
    <s v="Low"/>
    <d v="2023-03-01T00:00:00"/>
    <n v="19"/>
  </r>
  <r>
    <s v="ORD-2024-260775"/>
    <s v="Original"/>
    <d v="2024-10-17T00:00:00"/>
    <d v="2024-11-06T00:00:00"/>
    <n v="20"/>
    <x v="3"/>
    <s v="India"/>
    <s v="Bengaluru"/>
    <s v="Enterprise"/>
    <x v="0"/>
    <s v="O. Wang"/>
    <x v="5"/>
    <x v="410"/>
    <n v="72.94"/>
    <n v="106.3"/>
    <n v="0.29499999999999998"/>
    <n v="8"/>
    <n v="599.53200000000004"/>
    <n v="583.52"/>
    <n v="16.012000000000057"/>
    <n v="2.6707498515508857E-2"/>
    <s v="Oct-2024"/>
    <d v="2024-10-01T00:00:00"/>
    <s v="Q4-2024"/>
    <s v="Asia → India → Bengaluru"/>
    <s v="Monitors"/>
    <s v="Low"/>
    <d v="2023-02-01T00:00:00"/>
    <n v="20"/>
  </r>
  <r>
    <s v="ORD-2024-741404"/>
    <s v="Original"/>
    <d v="2024-10-19T00:00:00"/>
    <d v="2024-11-06T00:00:00"/>
    <n v="18"/>
    <x v="0"/>
    <s v="USA"/>
    <s v="Chicago"/>
    <s v="Education"/>
    <x v="5"/>
    <s v="C. Otieno"/>
    <x v="5"/>
    <x v="411"/>
    <n v="942.02"/>
    <n v="1028.46"/>
    <n v="0"/>
    <n v="9"/>
    <n v="9256.14"/>
    <n v="8478.18"/>
    <n v="777.95999999999913"/>
    <n v="8.4047994088248354E-2"/>
    <s v="Oct-2024"/>
    <d v="2024-10-01T00:00:00"/>
    <s v="Q4-2024"/>
    <s v="Americas → USA → Chicago"/>
    <s v="Monitors"/>
    <s v="Medium"/>
    <d v="2023-01-01T00:00:00"/>
    <n v="21"/>
  </r>
  <r>
    <s v="ORD-2024-640340"/>
    <s v="Original"/>
    <d v="2024-10-22T00:00:00"/>
    <d v="2024-10-29T00:00:00"/>
    <n v="7"/>
    <x v="1"/>
    <s v="Nigeria"/>
    <s v="Port Harcourt"/>
    <s v="Enterprise"/>
    <x v="0"/>
    <s v="M. Rossi"/>
    <x v="5"/>
    <x v="412"/>
    <n v="1023.06"/>
    <n v="1355.61"/>
    <n v="0.153"/>
    <n v="23"/>
    <n v="26408.63841"/>
    <n v="23530.379999999997"/>
    <n v="2878.2584100000022"/>
    <n v="0.10898927711888809"/>
    <s v="Oct-2024"/>
    <d v="2024-10-01T00:00:00"/>
    <s v="Q4-2024"/>
    <s v="Africa → Nigeria → Port Harcourt"/>
    <s v="Monitors"/>
    <s v="Medium"/>
    <d v="2023-01-01T00:00:00"/>
    <n v="21"/>
  </r>
  <r>
    <s v="ORD-2024-358795"/>
    <s v="Original"/>
    <d v="2024-10-23T00:00:00"/>
    <d v="2024-10-30T00:00:00"/>
    <n v="7"/>
    <x v="1"/>
    <s v="Nigeria"/>
    <s v="Port Harcourt"/>
    <s v="Education"/>
    <x v="1"/>
    <s v="J. Njeri"/>
    <x v="1"/>
    <x v="413"/>
    <n v="1084.3900000000001"/>
    <n v="759.33"/>
    <n v="0.23699999999999999"/>
    <n v="31"/>
    <n v="17960.432489999999"/>
    <n v="33616.090000000004"/>
    <n v="-15655.657510000005"/>
    <n v="-0.87167486187856302"/>
    <s v="Oct-2024"/>
    <d v="2024-10-01T00:00:00"/>
    <s v="Q4-2024"/>
    <s v="Africa → Nigeria → Port Harcourt"/>
    <s v="Printers"/>
    <s v="Low"/>
    <d v="2023-01-01T00:00:00"/>
    <n v="21"/>
  </r>
  <r>
    <s v="ORD-2024-668926"/>
    <s v="Original"/>
    <d v="2024-10-23T00:00:00"/>
    <d v="2024-11-14T00:00:00"/>
    <n v="22"/>
    <x v="3"/>
    <s v="Japan"/>
    <s v="Osaka"/>
    <s v="Non-Profit"/>
    <x v="2"/>
    <s v="B. Chen"/>
    <x v="2"/>
    <x v="414"/>
    <n v="1406.4"/>
    <n v="1564.76"/>
    <n v="0.185"/>
    <n v="17"/>
    <n v="21679.749799999998"/>
    <n v="23908.800000000003"/>
    <n v="-2229.0502000000051"/>
    <n v="-0.10281715520536151"/>
    <s v="Oct-2024"/>
    <d v="2024-10-01T00:00:00"/>
    <s v="Q4-2024"/>
    <s v="Asia → Japan → Osaka"/>
    <s v="Phones"/>
    <s v="Medium"/>
    <d v="2023-03-01T00:00:00"/>
    <n v="19"/>
  </r>
  <r>
    <s v="ORD-2024-732543"/>
    <s v="Original"/>
    <d v="2024-10-24T00:00:00"/>
    <d v="2024-10-28T00:00:00"/>
    <n v="4"/>
    <x v="3"/>
    <s v="China"/>
    <s v="Shanghai"/>
    <s v="Small Business"/>
    <x v="0"/>
    <s v="I. Johnson"/>
    <x v="4"/>
    <x v="415"/>
    <n v="1331.77"/>
    <n v="2606.11"/>
    <n v="0.02"/>
    <n v="6"/>
    <n v="15323.926799999999"/>
    <n v="7990.62"/>
    <n v="7333.3067999999994"/>
    <n v="0.47855271665745619"/>
    <s v="Oct-2024"/>
    <d v="2024-10-01T00:00:00"/>
    <s v="Q4-2024"/>
    <s v="Asia → China → Shanghai"/>
    <s v="Networking"/>
    <s v="High"/>
    <d v="2023-01-01T00:00:00"/>
    <n v="21"/>
  </r>
  <r>
    <s v="ORD-2024-998320"/>
    <s v="Original"/>
    <d v="2024-10-25T00:00:00"/>
    <d v="2024-11-14T00:00:00"/>
    <n v="20"/>
    <x v="1"/>
    <s v="Kenya"/>
    <s v="Mombasa"/>
    <s v="Corporate"/>
    <x v="2"/>
    <s v="H. Kim"/>
    <x v="1"/>
    <x v="416"/>
    <n v="1396.48"/>
    <n v="3204.5"/>
    <n v="0.3"/>
    <n v="14"/>
    <n v="31404.1"/>
    <n v="19550.72"/>
    <n v="11853.379999999997"/>
    <n v="0.3774468938769141"/>
    <s v="Oct-2024"/>
    <d v="2024-10-01T00:00:00"/>
    <s v="Q4-2024"/>
    <s v="Africa → Kenya → Mombasa"/>
    <s v="Printers"/>
    <s v="High"/>
    <d v="2023-01-01T00:00:00"/>
    <n v="21"/>
  </r>
  <r>
    <s v="ORD-2024-250862"/>
    <s v="Original"/>
    <d v="2024-10-25T00:00:00"/>
    <d v="2024-11-05T00:00:00"/>
    <n v="11"/>
    <x v="0"/>
    <s v="USA"/>
    <s v="New York"/>
    <s v="Corporate"/>
    <x v="0"/>
    <s v="N. Brown"/>
    <x v="6"/>
    <x v="417"/>
    <n v="446.66"/>
    <n v="527.64"/>
    <n v="0.14499999999999999"/>
    <n v="15"/>
    <n v="6766.9829999999993"/>
    <n v="6699.9000000000005"/>
    <n v="67.082999999998719"/>
    <n v="9.9132804087137105E-3"/>
    <s v="Oct-2024"/>
    <d v="2024-10-01T00:00:00"/>
    <s v="Q4-2024"/>
    <s v="Americas → USA → New York"/>
    <s v="Components"/>
    <s v="Low"/>
    <d v="2023-01-01T00:00:00"/>
    <n v="21"/>
  </r>
  <r>
    <s v="ORD-2024-350100"/>
    <s v="Original"/>
    <d v="2024-10-27T00:00:00"/>
    <d v="2024-11-20T00:00:00"/>
    <n v="24"/>
    <x v="3"/>
    <s v="Japan"/>
    <s v="Nagoya"/>
    <s v="Non-Profit"/>
    <x v="1"/>
    <s v="H. Kim"/>
    <x v="5"/>
    <x v="418"/>
    <n v="317.25"/>
    <n v="758.92"/>
    <n v="5.2999999999999999E-2"/>
    <n v="9"/>
    <n v="6468.2751599999992"/>
    <n v="2855.25"/>
    <n v="3613.0251599999992"/>
    <n v="0.5585762928489888"/>
    <s v="Oct-2024"/>
    <d v="2024-10-01T00:00:00"/>
    <s v="Q4-2024"/>
    <s v="Asia → Japan → Nagoya"/>
    <s v="Monitors"/>
    <s v="Low"/>
    <d v="2023-03-01T00:00:00"/>
    <n v="19"/>
  </r>
  <r>
    <s v="ORD-2024-333192"/>
    <s v="Original"/>
    <d v="2024-10-29T00:00:00"/>
    <d v="2024-11-04T00:00:00"/>
    <n v="6"/>
    <x v="1"/>
    <s v="Kenya"/>
    <s v="Nairobi"/>
    <s v="Corporate"/>
    <x v="0"/>
    <s v="M. Rossi"/>
    <x v="1"/>
    <x v="419"/>
    <n v="805.81"/>
    <n v="1823.04"/>
    <n v="0"/>
    <n v="11"/>
    <n v="20053.439999999999"/>
    <n v="8863.91"/>
    <n v="11189.529999999999"/>
    <n v="0.55798556257679477"/>
    <s v="Oct-2024"/>
    <d v="2024-10-01T00:00:00"/>
    <s v="Q4-2024"/>
    <s v="Africa → Kenya → Nairobi"/>
    <s v="Printers"/>
    <s v="High"/>
    <d v="2023-01-01T00:00:00"/>
    <n v="21"/>
  </r>
  <r>
    <s v="ORD-2024-357368"/>
    <s v="Original"/>
    <d v="2024-10-30T00:00:00"/>
    <d v="2024-11-24T00:00:00"/>
    <n v="25"/>
    <x v="3"/>
    <s v="China"/>
    <s v="Shenzhen"/>
    <s v="Small Business"/>
    <x v="1"/>
    <s v="E. Garcia"/>
    <x v="6"/>
    <x v="420"/>
    <n v="811.05"/>
    <n v="1217.71"/>
    <n v="7.1999999999999995E-2"/>
    <n v="5"/>
    <n v="5650.1744000000008"/>
    <n v="4055.25"/>
    <n v="1594.9244000000008"/>
    <n v="0.28227879125288602"/>
    <s v="Oct-2024"/>
    <d v="2024-10-01T00:00:00"/>
    <s v="Q4-2024"/>
    <s v="Asia → China → Shenzhen"/>
    <s v="Components"/>
    <s v="Medium"/>
    <d v="2023-01-01T00:00:00"/>
    <n v="21"/>
  </r>
  <r>
    <s v="ORD-2024-381197"/>
    <s v="Original"/>
    <d v="2024-11-01T00:00:00"/>
    <d v="2024-11-12T00:00:00"/>
    <n v="11"/>
    <x v="2"/>
    <s v="Germany"/>
    <s v="Frankfurt"/>
    <s v="Consumer"/>
    <x v="1"/>
    <s v="B. Chen"/>
    <x v="1"/>
    <x v="421"/>
    <n v="599.84"/>
    <n v="1330.85"/>
    <n v="0.115"/>
    <n v="11"/>
    <n v="12955.824749999998"/>
    <n v="6598.2400000000007"/>
    <n v="6357.5847499999973"/>
    <n v="0.49071246892252063"/>
    <s v="Nov-2024"/>
    <d v="2024-11-01T00:00:00"/>
    <s v="Q4-2024"/>
    <s v="Europe → Germany → Frankfurt"/>
    <s v="Printers"/>
    <s v="Medium"/>
    <d v="2023-01-01T00:00:00"/>
    <n v="22"/>
  </r>
  <r>
    <s v="ORD-2024-247979"/>
    <s v="Original"/>
    <d v="2024-11-02T00:00:00"/>
    <d v="2024-11-18T00:00:00"/>
    <n v="16"/>
    <x v="3"/>
    <s v="India"/>
    <s v="Mumbai"/>
    <s v="Small Business"/>
    <x v="0"/>
    <s v="O. Wang"/>
    <x v="5"/>
    <x v="422"/>
    <n v="1233.58"/>
    <n v="1912.51"/>
    <n v="0.255"/>
    <n v="51"/>
    <n v="72665.817450000002"/>
    <n v="62912.579999999994"/>
    <n v="9753.2374500000078"/>
    <n v="0.134220432553601"/>
    <s v="Nov-2024"/>
    <d v="2024-11-01T00:00:00"/>
    <s v="Q4-2024"/>
    <s v="Asia → India → Mumbai"/>
    <s v="Monitors"/>
    <s v="High"/>
    <d v="2023-02-01T00:00:00"/>
    <n v="21"/>
  </r>
  <r>
    <s v="ORD-2024-588972"/>
    <s v="Original"/>
    <d v="2024-11-02T00:00:00"/>
    <d v="2024-11-29T00:00:00"/>
    <n v="27"/>
    <x v="0"/>
    <s v="Brazil"/>
    <s v="Brasília"/>
    <s v="Small Business"/>
    <x v="2"/>
    <s v="I. Johnson"/>
    <x v="4"/>
    <x v="423"/>
    <n v="1363.51"/>
    <n v="1433.9"/>
    <n v="5.7000000000000002E-2"/>
    <n v="8"/>
    <n v="10817.3416"/>
    <n v="10908.08"/>
    <n v="-90.738400000000183"/>
    <n v="-8.3882346842037592E-3"/>
    <s v="Nov-2024"/>
    <d v="2024-11-01T00:00:00"/>
    <s v="Q4-2024"/>
    <s v="Americas → Brazil → Brasília"/>
    <s v="Networking"/>
    <s v="Medium"/>
    <d v="2023-01-01T00:00:00"/>
    <n v="22"/>
  </r>
  <r>
    <s v="ORD-2024-925626"/>
    <s v="Original"/>
    <d v="2024-11-04T00:00:00"/>
    <d v="2024-11-05T00:00:00"/>
    <n v="1"/>
    <x v="2"/>
    <s v="United Kingdom"/>
    <s v="London"/>
    <s v="Corporate"/>
    <x v="3"/>
    <s v="M. Rossi"/>
    <x v="1"/>
    <x v="424"/>
    <n v="840.68"/>
    <n v="1493.53"/>
    <n v="0"/>
    <n v="27"/>
    <n v="40325.31"/>
    <n v="22698.359999999997"/>
    <n v="17626.95"/>
    <n v="0.43711877230454027"/>
    <s v="Nov-2024"/>
    <d v="2024-11-01T00:00:00"/>
    <s v="Q4-2024"/>
    <s v="Europe → United Kingdom → London"/>
    <s v="Printers"/>
    <s v="Medium"/>
    <d v="2023-01-01T00:00:00"/>
    <n v="22"/>
  </r>
  <r>
    <s v="ORD-2024-766980"/>
    <s v="Original"/>
    <d v="2024-11-04T00:00:00"/>
    <d v="2024-11-07T00:00:00"/>
    <n v="3"/>
    <x v="2"/>
    <s v="France"/>
    <s v="Lyon"/>
    <s v="Corporate"/>
    <x v="1"/>
    <s v="O. Wang"/>
    <x v="5"/>
    <x v="425"/>
    <n v="740.68"/>
    <n v="1837.19"/>
    <n v="0.19700000000000001"/>
    <n v="17"/>
    <n v="25079.480689999997"/>
    <n v="12591.56"/>
    <n v="12487.920689999997"/>
    <n v="0.4979337827748298"/>
    <s v="Nov-2024"/>
    <d v="2024-11-01T00:00:00"/>
    <s v="Q4-2024"/>
    <s v="Europe → France → Lyon"/>
    <s v="Monitors"/>
    <s v="High"/>
    <d v="2023-01-01T00:00:00"/>
    <n v="22"/>
  </r>
  <r>
    <s v="ORD-2024-170021"/>
    <s v="Original"/>
    <d v="2024-11-05T00:00:00"/>
    <d v="2024-11-08T00:00:00"/>
    <n v="3"/>
    <x v="0"/>
    <s v="Canada"/>
    <s v="Toronto"/>
    <s v="Education"/>
    <x v="4"/>
    <s v="O. Wang"/>
    <x v="6"/>
    <x v="426"/>
    <n v="1020.4"/>
    <n v="1184.71"/>
    <n v="0.106"/>
    <n v="16"/>
    <n v="16946.091840000001"/>
    <n v="16326.4"/>
    <n v="619.69184000000132"/>
    <n v="3.6568422138328345E-2"/>
    <s v="Nov-2024"/>
    <d v="2024-11-01T00:00:00"/>
    <s v="Q4-2024"/>
    <s v="Americas → Canada → Toronto"/>
    <s v="Components"/>
    <s v="Medium"/>
    <d v="2023-01-01T00:00:00"/>
    <n v="22"/>
  </r>
  <r>
    <s v="ORD-2024-468501"/>
    <s v="Original"/>
    <d v="2024-11-06T00:00:00"/>
    <d v="2024-11-22T00:00:00"/>
    <n v="16"/>
    <x v="0"/>
    <s v="Canada"/>
    <s v="Toronto"/>
    <s v="Non-Profit"/>
    <x v="0"/>
    <s v="D. Smith"/>
    <x v="3"/>
    <x v="427"/>
    <n v="1454.11"/>
    <n v="2629.75"/>
    <n v="0.29199999999999998"/>
    <n v="8"/>
    <n v="14894.903999999999"/>
    <n v="11632.88"/>
    <n v="3262.0239999999994"/>
    <n v="0.21900268709351867"/>
    <s v="Nov-2024"/>
    <d v="2024-11-01T00:00:00"/>
    <s v="Q4-2024"/>
    <s v="Americas → Canada → Toronto"/>
    <s v="Accessories"/>
    <s v="High"/>
    <d v="2023-01-01T00:00:00"/>
    <n v="22"/>
  </r>
  <r>
    <s v="ORD-2024-225829"/>
    <s v="Original"/>
    <d v="2024-11-07T00:00:00"/>
    <d v="2024-11-26T00:00:00"/>
    <n v="19"/>
    <x v="0"/>
    <s v="Brazil"/>
    <s v="Rio de Janeiro"/>
    <s v="Non-Profit"/>
    <x v="0"/>
    <s v="J. Njeri"/>
    <x v="1"/>
    <x v="428"/>
    <n v="55.35"/>
    <n v="128.68"/>
    <n v="0.128"/>
    <n v="10"/>
    <n v="1122.0896000000002"/>
    <n v="553.5"/>
    <n v="568.58960000000025"/>
    <n v="0.50672388372550647"/>
    <s v="Nov-2024"/>
    <d v="2024-11-01T00:00:00"/>
    <s v="Q4-2024"/>
    <s v="Americas → Brazil → Rio de Janeiro"/>
    <s v="Printers"/>
    <s v="Low"/>
    <d v="2023-01-01T00:00:00"/>
    <n v="22"/>
  </r>
  <r>
    <s v="ORD-2024-320972"/>
    <s v="Original"/>
    <d v="2024-11-08T00:00:00"/>
    <d v="2024-11-15T00:00:00"/>
    <n v="7"/>
    <x v="1"/>
    <s v="Kenya"/>
    <s v="Nakuru"/>
    <s v="Enterprise"/>
    <x v="4"/>
    <s v="M. Rossi"/>
    <x v="4"/>
    <x v="429"/>
    <n v="803.28"/>
    <n v="1009"/>
    <n v="0.11"/>
    <n v="4"/>
    <n v="3592.04"/>
    <n v="3213.12"/>
    <n v="378.92000000000007"/>
    <n v="0.10548880302001093"/>
    <s v="Nov-2024"/>
    <d v="2024-11-01T00:00:00"/>
    <s v="Q4-2024"/>
    <s v="Africa → Kenya → Nakuru"/>
    <s v="Networking"/>
    <s v="Medium"/>
    <d v="2023-01-01T00:00:00"/>
    <n v="22"/>
  </r>
  <r>
    <s v="ORD-2024-496601"/>
    <s v="Original"/>
    <d v="2024-11-11T00:00:00"/>
    <d v="2024-11-24T00:00:00"/>
    <n v="13"/>
    <x v="2"/>
    <s v="United Kingdom"/>
    <s v="London"/>
    <s v="Corporate"/>
    <x v="3"/>
    <s v="E. Garcia"/>
    <x v="4"/>
    <x v="430"/>
    <n v="164.53"/>
    <n v="327.72"/>
    <n v="6.7000000000000004E-2"/>
    <n v="14"/>
    <n v="4280.6786400000001"/>
    <n v="2303.42"/>
    <n v="1977.25864"/>
    <n v="0.46190307805960412"/>
    <s v="Nov-2024"/>
    <d v="2024-11-01T00:00:00"/>
    <s v="Q4-2024"/>
    <s v="Europe → United Kingdom → London"/>
    <s v="Networking"/>
    <s v="Low"/>
    <d v="2023-01-01T00:00:00"/>
    <n v="22"/>
  </r>
  <r>
    <s v="ORD-2024-776337"/>
    <s v="Original"/>
    <d v="2024-11-12T00:00:00"/>
    <d v="2024-11-21T00:00:00"/>
    <n v="9"/>
    <x v="3"/>
    <s v="India"/>
    <s v="Mumbai"/>
    <s v="Corporate"/>
    <x v="2"/>
    <s v="H. Kim"/>
    <x v="0"/>
    <x v="431"/>
    <n v="903.41"/>
    <n v="1860.41"/>
    <n v="0.108"/>
    <n v="5"/>
    <n v="8297.4286000000011"/>
    <n v="4517.05"/>
    <n v="3780.3786000000009"/>
    <n v="0.455608451996803"/>
    <s v="Nov-2024"/>
    <d v="2024-11-01T00:00:00"/>
    <s v="Q4-2024"/>
    <s v="Asia → India → Mumbai"/>
    <s v="Laptops"/>
    <s v="High"/>
    <d v="2023-02-01T00:00:00"/>
    <n v="21"/>
  </r>
  <r>
    <s v="ORD-2024-371409"/>
    <s v="Original"/>
    <d v="2024-11-17T00:00:00"/>
    <d v="2024-11-28T00:00:00"/>
    <n v="11"/>
    <x v="0"/>
    <s v="Canada"/>
    <s v="Unknown"/>
    <s v="Consumer"/>
    <x v="0"/>
    <s v="A. Patel"/>
    <x v="1"/>
    <x v="432"/>
    <n v="1008.16"/>
    <n v="2077.5"/>
    <n v="7.3999999999999996E-2"/>
    <n v="15"/>
    <n v="28856.475000000002"/>
    <n v="15122.4"/>
    <n v="13734.075000000003"/>
    <n v="0.47594430712691005"/>
    <s v="Nov-2024"/>
    <d v="2024-11-01T00:00:00"/>
    <s v="Q4-2024"/>
    <s v="Americas → Canada → Unknown"/>
    <s v="Printers"/>
    <s v="High"/>
    <d v="2023-01-01T00:00:00"/>
    <n v="22"/>
  </r>
  <r>
    <s v="ORD-2024-783321"/>
    <s v="Original"/>
    <d v="2024-11-20T00:00:00"/>
    <d v="2024-12-15T00:00:00"/>
    <n v="25"/>
    <x v="2"/>
    <s v="France"/>
    <s v="Paris"/>
    <s v="Corporate"/>
    <x v="1"/>
    <s v="G. Dubois"/>
    <x v="1"/>
    <x v="433"/>
    <n v="1203.58"/>
    <n v="1856.16"/>
    <n v="0.129"/>
    <n v="22"/>
    <n v="35567.737920000007"/>
    <n v="26478.76"/>
    <n v="9088.9779200000085"/>
    <n v="0.25553994860295032"/>
    <s v="Nov-2024"/>
    <d v="2024-11-01T00:00:00"/>
    <s v="Q4-2024"/>
    <s v="Europe → France → Paris"/>
    <s v="Printers"/>
    <s v="High"/>
    <d v="2023-01-01T00:00:00"/>
    <n v="22"/>
  </r>
  <r>
    <s v="ORD-2024-192263"/>
    <s v="Original"/>
    <d v="2024-11-21T00:00:00"/>
    <d v="2024-12-21T00:00:00"/>
    <n v="30"/>
    <x v="2"/>
    <s v="France"/>
    <s v="Marseille"/>
    <s v="Small Business"/>
    <x v="2"/>
    <s v="I. Johnson"/>
    <x v="5"/>
    <x v="434"/>
    <n v="1122.68"/>
    <n v="1997.19"/>
    <n v="0.186"/>
    <n v="3"/>
    <n v="4877.1379800000004"/>
    <n v="3368.04"/>
    <n v="1509.0979800000005"/>
    <n v="0.30942285951073306"/>
    <s v="Nov-2024"/>
    <d v="2024-11-01T00:00:00"/>
    <s v="Q4-2024"/>
    <s v="Europe → France → Marseille"/>
    <s v="Monitors"/>
    <s v="High"/>
    <d v="2023-01-01T00:00:00"/>
    <n v="22"/>
  </r>
  <r>
    <s v="ORD-2024-508213"/>
    <s v="Original"/>
    <d v="2024-11-22T00:00:00"/>
    <d v="2024-12-15T00:00:00"/>
    <n v="23"/>
    <x v="1"/>
    <s v="Kenya"/>
    <s v="Mombasa"/>
    <s v="Non-Profit"/>
    <x v="0"/>
    <s v="C. Otieno"/>
    <x v="6"/>
    <x v="435"/>
    <n v="1335.76"/>
    <n v="2665.91"/>
    <n v="0.21099999999999999"/>
    <n v="40"/>
    <n v="84136.119600000005"/>
    <n v="53430.400000000001"/>
    <n v="30705.719600000004"/>
    <n v="0.36495288522909253"/>
    <s v="Nov-2024"/>
    <d v="2024-11-01T00:00:00"/>
    <s v="Q4-2024"/>
    <s v="Africa → Kenya → Mombasa"/>
    <s v="Components"/>
    <s v="High"/>
    <d v="2023-01-01T00:00:00"/>
    <n v="22"/>
  </r>
  <r>
    <s v="ORD-2024-961756"/>
    <s v="Original"/>
    <d v="2024-11-25T00:00:00"/>
    <d v="2024-12-07T00:00:00"/>
    <n v="12"/>
    <x v="3"/>
    <s v="China"/>
    <s v="Shanghai"/>
    <s v="Corporate"/>
    <x v="0"/>
    <s v="A. Patel"/>
    <x v="3"/>
    <x v="436"/>
    <n v="769.9"/>
    <n v="814.36"/>
    <n v="0"/>
    <n v="5"/>
    <n v="4071.8"/>
    <n v="3849.5"/>
    <n v="222.30000000000018"/>
    <n v="5.4595019401738831E-2"/>
    <s v="Nov-2024"/>
    <d v="2024-11-01T00:00:00"/>
    <s v="Q4-2024"/>
    <s v="Asia → China → Shanghai"/>
    <s v="Accessories"/>
    <s v="Low"/>
    <d v="2023-01-01T00:00:00"/>
    <n v="22"/>
  </r>
  <r>
    <s v="ORD-2024-266562"/>
    <s v="Original"/>
    <d v="2024-11-27T00:00:00"/>
    <d v="2024-12-24T00:00:00"/>
    <n v="27"/>
    <x v="1"/>
    <s v="Kenya"/>
    <s v="Mombasa"/>
    <s v="Corporate"/>
    <x v="0"/>
    <s v="B. Chen"/>
    <x v="1"/>
    <x v="437"/>
    <n v="143.33000000000001"/>
    <n v="233.51"/>
    <n v="0.16300000000000001"/>
    <n v="14"/>
    <n v="2736.27018"/>
    <n v="2006.6200000000001"/>
    <n v="729.65017999999986"/>
    <n v="0.26665867476580835"/>
    <s v="Nov-2024"/>
    <d v="2024-11-01T00:00:00"/>
    <s v="Q4-2024"/>
    <s v="Africa → Kenya → Mombasa"/>
    <s v="Printers"/>
    <s v="Low"/>
    <d v="2023-01-01T00:00:00"/>
    <n v="22"/>
  </r>
  <r>
    <s v="ORD-2024-788105"/>
    <s v="Original"/>
    <d v="2024-11-30T00:00:00"/>
    <d v="2024-12-30T00:00:00"/>
    <n v="30"/>
    <x v="2"/>
    <s v="France"/>
    <s v="Marseille"/>
    <s v="Consumer"/>
    <x v="4"/>
    <s v="F. Müller"/>
    <x v="1"/>
    <x v="438"/>
    <n v="117.64"/>
    <n v="175.67"/>
    <n v="0"/>
    <n v="10"/>
    <n v="1756.6999999999998"/>
    <n v="1176.4000000000001"/>
    <n v="580.29999999999973"/>
    <n v="0.33033528775545046"/>
    <s v="Nov-2024"/>
    <d v="2024-11-01T00:00:00"/>
    <s v="Q4-2024"/>
    <s v="Europe → France → Marseille"/>
    <s v="Printers"/>
    <s v="Low"/>
    <d v="2023-01-01T00:00:00"/>
    <n v="22"/>
  </r>
  <r>
    <s v="ORD-2024-655710"/>
    <s v="Original"/>
    <d v="2024-11-30T00:00:00"/>
    <d v="2024-12-10T00:00:00"/>
    <n v="10"/>
    <x v="3"/>
    <s v="India"/>
    <s v="Hyderabad"/>
    <s v="Small Business"/>
    <x v="3"/>
    <s v="F. Müller"/>
    <x v="3"/>
    <x v="439"/>
    <n v="851.49"/>
    <n v="901.79"/>
    <n v="0.245"/>
    <n v="16"/>
    <n v="10893.6232"/>
    <n v="13623.84"/>
    <n v="-2730.2168000000001"/>
    <n v="-0.25062522816100341"/>
    <s v="Nov-2024"/>
    <d v="2024-11-01T00:00:00"/>
    <s v="Q4-2024"/>
    <s v="Asia → India → Hyderabad"/>
    <s v="Accessories"/>
    <s v="Medium"/>
    <d v="2023-02-01T00:00:00"/>
    <n v="21"/>
  </r>
  <r>
    <s v="ORD-2024-331226"/>
    <s v="Original"/>
    <d v="2024-11-30T00:00:00"/>
    <d v="2024-12-19T00:00:00"/>
    <n v="19"/>
    <x v="1"/>
    <s v="Kenya"/>
    <s v="Kisumu"/>
    <s v="Corporate"/>
    <x v="1"/>
    <s v="L. Okafor"/>
    <x v="2"/>
    <x v="440"/>
    <n v="1195.98"/>
    <n v="1841.9"/>
    <n v="5.5E-2"/>
    <n v="19"/>
    <n v="33071.3145"/>
    <n v="22723.62"/>
    <n v="10347.694500000001"/>
    <n v="0.31289032977506842"/>
    <s v="Nov-2024"/>
    <d v="2024-11-01T00:00:00"/>
    <s v="Q4-2024"/>
    <s v="Africa → Kenya → Kisumu"/>
    <s v="Phones"/>
    <s v="High"/>
    <d v="2023-01-01T00:00:00"/>
    <n v="22"/>
  </r>
  <r>
    <s v="ORD-2024-866535"/>
    <s v="Original"/>
    <d v="2024-12-04T00:00:00"/>
    <d v="2024-12-12T00:00:00"/>
    <n v="8"/>
    <x v="2"/>
    <s v="Germany"/>
    <s v="Frankfurt"/>
    <s v="Enterprise"/>
    <x v="4"/>
    <s v="B. Chen"/>
    <x v="1"/>
    <x v="441"/>
    <n v="72.06"/>
    <n v="122.74"/>
    <n v="0.23799999999999999"/>
    <n v="8"/>
    <n v="748.22303999999997"/>
    <n v="576.48"/>
    <n v="171.74303999999995"/>
    <n v="0.22953455162246802"/>
    <s v="Dec-2024"/>
    <d v="2024-12-01T00:00:00"/>
    <s v="Q4-2024"/>
    <s v="Europe → Germany → Frankfurt"/>
    <s v="Printers"/>
    <s v="Low"/>
    <d v="2023-01-01T00:00:00"/>
    <n v="23"/>
  </r>
  <r>
    <s v="ORD-2024-478165"/>
    <s v="Original"/>
    <d v="2024-12-05T00:00:00"/>
    <d v="2024-12-28T00:00:00"/>
    <n v="23"/>
    <x v="0"/>
    <s v="Canada"/>
    <s v="Vancouver"/>
    <s v="Corporate"/>
    <x v="2"/>
    <s v="F. Müller"/>
    <x v="3"/>
    <x v="442"/>
    <n v="107.03"/>
    <n v="242.29"/>
    <n v="0.18"/>
    <n v="30"/>
    <n v="5960.3340000000007"/>
    <n v="3210.9"/>
    <n v="2749.4340000000007"/>
    <n v="0.46128857879440988"/>
    <s v="Dec-2024"/>
    <d v="2024-12-01T00:00:00"/>
    <s v="Q4-2024"/>
    <s v="Americas → Canada → Vancouver"/>
    <s v="Accessories"/>
    <s v="Low"/>
    <d v="2023-01-01T00:00:00"/>
    <n v="23"/>
  </r>
  <r>
    <s v="ORD-2024-140633"/>
    <s v="Original"/>
    <d v="2024-12-07T00:00:00"/>
    <d v="2024-12-26T00:00:00"/>
    <n v="19"/>
    <x v="2"/>
    <s v="United Kingdom"/>
    <s v="London"/>
    <s v="Enterprise"/>
    <x v="1"/>
    <s v="D. Smith"/>
    <x v="4"/>
    <x v="443"/>
    <n v="1035.24"/>
    <n v="2383.41"/>
    <n v="0.17"/>
    <n v="15"/>
    <n v="29673.454499999993"/>
    <n v="15528.6"/>
    <n v="14144.854499999992"/>
    <n v="0.47668378145860962"/>
    <s v="Dec-2024"/>
    <d v="2024-12-01T00:00:00"/>
    <s v="Q4-2024"/>
    <s v="Europe → United Kingdom → London"/>
    <s v="Networking"/>
    <s v="High"/>
    <d v="2023-01-01T00:00:00"/>
    <n v="23"/>
  </r>
  <r>
    <s v="ORD-2024-382152"/>
    <s v="Original"/>
    <d v="2024-12-08T00:00:00"/>
    <d v="2024-12-13T00:00:00"/>
    <n v="5"/>
    <x v="2"/>
    <s v="France"/>
    <s v="Lyon"/>
    <s v="Enterprise"/>
    <x v="3"/>
    <s v="H. Kim"/>
    <x v="6"/>
    <x v="444"/>
    <n v="257.44"/>
    <n v="290.33"/>
    <n v="9.1999999999999998E-2"/>
    <n v="23"/>
    <n v="6063.2517199999993"/>
    <n v="5921.12"/>
    <n v="142.1317199999994"/>
    <n v="2.3441500792581216E-2"/>
    <s v="Dec-2024"/>
    <d v="2024-12-01T00:00:00"/>
    <s v="Q4-2024"/>
    <s v="Europe → France → Lyon"/>
    <s v="Components"/>
    <s v="Low"/>
    <d v="2023-01-01T00:00:00"/>
    <n v="23"/>
  </r>
  <r>
    <s v="ORD-2024-206081"/>
    <s v="Original"/>
    <d v="2024-12-10T00:00:00"/>
    <d v="2025-01-08T00:00:00"/>
    <n v="29"/>
    <x v="2"/>
    <s v="France"/>
    <s v="Marseille"/>
    <s v="Small Business"/>
    <x v="3"/>
    <s v="K. Singh"/>
    <x v="1"/>
    <x v="445"/>
    <n v="891.08"/>
    <n v="1040.0999999999999"/>
    <n v="0.109"/>
    <n v="28"/>
    <n v="25948.414799999995"/>
    <n v="24950.240000000002"/>
    <n v="998.17479999999341"/>
    <n v="3.8467660074556598E-2"/>
    <s v="Dec-2024"/>
    <d v="2024-12-01T00:00:00"/>
    <s v="Q4-2024"/>
    <s v="Europe → France → Marseille"/>
    <s v="Printers"/>
    <s v="Medium"/>
    <d v="2023-01-01T00:00:00"/>
    <n v="23"/>
  </r>
  <r>
    <s v="ORD-2024-837651"/>
    <s v="Original"/>
    <d v="2024-12-10T00:00:00"/>
    <d v="2024-12-19T00:00:00"/>
    <n v="9"/>
    <x v="1"/>
    <s v="Nigeria"/>
    <s v="Lagos"/>
    <s v="Corporate"/>
    <x v="3"/>
    <s v="O. Wang"/>
    <x v="5"/>
    <x v="446"/>
    <n v="488.68"/>
    <n v="984.36"/>
    <n v="5.8999999999999997E-2"/>
    <n v="14"/>
    <n v="12967.958640000001"/>
    <n v="6841.52"/>
    <n v="6126.4386400000003"/>
    <n v="0.47242891576649876"/>
    <s v="Dec-2024"/>
    <d v="2024-12-01T00:00:00"/>
    <s v="Q4-2024"/>
    <s v="Africa → Nigeria → Lagos"/>
    <s v="Monitors"/>
    <s v="Medium"/>
    <d v="2023-01-01T00:00:00"/>
    <n v="23"/>
  </r>
  <r>
    <s v="ORD-2024-102866"/>
    <s v="Original"/>
    <d v="2024-12-12T00:00:00"/>
    <d v="2024-12-20T00:00:00"/>
    <n v="8"/>
    <x v="3"/>
    <s v="Japan"/>
    <s v="Tokyo"/>
    <s v="Corporate"/>
    <x v="3"/>
    <s v="B. Chen"/>
    <x v="0"/>
    <x v="447"/>
    <n v="1202.47"/>
    <n v="1444.72"/>
    <n v="0.24099999999999999"/>
    <n v="17"/>
    <n v="18641.222160000001"/>
    <n v="20441.990000000002"/>
    <n v="-1800.7678400000004"/>
    <n v="-9.6601382921343834E-2"/>
    <s v="Dec-2024"/>
    <d v="2024-12-01T00:00:00"/>
    <s v="Q4-2024"/>
    <s v="Asia → Japan → Tokyo"/>
    <s v="Laptops"/>
    <s v="Medium"/>
    <d v="2023-03-01T00:00:00"/>
    <n v="21"/>
  </r>
  <r>
    <s v="ORD-2024-836421"/>
    <s v="Original"/>
    <d v="2024-12-14T00:00:00"/>
    <d v="2025-01-12T00:00:00"/>
    <n v="29"/>
    <x v="3"/>
    <s v="China"/>
    <s v="Shenzhen"/>
    <s v="Education"/>
    <x v="1"/>
    <s v="J. Njeri"/>
    <x v="6"/>
    <x v="448"/>
    <n v="1412.15"/>
    <n v="1631.04"/>
    <n v="8.9999999999999993E-3"/>
    <n v="6"/>
    <n v="9698.1638399999993"/>
    <n v="8472.9000000000015"/>
    <n v="1225.2638399999978"/>
    <n v="0.12633977526203535"/>
    <s v="Dec-2024"/>
    <d v="2024-12-01T00:00:00"/>
    <s v="Q4-2024"/>
    <s v="Asia → China → Shenzhen"/>
    <s v="Components"/>
    <s v="High"/>
    <d v="2023-01-01T00:00:00"/>
    <n v="23"/>
  </r>
  <r>
    <s v="ORD-2024-800947"/>
    <s v="Original"/>
    <d v="2024-12-15T00:00:00"/>
    <d v="2024-12-20T00:00:00"/>
    <n v="5"/>
    <x v="3"/>
    <s v="China"/>
    <s v="Shenzhen"/>
    <s v="Small Business"/>
    <x v="2"/>
    <s v="J. Njeri"/>
    <x v="4"/>
    <x v="449"/>
    <n v="717.55"/>
    <n v="546.42999999999995"/>
    <n v="4.7E-2"/>
    <n v="18"/>
    <n v="9373.460219999999"/>
    <n v="12915.9"/>
    <n v="-3542.4397800000006"/>
    <n v="-0.37792231437026369"/>
    <s v="Dec-2024"/>
    <d v="2024-12-01T00:00:00"/>
    <s v="Q4-2024"/>
    <s v="Asia → China → Shenzhen"/>
    <s v="Networking"/>
    <s v="Low"/>
    <d v="2023-01-01T00:00:00"/>
    <n v="23"/>
  </r>
  <r>
    <s v="ORD-2024-289089"/>
    <s v="Original"/>
    <d v="2024-12-17T00:00:00"/>
    <d v="2024-12-18T00:00:00"/>
    <n v="1"/>
    <x v="2"/>
    <s v="Germany"/>
    <s v="Munich"/>
    <s v="Education"/>
    <x v="3"/>
    <s v="L. Okafor"/>
    <x v="3"/>
    <x v="450"/>
    <n v="346.82"/>
    <n v="701.95"/>
    <n v="0.14699999999999999"/>
    <n v="8"/>
    <n v="4790.1068000000005"/>
    <n v="2774.56"/>
    <n v="2015.5468000000005"/>
    <n v="0.42077283120284509"/>
    <s v="Dec-2024"/>
    <d v="2024-12-01T00:00:00"/>
    <s v="Q4-2024"/>
    <s v="Europe → Germany → Munich"/>
    <s v="Accessories"/>
    <s v="Low"/>
    <d v="2023-01-01T00:00:00"/>
    <n v="23"/>
  </r>
  <r>
    <s v="ORD-2024-930679"/>
    <s v="Original"/>
    <d v="2024-12-17T00:00:00"/>
    <d v="2025-01-16T00:00:00"/>
    <n v="30"/>
    <x v="2"/>
    <s v="United Kingdom"/>
    <s v="Manchester"/>
    <s v="Corporate"/>
    <x v="3"/>
    <s v="D. Smith"/>
    <x v="5"/>
    <x v="451"/>
    <n v="722.87"/>
    <n v="867.44399999999996"/>
    <n v="0.10199999999999999"/>
    <n v="28"/>
    <n v="21811.011936000003"/>
    <n v="20240.36"/>
    <n v="1570.651936000002"/>
    <n v="7.2011878247958516E-2"/>
    <s v="Dec-2024"/>
    <d v="2024-12-01T00:00:00"/>
    <s v="Q4-2024"/>
    <s v="Europe → United Kingdom → Manchester"/>
    <s v="Monitors"/>
    <s v="Medium"/>
    <d v="2023-01-01T00:00:00"/>
    <n v="23"/>
  </r>
  <r>
    <s v="ORD-2024-390951"/>
    <s v="Original"/>
    <d v="2024-12-20T00:00:00"/>
    <d v="2025-01-14T00:00:00"/>
    <n v="25"/>
    <x v="3"/>
    <s v="India"/>
    <s v="Delhi"/>
    <s v="Small Business"/>
    <x v="3"/>
    <s v="M. Rossi"/>
    <x v="1"/>
    <x v="452"/>
    <n v="1361.34"/>
    <n v="1737.9"/>
    <n v="7.6999999999999999E-2"/>
    <n v="14"/>
    <n v="22457.143800000002"/>
    <n v="19058.759999999998"/>
    <n v="3398.3838000000032"/>
    <n v="0.15132751654731813"/>
    <s v="Dec-2024"/>
    <d v="2024-12-01T00:00:00"/>
    <s v="Q4-2024"/>
    <s v="Asia → India → Delhi"/>
    <s v="Printers"/>
    <s v="High"/>
    <d v="2023-02-01T00:00:00"/>
    <n v="22"/>
  </r>
  <r>
    <s v="ORD-2024-164288"/>
    <s v="Original"/>
    <d v="2024-12-21T00:00:00"/>
    <d v="2024-12-26T00:00:00"/>
    <n v="5"/>
    <x v="0"/>
    <s v="USA"/>
    <s v="San Francisco"/>
    <s v="Consumer"/>
    <x v="4"/>
    <s v="M. Rossi"/>
    <x v="1"/>
    <x v="453"/>
    <n v="699.57"/>
    <n v="572.71"/>
    <n v="0.192"/>
    <n v="26"/>
    <n v="12031.491680000001"/>
    <n v="18188.82"/>
    <n v="-6157.3283199999987"/>
    <n v="-0.51176765805651114"/>
    <s v="Dec-2024"/>
    <d v="2024-12-01T00:00:00"/>
    <s v="Q4-2024"/>
    <s v="Americas → USA → San Francisco"/>
    <s v="Printers"/>
    <s v="Low"/>
    <d v="2023-01-01T00:00:00"/>
    <n v="23"/>
  </r>
  <r>
    <s v="ORD-2024-902741"/>
    <s v="Original"/>
    <d v="2024-12-23T00:00:00"/>
    <d v="2025-01-11T00:00:00"/>
    <n v="19"/>
    <x v="2"/>
    <s v="Germany"/>
    <s v="Berlin"/>
    <s v="Education"/>
    <x v="3"/>
    <s v="K. Singh"/>
    <x v="2"/>
    <x v="454"/>
    <n v="501.81"/>
    <n v="921.62"/>
    <n v="0.01"/>
    <n v="9"/>
    <n v="8211.6342000000004"/>
    <n v="4516.29"/>
    <n v="3695.3442000000005"/>
    <n v="0.45001325071202031"/>
    <s v="Dec-2024"/>
    <d v="2024-12-01T00:00:00"/>
    <s v="Q4-2024"/>
    <s v="Europe → Germany → Berlin"/>
    <s v="Phones"/>
    <s v="Medium"/>
    <d v="2023-01-01T00:00:00"/>
    <n v="23"/>
  </r>
  <r>
    <s v="ORD-2024-972318"/>
    <s v="Original"/>
    <d v="2024-12-24T00:00:00"/>
    <d v="2025-01-13T00:00:00"/>
    <n v="20"/>
    <x v="3"/>
    <s v="India"/>
    <s v="Bengaluru"/>
    <s v="Corporate"/>
    <x v="4"/>
    <s v="D. Smith"/>
    <x v="4"/>
    <x v="455"/>
    <n v="126.15"/>
    <n v="284.23"/>
    <n v="0.113"/>
    <n v="22"/>
    <n v="5546.4642200000008"/>
    <n v="2775.3"/>
    <n v="2771.1642200000006"/>
    <n v="0.49962716968541088"/>
    <s v="Dec-2024"/>
    <d v="2024-12-01T00:00:00"/>
    <s v="Q4-2024"/>
    <s v="Asia → India → Bengaluru"/>
    <s v="Networking"/>
    <s v="Low"/>
    <d v="2023-02-01T00:00:00"/>
    <n v="22"/>
  </r>
  <r>
    <s v="ORD-2024-336584"/>
    <s v="Original"/>
    <d v="2024-12-27T00:00:00"/>
    <d v="2025-01-14T00:00:00"/>
    <n v="18"/>
    <x v="3"/>
    <s v="India"/>
    <s v="Bengaluru"/>
    <s v="Small Business"/>
    <x v="4"/>
    <s v="E. Garcia"/>
    <x v="5"/>
    <x v="456"/>
    <n v="586.07000000000005"/>
    <n v="845.97"/>
    <n v="0.14699999999999999"/>
    <n v="4"/>
    <n v="2886.4496399999998"/>
    <n v="2344.2800000000002"/>
    <n v="542.16963999999962"/>
    <n v="0.18783270370862928"/>
    <s v="Dec-2024"/>
    <d v="2024-12-01T00:00:00"/>
    <s v="Q4-2024"/>
    <s v="Asia → India → Bengaluru"/>
    <s v="Monitors"/>
    <s v="Medium"/>
    <d v="2023-02-01T00:00:00"/>
    <n v="22"/>
  </r>
  <r>
    <s v="ORD-2024-170313"/>
    <s v="Original"/>
    <d v="2024-12-27T00:00:00"/>
    <d v="2025-01-15T00:00:00"/>
    <n v="19"/>
    <x v="3"/>
    <s v="India"/>
    <s v="Delhi"/>
    <s v="Non-Profit"/>
    <x v="0"/>
    <s v="G. Dubois"/>
    <x v="6"/>
    <x v="457"/>
    <n v="495.59"/>
    <n v="631.78"/>
    <n v="8.6999999999999994E-2"/>
    <n v="17"/>
    <n v="9805.8573800000013"/>
    <n v="8425.0299999999988"/>
    <n v="1380.8273800000024"/>
    <n v="0.14081658813601899"/>
    <s v="Dec-2024"/>
    <d v="2024-12-01T00:00:00"/>
    <s v="Q4-2024"/>
    <s v="Asia → India → Delhi"/>
    <s v="Components"/>
    <s v="Low"/>
    <d v="2023-02-01T00:00:00"/>
    <n v="22"/>
  </r>
  <r>
    <s v="ORD-2024-474999"/>
    <s v="Original"/>
    <d v="2024-12-27T00:00:00"/>
    <d v="2025-01-02T00:00:00"/>
    <n v="6"/>
    <x v="2"/>
    <s v="Germany"/>
    <s v="Frankfurt"/>
    <s v="Education"/>
    <x v="2"/>
    <s v="F. Müller"/>
    <x v="0"/>
    <x v="458"/>
    <n v="1391.99"/>
    <n v="3469.7"/>
    <n v="0.184"/>
    <n v="23"/>
    <n v="65119.329599999997"/>
    <n v="32015.77"/>
    <n v="33103.559599999993"/>
    <n v="0.50835227886006973"/>
    <s v="Dec-2024"/>
    <d v="2024-12-01T00:00:00"/>
    <s v="Q4-2024"/>
    <s v="Europe → Germany → Frankfurt"/>
    <s v="Laptops"/>
    <s v="High"/>
    <d v="2023-01-01T00:00:00"/>
    <n v="23"/>
  </r>
  <r>
    <s v="ORD-2024-257550"/>
    <s v="Original"/>
    <d v="2024-12-27T00:00:00"/>
    <d v="2024-12-29T00:00:00"/>
    <n v="2"/>
    <x v="0"/>
    <s v="Canada"/>
    <s v="Vancouver"/>
    <s v="Enterprise"/>
    <x v="4"/>
    <s v="C. Otieno"/>
    <x v="3"/>
    <x v="459"/>
    <n v="1146.72"/>
    <n v="2074.34"/>
    <n v="0.111"/>
    <n v="8"/>
    <n v="14752.706080000002"/>
    <n v="9173.76"/>
    <n v="5578.9460800000015"/>
    <n v="0.37816425337472737"/>
    <s v="Dec-2024"/>
    <d v="2024-12-01T00:00:00"/>
    <s v="Q4-2024"/>
    <s v="Americas → Canada → Vancouver"/>
    <s v="Accessories"/>
    <s v="High"/>
    <d v="2023-01-01T00:00:00"/>
    <n v="23"/>
  </r>
  <r>
    <s v="ORD-2024-651852"/>
    <s v="Original"/>
    <d v="2024-12-28T00:00:00"/>
    <d v="2025-01-08T00:00:00"/>
    <n v="11"/>
    <x v="3"/>
    <s v="China"/>
    <s v="Shenzhen"/>
    <s v="Enterprise"/>
    <x v="1"/>
    <s v="K. Singh"/>
    <x v="0"/>
    <x v="460"/>
    <n v="1201.31"/>
    <n v="2764.65"/>
    <n v="0"/>
    <n v="21"/>
    <n v="58057.65"/>
    <n v="25227.51"/>
    <n v="32830.14"/>
    <n v="0.56547483406579491"/>
    <s v="Dec-2024"/>
    <d v="2024-12-01T00:00:00"/>
    <s v="Q4-2024"/>
    <s v="Asia → China → Shenzhen"/>
    <s v="Laptops"/>
    <s v="High"/>
    <d v="2023-01-01T00:00:00"/>
    <n v="23"/>
  </r>
  <r>
    <s v="ORD-2024-165942"/>
    <s v="Original"/>
    <d v="2024-12-29T00:00:00"/>
    <d v="2025-01-12T00:00:00"/>
    <n v="14"/>
    <x v="2"/>
    <s v="United Kingdom"/>
    <s v="Manchester"/>
    <s v="Corporate"/>
    <x v="2"/>
    <s v="B. Chen"/>
    <x v="5"/>
    <x v="461"/>
    <n v="1399.72"/>
    <n v="3149.21"/>
    <n v="0.185"/>
    <n v="12"/>
    <n v="30799.273800000003"/>
    <n v="16796.64"/>
    <n v="14002.633800000003"/>
    <n v="0.45464168703873797"/>
    <s v="Dec-2024"/>
    <d v="2024-12-01T00:00:00"/>
    <s v="Q4-2024"/>
    <s v="Europe → United Kingdom → Manchester"/>
    <s v="Monitors"/>
    <s v="High"/>
    <d v="2023-01-01T00:00:00"/>
    <n v="23"/>
  </r>
  <r>
    <s v="ORD-2025-515515"/>
    <s v="Original"/>
    <d v="2025-01-03T00:00:00"/>
    <d v="2025-01-23T00:00:00"/>
    <n v="20"/>
    <x v="3"/>
    <s v="Japan"/>
    <s v="Osaka"/>
    <s v="Corporate"/>
    <x v="0"/>
    <s v="F. Müller"/>
    <x v="2"/>
    <x v="462"/>
    <n v="908.6"/>
    <n v="691.37"/>
    <n v="0.25"/>
    <n v="20"/>
    <n v="10370.549999999999"/>
    <n v="18172"/>
    <n v="-7801.4500000000007"/>
    <n v="-0.75226964818645115"/>
    <s v="Jan-2025"/>
    <d v="2025-01-01T00:00:00"/>
    <s v="Q1-2025"/>
    <s v="Asia → Japan → Osaka"/>
    <s v="Phones"/>
    <s v="Low"/>
    <d v="2023-03-01T00:00:00"/>
    <n v="22"/>
  </r>
  <r>
    <s v="ORD-2025-137394"/>
    <s v="Original"/>
    <d v="2025-01-04T00:00:00"/>
    <d v="2025-01-05T00:00:00"/>
    <n v="1"/>
    <x v="3"/>
    <s v="India"/>
    <s v="Delhi"/>
    <s v="Education"/>
    <x v="3"/>
    <s v="I. Johnson"/>
    <x v="6"/>
    <x v="463"/>
    <n v="1428.33"/>
    <n v="3028.05"/>
    <n v="0"/>
    <n v="11"/>
    <n v="33308.550000000003"/>
    <n v="15711.63"/>
    <n v="17596.920000000006"/>
    <n v="0.52830039134096207"/>
    <s v="Jan-2025"/>
    <d v="2025-01-01T00:00:00"/>
    <s v="Q1-2025"/>
    <s v="Asia → India → Delhi"/>
    <s v="Components"/>
    <s v="High"/>
    <d v="2023-02-01T00:00:00"/>
    <n v="23"/>
  </r>
  <r>
    <s v="ORD-2025-636162"/>
    <s v="Original"/>
    <d v="2025-01-07T00:00:00"/>
    <d v="2025-01-20T00:00:00"/>
    <n v="13"/>
    <x v="1"/>
    <s v="South Africa"/>
    <s v="Cape Town"/>
    <s v="Corporate"/>
    <x v="2"/>
    <s v="K. Singh"/>
    <x v="4"/>
    <x v="464"/>
    <n v="432.13"/>
    <n v="1034.6600000000001"/>
    <n v="9.1999999999999998E-2"/>
    <n v="7"/>
    <n v="6576.298960000001"/>
    <n v="3024.91"/>
    <n v="3551.3889600000011"/>
    <n v="0.54002851476204794"/>
    <s v="Jan-2025"/>
    <d v="2025-01-01T00:00:00"/>
    <s v="Q1-2025"/>
    <s v="Africa → South Africa → Cape Town"/>
    <s v="Networking"/>
    <s v="Medium"/>
    <d v="2023-01-01T00:00:00"/>
    <n v="24"/>
  </r>
  <r>
    <s v="ORD-2025-354346"/>
    <s v="Original"/>
    <d v="2025-01-09T00:00:00"/>
    <d v="2025-01-15T00:00:00"/>
    <n v="6"/>
    <x v="3"/>
    <s v="China"/>
    <s v="Beijing"/>
    <s v="Education"/>
    <x v="1"/>
    <s v="C. Otieno"/>
    <x v="2"/>
    <x v="465"/>
    <n v="304.77999999999997"/>
    <n v="537.27"/>
    <n v="0.187"/>
    <n v="8"/>
    <n v="3494.4040799999998"/>
    <n v="2438.2399999999998"/>
    <n v="1056.16408"/>
    <n v="0.3022444044307549"/>
    <s v="Jan-2025"/>
    <d v="2025-01-01T00:00:00"/>
    <s v="Q1-2025"/>
    <s v="Asia → China → Beijing"/>
    <s v="Phones"/>
    <s v="Low"/>
    <d v="2023-01-01T00:00:00"/>
    <n v="24"/>
  </r>
  <r>
    <s v="ORD-2025-149156"/>
    <s v="Original"/>
    <d v="2025-01-10T00:00:00"/>
    <d v="2025-02-06T00:00:00"/>
    <n v="27"/>
    <x v="0"/>
    <s v="Brazil"/>
    <s v="Brasília"/>
    <s v="Non-Profit"/>
    <x v="3"/>
    <s v="B. Chen"/>
    <x v="0"/>
    <x v="466"/>
    <n v="725.62"/>
    <n v="1559.19"/>
    <n v="0.19"/>
    <n v="12"/>
    <n v="15155.326800000001"/>
    <n v="8707.44"/>
    <n v="6447.8868000000002"/>
    <n v="0.42545349797405885"/>
    <s v="Jan-2025"/>
    <d v="2025-01-01T00:00:00"/>
    <s v="Q1-2025"/>
    <s v="Americas → Brazil → Brasília"/>
    <s v="Laptops"/>
    <s v="Medium"/>
    <d v="2023-01-01T00:00:00"/>
    <n v="24"/>
  </r>
  <r>
    <s v="ORD-2025-653781"/>
    <s v="Original"/>
    <d v="2025-01-11T00:00:00"/>
    <d v="2025-01-23T00:00:00"/>
    <n v="12"/>
    <x v="0"/>
    <s v="USA"/>
    <s v="Austin"/>
    <s v="Consumer"/>
    <x v="0"/>
    <s v="H. Kim"/>
    <x v="2"/>
    <x v="467"/>
    <n v="100.69"/>
    <n v="226.14"/>
    <n v="6.5000000000000002E-2"/>
    <n v="12"/>
    <n v="2537.2908000000002"/>
    <n v="1208.28"/>
    <n v="1329.0108000000002"/>
    <n v="0.52379128162999689"/>
    <s v="Jan-2025"/>
    <d v="2025-01-01T00:00:00"/>
    <s v="Q1-2025"/>
    <s v="Americas → USA → Austin"/>
    <s v="Phones"/>
    <s v="Low"/>
    <d v="2023-01-01T00:00:00"/>
    <n v="24"/>
  </r>
  <r>
    <s v="ORD-2025-542939"/>
    <s v="Original"/>
    <d v="2025-01-13T00:00:00"/>
    <d v="2025-02-08T00:00:00"/>
    <n v="26"/>
    <x v="2"/>
    <s v="France"/>
    <s v="Paris"/>
    <s v="Non-Profit"/>
    <x v="5"/>
    <s v="E. Garcia"/>
    <x v="5"/>
    <x v="468"/>
    <n v="594.74"/>
    <n v="1020.69"/>
    <n v="0.21099999999999999"/>
    <n v="6"/>
    <n v="4831.9464600000001"/>
    <n v="3568.44"/>
    <n v="1263.5064600000001"/>
    <n v="0.26149016146176424"/>
    <s v="Jan-2025"/>
    <d v="2025-01-01T00:00:00"/>
    <s v="Q1-2025"/>
    <s v="Europe → France → Paris"/>
    <s v="Monitors"/>
    <s v="Medium"/>
    <d v="2023-01-01T00:00:00"/>
    <n v="24"/>
  </r>
  <r>
    <s v="ORD-2025-649239"/>
    <s v="Original"/>
    <d v="2025-01-17T00:00:00"/>
    <d v="2025-01-24T00:00:00"/>
    <n v="7"/>
    <x v="0"/>
    <s v="USA"/>
    <s v="Austin"/>
    <s v="Enterprise"/>
    <x v="1"/>
    <s v="G. Dubois"/>
    <x v="3"/>
    <x v="469"/>
    <n v="142.09"/>
    <n v="218.5"/>
    <n v="0.11899999999999999"/>
    <n v="11"/>
    <n v="2117.4834999999998"/>
    <n v="1562.99"/>
    <n v="554.49349999999981"/>
    <n v="0.26186437816398561"/>
    <s v="Jan-2025"/>
    <d v="2025-01-01T00:00:00"/>
    <s v="Q1-2025"/>
    <s v="Americas → USA → Austin"/>
    <s v="Accessories"/>
    <s v="Low"/>
    <d v="2023-01-01T00:00:00"/>
    <n v="24"/>
  </r>
  <r>
    <s v="ORD-2025-909340"/>
    <s v="Original"/>
    <d v="2025-01-20T00:00:00"/>
    <d v="2025-02-03T00:00:00"/>
    <n v="14"/>
    <x v="0"/>
    <s v="Brazil"/>
    <s v="Brasília"/>
    <s v="Enterprise"/>
    <x v="4"/>
    <s v="F. Müller"/>
    <x v="6"/>
    <x v="470"/>
    <n v="974.11"/>
    <n v="880.99"/>
    <n v="0.111"/>
    <n v="10"/>
    <n v="7832.0010999999995"/>
    <n v="9741.1"/>
    <n v="-1909.0989000000009"/>
    <n v="-0.2437562093805121"/>
    <s v="Jan-2025"/>
    <d v="2025-01-01T00:00:00"/>
    <s v="Q1-2025"/>
    <s v="Americas → Brazil → Brasília"/>
    <s v="Components"/>
    <s v="Medium"/>
    <d v="2023-01-01T00:00:00"/>
    <n v="24"/>
  </r>
  <r>
    <s v="ORD-2025-578007"/>
    <s v="Original"/>
    <d v="2025-01-21T00:00:00"/>
    <d v="2025-02-16T00:00:00"/>
    <n v="26"/>
    <x v="2"/>
    <s v="France"/>
    <s v="Lyon"/>
    <s v="Corporate"/>
    <x v="0"/>
    <s v="O. Wang"/>
    <x v="0"/>
    <x v="471"/>
    <n v="204.11"/>
    <n v="236.87"/>
    <n v="0.182"/>
    <n v="13"/>
    <n v="2518.8755800000004"/>
    <n v="2653.4300000000003"/>
    <n v="-134.55441999999994"/>
    <n v="-5.3418446337075494E-2"/>
    <s v="Jan-2025"/>
    <d v="2025-01-01T00:00:00"/>
    <s v="Q1-2025"/>
    <s v="Europe → France → Lyon"/>
    <s v="Laptops"/>
    <s v="Low"/>
    <d v="2023-01-01T00:00:00"/>
    <n v="24"/>
  </r>
  <r>
    <s v="ORD-2025-146850"/>
    <s v="Original"/>
    <d v="2025-01-21T00:00:00"/>
    <d v="2025-02-14T00:00:00"/>
    <n v="24"/>
    <x v="1"/>
    <s v="Kenya"/>
    <s v="Nairobi"/>
    <s v="Small Business"/>
    <x v="3"/>
    <s v="J. Njeri"/>
    <x v="3"/>
    <x v="472"/>
    <n v="1030.44"/>
    <n v="2562.84"/>
    <n v="0.14799999999999999"/>
    <n v="13"/>
    <n v="28386.015839999996"/>
    <n v="13395.720000000001"/>
    <n v="14990.295839999995"/>
    <n v="0.52808734852027039"/>
    <s v="Jan-2025"/>
    <d v="2025-01-01T00:00:00"/>
    <s v="Q1-2025"/>
    <s v="Africa → Kenya → Nairobi"/>
    <s v="Accessories"/>
    <s v="High"/>
    <d v="2023-01-01T00:00:00"/>
    <n v="24"/>
  </r>
  <r>
    <s v="ORD-2025-939953"/>
    <s v="Original"/>
    <d v="2025-01-22T00:00:00"/>
    <d v="2025-01-29T00:00:00"/>
    <n v="7"/>
    <x v="2"/>
    <s v="France"/>
    <s v="Lyon"/>
    <s v="Small Business"/>
    <x v="1"/>
    <s v="B. Chen"/>
    <x v="3"/>
    <x v="473"/>
    <n v="591.72"/>
    <n v="577.24"/>
    <n v="0"/>
    <n v="22"/>
    <n v="12699.28"/>
    <n v="13017.84"/>
    <n v="-318.55999999999949"/>
    <n v="-2.5084886702238195E-2"/>
    <s v="Jan-2025"/>
    <d v="2025-01-01T00:00:00"/>
    <s v="Q1-2025"/>
    <s v="Europe → France → Lyon"/>
    <s v="Accessories"/>
    <s v="Low"/>
    <d v="2023-01-01T00:00:00"/>
    <n v="24"/>
  </r>
  <r>
    <s v="ORD-2025-415018"/>
    <s v="Original"/>
    <d v="2025-01-22T00:00:00"/>
    <d v="2025-02-04T00:00:00"/>
    <n v="13"/>
    <x v="3"/>
    <s v="Japan"/>
    <s v="Tokyo"/>
    <s v="Small Business"/>
    <x v="0"/>
    <s v="L. Okafor"/>
    <x v="1"/>
    <x v="474"/>
    <n v="122.29"/>
    <n v="224.95"/>
    <n v="0.153"/>
    <n v="28"/>
    <n v="5334.9141999999993"/>
    <n v="3424.1200000000003"/>
    <n v="1910.7941999999989"/>
    <n v="0.3581677471026618"/>
    <s v="Jan-2025"/>
    <d v="2025-01-01T00:00:00"/>
    <s v="Q1-2025"/>
    <s v="Asia → Japan → Tokyo"/>
    <s v="Printers"/>
    <s v="Low"/>
    <d v="2023-03-01T00:00:00"/>
    <n v="22"/>
  </r>
  <r>
    <s v="ORD-2025-328504"/>
    <s v="Original"/>
    <d v="2025-01-27T00:00:00"/>
    <d v="2025-02-15T00:00:00"/>
    <n v="19"/>
    <x v="3"/>
    <s v="China"/>
    <s v="Shenzhen"/>
    <s v="Non-Profit"/>
    <x v="2"/>
    <s v="L. Okafor"/>
    <x v="2"/>
    <x v="475"/>
    <n v="1253.22"/>
    <n v="3104.71"/>
    <n v="0"/>
    <n v="17"/>
    <n v="52780.07"/>
    <n v="21304.74"/>
    <n v="31475.329999999998"/>
    <n v="0.59634877331538205"/>
    <s v="Jan-2025"/>
    <d v="2025-01-01T00:00:00"/>
    <s v="Q1-2025"/>
    <s v="Asia → China → Shenzhen"/>
    <s v="Phones"/>
    <s v="High"/>
    <d v="2023-01-01T00:00:00"/>
    <n v="24"/>
  </r>
  <r>
    <s v="ORD-2025-564184"/>
    <s v="Original"/>
    <d v="2025-01-29T00:00:00"/>
    <d v="2025-02-06T00:00:00"/>
    <n v="8"/>
    <x v="1"/>
    <s v="Kenya"/>
    <s v="Kisumu"/>
    <s v="Education"/>
    <x v="3"/>
    <s v="B. Chen"/>
    <x v="2"/>
    <x v="476"/>
    <n v="1445.27"/>
    <n v="2691.45"/>
    <n v="0"/>
    <n v="9"/>
    <n v="24223.05"/>
    <n v="13007.43"/>
    <n v="11215.619999999999"/>
    <n v="0.46301436028906351"/>
    <s v="Jan-2025"/>
    <d v="2025-01-01T00:00:00"/>
    <s v="Q1-2025"/>
    <s v="Africa → Kenya → Kisumu"/>
    <s v="Phones"/>
    <s v="High"/>
    <d v="2023-01-01T00:00:00"/>
    <n v="24"/>
  </r>
  <r>
    <s v="ORD-2025-192876"/>
    <s v="Original"/>
    <d v="2025-01-31T00:00:00"/>
    <d v="2025-02-17T00:00:00"/>
    <n v="17"/>
    <x v="2"/>
    <s v="United Kingdom"/>
    <s v="London"/>
    <s v="Enterprise"/>
    <x v="3"/>
    <s v="H. Kim"/>
    <x v="6"/>
    <x v="103"/>
    <n v="378.26"/>
    <n v="541.55999999999995"/>
    <n v="0.16300000000000001"/>
    <n v="25"/>
    <n v="11332.142999999998"/>
    <n v="9456.5"/>
    <n v="1875.6429999999982"/>
    <n v="0.16551529573885526"/>
    <s v="Jan-2025"/>
    <d v="2025-01-01T00:00:00"/>
    <s v="Q1-2025"/>
    <s v="Europe → United Kingdom → London"/>
    <s v="Components"/>
    <s v="Low"/>
    <d v="2023-01-01T00:00:00"/>
    <n v="24"/>
  </r>
  <r>
    <s v="ORD-2025-898843"/>
    <s v="Original"/>
    <d v="2025-02-02T00:00:00"/>
    <d v="2025-03-04T00:00:00"/>
    <n v="30"/>
    <x v="3"/>
    <s v="Japan"/>
    <s v="Osaka"/>
    <s v="Education"/>
    <x v="0"/>
    <s v="L. Okafor"/>
    <x v="3"/>
    <x v="477"/>
    <n v="766.59"/>
    <n v="1912.8"/>
    <n v="0.19600000000000001"/>
    <n v="5"/>
    <n v="7689.4560000000001"/>
    <n v="3832.9500000000003"/>
    <n v="3856.5059999999999"/>
    <n v="0.50153170783472845"/>
    <s v="Feb-2025"/>
    <d v="2025-02-01T00:00:00"/>
    <s v="Q1-2025"/>
    <s v="Asia → Japan → Osaka"/>
    <s v="Accessories"/>
    <s v="High"/>
    <d v="2023-03-01T00:00:00"/>
    <n v="23"/>
  </r>
  <r>
    <s v="ORD-2025-964661"/>
    <s v="Original"/>
    <d v="2025-02-04T00:00:00"/>
    <d v="2025-02-25T00:00:00"/>
    <n v="21"/>
    <x v="2"/>
    <s v="United Kingdom"/>
    <s v="Birmingham"/>
    <s v="Corporate"/>
    <x v="4"/>
    <s v="D. Smith"/>
    <x v="5"/>
    <x v="478"/>
    <n v="1016.32"/>
    <n v="2253.42"/>
    <n v="5.5E-2"/>
    <n v="12"/>
    <n v="25553.782800000001"/>
    <n v="12195.84"/>
    <n v="13357.942800000001"/>
    <n v="0.52273837124419797"/>
    <s v="Feb-2025"/>
    <d v="2025-02-01T00:00:00"/>
    <s v="Q1-2025"/>
    <s v="Europe → United Kingdom → Birmingham"/>
    <s v="Monitors"/>
    <s v="High"/>
    <d v="2023-01-01T00:00:00"/>
    <n v="25"/>
  </r>
  <r>
    <s v="ORD-2025-659650"/>
    <s v="Original"/>
    <d v="2025-02-04T00:00:00"/>
    <d v="2025-02-08T00:00:00"/>
    <n v="4"/>
    <x v="2"/>
    <s v="United Kingdom"/>
    <s v="Manchester"/>
    <s v="Enterprise"/>
    <x v="4"/>
    <s v="L. Okafor"/>
    <x v="4"/>
    <x v="479"/>
    <n v="586.21"/>
    <n v="727.22"/>
    <n v="6.8000000000000005E-2"/>
    <n v="15"/>
    <n v="10166.535600000001"/>
    <n v="8793.1500000000015"/>
    <n v="1373.3855999999996"/>
    <n v="0.13508884973559721"/>
    <s v="Feb-2025"/>
    <d v="2025-02-01T00:00:00"/>
    <s v="Q1-2025"/>
    <s v="Europe → United Kingdom → Manchester"/>
    <s v="Networking"/>
    <s v="Low"/>
    <d v="2023-01-01T00:00:00"/>
    <n v="25"/>
  </r>
  <r>
    <s v="ORD-2025-915869"/>
    <s v="Original"/>
    <d v="2025-02-06T00:00:00"/>
    <d v="2025-02-15T00:00:00"/>
    <n v="9"/>
    <x v="0"/>
    <s v="Brazil"/>
    <s v="São Paulo"/>
    <s v="Non-Profit"/>
    <x v="0"/>
    <s v="F. Müller"/>
    <x v="4"/>
    <x v="480"/>
    <n v="837.39"/>
    <n v="1905.42"/>
    <n v="3.2000000000000001E-2"/>
    <n v="18"/>
    <n v="33200.038079999998"/>
    <n v="15073.02"/>
    <n v="18127.018079999998"/>
    <n v="0.54599389423350919"/>
    <s v="Feb-2025"/>
    <d v="2025-02-01T00:00:00"/>
    <s v="Q1-2025"/>
    <s v="Americas → Brazil → São Paulo"/>
    <s v="Networking"/>
    <s v="High"/>
    <d v="2023-01-01T00:00:00"/>
    <n v="25"/>
  </r>
  <r>
    <s v="ORD-2025-460466"/>
    <s v="Original"/>
    <d v="2025-02-07T00:00:00"/>
    <d v="2025-02-16T00:00:00"/>
    <n v="9"/>
    <x v="1"/>
    <s v="Nigeria"/>
    <s v="Lagos"/>
    <s v="Small Business"/>
    <x v="0"/>
    <s v="C. Otieno"/>
    <x v="1"/>
    <x v="481"/>
    <n v="90.68"/>
    <n v="118.17"/>
    <n v="0.13500000000000001"/>
    <n v="21"/>
    <n v="2146.5580500000001"/>
    <n v="1904.2800000000002"/>
    <n v="242.27804999999989"/>
    <n v="0.11286815653552899"/>
    <s v="Feb-2025"/>
    <d v="2025-02-01T00:00:00"/>
    <s v="Q1-2025"/>
    <s v="Africa → Nigeria → Lagos"/>
    <s v="Printers"/>
    <s v="Low"/>
    <d v="2023-01-01T00:00:00"/>
    <n v="25"/>
  </r>
  <r>
    <s v="ORD-2025-931538"/>
    <s v="Original"/>
    <d v="2025-02-09T00:00:00"/>
    <d v="2025-03-01T00:00:00"/>
    <n v="20"/>
    <x v="0"/>
    <s v="Brazil"/>
    <s v="São Paulo"/>
    <s v="Corporate"/>
    <x v="0"/>
    <s v="B. Chen"/>
    <x v="0"/>
    <x v="482"/>
    <n v="1154.6400000000001"/>
    <n v="2794.13"/>
    <n v="3.5000000000000003E-2"/>
    <n v="11"/>
    <n v="29659.68995"/>
    <n v="12701.04"/>
    <n v="16958.649949999999"/>
    <n v="0.57177435025749479"/>
    <s v="Feb-2025"/>
    <d v="2025-02-01T00:00:00"/>
    <s v="Q1-2025"/>
    <s v="Americas → Brazil → São Paulo"/>
    <s v="Laptops"/>
    <s v="High"/>
    <d v="2023-01-01T00:00:00"/>
    <n v="25"/>
  </r>
  <r>
    <s v="ORD-2025-650719"/>
    <s v="Original"/>
    <d v="2025-02-12T00:00:00"/>
    <d v="2025-02-28T00:00:00"/>
    <n v="16"/>
    <x v="0"/>
    <s v="Brazil"/>
    <s v="São Paulo"/>
    <s v="Non-Profit"/>
    <x v="2"/>
    <s v="B. Chen"/>
    <x v="5"/>
    <x v="483"/>
    <n v="414.95"/>
    <n v="1027.73"/>
    <n v="6.3E-2"/>
    <n v="8"/>
    <n v="7703.8640800000003"/>
    <n v="3319.6"/>
    <n v="4384.2640800000008"/>
    <n v="0.56909935513815568"/>
    <s v="Feb-2025"/>
    <d v="2025-02-01T00:00:00"/>
    <s v="Q1-2025"/>
    <s v="Americas → Brazil → São Paulo"/>
    <s v="Monitors"/>
    <s v="Medium"/>
    <d v="2023-01-01T00:00:00"/>
    <n v="25"/>
  </r>
  <r>
    <s v="ORD-2025-766923"/>
    <s v="Original"/>
    <d v="2025-02-15T00:00:00"/>
    <d v="2025-02-21T00:00:00"/>
    <n v="6"/>
    <x v="2"/>
    <s v="Germany"/>
    <s v="Frankfurt"/>
    <s v="Small Business"/>
    <x v="4"/>
    <s v="L. Okafor"/>
    <x v="3"/>
    <x v="484"/>
    <n v="815.83"/>
    <n v="1982.18"/>
    <n v="0.127"/>
    <n v="6"/>
    <n v="10382.65884"/>
    <n v="4894.9800000000005"/>
    <n v="5487.6788399999996"/>
    <n v="0.52854272923408507"/>
    <s v="Feb-2025"/>
    <d v="2025-02-01T00:00:00"/>
    <s v="Q1-2025"/>
    <s v="Europe → Germany → Frankfurt"/>
    <s v="Accessories"/>
    <s v="High"/>
    <d v="2023-01-01T00:00:00"/>
    <n v="25"/>
  </r>
  <r>
    <s v="ORD-2025-332931"/>
    <s v="Original"/>
    <d v="2025-02-15T00:00:00"/>
    <d v="2025-03-01T00:00:00"/>
    <n v="14"/>
    <x v="1"/>
    <s v="Kenya"/>
    <s v="Mombasa"/>
    <s v="Education"/>
    <x v="2"/>
    <s v="L. Okafor"/>
    <x v="3"/>
    <x v="485"/>
    <n v="1162.8599999999999"/>
    <n v="1447.68"/>
    <n v="8.6999999999999994E-2"/>
    <n v="12"/>
    <n v="15860.782080000001"/>
    <n v="13954.32"/>
    <n v="1906.4620800000012"/>
    <n v="0.12019975247021369"/>
    <s v="Feb-2025"/>
    <d v="2025-02-01T00:00:00"/>
    <s v="Q1-2025"/>
    <s v="Africa → Kenya → Mombasa"/>
    <s v="Accessories"/>
    <s v="Medium"/>
    <d v="2023-01-01T00:00:00"/>
    <n v="25"/>
  </r>
  <r>
    <s v="ORD-2025-281062"/>
    <s v="Original"/>
    <d v="2025-02-15T00:00:00"/>
    <d v="2025-02-27T00:00:00"/>
    <n v="12"/>
    <x v="2"/>
    <s v="France"/>
    <s v="Lyon"/>
    <s v="Non-Profit"/>
    <x v="2"/>
    <s v="K. Singh"/>
    <x v="3"/>
    <x v="486"/>
    <n v="1027.26"/>
    <n v="2200.41"/>
    <n v="8.7999999999999995E-2"/>
    <n v="6"/>
    <n v="12040.64352"/>
    <n v="6163.5599999999995"/>
    <n v="5877.0835200000001"/>
    <n v="0.48810377204822358"/>
    <s v="Feb-2025"/>
    <d v="2025-02-01T00:00:00"/>
    <s v="Q1-2025"/>
    <s v="Europe → France → Lyon"/>
    <s v="Accessories"/>
    <s v="High"/>
    <d v="2023-01-01T00:00:00"/>
    <n v="25"/>
  </r>
  <r>
    <s v="ORD-2025-337268"/>
    <s v="Original"/>
    <d v="2025-02-16T00:00:00"/>
    <d v="2025-03-17T00:00:00"/>
    <n v="29"/>
    <x v="2"/>
    <s v="Germany"/>
    <s v="Munich"/>
    <s v="Consumer"/>
    <x v="3"/>
    <s v="L. Okafor"/>
    <x v="3"/>
    <x v="487"/>
    <n v="730.42"/>
    <n v="956.7"/>
    <n v="4.2000000000000003E-2"/>
    <n v="22"/>
    <n v="20163.409200000002"/>
    <n v="16069.24"/>
    <n v="4094.1692000000021"/>
    <n v="0.20304945256975698"/>
    <s v="Feb-2025"/>
    <d v="2025-02-01T00:00:00"/>
    <s v="Q1-2025"/>
    <s v="Europe → Germany → Munich"/>
    <s v="Accessories"/>
    <s v="Medium"/>
    <d v="2023-01-01T00:00:00"/>
    <n v="25"/>
  </r>
  <r>
    <s v="ORD-2025-705398"/>
    <s v="Original"/>
    <d v="2025-02-17T00:00:00"/>
    <d v="2025-02-24T00:00:00"/>
    <n v="7"/>
    <x v="0"/>
    <s v="Canada"/>
    <s v="Toronto"/>
    <s v="Small Business"/>
    <x v="3"/>
    <s v="D. Smith"/>
    <x v="6"/>
    <x v="488"/>
    <n v="1133.47"/>
    <n v="1698.75"/>
    <n v="4.2999999999999997E-2"/>
    <n v="5"/>
    <n v="8128.5187499999993"/>
    <n v="5667.35"/>
    <n v="2461.1687499999989"/>
    <n v="0.30278194904821976"/>
    <s v="Feb-2025"/>
    <d v="2025-02-01T00:00:00"/>
    <s v="Q1-2025"/>
    <s v="Americas → Canada → Toronto"/>
    <s v="Components"/>
    <s v="High"/>
    <d v="2023-01-01T00:00:00"/>
    <n v="25"/>
  </r>
  <r>
    <s v="ORD-2025-484073"/>
    <s v="Original"/>
    <d v="2025-02-19T00:00:00"/>
    <d v="2025-03-09T00:00:00"/>
    <n v="18"/>
    <x v="3"/>
    <s v="India"/>
    <s v="Delhi"/>
    <s v="Small Business"/>
    <x v="2"/>
    <s v="O. Wang"/>
    <x v="5"/>
    <x v="489"/>
    <n v="325.87"/>
    <n v="538.79"/>
    <n v="0.17399999999999999"/>
    <n v="16"/>
    <n v="7120.6486400000003"/>
    <n v="5213.92"/>
    <n v="1906.7286400000003"/>
    <n v="0.26777457172778013"/>
    <s v="Feb-2025"/>
    <d v="2025-02-01T00:00:00"/>
    <s v="Q1-2025"/>
    <s v="Asia → India → Delhi"/>
    <s v="Monitors"/>
    <s v="Low"/>
    <d v="2023-02-01T00:00:00"/>
    <n v="24"/>
  </r>
  <r>
    <s v="ORD-2025-881624"/>
    <s v="Original"/>
    <d v="2025-02-21T00:00:00"/>
    <d v="2025-03-21T00:00:00"/>
    <n v="28"/>
    <x v="1"/>
    <s v="Nigeria"/>
    <s v="Abuja"/>
    <s v="Enterprise"/>
    <x v="4"/>
    <s v="I. Johnson"/>
    <x v="2"/>
    <x v="490"/>
    <n v="1437.39"/>
    <n v="1388.31"/>
    <n v="0.13800000000000001"/>
    <n v="18"/>
    <n v="21541.017959999997"/>
    <n v="25873.02"/>
    <n v="-4332.002040000003"/>
    <n v="-0.20110479681341872"/>
    <s v="Feb-2025"/>
    <d v="2025-02-01T00:00:00"/>
    <s v="Q1-2025"/>
    <s v="Africa → Nigeria → Abuja"/>
    <s v="Phones"/>
    <s v="Medium"/>
    <d v="2023-01-01T00:00:00"/>
    <n v="25"/>
  </r>
  <r>
    <s v="ORD-2025-276968"/>
    <s v="Original"/>
    <d v="2025-02-25T00:00:00"/>
    <d v="2025-03-17T00:00:00"/>
    <n v="20"/>
    <x v="0"/>
    <s v="USA"/>
    <s v="San Francisco"/>
    <s v="Non-Profit"/>
    <x v="4"/>
    <s v="H. Kim"/>
    <x v="2"/>
    <x v="491"/>
    <n v="1205.26"/>
    <n v="1696.35"/>
    <n v="1.9E-2"/>
    <n v="6"/>
    <n v="9984.7160999999978"/>
    <n v="7231.5599999999995"/>
    <n v="2753.1560999999983"/>
    <n v="0.27573704374028213"/>
    <s v="Feb-2025"/>
    <d v="2025-02-01T00:00:00"/>
    <s v="Q1-2025"/>
    <s v="Americas → USA → San Francisco"/>
    <s v="Phones"/>
    <s v="High"/>
    <d v="2023-01-01T00:00:00"/>
    <n v="25"/>
  </r>
  <r>
    <s v="ORD-2025-728935"/>
    <s v="Original"/>
    <d v="2025-02-28T00:00:00"/>
    <d v="2025-03-10T00:00:00"/>
    <n v="10"/>
    <x v="3"/>
    <s v="Japan"/>
    <s v="Osaka"/>
    <s v="Education"/>
    <x v="0"/>
    <s v="N. Brown"/>
    <x v="0"/>
    <x v="492"/>
    <n v="51.86"/>
    <n v="45.98"/>
    <n v="0.17299999999999999"/>
    <n v="7"/>
    <n v="266.17821999999995"/>
    <n v="363.02"/>
    <n v="-96.841780000000028"/>
    <n v="-0.3638230806412337"/>
    <s v="Feb-2025"/>
    <d v="2025-02-01T00:00:00"/>
    <s v="Q1-2025"/>
    <s v="Asia → Japan → Osaka"/>
    <s v="Laptops"/>
    <s v="Low"/>
    <d v="2023-03-01T00:00:00"/>
    <n v="23"/>
  </r>
  <r>
    <s v="ORD-2025-501927"/>
    <s v="Original"/>
    <d v="2025-03-03T00:00:00"/>
    <d v="2025-03-24T00:00:00"/>
    <n v="21"/>
    <x v="1"/>
    <s v="Nigeria"/>
    <s v="Abuja"/>
    <s v="Enterprise"/>
    <x v="2"/>
    <s v="H. Kim"/>
    <x v="3"/>
    <x v="493"/>
    <n v="555.95000000000005"/>
    <n v="468.09"/>
    <n v="0.14199999999999999"/>
    <n v="11"/>
    <n v="4417.8334199999999"/>
    <n v="6115.4500000000007"/>
    <n v="-1697.6165800000008"/>
    <n v="-0.38426450674095375"/>
    <s v="Mar-2025"/>
    <d v="2025-03-01T00:00:00"/>
    <s v="Q1-2025"/>
    <s v="Africa → Nigeria → Abuja"/>
    <s v="Accessories"/>
    <s v="Low"/>
    <d v="2023-01-01T00:00:00"/>
    <n v="26"/>
  </r>
  <r>
    <s v="ORD-2025-487261"/>
    <s v="Original"/>
    <d v="2025-03-06T00:00:00"/>
    <d v="2025-03-31T00:00:00"/>
    <n v="25"/>
    <x v="0"/>
    <s v="Brazil"/>
    <s v="Brasília"/>
    <s v="Non-Profit"/>
    <x v="1"/>
    <s v="J. Njeri"/>
    <x v="6"/>
    <x v="494"/>
    <n v="331.57"/>
    <n v="548.4"/>
    <n v="9.4E-2"/>
    <n v="10"/>
    <n v="4968.5039999999999"/>
    <n v="3315.7"/>
    <n v="1652.8040000000001"/>
    <n v="0.33265626836568918"/>
    <s v="Mar-2025"/>
    <d v="2025-03-01T00:00:00"/>
    <s v="Q1-2025"/>
    <s v="Americas → Brazil → Brasília"/>
    <s v="Components"/>
    <s v="Low"/>
    <d v="2023-01-01T00:00:00"/>
    <n v="26"/>
  </r>
  <r>
    <s v="ORD-2025-512310"/>
    <s v="Original"/>
    <d v="2025-03-08T00:00:00"/>
    <d v="2025-03-15T00:00:00"/>
    <n v="7"/>
    <x v="3"/>
    <s v="India"/>
    <s v="Bengaluru"/>
    <s v="Corporate"/>
    <x v="0"/>
    <s v="K. Singh"/>
    <x v="0"/>
    <x v="495"/>
    <n v="475.66"/>
    <n v="529.14"/>
    <n v="0.19600000000000001"/>
    <n v="11"/>
    <n v="4679.7141600000004"/>
    <n v="5232.26"/>
    <n v="-552.54583999999977"/>
    <n v="-0.11807256193613323"/>
    <s v="Mar-2025"/>
    <d v="2025-03-01T00:00:00"/>
    <s v="Q1-2025"/>
    <s v="Asia → India → Bengaluru"/>
    <s v="Laptops"/>
    <s v="Low"/>
    <d v="2023-02-01T00:00:00"/>
    <n v="25"/>
  </r>
  <r>
    <s v="ORD-2025-680118"/>
    <s v="Original"/>
    <d v="2025-03-10T00:00:00"/>
    <d v="2025-03-27T00:00:00"/>
    <n v="17"/>
    <x v="0"/>
    <s v="Brazil"/>
    <s v="Rio de Janeiro"/>
    <s v="Enterprise"/>
    <x v="2"/>
    <s v="F. Müller"/>
    <x v="4"/>
    <x v="496"/>
    <n v="996.73"/>
    <n v="1217.43"/>
    <n v="7.0000000000000007E-2"/>
    <n v="9"/>
    <n v="10189.8891"/>
    <n v="8970.57"/>
    <n v="1219.3191000000006"/>
    <n v="0.11965970267527255"/>
    <s v="Mar-2025"/>
    <d v="2025-03-01T00:00:00"/>
    <s v="Q1-2025"/>
    <s v="Americas → Brazil → Rio de Janeiro"/>
    <s v="Networking"/>
    <s v="Medium"/>
    <d v="2023-01-01T00:00:00"/>
    <n v="26"/>
  </r>
  <r>
    <s v="ORD-2025-683247"/>
    <s v="Original"/>
    <d v="2025-03-10T00:00:00"/>
    <d v="2025-04-04T00:00:00"/>
    <n v="25"/>
    <x v="3"/>
    <s v="Japan"/>
    <s v="Osaka"/>
    <s v="Corporate"/>
    <x v="2"/>
    <s v="H. Kim"/>
    <x v="1"/>
    <x v="497"/>
    <n v="783.72"/>
    <n v="1355.94"/>
    <n v="0.187"/>
    <n v="4"/>
    <n v="4409.5168800000001"/>
    <n v="3134.88"/>
    <n v="1274.63688"/>
    <n v="0.28906497348525856"/>
    <s v="Mar-2025"/>
    <d v="2025-03-01T00:00:00"/>
    <s v="Q1-2025"/>
    <s v="Asia → Japan → Osaka"/>
    <s v="Printers"/>
    <s v="Medium"/>
    <d v="2023-03-01T00:00:00"/>
    <n v="24"/>
  </r>
  <r>
    <s v="ORD-2025-926547"/>
    <s v="Original"/>
    <d v="2025-03-11T00:00:00"/>
    <d v="2025-03-26T00:00:00"/>
    <n v="15"/>
    <x v="2"/>
    <s v="Germany"/>
    <s v="Berlin"/>
    <s v="Small Business"/>
    <x v="1"/>
    <s v="I. Johnson"/>
    <x v="2"/>
    <x v="498"/>
    <n v="116.97"/>
    <n v="140.82"/>
    <n v="0.122"/>
    <n v="5"/>
    <n v="618.19979999999987"/>
    <n v="584.85"/>
    <n v="33.349799999999846"/>
    <n v="5.3946636669891926E-2"/>
    <s v="Mar-2025"/>
    <d v="2025-03-01T00:00:00"/>
    <s v="Q1-2025"/>
    <s v="Europe → Germany → Berlin"/>
    <s v="Phones"/>
    <s v="Low"/>
    <d v="2023-01-01T00:00:00"/>
    <n v="26"/>
  </r>
  <r>
    <s v="ORD-2025-532859"/>
    <s v="Original"/>
    <d v="2025-03-11T00:00:00"/>
    <d v="2025-03-27T00:00:00"/>
    <n v="16"/>
    <x v="3"/>
    <s v="Japan"/>
    <s v="Tokyo"/>
    <s v="Enterprise"/>
    <x v="0"/>
    <s v="B. Chen"/>
    <x v="1"/>
    <x v="499"/>
    <n v="1317.58"/>
    <n v="1897.74"/>
    <n v="8.1000000000000003E-2"/>
    <n v="6"/>
    <n v="10464.138360000001"/>
    <n v="7905.48"/>
    <n v="2558.6583600000013"/>
    <n v="0.24451687009230266"/>
    <s v="Mar-2025"/>
    <d v="2025-03-01T00:00:00"/>
    <s v="Q1-2025"/>
    <s v="Asia → Japan → Tokyo"/>
    <s v="Printers"/>
    <s v="High"/>
    <d v="2023-03-01T00:00:00"/>
    <n v="24"/>
  </r>
  <r>
    <s v="ORD-2025-685236"/>
    <s v="Original"/>
    <d v="2025-03-14T00:00:00"/>
    <d v="2025-03-29T00:00:00"/>
    <n v="15"/>
    <x v="3"/>
    <s v="Japan"/>
    <s v="Tokyo"/>
    <s v="Non-Profit"/>
    <x v="2"/>
    <s v="H. Kim"/>
    <x v="4"/>
    <x v="500"/>
    <n v="1106.96"/>
    <n v="2726.62"/>
    <n v="0.3"/>
    <n v="7"/>
    <n v="13360.438"/>
    <n v="7748.72"/>
    <n v="5611.7179999999998"/>
    <n v="0.42002500217432992"/>
    <s v="Mar-2025"/>
    <d v="2025-03-01T00:00:00"/>
    <s v="Q1-2025"/>
    <s v="Asia → Japan → Tokyo"/>
    <s v="Networking"/>
    <s v="High"/>
    <d v="2023-03-01T00:00:00"/>
    <n v="24"/>
  </r>
  <r>
    <s v="ORD-2025-222035"/>
    <s v="Original"/>
    <d v="2025-03-14T00:00:00"/>
    <d v="2025-04-08T00:00:00"/>
    <n v="25"/>
    <x v="3"/>
    <s v="China"/>
    <s v="Unknown"/>
    <s v="Corporate"/>
    <x v="0"/>
    <s v="D. Smith"/>
    <x v="1"/>
    <x v="501"/>
    <n v="80.59"/>
    <n v="157.82"/>
    <n v="0.217"/>
    <n v="6"/>
    <n v="741.43835999999999"/>
    <n v="483.54"/>
    <n v="257.89835999999997"/>
    <n v="0.34783519967863541"/>
    <s v="Mar-2025"/>
    <d v="2025-03-01T00:00:00"/>
    <s v="Q1-2025"/>
    <s v="Asia → China → Unknown"/>
    <s v="Printers"/>
    <s v="Low"/>
    <d v="2023-01-01T00:00:00"/>
    <n v="26"/>
  </r>
  <r>
    <s v="ORD-2025-624006"/>
    <s v="Original"/>
    <d v="2025-03-15T00:00:00"/>
    <d v="2025-03-29T00:00:00"/>
    <n v="14"/>
    <x v="3"/>
    <s v="India"/>
    <s v="Mumbai"/>
    <s v="Enterprise"/>
    <x v="2"/>
    <s v="C. Otieno"/>
    <x v="6"/>
    <x v="502"/>
    <n v="935.83"/>
    <n v="2303.46"/>
    <n v="0.105"/>
    <n v="9"/>
    <n v="18554.370299999999"/>
    <n v="8422.4700000000012"/>
    <n v="10131.900299999998"/>
    <n v="0.54606543559174292"/>
    <s v="Mar-2025"/>
    <d v="2025-03-01T00:00:00"/>
    <s v="Q1-2025"/>
    <s v="Asia → India → Mumbai"/>
    <s v="Components"/>
    <s v="High"/>
    <d v="2023-02-01T00:00:00"/>
    <n v="25"/>
  </r>
  <r>
    <s v="ORD-2025-125517"/>
    <s v="Original"/>
    <d v="2025-03-21T00:00:00"/>
    <d v="2025-04-09T00:00:00"/>
    <n v="19"/>
    <x v="3"/>
    <s v="Japan"/>
    <s v="Tokyo"/>
    <s v="Small Business"/>
    <x v="0"/>
    <s v="E. Garcia"/>
    <x v="6"/>
    <x v="503"/>
    <n v="1055.45"/>
    <n v="1210.04"/>
    <n v="8.9999999999999993E-3"/>
    <n v="18"/>
    <n v="21584.693520000001"/>
    <n v="18998.100000000002"/>
    <n v="2586.5935199999985"/>
    <n v="0.1198346188053727"/>
    <s v="Mar-2025"/>
    <d v="2025-03-01T00:00:00"/>
    <s v="Q1-2025"/>
    <s v="Asia → Japan → Tokyo"/>
    <s v="Components"/>
    <s v="Medium"/>
    <d v="2023-03-01T00:00:00"/>
    <n v="24"/>
  </r>
  <r>
    <s v="ORD-2025-947929"/>
    <s v="Original"/>
    <d v="2025-03-23T00:00:00"/>
    <d v="2025-04-02T00:00:00"/>
    <n v="10"/>
    <x v="2"/>
    <s v="Germany"/>
    <s v="Berlin"/>
    <s v="Enterprise"/>
    <x v="1"/>
    <s v="E. Garcia"/>
    <x v="1"/>
    <x v="504"/>
    <n v="663.61"/>
    <n v="1002.11"/>
    <n v="4.5999999999999999E-2"/>
    <n v="17"/>
    <n v="16252.219979999998"/>
    <n v="11281.37"/>
    <n v="4970.8499799999972"/>
    <n v="0.30585667595670812"/>
    <s v="Mar-2025"/>
    <d v="2025-03-01T00:00:00"/>
    <s v="Q1-2025"/>
    <s v="Europe → Germany → Berlin"/>
    <s v="Printers"/>
    <s v="Medium"/>
    <d v="2023-01-01T00:00:00"/>
    <n v="26"/>
  </r>
  <r>
    <s v="ORD-2025-331237"/>
    <s v="Original"/>
    <d v="2025-03-24T00:00:00"/>
    <d v="2025-03-25T00:00:00"/>
    <n v="1"/>
    <x v="3"/>
    <s v="China"/>
    <s v="Beijing"/>
    <s v="Non-Profit"/>
    <x v="1"/>
    <s v="G. Dubois"/>
    <x v="4"/>
    <x v="505"/>
    <n v="1133.03"/>
    <n v="1921.51"/>
    <n v="0.10100000000000001"/>
    <n v="5"/>
    <n v="8637.1874499999994"/>
    <n v="5665.15"/>
    <n v="2972.0374499999998"/>
    <n v="0.3440978289755654"/>
    <s v="Mar-2025"/>
    <d v="2025-03-01T00:00:00"/>
    <s v="Q1-2025"/>
    <s v="Asia → China → Beijing"/>
    <s v="Networking"/>
    <s v="High"/>
    <d v="2023-01-01T00:00:00"/>
    <n v="26"/>
  </r>
  <r>
    <s v="ORD-2025-177994"/>
    <s v="Original"/>
    <d v="2025-03-24T00:00:00"/>
    <d v="2025-04-04T00:00:00"/>
    <n v="11"/>
    <x v="3"/>
    <s v="India"/>
    <s v="Mumbai"/>
    <s v="Education"/>
    <x v="4"/>
    <s v="J. Njeri"/>
    <x v="2"/>
    <x v="506"/>
    <n v="23.83"/>
    <n v="47.29"/>
    <n v="6.4000000000000001E-2"/>
    <n v="19"/>
    <n v="841.00536"/>
    <n v="452.77"/>
    <n v="388.23536000000001"/>
    <n v="0.46163244429262618"/>
    <s v="Mar-2025"/>
    <d v="2025-03-01T00:00:00"/>
    <s v="Q1-2025"/>
    <s v="Asia → India → Mumbai"/>
    <s v="Phones"/>
    <s v="Low"/>
    <d v="2023-02-01T00:00:00"/>
    <n v="25"/>
  </r>
  <r>
    <s v="ORD-2025-330203"/>
    <s v="Original"/>
    <d v="2025-03-25T00:00:00"/>
    <d v="2025-04-17T00:00:00"/>
    <n v="23"/>
    <x v="2"/>
    <s v="United Kingdom"/>
    <s v="London"/>
    <s v="Consumer"/>
    <x v="3"/>
    <s v="H. Kim"/>
    <x v="4"/>
    <x v="507"/>
    <n v="1421.19"/>
    <n v="1808.26"/>
    <n v="0.104"/>
    <n v="13"/>
    <n v="21062.61248"/>
    <n v="18475.47"/>
    <n v="2587.1424799999986"/>
    <n v="0.12283103449093123"/>
    <s v="Mar-2025"/>
    <d v="2025-03-01T00:00:00"/>
    <s v="Q1-2025"/>
    <s v="Europe → United Kingdom → London"/>
    <s v="Networking"/>
    <s v="High"/>
    <d v="2023-01-01T00:00:00"/>
    <n v="26"/>
  </r>
  <r>
    <s v="ORD-2025-944081"/>
    <s v="Original"/>
    <d v="2025-03-25T00:00:00"/>
    <d v="2025-03-26T00:00:00"/>
    <n v="1"/>
    <x v="1"/>
    <s v="Nigeria"/>
    <s v="Lagos"/>
    <s v="Education"/>
    <x v="0"/>
    <s v="G. Dubois"/>
    <x v="3"/>
    <x v="508"/>
    <n v="1450.43"/>
    <n v="1994.67"/>
    <n v="0.1"/>
    <n v="24"/>
    <n v="43084.872000000003"/>
    <n v="34810.32"/>
    <n v="8274.5520000000033"/>
    <n v="0.19205237513529116"/>
    <s v="Mar-2025"/>
    <d v="2025-03-01T00:00:00"/>
    <s v="Q1-2025"/>
    <s v="Africa → Nigeria → Lagos"/>
    <s v="Accessories"/>
    <s v="High"/>
    <d v="2023-01-01T00:00:00"/>
    <n v="26"/>
  </r>
  <r>
    <s v="ORD-2025-168148"/>
    <s v="Original"/>
    <d v="2025-03-29T00:00:00"/>
    <d v="2025-04-02T00:00:00"/>
    <n v="4"/>
    <x v="1"/>
    <s v="Nigeria"/>
    <s v="Lagos"/>
    <s v="Non-Profit"/>
    <x v="4"/>
    <s v="G. Dubois"/>
    <x v="2"/>
    <x v="509"/>
    <n v="259.93"/>
    <n v="255.94"/>
    <n v="7.1999999999999995E-2"/>
    <n v="22"/>
    <n v="5225.2710400000005"/>
    <n v="5718.46"/>
    <n v="-493.1889599999995"/>
    <n v="-9.4385335463861311E-2"/>
    <s v="Mar-2025"/>
    <d v="2025-03-01T00:00:00"/>
    <s v="Q1-2025"/>
    <s v="Africa → Nigeria → Lagos"/>
    <s v="Phones"/>
    <s v="Low"/>
    <d v="2023-01-01T00:00:00"/>
    <n v="26"/>
  </r>
  <r>
    <s v="ORD-2025-752845"/>
    <s v="Original"/>
    <d v="2025-03-30T00:00:00"/>
    <d v="2025-04-07T00:00:00"/>
    <n v="8"/>
    <x v="0"/>
    <s v="Brazil"/>
    <s v="São Paulo"/>
    <s v="Non-Profit"/>
    <x v="2"/>
    <s v="L. Okafor"/>
    <x v="1"/>
    <x v="510"/>
    <n v="71.62"/>
    <n v="118.37"/>
    <n v="0.156"/>
    <n v="11"/>
    <n v="1098.9470800000001"/>
    <n v="787.82"/>
    <n v="311.12708000000009"/>
    <n v="0.28311379652603474"/>
    <s v="Mar-2025"/>
    <d v="2025-03-01T00:00:00"/>
    <s v="Q1-2025"/>
    <s v="Americas → Brazil → São Paulo"/>
    <s v="Printers"/>
    <s v="Low"/>
    <d v="2023-01-01T00:00:00"/>
    <n v="26"/>
  </r>
  <r>
    <s v="ORD-2025-473192"/>
    <s v="Original"/>
    <d v="2025-03-30T00:00:00"/>
    <d v="2025-04-29T00:00:00"/>
    <n v="30"/>
    <x v="1"/>
    <s v="South Africa"/>
    <s v="Durban"/>
    <s v="Consumer"/>
    <x v="4"/>
    <s v="J. Njeri"/>
    <x v="5"/>
    <x v="511"/>
    <n v="194.6"/>
    <n v="314.87"/>
    <n v="0.29299999999999998"/>
    <n v="25"/>
    <n v="5565.3272500000003"/>
    <n v="4865"/>
    <n v="700.32725000000028"/>
    <n v="0.1258375686712763"/>
    <s v="Mar-2025"/>
    <d v="2025-03-01T00:00:00"/>
    <s v="Q1-2025"/>
    <s v="Africa → South Africa → Durban"/>
    <s v="Monitors"/>
    <s v="Low"/>
    <d v="2023-01-01T00:00:00"/>
    <n v="26"/>
  </r>
  <r>
    <s v="ORD-2025-662997"/>
    <s v="Original"/>
    <d v="2025-03-31T00:00:00"/>
    <d v="2025-04-04T00:00:00"/>
    <n v="4"/>
    <x v="1"/>
    <s v="Kenya"/>
    <s v="Nakuru"/>
    <s v="Corporate"/>
    <x v="2"/>
    <s v="C. Otieno"/>
    <x v="0"/>
    <x v="512"/>
    <n v="862.08"/>
    <n v="1952.83"/>
    <n v="0"/>
    <n v="7"/>
    <n v="13669.81"/>
    <n v="6034.56"/>
    <n v="7635.2499999999991"/>
    <n v="0.5585483631447693"/>
    <s v="Mar-2025"/>
    <d v="2025-03-01T00:00:00"/>
    <s v="Q1-2025"/>
    <s v="Africa → Kenya → Nakuru"/>
    <s v="Laptops"/>
    <s v="High"/>
    <d v="2023-01-01T00:00:00"/>
    <n v="26"/>
  </r>
  <r>
    <s v="ORD-2025-861401"/>
    <s v="Original"/>
    <d v="2025-04-01T00:00:00"/>
    <d v="2025-04-27T00:00:00"/>
    <n v="26"/>
    <x v="0"/>
    <s v="USA"/>
    <s v="San Francisco"/>
    <s v="Corporate"/>
    <x v="2"/>
    <s v="I. Johnson"/>
    <x v="5"/>
    <x v="513"/>
    <n v="156.55000000000001"/>
    <n v="227.45"/>
    <n v="1.4E-2"/>
    <n v="13"/>
    <n v="2915.4540999999999"/>
    <n v="2035.15"/>
    <n v="880.30409999999983"/>
    <n v="0.3019440779396938"/>
    <s v="Apr-2025"/>
    <d v="2025-04-01T00:00:00"/>
    <s v="Q2-2025"/>
    <s v="Americas → USA → San Francisco"/>
    <s v="Monitors"/>
    <s v="Low"/>
    <d v="2023-01-01T00:00:00"/>
    <n v="27"/>
  </r>
  <r>
    <s v="ORD-2025-541048"/>
    <s v="Original"/>
    <d v="2025-04-04T00:00:00"/>
    <d v="2025-04-13T00:00:00"/>
    <n v="9"/>
    <x v="2"/>
    <s v="Germany"/>
    <s v="Munich"/>
    <s v="Consumer"/>
    <x v="4"/>
    <s v="F. Müller"/>
    <x v="2"/>
    <x v="514"/>
    <n v="7.02"/>
    <n v="6.28"/>
    <n v="0.13400000000000001"/>
    <n v="14"/>
    <n v="76.138720000000006"/>
    <n v="98.28"/>
    <n v="-22.141279999999995"/>
    <n v="-0.29080184169106066"/>
    <s v="Apr-2025"/>
    <d v="2025-04-01T00:00:00"/>
    <s v="Q2-2025"/>
    <s v="Europe → Germany → Munich"/>
    <s v="Phones"/>
    <s v="Low"/>
    <d v="2023-01-01T00:00:00"/>
    <n v="27"/>
  </r>
  <r>
    <s v="ORD-2025-269934"/>
    <s v="Original"/>
    <d v="2025-04-04T00:00:00"/>
    <d v="2025-04-10T00:00:00"/>
    <n v="6"/>
    <x v="2"/>
    <s v="United Kingdom"/>
    <s v="Birmingham"/>
    <s v="Non-Profit"/>
    <x v="2"/>
    <s v="N. Brown"/>
    <x v="1"/>
    <x v="515"/>
    <n v="290.14"/>
    <n v="250.73"/>
    <n v="3.4000000000000002E-2"/>
    <n v="17"/>
    <n v="4117.4880599999997"/>
    <n v="4932.38"/>
    <n v="-814.89194000000043"/>
    <n v="-0.19790997038131072"/>
    <s v="Apr-2025"/>
    <d v="2025-04-01T00:00:00"/>
    <s v="Q2-2025"/>
    <s v="Europe → United Kingdom → Birmingham"/>
    <s v="Printers"/>
    <s v="Low"/>
    <d v="2023-01-01T00:00:00"/>
    <n v="27"/>
  </r>
  <r>
    <s v="ORD-2025-765220"/>
    <s v="Original"/>
    <d v="2025-04-06T00:00:00"/>
    <d v="2025-04-30T00:00:00"/>
    <n v="24"/>
    <x v="0"/>
    <s v="Brazil"/>
    <s v="Brasília"/>
    <s v="Education"/>
    <x v="1"/>
    <s v="K. Singh"/>
    <x v="5"/>
    <x v="516"/>
    <n v="855.78"/>
    <n v="977.38"/>
    <n v="0.14699999999999999"/>
    <n v="38"/>
    <n v="31680.795320000001"/>
    <n v="32519.64"/>
    <n v="-838.84467999999833"/>
    <n v="-2.6478018355506307E-2"/>
    <s v="Apr-2025"/>
    <d v="2025-04-01T00:00:00"/>
    <s v="Q2-2025"/>
    <s v="Americas → Brazil → Brasília"/>
    <s v="Monitors"/>
    <s v="Medium"/>
    <d v="2023-01-01T00:00:00"/>
    <n v="27"/>
  </r>
  <r>
    <s v="ORD-2025-548982"/>
    <s v="Original"/>
    <d v="2025-04-07T00:00:00"/>
    <d v="2025-04-11T00:00:00"/>
    <n v="4"/>
    <x v="2"/>
    <s v="France"/>
    <s v="Lyon"/>
    <s v="Education"/>
    <x v="3"/>
    <s v="E. Garcia"/>
    <x v="4"/>
    <x v="517"/>
    <n v="754.77"/>
    <n v="1666.18"/>
    <n v="0.13900000000000001"/>
    <n v="14"/>
    <n v="20084.133720000002"/>
    <n v="10566.779999999999"/>
    <n v="9517.3537200000028"/>
    <n v="0.47387424584424653"/>
    <s v="Apr-2025"/>
    <d v="2025-04-01T00:00:00"/>
    <s v="Q2-2025"/>
    <s v="Europe → France → Lyon"/>
    <s v="Networking"/>
    <s v="High"/>
    <d v="2023-01-01T00:00:00"/>
    <n v="27"/>
  </r>
  <r>
    <s v="ORD-2025-640677"/>
    <s v="Original"/>
    <d v="2025-04-09T00:00:00"/>
    <d v="2025-05-06T00:00:00"/>
    <n v="27"/>
    <x v="0"/>
    <s v="Brazil"/>
    <s v="Brasília"/>
    <s v="Enterprise"/>
    <x v="4"/>
    <s v="F. Müller"/>
    <x v="0"/>
    <x v="518"/>
    <n v="264.19"/>
    <n v="620.92999999999995"/>
    <n v="0.14199999999999999"/>
    <n v="12"/>
    <n v="6393.0952799999995"/>
    <n v="3170.2799999999997"/>
    <n v="3222.8152799999998"/>
    <n v="0.50410875152794532"/>
    <s v="Apr-2025"/>
    <d v="2025-04-01T00:00:00"/>
    <s v="Q2-2025"/>
    <s v="Americas → Brazil → Brasília"/>
    <s v="Laptops"/>
    <s v="Low"/>
    <d v="2023-01-01T00:00:00"/>
    <n v="27"/>
  </r>
  <r>
    <s v="ORD-2025-138578"/>
    <s v="Original"/>
    <d v="2025-04-09T00:00:00"/>
    <d v="2025-04-12T00:00:00"/>
    <n v="3"/>
    <x v="2"/>
    <s v="France"/>
    <s v="Lyon"/>
    <s v="Small Business"/>
    <x v="0"/>
    <s v="H. Kim"/>
    <x v="5"/>
    <x v="519"/>
    <n v="86.68"/>
    <n v="213.32"/>
    <n v="3.7999999999999999E-2"/>
    <n v="8"/>
    <n v="1641.7107199999998"/>
    <n v="693.44"/>
    <n v="948.27071999999976"/>
    <n v="0.57761133459614611"/>
    <s v="Apr-2025"/>
    <d v="2025-04-01T00:00:00"/>
    <s v="Q2-2025"/>
    <s v="Europe → France → Lyon"/>
    <s v="Monitors"/>
    <s v="Low"/>
    <d v="2023-01-01T00:00:00"/>
    <n v="27"/>
  </r>
  <r>
    <s v="ORD-2025-306251"/>
    <s v="Original"/>
    <d v="2025-04-10T00:00:00"/>
    <d v="2025-04-19T00:00:00"/>
    <n v="9"/>
    <x v="1"/>
    <s v="South Africa"/>
    <s v="Durban"/>
    <s v="Enterprise"/>
    <x v="5"/>
    <s v="G. Dubois"/>
    <x v="4"/>
    <x v="520"/>
    <n v="113.74"/>
    <n v="165.7"/>
    <n v="0.124"/>
    <n v="13"/>
    <n v="1886.9915999999998"/>
    <n v="1478.62"/>
    <n v="408.37159999999994"/>
    <n v="0.21641410592394794"/>
    <s v="Apr-2025"/>
    <d v="2025-04-01T00:00:00"/>
    <s v="Q2-2025"/>
    <s v="Africa → South Africa → Durban"/>
    <s v="Networking"/>
    <s v="Low"/>
    <d v="2023-01-01T00:00:00"/>
    <n v="27"/>
  </r>
  <r>
    <s v="ORD-2025-487025"/>
    <s v="Original"/>
    <d v="2025-04-11T00:00:00"/>
    <d v="2025-05-04T00:00:00"/>
    <n v="23"/>
    <x v="3"/>
    <s v="Japan"/>
    <s v="Osaka"/>
    <s v="Small Business"/>
    <x v="1"/>
    <s v="M. Rossi"/>
    <x v="6"/>
    <x v="521"/>
    <n v="786.2"/>
    <n v="1075.3"/>
    <n v="0.08"/>
    <n v="9"/>
    <n v="8903.4839999999986"/>
    <n v="7075.8"/>
    <n v="1827.6839999999984"/>
    <n v="0.20527739478163815"/>
    <s v="Apr-2025"/>
    <d v="2025-04-01T00:00:00"/>
    <s v="Q2-2025"/>
    <s v="Asia → Japan → Osaka"/>
    <s v="Components"/>
    <s v="Medium"/>
    <d v="2023-03-01T00:00:00"/>
    <n v="25"/>
  </r>
  <r>
    <s v="ORD-2025-608069"/>
    <s v="Original"/>
    <d v="2025-04-12T00:00:00"/>
    <d v="2025-04-30T00:00:00"/>
    <n v="18"/>
    <x v="1"/>
    <s v="Kenya"/>
    <s v="Kisumu"/>
    <s v="Corporate"/>
    <x v="4"/>
    <s v="F. Müller"/>
    <x v="4"/>
    <x v="522"/>
    <n v="1119.04"/>
    <n v="1299.02"/>
    <n v="2.5000000000000001E-2"/>
    <n v="14"/>
    <n v="17731.623"/>
    <n v="15666.56"/>
    <n v="2065.0630000000001"/>
    <n v="0.11646215352085933"/>
    <s v="Apr-2025"/>
    <d v="2025-04-01T00:00:00"/>
    <s v="Q2-2025"/>
    <s v="Africa → Kenya → Kisumu"/>
    <s v="Networking"/>
    <s v="Medium"/>
    <d v="2023-01-01T00:00:00"/>
    <n v="27"/>
  </r>
  <r>
    <s v="ORD-2025-169093"/>
    <s v="Original"/>
    <d v="2025-04-13T00:00:00"/>
    <d v="2025-04-14T00:00:00"/>
    <n v="1"/>
    <x v="3"/>
    <s v="Japan"/>
    <s v="Osaka"/>
    <s v="Enterprise"/>
    <x v="1"/>
    <s v="G. Dubois"/>
    <x v="6"/>
    <x v="523"/>
    <n v="138.9"/>
    <n v="289.92"/>
    <n v="2.9000000000000001E-2"/>
    <n v="12"/>
    <n v="3378.1478400000001"/>
    <n v="1666.8000000000002"/>
    <n v="1711.3478399999999"/>
    <n v="0.50659353025828491"/>
    <s v="Apr-2025"/>
    <d v="2025-04-01T00:00:00"/>
    <s v="Q2-2025"/>
    <s v="Asia → Japan → Osaka"/>
    <s v="Components"/>
    <s v="Low"/>
    <d v="2023-03-01T00:00:00"/>
    <n v="25"/>
  </r>
  <r>
    <s v="ORD-2025-845715"/>
    <s v="Original"/>
    <d v="2025-04-14T00:00:00"/>
    <d v="2025-05-04T00:00:00"/>
    <n v="20"/>
    <x v="2"/>
    <s v="United Kingdom"/>
    <s v="Birmingham"/>
    <s v="Enterprise"/>
    <x v="4"/>
    <s v="K. Singh"/>
    <x v="5"/>
    <x v="524"/>
    <n v="1413.87"/>
    <n v="3275"/>
    <n v="0.255"/>
    <n v="38"/>
    <n v="92715.25"/>
    <n v="53727.06"/>
    <n v="38988.19"/>
    <n v="0.42051539525590453"/>
    <s v="Apr-2025"/>
    <d v="2025-04-01T00:00:00"/>
    <s v="Q2-2025"/>
    <s v="Europe → United Kingdom → Birmingham"/>
    <s v="Monitors"/>
    <s v="High"/>
    <d v="2023-01-01T00:00:00"/>
    <n v="27"/>
  </r>
  <r>
    <s v="ORD-2025-246470"/>
    <s v="Original"/>
    <d v="2025-04-16T00:00:00"/>
    <d v="2025-05-16T00:00:00"/>
    <n v="30"/>
    <x v="0"/>
    <s v="Canada"/>
    <s v="Montreal"/>
    <s v="Enterprise"/>
    <x v="0"/>
    <s v="K. Singh"/>
    <x v="1"/>
    <x v="525"/>
    <n v="763.32"/>
    <n v="568.29"/>
    <n v="0.13100000000000001"/>
    <n v="16"/>
    <n v="7901.5041599999995"/>
    <n v="12213.12"/>
    <n v="-4311.6158400000013"/>
    <n v="-0.54567026134426555"/>
    <s v="Apr-2025"/>
    <d v="2025-04-01T00:00:00"/>
    <s v="Q2-2025"/>
    <s v="Americas → Canada → Montreal"/>
    <s v="Printers"/>
    <s v="Low"/>
    <d v="2023-01-01T00:00:00"/>
    <n v="27"/>
  </r>
  <r>
    <s v="ORD-2025-440093"/>
    <s v="Original"/>
    <d v="2025-04-16T00:00:00"/>
    <d v="2025-04-26T00:00:00"/>
    <n v="10"/>
    <x v="1"/>
    <s v="Nigeria"/>
    <s v="Port Harcourt"/>
    <s v="Enterprise"/>
    <x v="4"/>
    <s v="F. Müller"/>
    <x v="0"/>
    <x v="526"/>
    <n v="1457.44"/>
    <n v="1996.81"/>
    <n v="0.126"/>
    <n v="23"/>
    <n v="40139.874619999995"/>
    <n v="33521.120000000003"/>
    <n v="6618.7546199999924"/>
    <n v="0.16489225944672353"/>
    <s v="Apr-2025"/>
    <d v="2025-04-01T00:00:00"/>
    <s v="Q2-2025"/>
    <s v="Africa → Nigeria → Port Harcourt"/>
    <s v="Laptops"/>
    <s v="High"/>
    <d v="2023-01-01T00:00:00"/>
    <n v="27"/>
  </r>
  <r>
    <s v="ORD-2025-246692"/>
    <s v="Original"/>
    <d v="2025-04-17T00:00:00"/>
    <d v="2025-04-24T00:00:00"/>
    <n v="7"/>
    <x v="0"/>
    <s v="Brazil"/>
    <s v="São Paulo"/>
    <s v="Corporate"/>
    <x v="0"/>
    <s v="L. Okafor"/>
    <x v="2"/>
    <x v="527"/>
    <n v="719.41"/>
    <n v="1125.99"/>
    <n v="4.1000000000000002E-2"/>
    <n v="21"/>
    <n v="22676.312610000001"/>
    <n v="15107.609999999999"/>
    <n v="7568.7026100000021"/>
    <n v="0.33377131194876403"/>
    <s v="Apr-2025"/>
    <d v="2025-04-01T00:00:00"/>
    <s v="Q2-2025"/>
    <s v="Americas → Brazil → São Paulo"/>
    <s v="Phones"/>
    <s v="Medium"/>
    <d v="2023-01-01T00:00:00"/>
    <n v="27"/>
  </r>
  <r>
    <s v="ORD-2025-907040"/>
    <s v="Original"/>
    <d v="2025-04-17T00:00:00"/>
    <d v="2025-05-03T00:00:00"/>
    <n v="16"/>
    <x v="0"/>
    <s v="Brazil"/>
    <s v="Rio de Janeiro"/>
    <s v="Consumer"/>
    <x v="4"/>
    <s v="J. Njeri"/>
    <x v="4"/>
    <x v="528"/>
    <n v="168.68"/>
    <n v="413.34"/>
    <n v="0.186"/>
    <n v="7"/>
    <n v="2355.2113199999999"/>
    <n v="1180.76"/>
    <n v="1174.4513199999999"/>
    <n v="0.49866069767361682"/>
    <s v="Apr-2025"/>
    <d v="2025-04-01T00:00:00"/>
    <s v="Q2-2025"/>
    <s v="Americas → Brazil → Rio de Janeiro"/>
    <s v="Networking"/>
    <s v="Low"/>
    <d v="2023-01-01T00:00:00"/>
    <n v="27"/>
  </r>
  <r>
    <s v="ORD-2025-946490"/>
    <s v="Original"/>
    <d v="2025-04-22T00:00:00"/>
    <d v="2025-05-02T00:00:00"/>
    <n v="10"/>
    <x v="2"/>
    <s v="Germany"/>
    <s v="Berlin"/>
    <s v="Corporate"/>
    <x v="4"/>
    <s v="C. Otieno"/>
    <x v="5"/>
    <x v="529"/>
    <n v="20.149999999999999"/>
    <n v="39.74"/>
    <n v="0.151"/>
    <n v="18"/>
    <n v="607.30668000000003"/>
    <n v="362.7"/>
    <n v="244.60668000000004"/>
    <n v="0.4027729120318585"/>
    <s v="Apr-2025"/>
    <d v="2025-04-01T00:00:00"/>
    <s v="Q2-2025"/>
    <s v="Europe → Germany → Berlin"/>
    <s v="Monitors"/>
    <s v="Low"/>
    <d v="2023-01-01T00:00:00"/>
    <n v="27"/>
  </r>
  <r>
    <s v="ORD-2025-778145"/>
    <s v="Original"/>
    <d v="2025-04-22T00:00:00"/>
    <d v="2025-05-12T00:00:00"/>
    <n v="20"/>
    <x v="2"/>
    <s v="France"/>
    <s v="Lyon"/>
    <s v="Enterprise"/>
    <x v="4"/>
    <s v="K. Singh"/>
    <x v="5"/>
    <x v="530"/>
    <n v="59.51"/>
    <n v="67.040000000000006"/>
    <n v="0.114"/>
    <n v="9"/>
    <n v="534.57695999999999"/>
    <n v="535.59"/>
    <n v="-1.0130400000000463"/>
    <n v="-1.8950311663264469E-3"/>
    <s v="Apr-2025"/>
    <d v="2025-04-01T00:00:00"/>
    <s v="Q2-2025"/>
    <s v="Europe → France → Lyon"/>
    <s v="Monitors"/>
    <s v="Low"/>
    <d v="2023-01-01T00:00:00"/>
    <n v="27"/>
  </r>
  <r>
    <s v="ORD-2025-488349"/>
    <s v="Original"/>
    <d v="2025-04-23T00:00:00"/>
    <d v="2025-04-30T00:00:00"/>
    <n v="7"/>
    <x v="0"/>
    <s v="USA"/>
    <s v="San Francisco"/>
    <s v="Non-Profit"/>
    <x v="0"/>
    <s v="D. Smith"/>
    <x v="5"/>
    <x v="531"/>
    <n v="23.24"/>
    <n v="44.57"/>
    <n v="0.215"/>
    <n v="15"/>
    <n v="524.81174999999996"/>
    <n v="348.59999999999997"/>
    <n v="176.21174999999999"/>
    <n v="0.33576182316802167"/>
    <s v="Apr-2025"/>
    <d v="2025-04-01T00:00:00"/>
    <s v="Q2-2025"/>
    <s v="Americas → USA → San Francisco"/>
    <s v="Monitors"/>
    <s v="Low"/>
    <d v="2023-01-01T00:00:00"/>
    <n v="27"/>
  </r>
  <r>
    <s v="ORD-2025-757957"/>
    <s v="Original"/>
    <d v="2025-04-24T00:00:00"/>
    <d v="2025-05-06T00:00:00"/>
    <n v="12"/>
    <x v="0"/>
    <s v="Brazil"/>
    <s v="Brasília"/>
    <s v="Consumer"/>
    <x v="1"/>
    <s v="C. Otieno"/>
    <x v="2"/>
    <x v="532"/>
    <n v="394.13"/>
    <n v="932.29"/>
    <n v="0.109"/>
    <n v="7"/>
    <n v="5814.6927299999998"/>
    <n v="2758.91"/>
    <n v="3055.7827299999999"/>
    <n v="0.5255278089303268"/>
    <s v="Apr-2025"/>
    <d v="2025-04-01T00:00:00"/>
    <s v="Q2-2025"/>
    <s v="Americas → Brazil → Brasília"/>
    <s v="Phones"/>
    <s v="Medium"/>
    <d v="2023-01-01T00:00:00"/>
    <n v="27"/>
  </r>
  <r>
    <s v="ORD-2025-526650"/>
    <s v="Original"/>
    <d v="2025-04-27T00:00:00"/>
    <d v="2025-05-25T00:00:00"/>
    <n v="28"/>
    <x v="2"/>
    <s v="France"/>
    <s v="Paris"/>
    <s v="Small Business"/>
    <x v="4"/>
    <s v="I. Johnson"/>
    <x v="2"/>
    <x v="533"/>
    <n v="603.45000000000005"/>
    <n v="1244.08"/>
    <n v="0.2"/>
    <n v="11"/>
    <n v="10947.904"/>
    <n v="6637.9500000000007"/>
    <n v="4309.9539999999997"/>
    <n v="0.39367846119220623"/>
    <s v="Apr-2025"/>
    <d v="2025-04-01T00:00:00"/>
    <s v="Q2-2025"/>
    <s v="Europe → France → Paris"/>
    <s v="Phones"/>
    <s v="Medium"/>
    <d v="2023-01-01T00:00:00"/>
    <n v="27"/>
  </r>
  <r>
    <s v="ORD-2025-323492"/>
    <s v="Original"/>
    <d v="2025-04-27T00:00:00"/>
    <d v="2025-05-27T00:00:00"/>
    <n v="30"/>
    <x v="3"/>
    <s v="India"/>
    <s v="Unknown"/>
    <s v="Enterprise"/>
    <x v="4"/>
    <s v="H. Kim"/>
    <x v="2"/>
    <x v="534"/>
    <n v="481.32"/>
    <n v="1135.99"/>
    <n v="0.14499999999999999"/>
    <n v="5"/>
    <n v="4856.35725"/>
    <n v="2406.6"/>
    <n v="2449.7572500000001"/>
    <n v="0.50444337677175621"/>
    <s v="Apr-2025"/>
    <d v="2025-04-01T00:00:00"/>
    <s v="Q2-2025"/>
    <s v="Asia → India → Unknown"/>
    <s v="Phones"/>
    <s v="Medium"/>
    <d v="2023-02-01T00:00:00"/>
    <n v="26"/>
  </r>
  <r>
    <s v="ORD-2025-474368"/>
    <s v="Original"/>
    <d v="2025-04-27T00:00:00"/>
    <d v="2025-05-17T00:00:00"/>
    <n v="20"/>
    <x v="0"/>
    <s v="USA"/>
    <s v="Austin"/>
    <s v="Corporate"/>
    <x v="2"/>
    <s v="N. Brown"/>
    <x v="2"/>
    <x v="535"/>
    <n v="932.26"/>
    <n v="1624.67"/>
    <n v="0.23499999999999999"/>
    <n v="28"/>
    <n v="34800.431400000001"/>
    <n v="26103.279999999999"/>
    <n v="8697.1514000000025"/>
    <n v="0.24991504559337163"/>
    <s v="Apr-2025"/>
    <d v="2025-04-01T00:00:00"/>
    <s v="Q2-2025"/>
    <s v="Americas → USA → Austin"/>
    <s v="Phones"/>
    <s v="High"/>
    <d v="2023-01-01T00:00:00"/>
    <n v="27"/>
  </r>
  <r>
    <s v="ORD-2025-626047"/>
    <s v="Original"/>
    <d v="2025-04-28T00:00:00"/>
    <d v="2025-05-15T00:00:00"/>
    <n v="17"/>
    <x v="3"/>
    <s v="Japan"/>
    <s v="Nagoya"/>
    <s v="Education"/>
    <x v="2"/>
    <s v="N. Brown"/>
    <x v="4"/>
    <x v="536"/>
    <n v="691.19"/>
    <n v="1284.3"/>
    <n v="7.3999999999999996E-2"/>
    <n v="7"/>
    <n v="8324.8326000000015"/>
    <n v="4838.33"/>
    <n v="3486.5026000000016"/>
    <n v="0.41880753253825198"/>
    <s v="Apr-2025"/>
    <d v="2025-04-01T00:00:00"/>
    <s v="Q2-2025"/>
    <s v="Asia → Japan → Nagoya"/>
    <s v="Networking"/>
    <s v="Medium"/>
    <d v="2023-03-01T00:00:00"/>
    <n v="25"/>
  </r>
  <r>
    <s v="ORD-2025-252117"/>
    <s v="Original"/>
    <d v="2025-04-28T00:00:00"/>
    <d v="2025-05-19T00:00:00"/>
    <n v="21"/>
    <x v="2"/>
    <s v="Germany"/>
    <s v="Berlin"/>
    <s v="Corporate"/>
    <x v="0"/>
    <s v="B. Chen"/>
    <x v="2"/>
    <x v="537"/>
    <n v="350.76"/>
    <n v="492.18"/>
    <n v="5.2999999999999999E-2"/>
    <n v="11"/>
    <n v="5127.0390600000001"/>
    <n v="3858.3599999999997"/>
    <n v="1268.6790600000004"/>
    <n v="0.24744868239798437"/>
    <s v="Apr-2025"/>
    <d v="2025-04-01T00:00:00"/>
    <s v="Q2-2025"/>
    <s v="Europe → Germany → Berlin"/>
    <s v="Phones"/>
    <s v="Low"/>
    <d v="2023-01-01T00:00:00"/>
    <n v="27"/>
  </r>
  <r>
    <s v="ORD-2025-762301"/>
    <s v="Original"/>
    <d v="2025-05-02T00:00:00"/>
    <d v="2025-05-13T00:00:00"/>
    <n v="11"/>
    <x v="1"/>
    <s v="Kenya"/>
    <s v="Nakuru"/>
    <s v="Small Business"/>
    <x v="1"/>
    <s v="A. Patel"/>
    <x v="3"/>
    <x v="538"/>
    <n v="1057.5999999999999"/>
    <n v="1437.06"/>
    <n v="0.20499999999999999"/>
    <n v="4"/>
    <n v="4569.8508000000002"/>
    <n v="4230.3999999999996"/>
    <n v="339.45080000000053"/>
    <n v="7.4280499485891424E-2"/>
    <s v="May-2025"/>
    <d v="2025-05-01T00:00:00"/>
    <s v="Q2-2025"/>
    <s v="Africa → Kenya → Nakuru"/>
    <s v="Accessories"/>
    <s v="Medium"/>
    <d v="2023-01-01T00:00:00"/>
    <n v="28"/>
  </r>
  <r>
    <s v="ORD-2025-673091"/>
    <s v="Original"/>
    <d v="2025-05-07T00:00:00"/>
    <d v="2025-05-13T00:00:00"/>
    <n v="6"/>
    <x v="3"/>
    <s v="India"/>
    <s v="Bengaluru"/>
    <s v="Enterprise"/>
    <x v="2"/>
    <s v="J. Njeri"/>
    <x v="2"/>
    <x v="539"/>
    <n v="935.98"/>
    <n v="2077.69"/>
    <n v="0.17499999999999999"/>
    <n v="24"/>
    <n v="41138.261999999995"/>
    <n v="22463.52"/>
    <n v="18674.741999999995"/>
    <n v="0.45395067978321491"/>
    <s v="May-2025"/>
    <d v="2025-05-01T00:00:00"/>
    <s v="Q2-2025"/>
    <s v="Asia → India → Bengaluru"/>
    <s v="Phones"/>
    <s v="High"/>
    <d v="2023-02-01T00:00:00"/>
    <n v="27"/>
  </r>
  <r>
    <s v="ORD-2025-191328"/>
    <s v="Original"/>
    <d v="2025-05-10T00:00:00"/>
    <d v="2025-05-27T00:00:00"/>
    <n v="17"/>
    <x v="0"/>
    <s v="Canada"/>
    <s v="Vancouver"/>
    <s v="Education"/>
    <x v="2"/>
    <s v="C. Otieno"/>
    <x v="6"/>
    <x v="540"/>
    <n v="862.89"/>
    <n v="1426.03"/>
    <n v="5.6000000000000001E-2"/>
    <n v="19"/>
    <n v="25577.274079999999"/>
    <n v="16394.91"/>
    <n v="9182.3640799999994"/>
    <n v="0.35900479665188778"/>
    <s v="May-2025"/>
    <d v="2025-05-01T00:00:00"/>
    <s v="Q2-2025"/>
    <s v="Americas → Canada → Vancouver"/>
    <s v="Components"/>
    <s v="Medium"/>
    <d v="2023-01-01T00:00:00"/>
    <n v="28"/>
  </r>
  <r>
    <s v="ORD-2025-866565"/>
    <s v="Original"/>
    <d v="2025-05-12T00:00:00"/>
    <d v="2025-05-26T00:00:00"/>
    <n v="14"/>
    <x v="3"/>
    <s v="India"/>
    <s v="Hyderabad"/>
    <s v="Corporate"/>
    <x v="4"/>
    <s v="G. Dubois"/>
    <x v="1"/>
    <x v="541"/>
    <n v="320.12"/>
    <n v="594.41999999999996"/>
    <n v="0.104"/>
    <n v="18"/>
    <n v="9586.8057599999993"/>
    <n v="5762.16"/>
    <n v="3824.6457599999994"/>
    <n v="0.39894891538931104"/>
    <s v="May-2025"/>
    <d v="2025-05-01T00:00:00"/>
    <s v="Q2-2025"/>
    <s v="Asia → India → Hyderabad"/>
    <s v="Printers"/>
    <s v="Low"/>
    <d v="2023-02-01T00:00:00"/>
    <n v="27"/>
  </r>
  <r>
    <s v="ORD-2025-114382"/>
    <s v="Original"/>
    <d v="2025-05-14T00:00:00"/>
    <d v="2025-05-24T00:00:00"/>
    <n v="10"/>
    <x v="2"/>
    <s v="France"/>
    <s v="Paris"/>
    <s v="Small Business"/>
    <x v="4"/>
    <s v="K. Singh"/>
    <x v="6"/>
    <x v="542"/>
    <n v="170.39"/>
    <n v="388.04"/>
    <n v="8.4000000000000005E-2"/>
    <n v="15"/>
    <n v="5331.6696000000002"/>
    <n v="2555.85"/>
    <n v="2775.8196000000003"/>
    <n v="0.52062858508711796"/>
    <s v="May-2025"/>
    <d v="2025-05-01T00:00:00"/>
    <s v="Q2-2025"/>
    <s v="Europe → France → Paris"/>
    <s v="Components"/>
    <s v="Low"/>
    <d v="2023-01-01T00:00:00"/>
    <n v="28"/>
  </r>
  <r>
    <s v="ORD-2025-874124"/>
    <s v="Original"/>
    <d v="2025-05-14T00:00:00"/>
    <d v="2025-05-21T00:00:00"/>
    <n v="7"/>
    <x v="0"/>
    <s v="Canada"/>
    <s v="Vancouver"/>
    <s v="Non-Profit"/>
    <x v="0"/>
    <s v="F. Müller"/>
    <x v="1"/>
    <x v="543"/>
    <n v="883.5"/>
    <n v="1978.91"/>
    <n v="5.3999999999999999E-2"/>
    <n v="27"/>
    <n v="50545.319219999998"/>
    <n v="23854.5"/>
    <n v="26690.819219999998"/>
    <n v="0.52805718970390547"/>
    <s v="May-2025"/>
    <d v="2025-05-01T00:00:00"/>
    <s v="Q2-2025"/>
    <s v="Americas → Canada → Vancouver"/>
    <s v="Printers"/>
    <s v="High"/>
    <d v="2023-01-01T00:00:00"/>
    <n v="28"/>
  </r>
  <r>
    <s v="ORD-2025-254721"/>
    <s v="Original"/>
    <d v="2025-05-15T00:00:00"/>
    <d v="2025-06-05T00:00:00"/>
    <n v="21"/>
    <x v="3"/>
    <s v="Japan"/>
    <s v="Osaka"/>
    <s v="Enterprise"/>
    <x v="2"/>
    <s v="H. Kim"/>
    <x v="2"/>
    <x v="544"/>
    <n v="1466.5"/>
    <n v="2778.74"/>
    <n v="0.13500000000000001"/>
    <n v="4"/>
    <n v="9614.4403999999995"/>
    <n v="5866"/>
    <n v="3748.4403999999995"/>
    <n v="0.38987608680792279"/>
    <s v="May-2025"/>
    <d v="2025-05-01T00:00:00"/>
    <s v="Q2-2025"/>
    <s v="Asia → Japan → Osaka"/>
    <s v="Phones"/>
    <s v="High"/>
    <d v="2023-03-01T00:00:00"/>
    <n v="26"/>
  </r>
  <r>
    <s v="ORD-2025-509940"/>
    <s v="Original"/>
    <d v="2025-05-16T00:00:00"/>
    <d v="2025-05-27T00:00:00"/>
    <n v="11"/>
    <x v="3"/>
    <s v="China"/>
    <s v="Beijing"/>
    <s v="Enterprise"/>
    <x v="1"/>
    <s v="F. Müller"/>
    <x v="2"/>
    <x v="545"/>
    <n v="918.12"/>
    <n v="1337.69"/>
    <n v="9.5000000000000001E-2"/>
    <n v="8"/>
    <n v="9684.8756000000012"/>
    <n v="7344.96"/>
    <n v="2339.9156000000012"/>
    <n v="0.24160512707050164"/>
    <s v="May-2025"/>
    <d v="2025-05-01T00:00:00"/>
    <s v="Q2-2025"/>
    <s v="Asia → China → Beijing"/>
    <s v="Phones"/>
    <s v="Medium"/>
    <d v="2023-01-01T00:00:00"/>
    <n v="28"/>
  </r>
  <r>
    <s v="ORD-2025-752192"/>
    <s v="Original"/>
    <d v="2025-05-16T00:00:00"/>
    <d v="2025-05-18T00:00:00"/>
    <n v="2"/>
    <x v="3"/>
    <s v="Japan"/>
    <s v="Tokyo"/>
    <s v="Enterprise"/>
    <x v="3"/>
    <s v="J. Njeri"/>
    <x v="1"/>
    <x v="546"/>
    <n v="1144.3800000000001"/>
    <n v="2755.04"/>
    <n v="0.15"/>
    <n v="17"/>
    <n v="39810.328000000001"/>
    <n v="19454.460000000003"/>
    <n v="20355.867999999999"/>
    <n v="0.51132128326096682"/>
    <s v="May-2025"/>
    <d v="2025-05-01T00:00:00"/>
    <s v="Q2-2025"/>
    <s v="Asia → Japan → Tokyo"/>
    <s v="Printers"/>
    <s v="High"/>
    <d v="2023-03-01T00:00:00"/>
    <n v="26"/>
  </r>
  <r>
    <s v="ORD-2025-983096"/>
    <s v="Original"/>
    <d v="2025-05-17T00:00:00"/>
    <d v="2025-05-28T00:00:00"/>
    <n v="11"/>
    <x v="3"/>
    <s v="India"/>
    <s v="Bengaluru"/>
    <s v="Corporate"/>
    <x v="0"/>
    <s v="B. Chen"/>
    <x v="0"/>
    <x v="547"/>
    <n v="623.4"/>
    <n v="1100.0899999999999"/>
    <n v="0.114"/>
    <n v="12"/>
    <n v="11696.156879999999"/>
    <n v="7480.7999999999993"/>
    <n v="4215.3568799999994"/>
    <n v="0.36040529579490388"/>
    <s v="May-2025"/>
    <d v="2025-05-01T00:00:00"/>
    <s v="Q2-2025"/>
    <s v="Asia → India → Bengaluru"/>
    <s v="Laptops"/>
    <s v="Medium"/>
    <d v="2023-02-01T00:00:00"/>
    <n v="27"/>
  </r>
  <r>
    <s v="ORD-2025-828263"/>
    <s v="Original"/>
    <d v="2025-05-17T00:00:00"/>
    <d v="2025-05-30T00:00:00"/>
    <n v="13"/>
    <x v="1"/>
    <s v="Nigeria"/>
    <s v="Lagos"/>
    <s v="Consumer"/>
    <x v="0"/>
    <s v="F. Müller"/>
    <x v="3"/>
    <x v="548"/>
    <n v="66.400000000000006"/>
    <n v="141.43"/>
    <n v="0.107"/>
    <n v="8"/>
    <n v="1010.3759200000001"/>
    <n v="531.20000000000005"/>
    <n v="479.17592000000002"/>
    <n v="0.47425508715607551"/>
    <s v="May-2025"/>
    <d v="2025-05-01T00:00:00"/>
    <s v="Q2-2025"/>
    <s v="Africa → Nigeria → Lagos"/>
    <s v="Accessories"/>
    <s v="Low"/>
    <d v="2023-01-01T00:00:00"/>
    <n v="28"/>
  </r>
  <r>
    <s v="ORD-2025-364852"/>
    <s v="Original"/>
    <d v="2025-05-18T00:00:00"/>
    <d v="2025-06-09T00:00:00"/>
    <n v="22"/>
    <x v="0"/>
    <s v="USA"/>
    <s v="New York"/>
    <s v="Consumer"/>
    <x v="3"/>
    <s v="H. Kim"/>
    <x v="4"/>
    <x v="549"/>
    <n v="382.96"/>
    <n v="552.84"/>
    <n v="0.17599999999999999"/>
    <n v="8"/>
    <n v="3644.3212800000006"/>
    <n v="3063.68"/>
    <n v="580.64128000000073"/>
    <n v="0.15932768693763483"/>
    <s v="May-2025"/>
    <d v="2025-05-01T00:00:00"/>
    <s v="Q2-2025"/>
    <s v="Americas → USA → New York"/>
    <s v="Networking"/>
    <s v="Low"/>
    <d v="2023-01-01T00:00:00"/>
    <n v="28"/>
  </r>
  <r>
    <s v="ORD-2025-779530"/>
    <s v="Original"/>
    <d v="2025-05-19T00:00:00"/>
    <d v="2025-05-26T00:00:00"/>
    <n v="7"/>
    <x v="0"/>
    <s v="Brazil"/>
    <s v="São Paulo"/>
    <s v="Small Business"/>
    <x v="0"/>
    <s v="L. Okafor"/>
    <x v="5"/>
    <x v="550"/>
    <n v="383.77"/>
    <n v="952.56"/>
    <n v="0.3"/>
    <n v="10"/>
    <n v="6667.9199999999983"/>
    <n v="3837.7"/>
    <n v="2830.2199999999984"/>
    <n v="0.42445320279787385"/>
    <s v="May-2025"/>
    <d v="2025-05-01T00:00:00"/>
    <s v="Q2-2025"/>
    <s v="Americas → Brazil → São Paulo"/>
    <s v="Monitors"/>
    <s v="Medium"/>
    <d v="2023-01-01T00:00:00"/>
    <n v="28"/>
  </r>
  <r>
    <s v="ORD-2025-997421"/>
    <s v="Original"/>
    <d v="2025-05-21T00:00:00"/>
    <d v="2025-06-09T00:00:00"/>
    <n v="19"/>
    <x v="0"/>
    <s v="Brazil"/>
    <s v="São Paulo"/>
    <s v="Non-Profit"/>
    <x v="1"/>
    <s v="A. Patel"/>
    <x v="6"/>
    <x v="551"/>
    <n v="1331.38"/>
    <n v="2309.56"/>
    <n v="0.14899999999999999"/>
    <n v="31"/>
    <n v="60928.502359999999"/>
    <n v="41272.780000000006"/>
    <n v="19655.722359999992"/>
    <n v="0.32260307735553528"/>
    <s v="May-2025"/>
    <d v="2025-05-01T00:00:00"/>
    <s v="Q2-2025"/>
    <s v="Americas → Brazil → São Paulo"/>
    <s v="Components"/>
    <s v="High"/>
    <d v="2023-01-01T00:00:00"/>
    <n v="28"/>
  </r>
  <r>
    <s v="ORD-2025-745263"/>
    <s v="Original"/>
    <d v="2025-05-21T00:00:00"/>
    <d v="2025-05-28T00:00:00"/>
    <n v="7"/>
    <x v="2"/>
    <s v="United Kingdom"/>
    <s v="Birmingham"/>
    <s v="Enterprise"/>
    <x v="1"/>
    <s v="M. Rossi"/>
    <x v="0"/>
    <x v="552"/>
    <n v="1015.16"/>
    <n v="2148.14"/>
    <n v="3.7999999999999999E-2"/>
    <n v="19"/>
    <n v="39263.702919999996"/>
    <n v="19288.04"/>
    <n v="19975.662919999995"/>
    <n v="0.50875647059322227"/>
    <s v="May-2025"/>
    <d v="2025-05-01T00:00:00"/>
    <s v="Q2-2025"/>
    <s v="Europe → United Kingdom → Birmingham"/>
    <s v="Laptops"/>
    <s v="High"/>
    <d v="2023-01-01T00:00:00"/>
    <n v="28"/>
  </r>
  <r>
    <s v="ORD-2025-700847"/>
    <s v="Original"/>
    <d v="2025-05-21T00:00:00"/>
    <d v="2025-05-28T00:00:00"/>
    <n v="7"/>
    <x v="1"/>
    <s v="South Africa"/>
    <s v="Johannesburg"/>
    <s v="Non-Profit"/>
    <x v="0"/>
    <s v="O. Wang"/>
    <x v="0"/>
    <x v="553"/>
    <n v="1263.8399999999999"/>
    <n v="2281.7199999999998"/>
    <n v="7.8E-2"/>
    <n v="15"/>
    <n v="31556.187599999997"/>
    <n v="18957.599999999999"/>
    <n v="12598.587599999999"/>
    <n v="0.39924301882398494"/>
    <s v="May-2025"/>
    <d v="2025-05-01T00:00:00"/>
    <s v="Q2-2025"/>
    <s v="Africa → South Africa → Johannesburg"/>
    <s v="Laptops"/>
    <s v="High"/>
    <d v="2023-01-01T00:00:00"/>
    <n v="28"/>
  </r>
  <r>
    <s v="ORD-2025-486350"/>
    <s v="Original"/>
    <d v="2025-05-27T00:00:00"/>
    <d v="2025-06-08T00:00:00"/>
    <n v="12"/>
    <x v="3"/>
    <s v="Japan"/>
    <s v="Osaka"/>
    <s v="Corporate"/>
    <x v="3"/>
    <s v="H. Kim"/>
    <x v="3"/>
    <x v="554"/>
    <n v="653.6"/>
    <n v="842.09"/>
    <n v="9.8000000000000004E-2"/>
    <n v="19"/>
    <n v="14431.738420000001"/>
    <n v="12418.4"/>
    <n v="2013.3384200000019"/>
    <n v="0.13950768517324622"/>
    <s v="May-2025"/>
    <d v="2025-05-01T00:00:00"/>
    <s v="Q2-2025"/>
    <s v="Asia → Japan → Osaka"/>
    <s v="Accessories"/>
    <s v="Medium"/>
    <d v="2023-03-01T00:00:00"/>
    <n v="26"/>
  </r>
  <r>
    <s v="ORD-2025-820255"/>
    <s v="Original"/>
    <d v="2025-05-29T00:00:00"/>
    <d v="2025-06-20T00:00:00"/>
    <n v="22"/>
    <x v="2"/>
    <s v="Germany"/>
    <s v="Berlin"/>
    <s v="Corporate"/>
    <x v="2"/>
    <s v="A. Patel"/>
    <x v="1"/>
    <x v="555"/>
    <n v="483.47"/>
    <n v="1135.43"/>
    <n v="0.14599999999999999"/>
    <n v="11"/>
    <n v="10666.229420000001"/>
    <n v="5318.17"/>
    <n v="5348.0594200000014"/>
    <n v="0.50140112399719983"/>
    <s v="May-2025"/>
    <d v="2025-05-01T00:00:00"/>
    <s v="Q2-2025"/>
    <s v="Europe → Germany → Berlin"/>
    <s v="Printers"/>
    <s v="Medium"/>
    <d v="2023-01-01T00:00:00"/>
    <n v="28"/>
  </r>
  <r>
    <s v="ORD-2025-398335"/>
    <s v="Original"/>
    <d v="2025-06-01T00:00:00"/>
    <d v="2025-06-27T00:00:00"/>
    <n v="26"/>
    <x v="2"/>
    <s v="Germany"/>
    <s v="Munich"/>
    <s v="Consumer"/>
    <x v="0"/>
    <s v="E. Garcia"/>
    <x v="0"/>
    <x v="556"/>
    <n v="1362.31"/>
    <n v="3294.57"/>
    <n v="0.113"/>
    <n v="7"/>
    <n v="20455.985130000001"/>
    <n v="9536.17"/>
    <n v="10919.815130000001"/>
    <n v="0.5338200561157721"/>
    <s v="Jun-2025"/>
    <d v="2025-06-01T00:00:00"/>
    <s v="Q2-2025"/>
    <s v="Europe → Germany → Munich"/>
    <s v="Laptops"/>
    <s v="High"/>
    <d v="2023-01-01T00:00:00"/>
    <n v="29"/>
  </r>
  <r>
    <s v="ORD-2025-231184"/>
    <s v="Original"/>
    <d v="2025-06-01T00:00:00"/>
    <d v="2025-06-06T00:00:00"/>
    <n v="5"/>
    <x v="2"/>
    <s v="France"/>
    <s v="Paris"/>
    <s v="Consumer"/>
    <x v="0"/>
    <s v="G. Dubois"/>
    <x v="6"/>
    <x v="557"/>
    <n v="379.45"/>
    <n v="742.23"/>
    <n v="0.09"/>
    <n v="13"/>
    <n v="8780.5809000000008"/>
    <n v="4932.8499999999995"/>
    <n v="3847.7309000000014"/>
    <n v="0.43820915083192286"/>
    <s v="Jun-2025"/>
    <d v="2025-06-01T00:00:00"/>
    <s v="Q2-2025"/>
    <s v="Europe → France → Paris"/>
    <s v="Components"/>
    <s v="Low"/>
    <d v="2023-01-01T00:00:00"/>
    <n v="29"/>
  </r>
  <r>
    <s v="ORD-2025-795385"/>
    <s v="Original"/>
    <d v="2025-06-01T00:00:00"/>
    <d v="2025-06-05T00:00:00"/>
    <n v="4"/>
    <x v="2"/>
    <s v="Germany"/>
    <s v="Munich"/>
    <s v="Enterprise"/>
    <x v="2"/>
    <s v="M. Rossi"/>
    <x v="6"/>
    <x v="558"/>
    <n v="1171.42"/>
    <n v="2187.8000000000002"/>
    <n v="0.23"/>
    <n v="15"/>
    <n v="25269.09"/>
    <n v="17571.300000000003"/>
    <n v="7697.7899999999972"/>
    <n v="0.30463265594447592"/>
    <s v="Jun-2025"/>
    <d v="2025-06-01T00:00:00"/>
    <s v="Q2-2025"/>
    <s v="Europe → Germany → Munich"/>
    <s v="Components"/>
    <s v="High"/>
    <d v="2023-01-01T00:00:00"/>
    <n v="29"/>
  </r>
  <r>
    <s v="ORD-2025-698069"/>
    <s v="Original"/>
    <d v="2025-06-03T00:00:00"/>
    <d v="2025-06-10T00:00:00"/>
    <n v="7"/>
    <x v="0"/>
    <s v="Canada"/>
    <s v="Toronto"/>
    <s v="Consumer"/>
    <x v="0"/>
    <s v="O. Wang"/>
    <x v="1"/>
    <x v="559"/>
    <n v="75.180000000000007"/>
    <n v="53.45"/>
    <n v="0.157"/>
    <n v="17"/>
    <n v="765.99195000000009"/>
    <n v="1278.0600000000002"/>
    <n v="-512.06805000000008"/>
    <n v="-0.66850317421743144"/>
    <s v="Jun-2025"/>
    <d v="2025-06-01T00:00:00"/>
    <s v="Q2-2025"/>
    <s v="Americas → Canada → Toronto"/>
    <s v="Printers"/>
    <s v="Low"/>
    <d v="2023-01-01T00:00:00"/>
    <n v="29"/>
  </r>
  <r>
    <s v="ORD-2025-411385"/>
    <s v="Original"/>
    <d v="2025-06-05T00:00:00"/>
    <d v="2025-06-14T00:00:00"/>
    <n v="9"/>
    <x v="3"/>
    <s v="India"/>
    <s v="Delhi"/>
    <s v="Non-Profit"/>
    <x v="3"/>
    <s v="A. Patel"/>
    <x v="3"/>
    <x v="560"/>
    <n v="618.69000000000005"/>
    <n v="796.15"/>
    <n v="0.09"/>
    <n v="11"/>
    <n v="7969.4615000000003"/>
    <n v="6805.59"/>
    <n v="1163.8715000000002"/>
    <n v="0.14604142325049191"/>
    <s v="Jun-2025"/>
    <d v="2025-06-01T00:00:00"/>
    <s v="Q2-2025"/>
    <s v="Asia → India → Delhi"/>
    <s v="Accessories"/>
    <s v="Low"/>
    <d v="2023-02-01T00:00:00"/>
    <n v="28"/>
  </r>
  <r>
    <s v="ORD-2025-639542"/>
    <s v="Original"/>
    <d v="2025-06-09T00:00:00"/>
    <d v="2025-06-18T00:00:00"/>
    <n v="9"/>
    <x v="2"/>
    <s v="France"/>
    <s v="Marseille"/>
    <s v="Small Business"/>
    <x v="4"/>
    <s v="H. Kim"/>
    <x v="3"/>
    <x v="561"/>
    <n v="1225.5"/>
    <n v="1470.6"/>
    <n v="7.4999999999999997E-2"/>
    <n v="56"/>
    <n v="76177.08"/>
    <n v="68628"/>
    <n v="7549.0800000000017"/>
    <n v="9.9099099099099114E-2"/>
    <s v="Jun-2025"/>
    <d v="2025-06-01T00:00:00"/>
    <s v="Q2-2025"/>
    <s v="Europe → France → Marseille"/>
    <s v="Accessories"/>
    <s v="Medium"/>
    <d v="2023-01-01T00:00:00"/>
    <n v="29"/>
  </r>
  <r>
    <s v="ORD-2025-526752"/>
    <s v="Original"/>
    <d v="2025-06-09T00:00:00"/>
    <d v="2025-06-25T00:00:00"/>
    <n v="16"/>
    <x v="3"/>
    <s v="India"/>
    <s v="Hyderabad"/>
    <s v="Enterprise"/>
    <x v="0"/>
    <s v="M. Rossi"/>
    <x v="2"/>
    <x v="562"/>
    <n v="527.33000000000004"/>
    <n v="911.72"/>
    <n v="0.14399999999999999"/>
    <n v="25"/>
    <n v="19510.808000000001"/>
    <n v="13183.250000000002"/>
    <n v="6327.5579999999991"/>
    <n v="0.32431040272652978"/>
    <s v="Jun-2025"/>
    <d v="2025-06-01T00:00:00"/>
    <s v="Q2-2025"/>
    <s v="Asia → India → Hyderabad"/>
    <s v="Phones"/>
    <s v="Medium"/>
    <d v="2023-02-01T00:00:00"/>
    <n v="28"/>
  </r>
  <r>
    <s v="ORD-2025-417942"/>
    <s v="Original"/>
    <d v="2025-06-09T00:00:00"/>
    <d v="2025-06-24T00:00:00"/>
    <n v="15"/>
    <x v="3"/>
    <s v="Japan"/>
    <s v="Nagoya"/>
    <s v="Corporate"/>
    <x v="2"/>
    <s v="B. Chen"/>
    <x v="2"/>
    <x v="563"/>
    <n v="400.39"/>
    <n v="712.75"/>
    <n v="0.115"/>
    <n v="19"/>
    <n v="11984.891250000001"/>
    <n v="7607.41"/>
    <n v="4377.4812500000007"/>
    <n v="0.36524997671547504"/>
    <s v="Jun-2025"/>
    <d v="2025-06-01T00:00:00"/>
    <s v="Q2-2025"/>
    <s v="Asia → Japan → Nagoya"/>
    <s v="Phones"/>
    <s v="Low"/>
    <d v="2023-03-01T00:00:00"/>
    <n v="27"/>
  </r>
  <r>
    <s v="ORD-2025-580047"/>
    <s v="Original"/>
    <d v="2025-06-14T00:00:00"/>
    <d v="2025-06-29T00:00:00"/>
    <n v="15"/>
    <x v="1"/>
    <s v="Nigeria"/>
    <s v="Port Harcourt"/>
    <s v="Consumer"/>
    <x v="4"/>
    <s v="M. Rossi"/>
    <x v="3"/>
    <x v="564"/>
    <n v="730.99"/>
    <n v="1242.8399999999999"/>
    <n v="0.12"/>
    <n v="10"/>
    <n v="10936.992"/>
    <n v="7309.9"/>
    <n v="3627.0920000000006"/>
    <n v="0.33163524303574515"/>
    <s v="Jun-2025"/>
    <d v="2025-06-01T00:00:00"/>
    <s v="Q2-2025"/>
    <s v="Africa → Nigeria → Port Harcourt"/>
    <s v="Accessories"/>
    <s v="Medium"/>
    <d v="2023-01-01T00:00:00"/>
    <n v="29"/>
  </r>
  <r>
    <s v="ORD-2025-485946"/>
    <s v="Original"/>
    <d v="2025-06-15T00:00:00"/>
    <d v="2025-06-30T00:00:00"/>
    <n v="15"/>
    <x v="1"/>
    <s v="South Africa"/>
    <s v="Johannesburg"/>
    <s v="Small Business"/>
    <x v="2"/>
    <s v="C. Otieno"/>
    <x v="5"/>
    <x v="565"/>
    <n v="1487.59"/>
    <n v="1480.83"/>
    <n v="8.9999999999999993E-3"/>
    <n v="11"/>
    <n v="16142.527829999999"/>
    <n v="16363.49"/>
    <n v="-220.9621700000007"/>
    <n v="-1.3688201273492908E-2"/>
    <s v="Jun-2025"/>
    <d v="2025-06-01T00:00:00"/>
    <s v="Q2-2025"/>
    <s v="Africa → South Africa → Johannesburg"/>
    <s v="Monitors"/>
    <s v="Medium"/>
    <d v="2023-01-01T00:00:00"/>
    <n v="29"/>
  </r>
  <r>
    <s v="ORD-2025-856556"/>
    <s v="Original"/>
    <d v="2025-06-15T00:00:00"/>
    <d v="2025-07-12T00:00:00"/>
    <n v="27"/>
    <x v="2"/>
    <s v="France"/>
    <s v="Marseille"/>
    <s v="Consumer"/>
    <x v="2"/>
    <s v="C. Otieno"/>
    <x v="3"/>
    <x v="566"/>
    <n v="318.83"/>
    <n v="699.5"/>
    <n v="0.08"/>
    <n v="13"/>
    <n v="8366.02"/>
    <n v="4144.79"/>
    <n v="4221.2300000000005"/>
    <n v="0.50456848059172699"/>
    <s v="Jun-2025"/>
    <d v="2025-06-01T00:00:00"/>
    <s v="Q2-2025"/>
    <s v="Europe → France → Marseille"/>
    <s v="Accessories"/>
    <s v="Low"/>
    <d v="2023-01-01T00:00:00"/>
    <n v="29"/>
  </r>
  <r>
    <s v="ORD-2025-480172"/>
    <s v="Original"/>
    <d v="2025-06-17T00:00:00"/>
    <d v="2025-07-05T00:00:00"/>
    <n v="18"/>
    <x v="3"/>
    <s v="India"/>
    <s v="Delhi"/>
    <s v="Consumer"/>
    <x v="4"/>
    <s v="L. Okafor"/>
    <x v="0"/>
    <x v="567"/>
    <n v="982.93"/>
    <n v="2299.3000000000002"/>
    <n v="0.113"/>
    <n v="6"/>
    <n v="12236.874600000001"/>
    <n v="5897.58"/>
    <n v="6339.2946000000011"/>
    <n v="0.51804850562087157"/>
    <s v="Jun-2025"/>
    <d v="2025-06-01T00:00:00"/>
    <s v="Q2-2025"/>
    <s v="Asia → India → Delhi"/>
    <s v="Laptops"/>
    <s v="High"/>
    <d v="2023-02-01T00:00:00"/>
    <n v="28"/>
  </r>
  <r>
    <s v="ORD-2025-184082"/>
    <s v="Original"/>
    <d v="2025-06-19T00:00:00"/>
    <d v="2025-07-12T00:00:00"/>
    <n v="23"/>
    <x v="2"/>
    <s v="United Kingdom"/>
    <s v="Unknown"/>
    <s v="Non-Profit"/>
    <x v="2"/>
    <s v="Unassigned"/>
    <x v="4"/>
    <x v="568"/>
    <n v="801.24"/>
    <n v="1959.09"/>
    <n v="0.123"/>
    <n v="23"/>
    <n v="39516.804389999998"/>
    <n v="18428.52"/>
    <n v="21088.284389999997"/>
    <n v="0.53365358650651762"/>
    <s v="Jun-2025"/>
    <d v="2025-06-01T00:00:00"/>
    <s v="Q2-2025"/>
    <s v="Europe → United Kingdom → Unknown"/>
    <s v="Networking"/>
    <s v="High"/>
    <d v="2023-01-01T00:00:00"/>
    <n v="29"/>
  </r>
  <r>
    <s v="ORD-2025-262434"/>
    <s v="Original"/>
    <d v="2025-06-19T00:00:00"/>
    <d v="2025-06-21T00:00:00"/>
    <n v="2"/>
    <x v="1"/>
    <s v="South Africa"/>
    <s v="Johannesburg"/>
    <s v="Small Business"/>
    <x v="5"/>
    <s v="H. Kim"/>
    <x v="2"/>
    <x v="569"/>
    <n v="1466.27"/>
    <n v="3589.89"/>
    <n v="9.7000000000000003E-2"/>
    <n v="9"/>
    <n v="29175.036029999999"/>
    <n v="13196.43"/>
    <n v="15978.606029999999"/>
    <n v="0.54768076425234147"/>
    <s v="Jun-2025"/>
    <d v="2025-06-01T00:00:00"/>
    <s v="Q2-2025"/>
    <s v="Africa → South Africa → Johannesburg"/>
    <s v="Phones"/>
    <s v="High"/>
    <d v="2023-01-01T00:00:00"/>
    <n v="29"/>
  </r>
  <r>
    <s v="ORD-2025-908258"/>
    <s v="Original"/>
    <d v="2025-06-21T00:00:00"/>
    <d v="2025-06-27T00:00:00"/>
    <n v="6"/>
    <x v="1"/>
    <s v="South Africa"/>
    <s v="Durban"/>
    <s v="Enterprise"/>
    <x v="0"/>
    <s v="N. Brown"/>
    <x v="2"/>
    <x v="570"/>
    <n v="93.91"/>
    <n v="99.04"/>
    <n v="5.7000000000000002E-2"/>
    <n v="6"/>
    <n v="560.36831999999993"/>
    <n v="563.46"/>
    <n v="-3.0916800000001103"/>
    <n v="-5.5172283829323376E-3"/>
    <s v="Jun-2025"/>
    <d v="2025-06-01T00:00:00"/>
    <s v="Q2-2025"/>
    <s v="Africa → South Africa → Durban"/>
    <s v="Phones"/>
    <s v="Low"/>
    <d v="2023-01-01T00:00:00"/>
    <n v="29"/>
  </r>
  <r>
    <s v="ORD-2025-278048"/>
    <s v="Original"/>
    <d v="2025-06-22T00:00:00"/>
    <d v="2025-07-08T00:00:00"/>
    <n v="16"/>
    <x v="2"/>
    <s v="United Kingdom"/>
    <s v="London"/>
    <s v="Education"/>
    <x v="2"/>
    <s v="A. Patel"/>
    <x v="2"/>
    <x v="571"/>
    <n v="892.73"/>
    <n v="979.84"/>
    <n v="0.17399999999999999"/>
    <n v="10"/>
    <n v="8093.4784"/>
    <n v="8927.2999999999993"/>
    <n v="-833.82159999999931"/>
    <n v="-0.10302388649112838"/>
    <s v="Jun-2025"/>
    <d v="2025-06-01T00:00:00"/>
    <s v="Q2-2025"/>
    <s v="Europe → United Kingdom → London"/>
    <s v="Phones"/>
    <s v="Medium"/>
    <d v="2023-01-01T00:00:00"/>
    <n v="29"/>
  </r>
  <r>
    <s v="ORD-2025-718992"/>
    <s v="Original"/>
    <d v="2025-06-24T00:00:00"/>
    <d v="2025-07-10T00:00:00"/>
    <n v="16"/>
    <x v="3"/>
    <s v="China"/>
    <s v="Shanghai"/>
    <s v="Enterprise"/>
    <x v="2"/>
    <s v="N. Brown"/>
    <x v="6"/>
    <x v="572"/>
    <n v="757.19"/>
    <n v="1735.41"/>
    <n v="0.13600000000000001"/>
    <n v="8"/>
    <n v="11995.153920000001"/>
    <n v="6057.52"/>
    <n v="5937.6339200000002"/>
    <n v="0.4950027285685718"/>
    <s v="Jun-2025"/>
    <d v="2025-06-01T00:00:00"/>
    <s v="Q2-2025"/>
    <s v="Asia → China → Shanghai"/>
    <s v="Components"/>
    <s v="High"/>
    <d v="2023-01-01T00:00:00"/>
    <n v="29"/>
  </r>
  <r>
    <s v="ORD-2025-678328"/>
    <s v="Original"/>
    <d v="2025-06-24T00:00:00"/>
    <d v="2025-07-14T00:00:00"/>
    <n v="20"/>
    <x v="2"/>
    <s v="Germany"/>
    <s v="Berlin"/>
    <s v="Corporate"/>
    <x v="2"/>
    <s v="O. Wang"/>
    <x v="3"/>
    <x v="573"/>
    <n v="385.08"/>
    <n v="893.19"/>
    <n v="0.151"/>
    <n v="8"/>
    <n v="6066.54648"/>
    <n v="3080.64"/>
    <n v="2985.9064800000001"/>
    <n v="0.49219213762621666"/>
    <s v="Jun-2025"/>
    <d v="2025-06-01T00:00:00"/>
    <s v="Q2-2025"/>
    <s v="Europe → Germany → Berlin"/>
    <s v="Accessories"/>
    <s v="Medium"/>
    <d v="2023-01-01T00:00:00"/>
    <n v="29"/>
  </r>
  <r>
    <s v="ORD-2025-306903"/>
    <s v="Original"/>
    <d v="2025-06-24T00:00:00"/>
    <d v="2025-07-23T00:00:00"/>
    <n v="29"/>
    <x v="0"/>
    <s v="Canada"/>
    <s v="Vancouver"/>
    <s v="Non-Profit"/>
    <x v="4"/>
    <s v="I. Johnson"/>
    <x v="1"/>
    <x v="574"/>
    <n v="255.4"/>
    <n v="322.70999999999998"/>
    <n v="0.115"/>
    <n v="16"/>
    <n v="4569.5735999999997"/>
    <n v="4086.4"/>
    <n v="483.17359999999962"/>
    <n v="0.10573713048412212"/>
    <s v="Jun-2025"/>
    <d v="2025-06-01T00:00:00"/>
    <s v="Q2-2025"/>
    <s v="Americas → Canada → Vancouver"/>
    <s v="Printers"/>
    <s v="Low"/>
    <d v="2023-01-01T00:00:00"/>
    <n v="29"/>
  </r>
  <r>
    <s v="ORD-2025-312803"/>
    <s v="Original"/>
    <d v="2025-06-24T00:00:00"/>
    <d v="2025-07-14T00:00:00"/>
    <n v="20"/>
    <x v="1"/>
    <s v="South Africa"/>
    <s v="Johannesburg"/>
    <s v="Enterprise"/>
    <x v="4"/>
    <s v="J. Njeri"/>
    <x v="0"/>
    <x v="575"/>
    <n v="1151.06"/>
    <n v="2821.36"/>
    <n v="0.248"/>
    <n v="20"/>
    <n v="42433.254400000005"/>
    <n v="23021.199999999997"/>
    <n v="19412.054400000008"/>
    <n v="0.45747267501594235"/>
    <s v="Jun-2025"/>
    <d v="2025-06-01T00:00:00"/>
    <s v="Q2-2025"/>
    <s v="Africa → South Africa → Johannesburg"/>
    <s v="Laptops"/>
    <s v="High"/>
    <d v="2023-01-01T00:00:00"/>
    <n v="29"/>
  </r>
  <r>
    <s v="ORD-2025-591006"/>
    <s v="Original"/>
    <d v="2025-06-25T00:00:00"/>
    <d v="2025-07-10T00:00:00"/>
    <n v="15"/>
    <x v="2"/>
    <s v="United Kingdom"/>
    <s v="Birmingham"/>
    <s v="Non-Profit"/>
    <x v="4"/>
    <s v="D. Smith"/>
    <x v="2"/>
    <x v="576"/>
    <n v="546.83000000000004"/>
    <n v="400.84"/>
    <n v="7.8E-2"/>
    <n v="13"/>
    <n v="4804.4682400000002"/>
    <n v="7108.7900000000009"/>
    <n v="-2304.3217600000007"/>
    <n v="-0.47962056254533608"/>
    <s v="Jun-2025"/>
    <d v="2025-06-01T00:00:00"/>
    <s v="Q2-2025"/>
    <s v="Europe → United Kingdom → Birmingham"/>
    <s v="Phones"/>
    <s v="Low"/>
    <d v="2023-01-01T00:00:00"/>
    <n v="29"/>
  </r>
  <r>
    <s v="ORD-2025-929414"/>
    <s v="Original"/>
    <d v="2025-06-26T00:00:00"/>
    <d v="2025-07-11T00:00:00"/>
    <n v="15"/>
    <x v="1"/>
    <s v="Nigeria"/>
    <s v="Port Harcourt"/>
    <s v="Small Business"/>
    <x v="1"/>
    <s v="A. Patel"/>
    <x v="0"/>
    <x v="577"/>
    <n v="1170.1500000000001"/>
    <n v="2115.19"/>
    <n v="9.1999999999999998E-2"/>
    <n v="23"/>
    <n v="44173.627960000005"/>
    <n v="26913.45"/>
    <n v="17260.177960000005"/>
    <n v="0.39073489674946776"/>
    <s v="Jun-2025"/>
    <d v="2025-06-01T00:00:00"/>
    <s v="Q2-2025"/>
    <s v="Africa → Nigeria → Port Harcourt"/>
    <s v="Laptops"/>
    <s v="High"/>
    <d v="2023-01-01T00:00:00"/>
    <n v="29"/>
  </r>
  <r>
    <s v="ORD-2025-184754"/>
    <s v="Original"/>
    <d v="2025-06-27T00:00:00"/>
    <d v="2025-07-05T00:00:00"/>
    <n v="8"/>
    <x v="2"/>
    <s v="Germany"/>
    <s v="Munich"/>
    <s v="Small Business"/>
    <x v="2"/>
    <s v="G. Dubois"/>
    <x v="5"/>
    <x v="578"/>
    <n v="314.93"/>
    <n v="687.95"/>
    <n v="0.20499999999999999"/>
    <n v="8"/>
    <n v="4375.3620000000001"/>
    <n v="2519.44"/>
    <n v="1855.922"/>
    <n v="0.424175645352316"/>
    <s v="Jun-2025"/>
    <d v="2025-06-01T00:00:00"/>
    <s v="Q2-2025"/>
    <s v="Europe → Germany → Munich"/>
    <s v="Monitors"/>
    <s v="Low"/>
    <d v="2023-01-01T00:00:00"/>
    <n v="29"/>
  </r>
  <r>
    <s v="ORD-2025-188059"/>
    <s v="Original"/>
    <d v="2025-06-27T00:00:00"/>
    <d v="2025-07-11T00:00:00"/>
    <n v="14"/>
    <x v="3"/>
    <s v="China"/>
    <s v="Shanghai"/>
    <s v="Small Business"/>
    <x v="4"/>
    <s v="L. Okafor"/>
    <x v="4"/>
    <x v="579"/>
    <n v="1227.7"/>
    <n v="2197.23"/>
    <n v="9.9000000000000005E-2"/>
    <n v="22"/>
    <n v="43553.493060000001"/>
    <n v="27009.4"/>
    <n v="16544.093059999999"/>
    <n v="0.37985685871873898"/>
    <s v="Jun-2025"/>
    <d v="2025-06-01T00:00:00"/>
    <s v="Q2-2025"/>
    <s v="Asia → China → Shanghai"/>
    <s v="Networking"/>
    <s v="High"/>
    <d v="2023-01-01T00:00:00"/>
    <n v="29"/>
  </r>
  <r>
    <s v="ORD-2025-650841"/>
    <s v="Original"/>
    <d v="2025-07-03T00:00:00"/>
    <d v="2025-07-06T00:00:00"/>
    <n v="3"/>
    <x v="1"/>
    <s v="Nigeria"/>
    <s v="Lagos"/>
    <s v="Consumer"/>
    <x v="1"/>
    <s v="Unassigned"/>
    <x v="0"/>
    <x v="580"/>
    <n v="1313.3"/>
    <n v="2884.34"/>
    <n v="0.157"/>
    <n v="42"/>
    <n v="102122.94203999999"/>
    <n v="55158.6"/>
    <n v="46964.342039999996"/>
    <n v="0.45988042551305253"/>
    <s v="Jul-2025"/>
    <d v="2025-07-01T00:00:00"/>
    <s v="Q3-2025"/>
    <s v="Africa → Nigeria → Lagos"/>
    <s v="Laptops"/>
    <s v="High"/>
    <d v="2023-01-01T00:00:00"/>
    <n v="30"/>
  </r>
  <r>
    <s v="ORD-2025-779659"/>
    <s v="Original"/>
    <d v="2025-07-03T00:00:00"/>
    <d v="2025-07-23T00:00:00"/>
    <n v="20"/>
    <x v="3"/>
    <s v="China"/>
    <s v="Beijing"/>
    <s v="Small Business"/>
    <x v="1"/>
    <s v="M. Rossi"/>
    <x v="6"/>
    <x v="581"/>
    <n v="647.36"/>
    <n v="1383.6"/>
    <n v="7.3999999999999996E-2"/>
    <n v="12"/>
    <n v="15374.563199999999"/>
    <n v="7768.32"/>
    <n v="7606.243199999999"/>
    <n v="0.49472906000997802"/>
    <s v="Jul-2025"/>
    <d v="2025-07-01T00:00:00"/>
    <s v="Q3-2025"/>
    <s v="Asia → China → Beijing"/>
    <s v="Components"/>
    <s v="Medium"/>
    <d v="2023-01-01T00:00:00"/>
    <n v="30"/>
  </r>
  <r>
    <s v="ORD-2025-956101"/>
    <s v="Original"/>
    <d v="2025-07-09T00:00:00"/>
    <d v="2025-07-18T00:00:00"/>
    <n v="9"/>
    <x v="0"/>
    <s v="Canada"/>
    <s v="Vancouver"/>
    <s v="Education"/>
    <x v="0"/>
    <s v="I. Johnson"/>
    <x v="0"/>
    <x v="582"/>
    <n v="57.96"/>
    <n v="88.51"/>
    <n v="4.2999999999999997E-2"/>
    <n v="7"/>
    <n v="592.92849000000001"/>
    <n v="405.72"/>
    <n v="187.20848999999998"/>
    <n v="0.3157353595877978"/>
    <s v="Jul-2025"/>
    <d v="2025-07-01T00:00:00"/>
    <s v="Q3-2025"/>
    <s v="Americas → Canada → Vancouver"/>
    <s v="Laptops"/>
    <s v="Low"/>
    <d v="2023-01-01T00:00:00"/>
    <n v="30"/>
  </r>
  <r>
    <s v="ORD-2025-155182"/>
    <s v="Original"/>
    <d v="2025-07-11T00:00:00"/>
    <d v="2025-08-03T00:00:00"/>
    <n v="23"/>
    <x v="1"/>
    <s v="Kenya"/>
    <s v="Nakuru"/>
    <s v="Small Business"/>
    <x v="3"/>
    <s v="C. Otieno"/>
    <x v="2"/>
    <x v="583"/>
    <n v="389.93"/>
    <n v="486.13"/>
    <n v="0.13200000000000001"/>
    <n v="17"/>
    <n v="7173.3342799999991"/>
    <n v="6628.81"/>
    <n v="544.52427999999873"/>
    <n v="7.5909508569562828E-2"/>
    <s v="Jul-2025"/>
    <d v="2025-07-01T00:00:00"/>
    <s v="Q3-2025"/>
    <s v="Africa → Kenya → Nakuru"/>
    <s v="Phones"/>
    <s v="Low"/>
    <d v="2023-01-01T00:00:00"/>
    <n v="30"/>
  </r>
  <r>
    <s v="ORD-2025-150713"/>
    <s v="Original"/>
    <d v="2025-07-11T00:00:00"/>
    <d v="2025-07-16T00:00:00"/>
    <n v="5"/>
    <x v="2"/>
    <s v="United Kingdom"/>
    <s v="London"/>
    <s v="Enterprise"/>
    <x v="1"/>
    <s v="K. Singh"/>
    <x v="1"/>
    <x v="584"/>
    <n v="930.03"/>
    <n v="1086.68"/>
    <n v="0.109"/>
    <n v="26"/>
    <n v="25174.028880000002"/>
    <n v="24180.78"/>
    <n v="993.24888000000283"/>
    <n v="3.9455300728168656E-2"/>
    <s v="Jul-2025"/>
    <d v="2025-07-01T00:00:00"/>
    <s v="Q3-2025"/>
    <s v="Europe → United Kingdom → London"/>
    <s v="Printers"/>
    <s v="Medium"/>
    <d v="2023-01-01T00:00:00"/>
    <n v="30"/>
  </r>
  <r>
    <s v="ORD-2025-586799"/>
    <s v="Original"/>
    <d v="2025-07-14T00:00:00"/>
    <d v="2025-08-04T00:00:00"/>
    <n v="21"/>
    <x v="0"/>
    <s v="Canada"/>
    <s v="Montreal"/>
    <s v="Consumer"/>
    <x v="1"/>
    <s v="H. Kim"/>
    <x v="5"/>
    <x v="585"/>
    <n v="90.3"/>
    <n v="131.76"/>
    <n v="0.10199999999999999"/>
    <n v="15"/>
    <n v="1774.8072"/>
    <n v="1354.5"/>
    <n v="420.30719999999997"/>
    <n v="0.23681851189244668"/>
    <s v="Jul-2025"/>
    <d v="2025-07-01T00:00:00"/>
    <s v="Q3-2025"/>
    <s v="Americas → Canada → Montreal"/>
    <s v="Monitors"/>
    <s v="Low"/>
    <d v="2023-01-01T00:00:00"/>
    <n v="30"/>
  </r>
  <r>
    <s v="ORD-2025-678688"/>
    <s v="Original"/>
    <d v="2025-07-16T00:00:00"/>
    <d v="2025-07-17T00:00:00"/>
    <n v="1"/>
    <x v="1"/>
    <s v="South Africa"/>
    <s v="Durban"/>
    <s v="Small Business"/>
    <x v="0"/>
    <s v="B. Chen"/>
    <x v="4"/>
    <x v="586"/>
    <n v="1198.9000000000001"/>
    <n v="2941.2"/>
    <n v="5.0999999999999997E-2"/>
    <n v="24"/>
    <n v="66988.771199999988"/>
    <n v="28773.600000000002"/>
    <n v="38215.171199999982"/>
    <n v="0.57047129713583977"/>
    <s v="Jul-2025"/>
    <d v="2025-07-01T00:00:00"/>
    <s v="Q3-2025"/>
    <s v="Africa → South Africa → Durban"/>
    <s v="Networking"/>
    <s v="High"/>
    <d v="2023-01-01T00:00:00"/>
    <n v="30"/>
  </r>
  <r>
    <s v="ORD-2025-132174"/>
    <s v="Original"/>
    <d v="2025-07-17T00:00:00"/>
    <d v="2025-07-23T00:00:00"/>
    <n v="6"/>
    <x v="0"/>
    <s v="Canada"/>
    <s v="Vancouver"/>
    <s v="Consumer"/>
    <x v="1"/>
    <s v="H. Kim"/>
    <x v="6"/>
    <x v="587"/>
    <n v="1364.89"/>
    <n v="2757.54"/>
    <n v="0.17199999999999999"/>
    <n v="61"/>
    <n v="139277.83032000001"/>
    <n v="83258.290000000008"/>
    <n v="56019.54032"/>
    <n v="0.4022143379983118"/>
    <s v="Jul-2025"/>
    <d v="2025-07-01T00:00:00"/>
    <s v="Q3-2025"/>
    <s v="Americas → Canada → Vancouver"/>
    <s v="Components"/>
    <s v="High"/>
    <d v="2023-01-01T00:00:00"/>
    <n v="30"/>
  </r>
  <r>
    <s v="ORD-2025-649633"/>
    <s v="Original"/>
    <d v="2025-07-19T00:00:00"/>
    <d v="2025-07-31T00:00:00"/>
    <n v="12"/>
    <x v="1"/>
    <s v="Kenya"/>
    <s v="Nairobi"/>
    <s v="Small Business"/>
    <x v="4"/>
    <s v="O. Wang"/>
    <x v="3"/>
    <x v="588"/>
    <n v="619.64"/>
    <n v="861.16"/>
    <n v="0.113"/>
    <n v="14"/>
    <n v="10693.88488"/>
    <n v="8674.9599999999991"/>
    <n v="2018.9248800000005"/>
    <n v="0.18879246435276761"/>
    <s v="Jul-2025"/>
    <d v="2025-07-01T00:00:00"/>
    <s v="Q3-2025"/>
    <s v="Africa → Kenya → Nairobi"/>
    <s v="Accessories"/>
    <s v="Medium"/>
    <d v="2023-01-01T00:00:00"/>
    <n v="30"/>
  </r>
  <r>
    <s v="ORD-2025-843974"/>
    <s v="Original"/>
    <d v="2025-07-20T00:00:00"/>
    <d v="2025-08-05T00:00:00"/>
    <n v="16"/>
    <x v="0"/>
    <s v="Brazil"/>
    <s v="Brasília"/>
    <s v="Enterprise"/>
    <x v="4"/>
    <s v="G. Dubois"/>
    <x v="3"/>
    <x v="589"/>
    <n v="1068.17"/>
    <n v="2375.37"/>
    <n v="0.109"/>
    <n v="18"/>
    <n v="38096.18406"/>
    <n v="19227.060000000001"/>
    <n v="18869.124059999998"/>
    <n v="0.49530220744108822"/>
    <s v="Jul-2025"/>
    <d v="2025-07-01T00:00:00"/>
    <s v="Q3-2025"/>
    <s v="Americas → Brazil → Brasília"/>
    <s v="Accessories"/>
    <s v="High"/>
    <d v="2023-01-01T00:00:00"/>
    <n v="30"/>
  </r>
  <r>
    <s v="ORD-2025-629393"/>
    <s v="Original"/>
    <d v="2025-07-21T00:00:00"/>
    <d v="2025-08-07T00:00:00"/>
    <n v="17"/>
    <x v="1"/>
    <s v="Nigeria"/>
    <s v="Lagos"/>
    <s v="Enterprise"/>
    <x v="2"/>
    <s v="M. Rossi"/>
    <x v="3"/>
    <x v="590"/>
    <n v="1204.95"/>
    <n v="2065.73"/>
    <n v="0.13600000000000001"/>
    <n v="10"/>
    <n v="17847.907199999998"/>
    <n v="12049.5"/>
    <n v="5798.4071999999978"/>
    <n v="0.32487882949100039"/>
    <s v="Jul-2025"/>
    <d v="2025-07-01T00:00:00"/>
    <s v="Q3-2025"/>
    <s v="Africa → Nigeria → Lagos"/>
    <s v="Accessories"/>
    <s v="High"/>
    <d v="2023-01-01T00:00:00"/>
    <n v="30"/>
  </r>
  <r>
    <s v="ORD-2025-541501"/>
    <s v="Original"/>
    <d v="2025-07-22T00:00:00"/>
    <d v="2025-08-18T00:00:00"/>
    <n v="27"/>
    <x v="3"/>
    <s v="China"/>
    <s v="Shenzhen"/>
    <s v="Non-Profit"/>
    <x v="4"/>
    <s v="M. Rossi"/>
    <x v="4"/>
    <x v="591"/>
    <n v="547.32000000000005"/>
    <n v="419.17"/>
    <n v="9.1999999999999998E-2"/>
    <n v="14"/>
    <n v="5328.4890400000004"/>
    <n v="7662.4800000000005"/>
    <n v="-2333.9909600000001"/>
    <n v="-0.43802116181137907"/>
    <s v="Jul-2025"/>
    <d v="2025-07-01T00:00:00"/>
    <s v="Q3-2025"/>
    <s v="Asia → China → Shenzhen"/>
    <s v="Networking"/>
    <s v="Low"/>
    <d v="2023-01-01T00:00:00"/>
    <n v="30"/>
  </r>
  <r>
    <s v="ORD-2025-789245"/>
    <s v="Original"/>
    <d v="2025-07-23T00:00:00"/>
    <d v="2025-08-17T00:00:00"/>
    <n v="25"/>
    <x v="2"/>
    <s v="United Kingdom"/>
    <s v="Birmingham"/>
    <s v="Education"/>
    <x v="1"/>
    <s v="I. Johnson"/>
    <x v="1"/>
    <x v="592"/>
    <n v="1142.06"/>
    <n v="1455"/>
    <n v="7.8E-2"/>
    <n v="28"/>
    <n v="37562.28"/>
    <n v="31977.68"/>
    <n v="5584.5999999999985"/>
    <n v="0.1486757459877302"/>
    <s v="Jul-2025"/>
    <d v="2025-07-01T00:00:00"/>
    <s v="Q3-2025"/>
    <s v="Europe → United Kingdom → Birmingham"/>
    <s v="Printers"/>
    <s v="Medium"/>
    <d v="2023-01-01T00:00:00"/>
    <n v="30"/>
  </r>
  <r>
    <s v="ORD-2025-703623"/>
    <s v="Original"/>
    <d v="2025-07-23T00:00:00"/>
    <d v="2025-08-19T00:00:00"/>
    <n v="27"/>
    <x v="3"/>
    <s v="Japan"/>
    <s v="Nagoya"/>
    <s v="Consumer"/>
    <x v="4"/>
    <s v="B. Chen"/>
    <x v="3"/>
    <x v="593"/>
    <n v="896.09"/>
    <n v="744.27"/>
    <n v="8.3000000000000004E-2"/>
    <n v="11"/>
    <n v="7507.4514899999995"/>
    <n v="9856.99"/>
    <n v="-2349.5385100000003"/>
    <n v="-0.31296086469950679"/>
    <s v="Jul-2025"/>
    <d v="2025-07-01T00:00:00"/>
    <s v="Q3-2025"/>
    <s v="Asia → Japan → Nagoya"/>
    <s v="Accessories"/>
    <s v="Low"/>
    <d v="2023-03-01T00:00:00"/>
    <n v="28"/>
  </r>
  <r>
    <s v="ORD-2025-474710"/>
    <s v="Original"/>
    <d v="2025-07-24T00:00:00"/>
    <d v="2025-08-06T00:00:00"/>
    <n v="13"/>
    <x v="1"/>
    <s v="South Africa"/>
    <s v="Johannesburg"/>
    <s v="Education"/>
    <x v="4"/>
    <s v="D. Smith"/>
    <x v="4"/>
    <x v="594"/>
    <n v="1463.9"/>
    <n v="2633.02"/>
    <n v="8.4000000000000005E-2"/>
    <n v="4"/>
    <n v="9647.3852800000004"/>
    <n v="5855.6"/>
    <n v="3791.7852800000001"/>
    <n v="0.39303761277791527"/>
    <s v="Jul-2025"/>
    <d v="2025-07-01T00:00:00"/>
    <s v="Q3-2025"/>
    <s v="Africa → South Africa → Johannesburg"/>
    <s v="Networking"/>
    <s v="High"/>
    <d v="2023-01-01T00:00:00"/>
    <n v="30"/>
  </r>
  <r>
    <s v="ORD-2025-496178"/>
    <s v="Original"/>
    <d v="2025-07-27T00:00:00"/>
    <d v="2025-08-15T00:00:00"/>
    <n v="19"/>
    <x v="3"/>
    <s v="Japan"/>
    <s v="Tokyo"/>
    <s v="Small Business"/>
    <x v="4"/>
    <s v="J. Njeri"/>
    <x v="6"/>
    <x v="595"/>
    <n v="275.43"/>
    <n v="608.36"/>
    <n v="0.25700000000000001"/>
    <n v="4"/>
    <n v="1808.04592"/>
    <n v="1101.72"/>
    <n v="706.32592"/>
    <n v="0.39065706915231446"/>
    <s v="Jul-2025"/>
    <d v="2025-07-01T00:00:00"/>
    <s v="Q3-2025"/>
    <s v="Asia → Japan → Tokyo"/>
    <s v="Components"/>
    <s v="Low"/>
    <d v="2023-03-01T00:00:00"/>
    <n v="28"/>
  </r>
  <r>
    <s v="ORD-2025-262491"/>
    <s v="Original"/>
    <d v="2025-08-01T00:00:00"/>
    <d v="2025-08-16T00:00:00"/>
    <n v="15"/>
    <x v="3"/>
    <s v="India"/>
    <s v="Unknown"/>
    <s v="Enterprise"/>
    <x v="2"/>
    <s v="O. Wang"/>
    <x v="5"/>
    <x v="596"/>
    <n v="24.44"/>
    <n v="28.69"/>
    <n v="0.14599999999999999"/>
    <n v="6"/>
    <n v="147.00756000000001"/>
    <n v="146.64000000000001"/>
    <n v="0.36755999999999744"/>
    <n v="2.5002795774584476E-3"/>
    <s v="Aug-2025"/>
    <d v="2025-08-01T00:00:00"/>
    <s v="Q3-2025"/>
    <s v="Asia → India → Unknown"/>
    <s v="Monitors"/>
    <s v="Low"/>
    <d v="2023-02-01T00:00:00"/>
    <n v="30"/>
  </r>
  <r>
    <s v="ORD-2025-418232"/>
    <s v="Original"/>
    <d v="2025-08-01T00:00:00"/>
    <d v="2025-08-21T00:00:00"/>
    <n v="20"/>
    <x v="3"/>
    <s v="China"/>
    <s v="Shanghai"/>
    <s v="Corporate"/>
    <x v="2"/>
    <s v="I. Johnson"/>
    <x v="2"/>
    <x v="597"/>
    <n v="1220.4100000000001"/>
    <n v="2552.2199999999998"/>
    <n v="0.18099999999999999"/>
    <n v="14"/>
    <n v="29263.754519999995"/>
    <n v="17085.740000000002"/>
    <n v="12178.014519999993"/>
    <n v="0.41614668793360271"/>
    <s v="Aug-2025"/>
    <d v="2025-08-01T00:00:00"/>
    <s v="Q3-2025"/>
    <s v="Asia → China → Shanghai"/>
    <s v="Phones"/>
    <s v="High"/>
    <d v="2023-01-01T00:00:00"/>
    <n v="31"/>
  </r>
  <r>
    <s v="ORD-2025-646342"/>
    <s v="Original"/>
    <d v="2025-08-02T00:00:00"/>
    <d v="2025-08-08T00:00:00"/>
    <n v="6"/>
    <x v="3"/>
    <s v="Japan"/>
    <s v="Osaka"/>
    <s v="Consumer"/>
    <x v="2"/>
    <s v="N. Brown"/>
    <x v="0"/>
    <x v="598"/>
    <n v="1225.94"/>
    <n v="1793.08"/>
    <n v="0.13600000000000001"/>
    <n v="22"/>
    <n v="34082.864639999993"/>
    <n v="26970.68"/>
    <n v="7112.1846399999922"/>
    <n v="0.20867332353434462"/>
    <s v="Aug-2025"/>
    <d v="2025-08-01T00:00:00"/>
    <s v="Q3-2025"/>
    <s v="Asia → Japan → Osaka"/>
    <s v="Laptops"/>
    <s v="High"/>
    <d v="2023-03-01T00:00:00"/>
    <n v="29"/>
  </r>
  <r>
    <s v="ORD-2025-281413"/>
    <s v="Original"/>
    <d v="2025-08-03T00:00:00"/>
    <d v="2025-08-16T00:00:00"/>
    <n v="13"/>
    <x v="0"/>
    <s v="Canada"/>
    <s v="Montreal"/>
    <s v="Enterprise"/>
    <x v="0"/>
    <s v="O. Wang"/>
    <x v="4"/>
    <x v="599"/>
    <n v="698.66"/>
    <n v="868.62"/>
    <n v="7.1999999999999995E-2"/>
    <n v="15"/>
    <n v="12091.190399999999"/>
    <n v="10479.9"/>
    <n v="1611.2903999999999"/>
    <n v="0.13326151906432637"/>
    <s v="Aug-2025"/>
    <d v="2025-08-01T00:00:00"/>
    <s v="Q3-2025"/>
    <s v="Americas → Canada → Montreal"/>
    <s v="Networking"/>
    <s v="Medium"/>
    <d v="2023-01-01T00:00:00"/>
    <n v="31"/>
  </r>
  <r>
    <s v="ORD-2025-537785"/>
    <s v="Original"/>
    <d v="2025-08-05T00:00:00"/>
    <d v="2025-08-14T00:00:00"/>
    <n v="9"/>
    <x v="2"/>
    <s v="United Kingdom"/>
    <s v="London"/>
    <s v="Non-Profit"/>
    <x v="2"/>
    <s v="E. Garcia"/>
    <x v="6"/>
    <x v="600"/>
    <n v="41.76"/>
    <n v="45.19"/>
    <n v="0.17899999999999999"/>
    <n v="23"/>
    <n v="853.32276999999988"/>
    <n v="960.4799999999999"/>
    <n v="-107.15723000000003"/>
    <n v="-0.12557643340514638"/>
    <s v="Aug-2025"/>
    <d v="2025-08-01T00:00:00"/>
    <s v="Q3-2025"/>
    <s v="Europe → United Kingdom → London"/>
    <s v="Components"/>
    <s v="Low"/>
    <d v="2023-01-01T00:00:00"/>
    <n v="31"/>
  </r>
  <r>
    <s v="ORD-2025-635337"/>
    <s v="Original"/>
    <d v="2025-08-05T00:00:00"/>
    <d v="2025-08-28T00:00:00"/>
    <n v="23"/>
    <x v="3"/>
    <s v="India"/>
    <s v="Mumbai"/>
    <s v="Non-Profit"/>
    <x v="0"/>
    <s v="N. Brown"/>
    <x v="0"/>
    <x v="601"/>
    <n v="638.54"/>
    <n v="987.24"/>
    <n v="0"/>
    <n v="11"/>
    <n v="10859.64"/>
    <n v="7023.94"/>
    <n v="3835.7"/>
    <n v="0.35320692030306716"/>
    <s v="Aug-2025"/>
    <d v="2025-08-01T00:00:00"/>
    <s v="Q3-2025"/>
    <s v="Asia → India → Mumbai"/>
    <s v="Laptops"/>
    <s v="Medium"/>
    <d v="2023-02-01T00:00:00"/>
    <n v="30"/>
  </r>
  <r>
    <s v="ORD-2025-419532"/>
    <s v="Original"/>
    <d v="2025-08-06T00:00:00"/>
    <d v="2025-08-23T00:00:00"/>
    <n v="17"/>
    <x v="0"/>
    <s v="Brazil"/>
    <s v="Brasília"/>
    <s v="Consumer"/>
    <x v="0"/>
    <s v="A. Patel"/>
    <x v="5"/>
    <x v="602"/>
    <n v="86.64"/>
    <n v="213.06"/>
    <n v="0.21199999999999999"/>
    <n v="11"/>
    <n v="1846.8040799999999"/>
    <n v="953.04"/>
    <n v="893.76407999999992"/>
    <n v="0.48395175735154322"/>
    <s v="Aug-2025"/>
    <d v="2025-08-01T00:00:00"/>
    <s v="Q3-2025"/>
    <s v="Americas → Brazil → Brasília"/>
    <s v="Monitors"/>
    <s v="Low"/>
    <d v="2023-01-01T00:00:00"/>
    <n v="31"/>
  </r>
  <r>
    <s v="ORD-2025-863978"/>
    <s v="Original"/>
    <d v="2025-08-07T00:00:00"/>
    <d v="2025-08-19T00:00:00"/>
    <n v="12"/>
    <x v="1"/>
    <s v="Kenya"/>
    <s v="Nakuru"/>
    <s v="Corporate"/>
    <x v="5"/>
    <s v="M. Rossi"/>
    <x v="6"/>
    <x v="603"/>
    <n v="601.51"/>
    <n v="679.35"/>
    <n v="0.188"/>
    <n v="3"/>
    <n v="1654.8966000000003"/>
    <n v="1804.53"/>
    <n v="-149.63339999999971"/>
    <n v="-9.0418579626062243E-2"/>
    <s v="Aug-2025"/>
    <d v="2025-08-01T00:00:00"/>
    <s v="Q3-2025"/>
    <s v="Africa → Kenya → Nakuru"/>
    <s v="Components"/>
    <s v="Low"/>
    <d v="2023-01-01T00:00:00"/>
    <n v="31"/>
  </r>
  <r>
    <s v="ORD-2025-822030"/>
    <s v="Original"/>
    <d v="2025-08-07T00:00:00"/>
    <d v="2025-09-06T00:00:00"/>
    <n v="30"/>
    <x v="0"/>
    <s v="Canada"/>
    <s v="Montreal"/>
    <s v="Education"/>
    <x v="2"/>
    <s v="M. Rossi"/>
    <x v="4"/>
    <x v="604"/>
    <n v="833.73"/>
    <n v="1116.5999999999999"/>
    <n v="0.17599999999999999"/>
    <n v="14"/>
    <n v="12881.097599999999"/>
    <n v="11672.220000000001"/>
    <n v="1208.877599999998"/>
    <n v="9.3848958958279924E-2"/>
    <s v="Aug-2025"/>
    <d v="2025-08-01T00:00:00"/>
    <s v="Q3-2025"/>
    <s v="Americas → Canada → Montreal"/>
    <s v="Networking"/>
    <s v="Medium"/>
    <d v="2023-01-01T00:00:00"/>
    <n v="31"/>
  </r>
  <r>
    <s v="ORD-2025-289139"/>
    <s v="Original"/>
    <d v="2025-08-10T00:00:00"/>
    <d v="2025-08-30T00:00:00"/>
    <n v="20"/>
    <x v="0"/>
    <s v="USA"/>
    <s v="San Francisco"/>
    <s v="Corporate"/>
    <x v="4"/>
    <s v="K. Singh"/>
    <x v="1"/>
    <x v="605"/>
    <n v="933.29"/>
    <n v="1456.81"/>
    <n v="0.123"/>
    <n v="13"/>
    <n v="16609.090809999998"/>
    <n v="12132.77"/>
    <n v="4476.3208099999974"/>
    <n v="0.26951028573489977"/>
    <s v="Aug-2025"/>
    <d v="2025-08-01T00:00:00"/>
    <s v="Q3-2025"/>
    <s v="Americas → USA → San Francisco"/>
    <s v="Printers"/>
    <s v="Medium"/>
    <d v="2023-01-01T00:00:00"/>
    <n v="31"/>
  </r>
  <r>
    <s v="ORD-2025-189846"/>
    <s v="Original"/>
    <d v="2025-08-11T00:00:00"/>
    <d v="2025-08-28T00:00:00"/>
    <n v="17"/>
    <x v="2"/>
    <s v="France"/>
    <s v="Paris"/>
    <s v="Education"/>
    <x v="1"/>
    <s v="F. Müller"/>
    <x v="4"/>
    <x v="606"/>
    <n v="416.16"/>
    <n v="571.9"/>
    <n v="7.0999999999999994E-2"/>
    <n v="2"/>
    <n v="1062.5902000000001"/>
    <n v="832.32"/>
    <n v="230.27020000000005"/>
    <n v="0.21670649701079497"/>
    <s v="Aug-2025"/>
    <d v="2025-08-01T00:00:00"/>
    <s v="Q3-2025"/>
    <s v="Europe → France → Paris"/>
    <s v="Networking"/>
    <s v="Low"/>
    <d v="2023-01-01T00:00:00"/>
    <n v="31"/>
  </r>
  <r>
    <s v="ORD-2025-683043"/>
    <s v="Original"/>
    <d v="2025-08-13T00:00:00"/>
    <d v="2025-09-03T00:00:00"/>
    <n v="21"/>
    <x v="2"/>
    <s v="France"/>
    <s v="Paris"/>
    <s v="Education"/>
    <x v="3"/>
    <s v="I. Johnson"/>
    <x v="2"/>
    <x v="607"/>
    <n v="603.47"/>
    <n v="1344.05"/>
    <n v="0.20499999999999999"/>
    <n v="18"/>
    <n v="19233.355499999998"/>
    <n v="10862.460000000001"/>
    <n v="8370.8954999999969"/>
    <n v="0.43522803392262976"/>
    <s v="Aug-2025"/>
    <d v="2025-08-01T00:00:00"/>
    <s v="Q3-2025"/>
    <s v="Europe → France → Paris"/>
    <s v="Phones"/>
    <s v="Medium"/>
    <d v="2023-01-01T00:00:00"/>
    <n v="31"/>
  </r>
  <r>
    <s v="ORD-2025-949776"/>
    <s v="Original"/>
    <d v="2025-08-14T00:00:00"/>
    <d v="2025-09-11T00:00:00"/>
    <n v="28"/>
    <x v="0"/>
    <s v="Brazil"/>
    <s v="São Paulo"/>
    <s v="Non-Profit"/>
    <x v="2"/>
    <s v="F. Müller"/>
    <x v="1"/>
    <x v="608"/>
    <n v="1203.02"/>
    <n v="2439.33"/>
    <n v="0"/>
    <n v="18"/>
    <n v="43907.94"/>
    <n v="21654.36"/>
    <n v="22253.58"/>
    <n v="0.50682359500354612"/>
    <s v="Aug-2025"/>
    <d v="2025-08-01T00:00:00"/>
    <s v="Q3-2025"/>
    <s v="Americas → Brazil → São Paulo"/>
    <s v="Printers"/>
    <s v="High"/>
    <d v="2023-01-01T00:00:00"/>
    <n v="31"/>
  </r>
  <r>
    <s v="ORD-2025-960931"/>
    <s v="Original"/>
    <d v="2025-08-20T00:00:00"/>
    <d v="2025-08-26T00:00:00"/>
    <n v="6"/>
    <x v="0"/>
    <s v="USA"/>
    <s v="New York"/>
    <s v="Corporate"/>
    <x v="3"/>
    <s v="M. Rossi"/>
    <x v="4"/>
    <x v="609"/>
    <n v="1304.95"/>
    <n v="1712.03"/>
    <n v="0.21199999999999999"/>
    <n v="8"/>
    <n v="10792.637119999999"/>
    <n v="10439.6"/>
    <n v="353.03711999999905"/>
    <n v="3.2710922833287949E-2"/>
    <s v="Aug-2025"/>
    <d v="2025-08-01T00:00:00"/>
    <s v="Q3-2025"/>
    <s v="Americas → USA → New York"/>
    <s v="Networking"/>
    <s v="High"/>
    <d v="2023-01-01T00:00:00"/>
    <n v="31"/>
  </r>
  <r>
    <s v="ORD-2025-652467"/>
    <s v="Original"/>
    <d v="2025-08-21T00:00:00"/>
    <d v="2025-09-12T00:00:00"/>
    <n v="22"/>
    <x v="3"/>
    <s v="China"/>
    <s v="Shenzhen"/>
    <s v="Education"/>
    <x v="3"/>
    <s v="B. Chen"/>
    <x v="1"/>
    <x v="610"/>
    <n v="352.66"/>
    <n v="411.18"/>
    <n v="0.17299999999999999"/>
    <n v="13"/>
    <n v="4420.5961799999995"/>
    <n v="4584.58"/>
    <n v="-163.98382000000038"/>
    <n v="-3.7095408248758066E-2"/>
    <s v="Aug-2025"/>
    <d v="2025-08-01T00:00:00"/>
    <s v="Q3-2025"/>
    <s v="Asia → China → Shenzhen"/>
    <s v="Printers"/>
    <s v="Low"/>
    <d v="2023-01-01T00:00:00"/>
    <n v="31"/>
  </r>
  <r>
    <s v="ORD-2025-677880"/>
    <s v="Original"/>
    <d v="2025-08-21T00:00:00"/>
    <d v="2025-09-14T00:00:00"/>
    <n v="24"/>
    <x v="2"/>
    <s v="Germany"/>
    <s v="Berlin"/>
    <s v="Non-Profit"/>
    <x v="1"/>
    <s v="A. Patel"/>
    <x v="5"/>
    <x v="611"/>
    <n v="1397.67"/>
    <n v="3131.37"/>
    <n v="0.10299999999999999"/>
    <n v="20"/>
    <n v="56176.777799999996"/>
    <n v="27953.4"/>
    <n v="28223.377799999995"/>
    <n v="0.50240293062874808"/>
    <s v="Aug-2025"/>
    <d v="2025-08-01T00:00:00"/>
    <s v="Q3-2025"/>
    <s v="Europe → Germany → Berlin"/>
    <s v="Monitors"/>
    <s v="High"/>
    <d v="2023-01-01T00:00:00"/>
    <n v="31"/>
  </r>
  <r>
    <s v="ORD-2025-762212"/>
    <s v="Original"/>
    <d v="2025-08-25T00:00:00"/>
    <d v="2025-09-24T00:00:00"/>
    <n v="30"/>
    <x v="1"/>
    <s v="Kenya"/>
    <s v="Nairobi"/>
    <s v="Consumer"/>
    <x v="2"/>
    <s v="B. Chen"/>
    <x v="6"/>
    <x v="612"/>
    <n v="589.14"/>
    <n v="1300.58"/>
    <n v="5.5E-2"/>
    <n v="11"/>
    <n v="13519.529099999998"/>
    <n v="6480.54"/>
    <n v="7038.989099999998"/>
    <n v="0.52065342275863724"/>
    <s v="Aug-2025"/>
    <d v="2025-08-01T00:00:00"/>
    <s v="Q3-2025"/>
    <s v="Africa → Kenya → Nairobi"/>
    <s v="Components"/>
    <s v="Medium"/>
    <d v="2023-01-01T00:00:00"/>
    <n v="31"/>
  </r>
  <r>
    <s v="ORD-2025-922513"/>
    <s v="Original"/>
    <d v="2025-08-28T00:00:00"/>
    <d v="2025-09-04T00:00:00"/>
    <n v="7"/>
    <x v="1"/>
    <s v="Nigeria"/>
    <s v="Port Harcourt"/>
    <s v="Small Business"/>
    <x v="3"/>
    <s v="A. Patel"/>
    <x v="3"/>
    <x v="613"/>
    <n v="521.05999999999995"/>
    <n v="1240.31"/>
    <n v="0.14599999999999999"/>
    <n v="18"/>
    <n v="19066.045319999997"/>
    <n v="9379.0799999999981"/>
    <n v="9686.9653199999993"/>
    <n v="0.50807417885650974"/>
    <s v="Aug-2025"/>
    <d v="2025-08-01T00:00:00"/>
    <s v="Q3-2025"/>
    <s v="Africa → Nigeria → Port Harcourt"/>
    <s v="Accessories"/>
    <s v="Medium"/>
    <d v="2023-01-01T00:00:00"/>
    <n v="31"/>
  </r>
  <r>
    <s v="ORD-2025-803803"/>
    <s v="Original"/>
    <d v="2025-08-28T00:00:00"/>
    <d v="2025-09-05T00:00:00"/>
    <n v="8"/>
    <x v="1"/>
    <s v="Nigeria"/>
    <s v="Port Harcourt"/>
    <s v="Small Business"/>
    <x v="4"/>
    <s v="E. Garcia"/>
    <x v="0"/>
    <x v="614"/>
    <n v="1271.0999999999999"/>
    <n v="1932.42"/>
    <n v="0.25"/>
    <n v="21"/>
    <n v="30435.614999999998"/>
    <n v="26693.1"/>
    <n v="3742.5149999999994"/>
    <n v="0.12296498690760807"/>
    <s v="Aug-2025"/>
    <d v="2025-08-01T00:00:00"/>
    <s v="Q3-2025"/>
    <s v="Africa → Nigeria → Port Harcourt"/>
    <s v="Laptops"/>
    <s v="High"/>
    <d v="2023-01-01T00:00:00"/>
    <n v="31"/>
  </r>
  <r>
    <s v="ORD-2025-417336"/>
    <s v="Original"/>
    <d v="2025-08-30T00:00:00"/>
    <d v="2025-09-03T00:00:00"/>
    <n v="4"/>
    <x v="2"/>
    <s v="France"/>
    <s v="Marseille"/>
    <s v="Small Business"/>
    <x v="4"/>
    <s v="J. Njeri"/>
    <x v="0"/>
    <x v="615"/>
    <n v="1286.56"/>
    <n v="2777.35"/>
    <n v="0.13200000000000001"/>
    <n v="15"/>
    <n v="36161.097000000002"/>
    <n v="19298.399999999998"/>
    <n v="16862.697000000004"/>
    <n v="0.46632150014696744"/>
    <s v="Aug-2025"/>
    <d v="2025-08-01T00:00:00"/>
    <s v="Q3-2025"/>
    <s v="Europe → France → Marseille"/>
    <s v="Laptops"/>
    <s v="High"/>
    <d v="2023-01-01T00:00:00"/>
    <n v="31"/>
  </r>
  <r>
    <s v="ORD-2025-993993"/>
    <s v="Original"/>
    <d v="2025-08-30T00:00:00"/>
    <d v="2025-09-22T00:00:00"/>
    <n v="23"/>
    <x v="2"/>
    <s v="France"/>
    <s v="Marseille"/>
    <s v="Corporate"/>
    <x v="2"/>
    <s v="E. Garcia"/>
    <x v="6"/>
    <x v="616"/>
    <n v="663.9"/>
    <n v="947.77"/>
    <n v="0.17399999999999999"/>
    <n v="15"/>
    <n v="11742.8703"/>
    <n v="9958.5"/>
    <n v="1784.3703000000005"/>
    <n v="0.1519535049280073"/>
    <s v="Aug-2025"/>
    <d v="2025-08-01T00:00:00"/>
    <s v="Q3-2025"/>
    <s v="Europe → France → Marseille"/>
    <s v="Components"/>
    <s v="Medium"/>
    <d v="2023-01-01T00:00:00"/>
    <n v="31"/>
  </r>
  <r>
    <s v="ORD-2025-840976"/>
    <s v="Original"/>
    <d v="2025-09-01T00:00:00"/>
    <d v="2025-09-30T00:00:00"/>
    <n v="29"/>
    <x v="0"/>
    <s v="Brazil"/>
    <s v="Brasília"/>
    <s v="Education"/>
    <x v="3"/>
    <s v="K. Singh"/>
    <x v="3"/>
    <x v="617"/>
    <n v="780.59"/>
    <n v="631.57000000000005"/>
    <n v="0"/>
    <n v="12"/>
    <n v="7578.84"/>
    <n v="9367.08"/>
    <n v="-1788.2399999999998"/>
    <n v="-0.23595167598207639"/>
    <s v="Sept-2025"/>
    <d v="2025-09-01T00:00:00"/>
    <s v="Q3-2025"/>
    <s v="Americas → Brazil → Brasília"/>
    <s v="Accessories"/>
    <s v="Low"/>
    <d v="2023-01-01T00:00:00"/>
    <n v="32"/>
  </r>
  <r>
    <s v="ORD-2025-898022"/>
    <s v="Original"/>
    <d v="2025-09-02T00:00:00"/>
    <d v="2025-09-11T00:00:00"/>
    <n v="9"/>
    <x v="0"/>
    <s v="Canada"/>
    <s v="Toronto"/>
    <s v="Corporate"/>
    <x v="0"/>
    <s v="M. Rossi"/>
    <x v="1"/>
    <x v="618"/>
    <n v="1207.6300000000001"/>
    <n v="921.68"/>
    <n v="0.19600000000000001"/>
    <n v="17"/>
    <n v="12597.52224"/>
    <n v="20529.710000000003"/>
    <n v="-7932.1877600000025"/>
    <n v="-0.62966253274897988"/>
    <s v="Sept-2025"/>
    <d v="2025-09-01T00:00:00"/>
    <s v="Q3-2025"/>
    <s v="Americas → Canada → Toronto"/>
    <s v="Printers"/>
    <s v="Medium"/>
    <d v="2023-01-01T00:00:00"/>
    <n v="32"/>
  </r>
  <r>
    <s v="ORD-2025-233883"/>
    <s v="Original"/>
    <d v="2025-09-08T00:00:00"/>
    <d v="2025-09-16T00:00:00"/>
    <n v="8"/>
    <x v="3"/>
    <s v="Japan"/>
    <s v="Osaka"/>
    <s v="Corporate"/>
    <x v="0"/>
    <s v="C. Otieno"/>
    <x v="2"/>
    <x v="619"/>
    <n v="1225.57"/>
    <n v="2705.57"/>
    <n v="0.183"/>
    <n v="16"/>
    <n v="35367.211040000002"/>
    <n v="19609.12"/>
    <n v="15758.091040000003"/>
    <n v="0.44555650775453404"/>
    <s v="Sept-2025"/>
    <d v="2025-09-01T00:00:00"/>
    <s v="Q3-2025"/>
    <s v="Asia → Japan → Osaka"/>
    <s v="Phones"/>
    <s v="High"/>
    <d v="2023-03-01T00:00:00"/>
    <n v="30"/>
  </r>
  <r>
    <s v="ORD-2025-823055"/>
    <s v="Original"/>
    <d v="2025-09-08T00:00:00"/>
    <d v="2025-10-05T00:00:00"/>
    <n v="27"/>
    <x v="0"/>
    <s v="Brazil"/>
    <s v="Rio de Janeiro"/>
    <s v="Education"/>
    <x v="1"/>
    <s v="C. Otieno"/>
    <x v="5"/>
    <x v="620"/>
    <n v="660.78"/>
    <n v="1630.39"/>
    <n v="0.218"/>
    <n v="13"/>
    <n v="16574.544740000001"/>
    <n v="8590.14"/>
    <n v="7984.4047400000018"/>
    <n v="0.48172694123724097"/>
    <s v="Sept-2025"/>
    <d v="2025-09-01T00:00:00"/>
    <s v="Q3-2025"/>
    <s v="Americas → Brazil → Rio de Janeiro"/>
    <s v="Monitors"/>
    <s v="High"/>
    <d v="2023-01-01T00:00:00"/>
    <n v="32"/>
  </r>
  <r>
    <s v="ORD-2025-779574"/>
    <s v="Original"/>
    <d v="2025-09-10T00:00:00"/>
    <d v="2025-09-12T00:00:00"/>
    <n v="2"/>
    <x v="3"/>
    <s v="Japan"/>
    <s v="Tokyo"/>
    <s v="Consumer"/>
    <x v="1"/>
    <s v="O. Wang"/>
    <x v="6"/>
    <x v="621"/>
    <n v="1470.15"/>
    <n v="2593.7800000000002"/>
    <n v="0.11"/>
    <n v="12"/>
    <n v="27701.570400000001"/>
    <n v="17641.800000000003"/>
    <n v="10059.770399999998"/>
    <n v="0.36314801849645306"/>
    <s v="Sept-2025"/>
    <d v="2025-09-01T00:00:00"/>
    <s v="Q3-2025"/>
    <s v="Asia → Japan → Tokyo"/>
    <s v="Components"/>
    <s v="High"/>
    <d v="2023-03-01T00:00:00"/>
    <n v="30"/>
  </r>
  <r>
    <s v="ORD-2025-725646"/>
    <s v="Original"/>
    <d v="2025-09-10T00:00:00"/>
    <d v="2025-09-30T00:00:00"/>
    <n v="20"/>
    <x v="1"/>
    <s v="Kenya"/>
    <s v="Mombasa"/>
    <s v="Corporate"/>
    <x v="2"/>
    <s v="L. Okafor"/>
    <x v="2"/>
    <x v="622"/>
    <n v="1009.48"/>
    <n v="1088.81"/>
    <n v="0.16"/>
    <n v="6"/>
    <n v="5487.6023999999998"/>
    <n v="6056.88"/>
    <n v="-569.27760000000035"/>
    <n v="-0.10373885688219693"/>
    <s v="Sept-2025"/>
    <d v="2025-09-01T00:00:00"/>
    <s v="Q3-2025"/>
    <s v="Africa → Kenya → Mombasa"/>
    <s v="Phones"/>
    <s v="Medium"/>
    <d v="2023-01-01T00:00:00"/>
    <n v="32"/>
  </r>
  <r>
    <s v="ORD-2025-244832"/>
    <s v="Original"/>
    <d v="2025-09-11T00:00:00"/>
    <d v="2025-09-28T00:00:00"/>
    <n v="17"/>
    <x v="1"/>
    <s v="Kenya"/>
    <s v="Nairobi"/>
    <s v="Non-Profit"/>
    <x v="0"/>
    <s v="J. Njeri"/>
    <x v="0"/>
    <x v="623"/>
    <n v="891.46"/>
    <n v="728.61"/>
    <n v="0.185"/>
    <n v="6"/>
    <n v="3562.9028999999996"/>
    <n v="5348.76"/>
    <n v="-1785.8571000000006"/>
    <n v="-0.50123653383874167"/>
    <s v="Sept-2025"/>
    <d v="2025-09-01T00:00:00"/>
    <s v="Q3-2025"/>
    <s v="Africa → Kenya → Nairobi"/>
    <s v="Laptops"/>
    <s v="Low"/>
    <d v="2023-01-01T00:00:00"/>
    <n v="32"/>
  </r>
  <r>
    <s v="ORD-2025-248586"/>
    <s v="Original"/>
    <d v="2025-09-12T00:00:00"/>
    <d v="2025-09-30T00:00:00"/>
    <n v="18"/>
    <x v="3"/>
    <s v="Japan"/>
    <s v="Nagoya"/>
    <s v="Non-Profit"/>
    <x v="4"/>
    <s v="F. Müller"/>
    <x v="5"/>
    <x v="624"/>
    <n v="1212.99"/>
    <n v="1653.64"/>
    <n v="0.107"/>
    <n v="8"/>
    <n v="11813.604160000001"/>
    <n v="9703.92"/>
    <n v="2109.6841600000007"/>
    <n v="0.17858090819931455"/>
    <s v="Sept-2025"/>
    <d v="2025-09-01T00:00:00"/>
    <s v="Q3-2025"/>
    <s v="Asia → Japan → Nagoya"/>
    <s v="Monitors"/>
    <s v="High"/>
    <d v="2023-03-01T00:00:00"/>
    <n v="30"/>
  </r>
  <r>
    <s v="ORD-2025-737787"/>
    <s v="Original"/>
    <d v="2025-09-14T00:00:00"/>
    <d v="2025-09-26T00:00:00"/>
    <n v="12"/>
    <x v="2"/>
    <s v="United Kingdom"/>
    <s v="London"/>
    <s v="Small Business"/>
    <x v="2"/>
    <s v="N. Brown"/>
    <x v="4"/>
    <x v="625"/>
    <n v="425.15"/>
    <n v="885.92"/>
    <n v="0.23899999999999999"/>
    <n v="13"/>
    <n v="8764.4065599999994"/>
    <n v="5526.95"/>
    <n v="3237.4565599999996"/>
    <n v="0.3693868532725848"/>
    <s v="Sept-2025"/>
    <d v="2025-09-01T00:00:00"/>
    <s v="Q3-2025"/>
    <s v="Europe → United Kingdom → London"/>
    <s v="Networking"/>
    <s v="Medium"/>
    <d v="2023-01-01T00:00:00"/>
    <n v="32"/>
  </r>
  <r>
    <s v="ORD-2025-588029"/>
    <s v="Original"/>
    <d v="2025-09-14T00:00:00"/>
    <d v="2025-09-23T00:00:00"/>
    <n v="9"/>
    <x v="1"/>
    <s v="South Africa"/>
    <s v="Durban"/>
    <s v="Non-Profit"/>
    <x v="1"/>
    <s v="D. Smith"/>
    <x v="6"/>
    <x v="626"/>
    <n v="1310.3"/>
    <n v="2875.8"/>
    <n v="8.3000000000000004E-2"/>
    <n v="5"/>
    <n v="13185.543"/>
    <n v="6551.5"/>
    <n v="6634.0429999999997"/>
    <n v="0.50313005691157353"/>
    <s v="Sept-2025"/>
    <d v="2025-09-01T00:00:00"/>
    <s v="Q3-2025"/>
    <s v="Africa → South Africa → Durban"/>
    <s v="Components"/>
    <s v="High"/>
    <d v="2023-01-01T00:00:00"/>
    <n v="32"/>
  </r>
  <r>
    <s v="ORD-2025-667201"/>
    <s v="Original"/>
    <d v="2025-09-15T00:00:00"/>
    <d v="2025-09-18T00:00:00"/>
    <n v="3"/>
    <x v="0"/>
    <s v="Brazil"/>
    <s v="Rio de Janeiro"/>
    <s v="Non-Profit"/>
    <x v="2"/>
    <s v="L. Okafor"/>
    <x v="3"/>
    <x v="627"/>
    <n v="5.5"/>
    <n v="5.92"/>
    <n v="0.21199999999999999"/>
    <n v="4"/>
    <n v="18.659839999999999"/>
    <n v="22"/>
    <n v="-3.3401600000000009"/>
    <n v="-0.17900260666758133"/>
    <s v="Sept-2025"/>
    <d v="2025-09-01T00:00:00"/>
    <s v="Q3-2025"/>
    <s v="Americas → Brazil → Rio de Janeiro"/>
    <s v="Accessories"/>
    <s v="Low"/>
    <d v="2023-01-01T00:00:00"/>
    <n v="32"/>
  </r>
  <r>
    <s v="ORD-2025-831576"/>
    <s v="Original"/>
    <d v="2025-09-15T00:00:00"/>
    <d v="2025-09-25T00:00:00"/>
    <n v="10"/>
    <x v="3"/>
    <s v="India"/>
    <s v="Delhi"/>
    <s v="Consumer"/>
    <x v="3"/>
    <s v="A. Patel"/>
    <x v="2"/>
    <x v="628"/>
    <n v="1488.91"/>
    <n v="1483.74"/>
    <n v="0.16800000000000001"/>
    <n v="24"/>
    <n v="29627.320319999999"/>
    <n v="35733.840000000004"/>
    <n v="-6106.5196800000049"/>
    <n v="-0.20611110333450519"/>
    <s v="Sept-2025"/>
    <d v="2025-09-01T00:00:00"/>
    <s v="Q3-2025"/>
    <s v="Asia → India → Delhi"/>
    <s v="Phones"/>
    <s v="Medium"/>
    <d v="2023-02-01T00:00:00"/>
    <n v="31"/>
  </r>
  <r>
    <m/>
    <m/>
    <m/>
    <m/>
    <n v="0.27258320126782887"/>
    <x v="4"/>
    <m/>
    <m/>
    <m/>
    <x v="6"/>
    <m/>
    <x v="7"/>
    <x v="629"/>
    <m/>
    <m/>
    <m/>
    <n v="15.210776545166402"/>
    <n v="11033837.027951997"/>
    <m/>
    <n v="3537641.8179519982"/>
    <n v="0.32061755208003323"/>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3E027C-D024-4AAD-B088-A2F226BD9A5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I17" firstHeaderRow="1" firstDataRow="2" firstDataCol="1"/>
  <pivotFields count="34">
    <pivotField showAll="0"/>
    <pivotField showAll="0"/>
    <pivotField numFmtId="14" showAll="0">
      <items count="4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t="default"/>
      </items>
    </pivotField>
    <pivotField numFmtId="14" showAll="0"/>
    <pivotField showAll="0"/>
    <pivotField showAll="0">
      <items count="5">
        <item x="1"/>
        <item x="0"/>
        <item x="3"/>
        <item x="2"/>
        <item t="default"/>
      </items>
    </pivotField>
    <pivotField axis="axisRow" showAll="0">
      <items count="13">
        <item x="9"/>
        <item x="0"/>
        <item x="3"/>
        <item x="2"/>
        <item x="8"/>
        <item x="10"/>
        <item x="11"/>
        <item x="7"/>
        <item x="5"/>
        <item x="1"/>
        <item x="6"/>
        <item x="4"/>
        <item t="default"/>
      </items>
    </pivotField>
    <pivotField showAll="0"/>
    <pivotField showAll="0"/>
    <pivotField showAll="0">
      <items count="7">
        <item x="2"/>
        <item x="0"/>
        <item x="4"/>
        <item x="1"/>
        <item x="3"/>
        <item x="5"/>
        <item t="default"/>
      </items>
    </pivotField>
    <pivotField showAll="0">
      <items count="17">
        <item x="1"/>
        <item x="0"/>
        <item x="11"/>
        <item x="2"/>
        <item x="14"/>
        <item x="7"/>
        <item x="6"/>
        <item x="4"/>
        <item x="12"/>
        <item x="13"/>
        <item x="10"/>
        <item x="9"/>
        <item x="3"/>
        <item x="8"/>
        <item x="5"/>
        <item x="15"/>
        <item t="default"/>
      </items>
    </pivotField>
    <pivotField showAll="0">
      <items count="8">
        <item x="3"/>
        <item x="6"/>
        <item x="0"/>
        <item x="5"/>
        <item x="4"/>
        <item x="2"/>
        <item x="1"/>
        <item t="default"/>
      </items>
    </pivotField>
    <pivotField showAll="0"/>
    <pivotField showAll="0"/>
    <pivotField showAll="0"/>
    <pivotField numFmtId="9" showAll="0"/>
    <pivotField showAll="0"/>
    <pivotField dataField="1" showAll="0"/>
    <pivotField showAll="0"/>
    <pivotField showAll="0"/>
    <pivotField numFmtId="10" showAll="0"/>
    <pivotField showAll="0"/>
    <pivotField numFmtId="165" showAll="0"/>
    <pivotField showAll="0"/>
    <pivotField showAll="0"/>
    <pivotField showAll="0"/>
    <pivotField showAll="0"/>
    <pivotField numFmtId="165" showAll="0">
      <items count="4">
        <item x="0"/>
        <item x="1"/>
        <item x="2"/>
        <item t="default"/>
      </items>
    </pivotField>
    <pivotField axis="axisCol"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13">
    <i>
      <x/>
    </i>
    <i>
      <x v="1"/>
    </i>
    <i>
      <x v="2"/>
    </i>
    <i>
      <x v="3"/>
    </i>
    <i>
      <x v="4"/>
    </i>
    <i>
      <x v="5"/>
    </i>
    <i>
      <x v="6"/>
    </i>
    <i>
      <x v="7"/>
    </i>
    <i>
      <x v="8"/>
    </i>
    <i>
      <x v="9"/>
    </i>
    <i>
      <x v="10"/>
    </i>
    <i>
      <x v="11"/>
    </i>
    <i t="grand">
      <x/>
    </i>
  </rowItems>
  <colFields count="1">
    <field x="28"/>
  </colFields>
  <col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colItems>
  <dataFields count="1">
    <dataField name="Sum of GrossRevenue"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06BE86-E703-4210-AAF4-9914AD0E1DA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640" firstHeaderRow="0" firstDataRow="1" firstDataCol="1"/>
  <pivotFields count="34">
    <pivotField showAll="0"/>
    <pivotField showAll="0"/>
    <pivotField numFmtId="14" showAll="0">
      <items count="4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t="default"/>
      </items>
    </pivotField>
    <pivotField numFmtId="14" showAll="0"/>
    <pivotField showAll="0"/>
    <pivotField showAll="0">
      <items count="5">
        <item x="1"/>
        <item x="0"/>
        <item x="3"/>
        <item x="2"/>
        <item t="default"/>
      </items>
    </pivotField>
    <pivotField showAll="0"/>
    <pivotField showAll="0"/>
    <pivotField showAll="0"/>
    <pivotField showAll="0">
      <items count="7">
        <item x="2"/>
        <item x="0"/>
        <item x="4"/>
        <item x="1"/>
        <item x="3"/>
        <item x="5"/>
        <item t="default"/>
      </items>
    </pivotField>
    <pivotField showAll="0">
      <items count="17">
        <item x="1"/>
        <item x="0"/>
        <item x="11"/>
        <item x="2"/>
        <item x="14"/>
        <item x="7"/>
        <item x="6"/>
        <item x="4"/>
        <item x="12"/>
        <item x="13"/>
        <item x="10"/>
        <item x="9"/>
        <item x="3"/>
        <item x="8"/>
        <item x="5"/>
        <item x="15"/>
        <item t="default"/>
      </items>
    </pivotField>
    <pivotField axis="axisRow" showAll="0">
      <items count="8">
        <item x="3"/>
        <item x="6"/>
        <item x="0"/>
        <item x="5"/>
        <item x="4"/>
        <item x="2"/>
        <item x="1"/>
        <item t="default"/>
      </items>
    </pivotField>
    <pivotField axis="axisRow" showAll="0" sortType="descending">
      <items count="630">
        <item x="255"/>
        <item x="588"/>
        <item x="196"/>
        <item x="439"/>
        <item x="135"/>
        <item x="554"/>
        <item x="170"/>
        <item x="155"/>
        <item x="593"/>
        <item x="486"/>
        <item x="472"/>
        <item x="617"/>
        <item x="57"/>
        <item x="561"/>
        <item x="94"/>
        <item x="538"/>
        <item x="79"/>
        <item x="442"/>
        <item x="354"/>
        <item x="283"/>
        <item x="190"/>
        <item x="560"/>
        <item x="115"/>
        <item x="41"/>
        <item x="299"/>
        <item x="163"/>
        <item x="225"/>
        <item x="548"/>
        <item x="110"/>
        <item x="164"/>
        <item x="172"/>
        <item x="182"/>
        <item x="6"/>
        <item x="350"/>
        <item x="105"/>
        <item x="141"/>
        <item x="564"/>
        <item x="484"/>
        <item x="493"/>
        <item x="193"/>
        <item x="613"/>
        <item x="379"/>
        <item x="469"/>
        <item x="97"/>
        <item x="165"/>
        <item x="46"/>
        <item x="176"/>
        <item x="485"/>
        <item x="487"/>
        <item x="323"/>
        <item x="87"/>
        <item x="194"/>
        <item x="128"/>
        <item x="473"/>
        <item x="450"/>
        <item x="246"/>
        <item x="427"/>
        <item x="291"/>
        <item x="224"/>
        <item x="359"/>
        <item x="627"/>
        <item x="436"/>
        <item x="137"/>
        <item x="322"/>
        <item x="314"/>
        <item x="343"/>
        <item x="67"/>
        <item x="342"/>
        <item x="566"/>
        <item x="245"/>
        <item x="573"/>
        <item x="589"/>
        <item x="136"/>
        <item x="17"/>
        <item x="186"/>
        <item x="459"/>
        <item x="346"/>
        <item x="590"/>
        <item x="402"/>
        <item x="40"/>
        <item x="347"/>
        <item x="80"/>
        <item x="123"/>
        <item x="508"/>
        <item x="477"/>
        <item x="211"/>
        <item x="326"/>
        <item x="168"/>
        <item x="404"/>
        <item x="463"/>
        <item x="581"/>
        <item x="98"/>
        <item x="247"/>
        <item x="218"/>
        <item x="376"/>
        <item x="25"/>
        <item x="210"/>
        <item x="426"/>
        <item x="332"/>
        <item x="180"/>
        <item x="154"/>
        <item x="444"/>
        <item x="237"/>
        <item x="36"/>
        <item x="15"/>
        <item x="603"/>
        <item x="542"/>
        <item x="391"/>
        <item x="268"/>
        <item x="502"/>
        <item x="306"/>
        <item x="494"/>
        <item x="448"/>
        <item x="551"/>
        <item x="521"/>
        <item x="378"/>
        <item x="435"/>
        <item x="400"/>
        <item x="557"/>
        <item x="558"/>
        <item x="217"/>
        <item x="420"/>
        <item x="89"/>
        <item x="216"/>
        <item x="177"/>
        <item x="69"/>
        <item x="612"/>
        <item x="407"/>
        <item x="488"/>
        <item x="234"/>
        <item x="88"/>
        <item x="171"/>
        <item x="616"/>
        <item x="373"/>
        <item x="70"/>
        <item x="595"/>
        <item x="103"/>
        <item x="349"/>
        <item x="253"/>
        <item x="316"/>
        <item x="600"/>
        <item x="147"/>
        <item x="335"/>
        <item x="523"/>
        <item x="292"/>
        <item x="125"/>
        <item x="303"/>
        <item x="626"/>
        <item x="457"/>
        <item x="91"/>
        <item x="621"/>
        <item x="503"/>
        <item x="158"/>
        <item x="120"/>
        <item x="65"/>
        <item x="382"/>
        <item x="272"/>
        <item x="277"/>
        <item x="317"/>
        <item x="405"/>
        <item x="235"/>
        <item x="293"/>
        <item x="37"/>
        <item x="278"/>
        <item x="572"/>
        <item x="95"/>
        <item x="66"/>
        <item x="470"/>
        <item x="130"/>
        <item x="38"/>
        <item x="587"/>
        <item x="280"/>
        <item x="250"/>
        <item x="540"/>
        <item x="78"/>
        <item x="417"/>
        <item x="259"/>
        <item x="308"/>
        <item x="129"/>
        <item x="575"/>
        <item x="59"/>
        <item x="202"/>
        <item x="556"/>
        <item x="68"/>
        <item x="330"/>
        <item x="220"/>
        <item x="363"/>
        <item x="124"/>
        <item x="567"/>
        <item x="582"/>
        <item x="192"/>
        <item x="256"/>
        <item x="90"/>
        <item x="287"/>
        <item x="221"/>
        <item x="492"/>
        <item x="615"/>
        <item x="623"/>
        <item x="552"/>
        <item x="18"/>
        <item x="526"/>
        <item x="53"/>
        <item x="228"/>
        <item x="204"/>
        <item x="28"/>
        <item x="471"/>
        <item x="117"/>
        <item x="601"/>
        <item x="387"/>
        <item x="518"/>
        <item x="2"/>
        <item x="341"/>
        <item x="119"/>
        <item x="598"/>
        <item x="203"/>
        <item x="167"/>
        <item x="312"/>
        <item x="302"/>
        <item x="431"/>
        <item x="395"/>
        <item x="251"/>
        <item x="242"/>
        <item x="174"/>
        <item x="33"/>
        <item x="121"/>
        <item x="82"/>
        <item x="348"/>
        <item x="173"/>
        <item x="482"/>
        <item x="380"/>
        <item x="243"/>
        <item x="553"/>
        <item x="512"/>
        <item x="191"/>
        <item x="466"/>
        <item x="577"/>
        <item x="614"/>
        <item x="44"/>
        <item x="368"/>
        <item x="495"/>
        <item x="458"/>
        <item x="447"/>
        <item x="264"/>
        <item x="295"/>
        <item x="0"/>
        <item x="276"/>
        <item x="460"/>
        <item x="580"/>
        <item x="547"/>
        <item x="188"/>
        <item x="307"/>
        <item x="336"/>
        <item x="62"/>
        <item x="11"/>
        <item x="358"/>
        <item x="357"/>
        <item x="236"/>
        <item x="297"/>
        <item x="127"/>
        <item x="425"/>
        <item x="334"/>
        <item x="489"/>
        <item x="362"/>
        <item x="215"/>
        <item x="468"/>
        <item x="61"/>
        <item x="596"/>
        <item x="34"/>
        <item x="319"/>
        <item x="71"/>
        <item x="151"/>
        <item x="252"/>
        <item x="81"/>
        <item x="9"/>
        <item x="31"/>
        <item x="529"/>
        <item x="371"/>
        <item x="116"/>
        <item x="550"/>
        <item x="624"/>
        <item x="51"/>
        <item x="134"/>
        <item x="263"/>
        <item x="531"/>
        <item x="386"/>
        <item x="197"/>
        <item x="143"/>
        <item x="238"/>
        <item x="451"/>
        <item x="315"/>
        <item x="205"/>
        <item x="602"/>
        <item x="107"/>
        <item x="410"/>
        <item x="281"/>
        <item x="49"/>
        <item x="446"/>
        <item x="73"/>
        <item x="516"/>
        <item x="478"/>
        <item x="72"/>
        <item x="483"/>
        <item x="422"/>
        <item x="385"/>
        <item x="47"/>
        <item x="519"/>
        <item x="328"/>
        <item x="104"/>
        <item x="285"/>
        <item x="153"/>
        <item x="274"/>
        <item x="565"/>
        <item x="54"/>
        <item x="214"/>
        <item x="300"/>
        <item x="353"/>
        <item x="461"/>
        <item x="397"/>
        <item x="19"/>
        <item x="318"/>
        <item x="93"/>
        <item x="305"/>
        <item x="524"/>
        <item x="279"/>
        <item x="511"/>
        <item x="12"/>
        <item x="145"/>
        <item x="179"/>
        <item x="355"/>
        <item x="578"/>
        <item x="585"/>
        <item x="132"/>
        <item x="434"/>
        <item x="411"/>
        <item x="270"/>
        <item x="456"/>
        <item x="288"/>
        <item x="333"/>
        <item x="187"/>
        <item x="412"/>
        <item x="364"/>
        <item x="418"/>
        <item x="241"/>
        <item x="100"/>
        <item x="530"/>
        <item x="42"/>
        <item x="620"/>
        <item x="513"/>
        <item x="611"/>
        <item x="403"/>
        <item x="20"/>
        <item x="377"/>
        <item x="392"/>
        <item x="321"/>
        <item x="109"/>
        <item x="26"/>
        <item x="604"/>
        <item x="231"/>
        <item x="586"/>
        <item x="138"/>
        <item x="131"/>
        <item x="591"/>
        <item x="52"/>
        <item x="449"/>
        <item x="227"/>
        <item x="536"/>
        <item x="60"/>
        <item x="310"/>
        <item x="122"/>
        <item x="64"/>
        <item x="198"/>
        <item x="21"/>
        <item x="479"/>
        <item x="429"/>
        <item x="146"/>
        <item x="430"/>
        <item x="200"/>
        <item x="83"/>
        <item x="522"/>
        <item x="13"/>
        <item x="579"/>
        <item x="140"/>
        <item x="415"/>
        <item x="549"/>
        <item x="599"/>
        <item x="108"/>
        <item x="290"/>
        <item x="195"/>
        <item x="8"/>
        <item x="304"/>
        <item x="345"/>
        <item x="443"/>
        <item x="226"/>
        <item x="360"/>
        <item x="142"/>
        <item x="16"/>
        <item x="29"/>
        <item x="609"/>
        <item x="408"/>
        <item x="520"/>
        <item x="139"/>
        <item x="480"/>
        <item x="286"/>
        <item x="75"/>
        <item x="344"/>
        <item x="212"/>
        <item x="7"/>
        <item x="606"/>
        <item x="496"/>
        <item x="568"/>
        <item x="409"/>
        <item x="118"/>
        <item x="331"/>
        <item x="507"/>
        <item x="32"/>
        <item x="265"/>
        <item x="464"/>
        <item x="365"/>
        <item x="594"/>
        <item x="389"/>
        <item x="505"/>
        <item x="500"/>
        <item x="423"/>
        <item x="528"/>
        <item x="248"/>
        <item x="10"/>
        <item x="181"/>
        <item x="366"/>
        <item x="625"/>
        <item x="144"/>
        <item x="262"/>
        <item x="244"/>
        <item x="352"/>
        <item x="27"/>
        <item x="517"/>
        <item x="455"/>
        <item x="388"/>
        <item x="162"/>
        <item x="491"/>
        <item x="619"/>
        <item x="149"/>
        <item x="76"/>
        <item x="476"/>
        <item x="257"/>
        <item x="55"/>
        <item x="440"/>
        <item x="96"/>
        <item x="148"/>
        <item x="14"/>
        <item x="101"/>
        <item x="370"/>
        <item x="337"/>
        <item x="201"/>
        <item x="537"/>
        <item x="532"/>
        <item x="628"/>
        <item x="465"/>
        <item x="498"/>
        <item x="219"/>
        <item x="372"/>
        <item x="4"/>
        <item x="275"/>
        <item x="562"/>
        <item x="545"/>
        <item x="514"/>
        <item x="570"/>
        <item x="534"/>
        <item x="157"/>
        <item x="284"/>
        <item x="325"/>
        <item x="506"/>
        <item x="509"/>
        <item x="527"/>
        <item x="398"/>
        <item x="206"/>
        <item x="112"/>
        <item x="271"/>
        <item x="22"/>
        <item x="269"/>
        <item x="254"/>
        <item x="571"/>
        <item x="74"/>
        <item x="576"/>
        <item x="289"/>
        <item x="563"/>
        <item x="539"/>
        <item x="490"/>
        <item x="189"/>
        <item x="381"/>
        <item x="77"/>
        <item x="467"/>
        <item x="544"/>
        <item x="207"/>
        <item x="114"/>
        <item x="339"/>
        <item x="356"/>
        <item x="327"/>
        <item x="622"/>
        <item x="462"/>
        <item x="63"/>
        <item x="213"/>
        <item x="569"/>
        <item x="401"/>
        <item x="583"/>
        <item x="351"/>
        <item x="266"/>
        <item x="223"/>
        <item x="311"/>
        <item x="45"/>
        <item x="454"/>
        <item x="150"/>
        <item x="533"/>
        <item x="475"/>
        <item x="183"/>
        <item x="39"/>
        <item x="535"/>
        <item x="394"/>
        <item x="185"/>
        <item x="84"/>
        <item x="301"/>
        <item x="199"/>
        <item x="597"/>
        <item x="324"/>
        <item x="607"/>
        <item x="340"/>
        <item x="414"/>
        <item x="24"/>
        <item x="294"/>
        <item x="383"/>
        <item x="367"/>
        <item x="92"/>
        <item x="618"/>
        <item x="432"/>
        <item x="126"/>
        <item x="3"/>
        <item x="222"/>
        <item x="313"/>
        <item x="175"/>
        <item x="481"/>
        <item x="86"/>
        <item x="605"/>
        <item x="424"/>
        <item x="133"/>
        <item x="543"/>
        <item x="421"/>
        <item x="111"/>
        <item x="296"/>
        <item x="396"/>
        <item x="361"/>
        <item x="474"/>
        <item x="390"/>
        <item x="416"/>
        <item x="504"/>
        <item x="99"/>
        <item x="574"/>
        <item x="320"/>
        <item x="384"/>
        <item x="329"/>
        <item x="438"/>
        <item x="166"/>
        <item x="338"/>
        <item x="43"/>
        <item x="156"/>
        <item x="1"/>
        <item x="453"/>
        <item x="375"/>
        <item x="419"/>
        <item x="249"/>
        <item x="433"/>
        <item x="184"/>
        <item x="169"/>
        <item x="50"/>
        <item x="159"/>
        <item x="499"/>
        <item x="260"/>
        <item x="441"/>
        <item x="437"/>
        <item x="369"/>
        <item x="406"/>
        <item x="584"/>
        <item x="309"/>
        <item x="501"/>
        <item x="592"/>
        <item x="393"/>
        <item x="546"/>
        <item x="525"/>
        <item x="5"/>
        <item x="261"/>
        <item x="559"/>
        <item x="113"/>
        <item x="178"/>
        <item x="106"/>
        <item x="229"/>
        <item x="239"/>
        <item x="230"/>
        <item x="445"/>
        <item x="273"/>
        <item x="56"/>
        <item x="35"/>
        <item x="161"/>
        <item x="258"/>
        <item x="298"/>
        <item x="23"/>
        <item x="232"/>
        <item x="267"/>
        <item x="102"/>
        <item x="208"/>
        <item x="610"/>
        <item x="209"/>
        <item x="240"/>
        <item x="233"/>
        <item x="515"/>
        <item x="282"/>
        <item x="510"/>
        <item x="541"/>
        <item x="48"/>
        <item x="58"/>
        <item x="413"/>
        <item x="452"/>
        <item x="85"/>
        <item x="608"/>
        <item x="399"/>
        <item x="30"/>
        <item x="152"/>
        <item x="555"/>
        <item x="374"/>
        <item x="497"/>
        <item x="428"/>
        <item x="160"/>
        <item t="default"/>
      </items>
      <autoSortScope>
        <pivotArea dataOnly="0" outline="0" fieldPosition="0">
          <references count="1">
            <reference field="4294967294" count="1" selected="0">
              <x v="1"/>
            </reference>
          </references>
        </pivotArea>
      </autoSortScope>
    </pivotField>
    <pivotField showAll="0"/>
    <pivotField showAll="0"/>
    <pivotField numFmtId="9" showAll="0"/>
    <pivotField showAll="0"/>
    <pivotField dataField="1" showAll="0"/>
    <pivotField showAll="0"/>
    <pivotField showAll="0"/>
    <pivotField numFmtId="10" showAll="0"/>
    <pivotField showAll="0"/>
    <pivotField numFmtId="165" showAll="0"/>
    <pivotField showAll="0"/>
    <pivotField showAll="0"/>
    <pivotField showAll="0"/>
    <pivotField showAll="0"/>
    <pivotField numFmtId="165" showAll="0">
      <items count="4">
        <item x="0"/>
        <item x="1"/>
        <item x="2"/>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2">
    <field x="11"/>
    <field x="12"/>
  </rowFields>
  <rowItems count="637">
    <i>
      <x/>
    </i>
    <i r="1">
      <x v="59"/>
    </i>
    <i r="1">
      <x v="13"/>
    </i>
    <i r="1">
      <x v="23"/>
    </i>
    <i r="1">
      <x v="81"/>
    </i>
    <i r="1">
      <x v="83"/>
    </i>
    <i r="1">
      <x v="71"/>
    </i>
    <i r="1">
      <x v="41"/>
    </i>
    <i r="1">
      <x v="67"/>
    </i>
    <i r="1">
      <x v="49"/>
    </i>
    <i r="1">
      <x v="80"/>
    </i>
    <i r="1">
      <x v="62"/>
    </i>
    <i r="1">
      <x v="6"/>
    </i>
    <i r="1">
      <x v="10"/>
    </i>
    <i r="1">
      <x v="4"/>
    </i>
    <i r="1">
      <x v="55"/>
    </i>
    <i r="1">
      <x v="52"/>
    </i>
    <i r="1">
      <x v="58"/>
    </i>
    <i r="1">
      <x v="85"/>
    </i>
    <i r="1">
      <x v="74"/>
    </i>
    <i r="1">
      <x v="26"/>
    </i>
    <i r="1">
      <x v="12"/>
    </i>
    <i r="1">
      <x v="33"/>
    </i>
    <i r="1">
      <x v="82"/>
    </i>
    <i r="1">
      <x v="48"/>
    </i>
    <i r="1">
      <x v="78"/>
    </i>
    <i r="1">
      <x v="32"/>
    </i>
    <i r="1">
      <x v="40"/>
    </i>
    <i r="1">
      <x v="14"/>
    </i>
    <i r="1">
      <x v="77"/>
    </i>
    <i r="1">
      <x v="79"/>
    </i>
    <i r="1">
      <x v="69"/>
    </i>
    <i r="1">
      <x v="47"/>
    </i>
    <i r="1">
      <x v="29"/>
    </i>
    <i r="1">
      <x v="56"/>
    </i>
    <i r="1">
      <x v="75"/>
    </i>
    <i r="1">
      <x v="18"/>
    </i>
    <i r="1">
      <x v="5"/>
    </i>
    <i r="1">
      <x v="66"/>
    </i>
    <i r="1">
      <x v="57"/>
    </i>
    <i r="1">
      <x v="64"/>
    </i>
    <i r="1">
      <x v="53"/>
    </i>
    <i r="1">
      <x v="9"/>
    </i>
    <i r="1">
      <x v="63"/>
    </i>
    <i r="1">
      <x v="22"/>
    </i>
    <i r="1">
      <x v="39"/>
    </i>
    <i r="1">
      <x v="36"/>
    </i>
    <i r="1">
      <x v="3"/>
    </i>
    <i r="1">
      <x v="1"/>
    </i>
    <i r="1">
      <x v="19"/>
    </i>
    <i r="1">
      <x v="28"/>
    </i>
    <i r="1">
      <x v="37"/>
    </i>
    <i r="1">
      <x v="16"/>
    </i>
    <i r="1">
      <x v="45"/>
    </i>
    <i r="1">
      <x v="20"/>
    </i>
    <i r="1">
      <x v="76"/>
    </i>
    <i r="1">
      <x v="68"/>
    </i>
    <i r="1">
      <x v="21"/>
    </i>
    <i r="1">
      <x v="51"/>
    </i>
    <i r="1">
      <x v="84"/>
    </i>
    <i r="1">
      <x v="11"/>
    </i>
    <i r="1">
      <x v="31"/>
    </i>
    <i r="1">
      <x v="8"/>
    </i>
    <i r="1">
      <x v="7"/>
    </i>
    <i r="1">
      <x v="35"/>
    </i>
    <i r="1">
      <x v="25"/>
    </i>
    <i r="1">
      <x v="34"/>
    </i>
    <i r="1">
      <x v="70"/>
    </i>
    <i r="1">
      <x v="17"/>
    </i>
    <i r="1">
      <x v="2"/>
    </i>
    <i r="1">
      <x v="46"/>
    </i>
    <i r="1">
      <x v="54"/>
    </i>
    <i r="1">
      <x v="73"/>
    </i>
    <i r="1">
      <x v="43"/>
    </i>
    <i r="1">
      <x v="15"/>
    </i>
    <i r="1">
      <x v="38"/>
    </i>
    <i r="1">
      <x v="61"/>
    </i>
    <i r="1">
      <x v="72"/>
    </i>
    <i r="1">
      <x v="65"/>
    </i>
    <i r="1">
      <x v="42"/>
    </i>
    <i r="1">
      <x v="24"/>
    </i>
    <i r="1">
      <x/>
    </i>
    <i r="1">
      <x v="44"/>
    </i>
    <i r="1">
      <x v="27"/>
    </i>
    <i r="1">
      <x v="50"/>
    </i>
    <i r="1">
      <x v="30"/>
    </i>
    <i r="1">
      <x v="86"/>
    </i>
    <i r="1">
      <x v="60"/>
    </i>
    <i>
      <x v="1"/>
    </i>
    <i r="1">
      <x v="170"/>
    </i>
    <i r="1">
      <x v="116"/>
    </i>
    <i r="1">
      <x v="98"/>
    </i>
    <i r="1">
      <x v="113"/>
    </i>
    <i r="1">
      <x v="99"/>
    </i>
    <i r="1">
      <x v="159"/>
    </i>
    <i r="1">
      <x v="127"/>
    </i>
    <i r="1">
      <x v="96"/>
    </i>
    <i r="1">
      <x v="157"/>
    </i>
    <i r="1">
      <x v="89"/>
    </i>
    <i r="1">
      <x v="144"/>
    </i>
    <i r="1">
      <x v="150"/>
    </i>
    <i r="1">
      <x v="142"/>
    </i>
    <i r="1">
      <x v="94"/>
    </i>
    <i r="1">
      <x v="123"/>
    </i>
    <i r="1">
      <x v="107"/>
    </i>
    <i r="1">
      <x v="173"/>
    </i>
    <i r="1">
      <x v="119"/>
    </i>
    <i r="1">
      <x v="171"/>
    </i>
    <i r="1">
      <x v="104"/>
    </i>
    <i r="1">
      <x v="110"/>
    </i>
    <i r="1">
      <x v="115"/>
    </i>
    <i r="1">
      <x v="146"/>
    </i>
    <i r="1">
      <x v="122"/>
    </i>
    <i r="1">
      <x v="136"/>
    </i>
    <i r="1">
      <x v="151"/>
    </i>
    <i r="1">
      <x v="165"/>
    </i>
    <i r="1">
      <x v="124"/>
    </i>
    <i r="1">
      <x v="156"/>
    </i>
    <i r="1">
      <x v="109"/>
    </i>
    <i r="1">
      <x v="117"/>
    </i>
    <i r="1">
      <x v="139"/>
    </i>
    <i r="1">
      <x v="174"/>
    </i>
    <i r="1">
      <x v="138"/>
    </i>
    <i r="1">
      <x v="97"/>
    </i>
    <i r="1">
      <x v="90"/>
    </i>
    <i r="1">
      <x v="103"/>
    </i>
    <i r="1">
      <x v="162"/>
    </i>
    <i r="1">
      <x v="161"/>
    </i>
    <i r="1">
      <x v="93"/>
    </i>
    <i r="1">
      <x v="126"/>
    </i>
    <i r="1">
      <x v="147"/>
    </i>
    <i r="1">
      <x v="120"/>
    </i>
    <i r="1">
      <x v="155"/>
    </i>
    <i r="1">
      <x v="158"/>
    </i>
    <i r="1">
      <x v="164"/>
    </i>
    <i r="1">
      <x v="132"/>
    </i>
    <i r="1">
      <x v="168"/>
    </i>
    <i r="1">
      <x v="148"/>
    </i>
    <i r="1">
      <x v="112"/>
    </i>
    <i r="1">
      <x v="154"/>
    </i>
    <i r="1">
      <x v="131"/>
    </i>
    <i r="1">
      <x v="141"/>
    </i>
    <i r="1">
      <x v="114"/>
    </i>
    <i r="1">
      <x v="118"/>
    </i>
    <i r="1">
      <x v="128"/>
    </i>
    <i r="1">
      <x v="167"/>
    </i>
    <i r="1">
      <x v="137"/>
    </i>
    <i r="1">
      <x v="166"/>
    </i>
    <i r="1">
      <x v="87"/>
    </i>
    <i r="1">
      <x v="175"/>
    </i>
    <i r="1">
      <x v="153"/>
    </i>
    <i r="1">
      <x v="133"/>
    </i>
    <i r="1">
      <x v="102"/>
    </i>
    <i r="1">
      <x v="160"/>
    </i>
    <i r="1">
      <x v="91"/>
    </i>
    <i r="1">
      <x v="101"/>
    </i>
    <i r="1">
      <x v="121"/>
    </i>
    <i r="1">
      <x v="106"/>
    </i>
    <i r="1">
      <x v="111"/>
    </i>
    <i r="1">
      <x v="163"/>
    </i>
    <i r="1">
      <x v="130"/>
    </i>
    <i r="1">
      <x v="152"/>
    </i>
    <i r="1">
      <x v="169"/>
    </i>
    <i r="1">
      <x v="108"/>
    </i>
    <i r="1">
      <x v="143"/>
    </i>
    <i r="1">
      <x v="129"/>
    </i>
    <i r="1">
      <x v="88"/>
    </i>
    <i r="1">
      <x v="92"/>
    </i>
    <i r="1">
      <x v="100"/>
    </i>
    <i r="1">
      <x v="135"/>
    </i>
    <i r="1">
      <x v="145"/>
    </i>
    <i r="1">
      <x v="105"/>
    </i>
    <i r="1">
      <x v="134"/>
    </i>
    <i r="1">
      <x v="140"/>
    </i>
    <i r="1">
      <x v="176"/>
    </i>
    <i r="1">
      <x v="149"/>
    </i>
    <i r="1">
      <x v="125"/>
    </i>
    <i r="1">
      <x v="172"/>
    </i>
    <i r="1">
      <x v="95"/>
    </i>
    <i>
      <x v="2"/>
    </i>
    <i r="1">
      <x v="247"/>
    </i>
    <i r="1">
      <x v="206"/>
    </i>
    <i r="1">
      <x v="240"/>
    </i>
    <i r="1">
      <x v="222"/>
    </i>
    <i r="1">
      <x v="225"/>
    </i>
    <i r="1">
      <x v="184"/>
    </i>
    <i r="1">
      <x v="246"/>
    </i>
    <i r="1">
      <x v="235"/>
    </i>
    <i r="1">
      <x v="179"/>
    </i>
    <i r="1">
      <x v="178"/>
    </i>
    <i r="1">
      <x v="208"/>
    </i>
    <i r="1">
      <x v="200"/>
    </i>
    <i r="1">
      <x v="198"/>
    </i>
    <i r="1">
      <x v="196"/>
    </i>
    <i r="1">
      <x v="213"/>
    </i>
    <i r="1">
      <x v="245"/>
    </i>
    <i r="1">
      <x v="231"/>
    </i>
    <i r="1">
      <x v="236"/>
    </i>
    <i r="1">
      <x v="251"/>
    </i>
    <i r="1">
      <x v="228"/>
    </i>
    <i r="1">
      <x v="249"/>
    </i>
    <i r="1">
      <x v="199"/>
    </i>
    <i r="1">
      <x v="204"/>
    </i>
    <i r="1">
      <x v="238"/>
    </i>
    <i r="1">
      <x v="217"/>
    </i>
    <i r="1">
      <x v="254"/>
    </i>
    <i r="1">
      <x v="192"/>
    </i>
    <i r="1">
      <x v="224"/>
    </i>
    <i r="1">
      <x v="182"/>
    </i>
    <i r="1">
      <x v="216"/>
    </i>
    <i r="1">
      <x v="243"/>
    </i>
    <i r="1">
      <x v="250"/>
    </i>
    <i r="1">
      <x v="187"/>
    </i>
    <i r="1">
      <x v="220"/>
    </i>
    <i r="1">
      <x v="202"/>
    </i>
    <i r="1">
      <x v="241"/>
    </i>
    <i r="1">
      <x v="223"/>
    </i>
    <i r="1">
      <x v="256"/>
    </i>
    <i r="1">
      <x v="252"/>
    </i>
    <i r="1">
      <x v="242"/>
    </i>
    <i r="1">
      <x v="234"/>
    </i>
    <i r="1">
      <x v="226"/>
    </i>
    <i r="1">
      <x v="180"/>
    </i>
    <i r="1">
      <x v="212"/>
    </i>
    <i r="1">
      <x v="227"/>
    </i>
    <i r="1">
      <x v="232"/>
    </i>
    <i r="1">
      <x v="203"/>
    </i>
    <i r="1">
      <x v="257"/>
    </i>
    <i r="1">
      <x v="181"/>
    </i>
    <i r="1">
      <x v="219"/>
    </i>
    <i r="1">
      <x v="188"/>
    </i>
    <i r="1">
      <x v="248"/>
    </i>
    <i r="1">
      <x v="207"/>
    </i>
    <i r="1">
      <x v="210"/>
    </i>
    <i r="1">
      <x v="191"/>
    </i>
    <i r="1">
      <x v="185"/>
    </i>
    <i r="1">
      <x v="190"/>
    </i>
    <i r="1">
      <x v="230"/>
    </i>
    <i r="1">
      <x v="253"/>
    </i>
    <i r="1">
      <x v="218"/>
    </i>
    <i r="1">
      <x v="214"/>
    </i>
    <i r="1">
      <x v="183"/>
    </i>
    <i r="1">
      <x v="215"/>
    </i>
    <i r="1">
      <x v="209"/>
    </i>
    <i r="1">
      <x v="211"/>
    </i>
    <i r="1">
      <x v="237"/>
    </i>
    <i r="1">
      <x v="229"/>
    </i>
    <i r="1">
      <x v="255"/>
    </i>
    <i r="1">
      <x v="239"/>
    </i>
    <i r="1">
      <x v="221"/>
    </i>
    <i r="1">
      <x v="244"/>
    </i>
    <i r="1">
      <x v="194"/>
    </i>
    <i r="1">
      <x v="201"/>
    </i>
    <i r="1">
      <x v="186"/>
    </i>
    <i r="1">
      <x v="193"/>
    </i>
    <i r="1">
      <x v="197"/>
    </i>
    <i r="1">
      <x v="205"/>
    </i>
    <i r="1">
      <x v="177"/>
    </i>
    <i r="1">
      <x v="189"/>
    </i>
    <i r="1">
      <x v="233"/>
    </i>
    <i r="1">
      <x v="195"/>
    </i>
    <i>
      <x v="3"/>
    </i>
    <i r="1">
      <x v="322"/>
    </i>
    <i r="1">
      <x v="269"/>
    </i>
    <i r="1">
      <x v="318"/>
    </i>
    <i r="1">
      <x v="302"/>
    </i>
    <i r="1">
      <x v="348"/>
    </i>
    <i r="1">
      <x v="306"/>
    </i>
    <i r="1">
      <x v="351"/>
    </i>
    <i r="1">
      <x v="349"/>
    </i>
    <i r="1">
      <x v="336"/>
    </i>
    <i r="1">
      <x v="295"/>
    </i>
    <i r="1">
      <x v="298"/>
    </i>
    <i r="1">
      <x v="317"/>
    </i>
    <i r="1">
      <x v="316"/>
    </i>
    <i r="1">
      <x v="337"/>
    </i>
    <i r="1">
      <x v="281"/>
    </i>
    <i r="1">
      <x v="331"/>
    </i>
    <i r="1">
      <x v="280"/>
    </i>
    <i r="1">
      <x v="339"/>
    </i>
    <i r="1">
      <x v="265"/>
    </i>
    <i r="1">
      <x v="258"/>
    </i>
    <i r="1">
      <x v="299"/>
    </i>
    <i r="1">
      <x v="259"/>
    </i>
    <i r="1">
      <x v="274"/>
    </i>
    <i r="1">
      <x v="320"/>
    </i>
    <i r="1">
      <x v="285"/>
    </i>
    <i r="1">
      <x v="350"/>
    </i>
    <i r="1">
      <x v="288"/>
    </i>
    <i r="1">
      <x v="297"/>
    </i>
    <i r="1">
      <x v="294"/>
    </i>
    <i r="1">
      <x v="307"/>
    </i>
    <i r="1">
      <x v="346"/>
    </i>
    <i r="1">
      <x v="290"/>
    </i>
    <i r="1">
      <x v="311"/>
    </i>
    <i r="1">
      <x v="314"/>
    </i>
    <i r="1">
      <x v="328"/>
    </i>
    <i r="1">
      <x v="321"/>
    </i>
    <i r="1">
      <x v="313"/>
    </i>
    <i r="1">
      <x v="319"/>
    </i>
    <i r="1">
      <x v="282"/>
    </i>
    <i r="1">
      <x v="267"/>
    </i>
    <i r="1">
      <x v="284"/>
    </i>
    <i r="1">
      <x v="296"/>
    </i>
    <i r="1">
      <x v="268"/>
    </i>
    <i r="1">
      <x v="345"/>
    </i>
    <i r="1">
      <x v="342"/>
    </i>
    <i r="1">
      <x v="279"/>
    </i>
    <i r="1">
      <x v="315"/>
    </i>
    <i r="1">
      <x v="323"/>
    </i>
    <i r="1">
      <x v="287"/>
    </i>
    <i r="1">
      <x v="333"/>
    </i>
    <i r="1">
      <x v="272"/>
    </i>
    <i r="1">
      <x v="326"/>
    </i>
    <i r="1">
      <x v="309"/>
    </i>
    <i r="1">
      <x v="270"/>
    </i>
    <i r="1">
      <x v="289"/>
    </i>
    <i r="1">
      <x v="312"/>
    </i>
    <i r="1">
      <x v="271"/>
    </i>
    <i r="1">
      <x v="300"/>
    </i>
    <i r="1">
      <x v="263"/>
    </i>
    <i r="1">
      <x v="301"/>
    </i>
    <i r="1">
      <x v="310"/>
    </i>
    <i r="1">
      <x v="261"/>
    </i>
    <i r="1">
      <x v="304"/>
    </i>
    <i r="1">
      <x v="327"/>
    </i>
    <i r="1">
      <x v="278"/>
    </i>
    <i r="1">
      <x v="341"/>
    </i>
    <i r="1">
      <x v="276"/>
    </i>
    <i r="1">
      <x v="343"/>
    </i>
    <i r="1">
      <x v="262"/>
    </i>
    <i r="1">
      <x v="324"/>
    </i>
    <i r="1">
      <x v="303"/>
    </i>
    <i r="1">
      <x v="286"/>
    </i>
    <i r="1">
      <x v="260"/>
    </i>
    <i r="1">
      <x v="332"/>
    </i>
    <i r="1">
      <x v="264"/>
    </i>
    <i r="1">
      <x v="334"/>
    </i>
    <i r="1">
      <x v="340"/>
    </i>
    <i r="1">
      <x v="329"/>
    </i>
    <i r="1">
      <x v="292"/>
    </i>
    <i r="1">
      <x v="347"/>
    </i>
    <i r="1">
      <x v="335"/>
    </i>
    <i r="1">
      <x v="338"/>
    </i>
    <i r="1">
      <x v="273"/>
    </i>
    <i r="1">
      <x v="291"/>
    </i>
    <i r="1">
      <x v="325"/>
    </i>
    <i r="1">
      <x v="330"/>
    </i>
    <i r="1">
      <x v="305"/>
    </i>
    <i r="1">
      <x v="277"/>
    </i>
    <i r="1">
      <x v="275"/>
    </i>
    <i r="1">
      <x v="293"/>
    </i>
    <i r="1">
      <x v="344"/>
    </i>
    <i r="1">
      <x v="283"/>
    </i>
    <i r="1">
      <x v="266"/>
    </i>
    <i r="1">
      <x v="308"/>
    </i>
    <i>
      <x v="4"/>
    </i>
    <i r="1">
      <x v="367"/>
    </i>
    <i r="1">
      <x v="404"/>
    </i>
    <i r="1">
      <x v="402"/>
    </i>
    <i r="1">
      <x v="358"/>
    </i>
    <i r="1">
      <x v="395"/>
    </i>
    <i r="1">
      <x v="355"/>
    </i>
    <i r="1">
      <x v="394"/>
    </i>
    <i r="1">
      <x v="386"/>
    </i>
    <i r="1">
      <x v="406"/>
    </i>
    <i r="1">
      <x v="385"/>
    </i>
    <i r="1">
      <x v="380"/>
    </i>
    <i r="1">
      <x v="364"/>
    </i>
    <i r="1">
      <x v="360"/>
    </i>
    <i r="1">
      <x v="396"/>
    </i>
    <i r="1">
      <x v="409"/>
    </i>
    <i r="1">
      <x v="398"/>
    </i>
    <i r="1">
      <x v="427"/>
    </i>
    <i r="1">
      <x v="430"/>
    </i>
    <i r="1">
      <x v="401"/>
    </i>
    <i r="1">
      <x v="370"/>
    </i>
    <i r="1">
      <x v="366"/>
    </i>
    <i r="1">
      <x v="412"/>
    </i>
    <i r="1">
      <x v="354"/>
    </i>
    <i r="1">
      <x v="359"/>
    </i>
    <i r="1">
      <x v="393"/>
    </i>
    <i r="1">
      <x v="391"/>
    </i>
    <i r="1">
      <x v="368"/>
    </i>
    <i r="1">
      <x v="352"/>
    </i>
    <i r="1">
      <x v="374"/>
    </i>
    <i r="1">
      <x v="413"/>
    </i>
    <i r="1">
      <x v="434"/>
    </i>
    <i r="1">
      <x v="436"/>
    </i>
    <i r="1">
      <x v="377"/>
    </i>
    <i r="1">
      <x v="414"/>
    </i>
    <i r="1">
      <x v="400"/>
    </i>
    <i r="1">
      <x v="433"/>
    </i>
    <i r="1">
      <x v="378"/>
    </i>
    <i r="1">
      <x v="387"/>
    </i>
    <i r="1">
      <x v="388"/>
    </i>
    <i r="1">
      <x v="382"/>
    </i>
    <i r="1">
      <x v="415"/>
    </i>
    <i r="1">
      <x v="405"/>
    </i>
    <i r="1">
      <x v="381"/>
    </i>
    <i r="1">
      <x v="421"/>
    </i>
    <i r="1">
      <x v="356"/>
    </i>
    <i r="1">
      <x v="384"/>
    </i>
    <i r="1">
      <x v="422"/>
    </i>
    <i r="1">
      <x v="397"/>
    </i>
    <i r="1">
      <x v="426"/>
    </i>
    <i r="1">
      <x v="357"/>
    </i>
    <i r="1">
      <x v="408"/>
    </i>
    <i r="1">
      <x v="372"/>
    </i>
    <i r="1">
      <x v="389"/>
    </i>
    <i r="1">
      <x v="418"/>
    </i>
    <i r="1">
      <x v="363"/>
    </i>
    <i r="1">
      <x v="431"/>
    </i>
    <i r="1">
      <x v="417"/>
    </i>
    <i r="1">
      <x v="428"/>
    </i>
    <i r="1">
      <x v="420"/>
    </i>
    <i r="1">
      <x v="379"/>
    </i>
    <i r="1">
      <x v="365"/>
    </i>
    <i r="1">
      <x v="429"/>
    </i>
    <i r="1">
      <x v="411"/>
    </i>
    <i r="1">
      <x v="392"/>
    </i>
    <i r="1">
      <x v="424"/>
    </i>
    <i r="1">
      <x v="416"/>
    </i>
    <i r="1">
      <x v="435"/>
    </i>
    <i r="1">
      <x v="361"/>
    </i>
    <i r="1">
      <x v="375"/>
    </i>
    <i r="1">
      <x v="403"/>
    </i>
    <i r="1">
      <x v="383"/>
    </i>
    <i r="1">
      <x v="373"/>
    </i>
    <i r="1">
      <x v="425"/>
    </i>
    <i r="1">
      <x v="432"/>
    </i>
    <i r="1">
      <x v="371"/>
    </i>
    <i r="1">
      <x v="369"/>
    </i>
    <i r="1">
      <x v="423"/>
    </i>
    <i r="1">
      <x v="419"/>
    </i>
    <i r="1">
      <x v="399"/>
    </i>
    <i r="1">
      <x v="410"/>
    </i>
    <i r="1">
      <x v="376"/>
    </i>
    <i r="1">
      <x v="362"/>
    </i>
    <i r="1">
      <x v="407"/>
    </i>
    <i r="1">
      <x v="353"/>
    </i>
    <i r="1">
      <x v="437"/>
    </i>
    <i r="1">
      <x v="390"/>
    </i>
    <i>
      <x v="5"/>
    </i>
    <i r="1">
      <x v="524"/>
    </i>
    <i r="1">
      <x v="512"/>
    </i>
    <i r="1">
      <x v="473"/>
    </i>
    <i r="1">
      <x v="502"/>
    </i>
    <i r="1">
      <x v="485"/>
    </i>
    <i r="1">
      <x v="478"/>
    </i>
    <i r="1">
      <x v="516"/>
    </i>
    <i r="1">
      <x v="439"/>
    </i>
    <i r="1">
      <x v="494"/>
    </i>
    <i r="1">
      <x v="515"/>
    </i>
    <i r="1">
      <x v="488"/>
    </i>
    <i r="1">
      <x v="445"/>
    </i>
    <i r="1">
      <x v="475"/>
    </i>
    <i r="1">
      <x v="507"/>
    </i>
    <i r="1">
      <x v="455"/>
    </i>
    <i r="1">
      <x v="521"/>
    </i>
    <i r="1">
      <x v="501"/>
    </i>
    <i r="1">
      <x v="504"/>
    </i>
    <i r="1">
      <x v="517"/>
    </i>
    <i r="1">
      <x v="477"/>
    </i>
    <i r="1">
      <x v="447"/>
    </i>
    <i r="1">
      <x v="442"/>
    </i>
    <i r="1">
      <x v="450"/>
    </i>
    <i r="1">
      <x v="472"/>
    </i>
    <i r="1">
      <x v="522"/>
    </i>
    <i r="1">
      <x v="525"/>
    </i>
    <i r="1">
      <x v="500"/>
    </i>
    <i r="1">
      <x v="486"/>
    </i>
    <i r="1">
      <x v="492"/>
    </i>
    <i r="1">
      <x v="459"/>
    </i>
    <i r="1">
      <x v="496"/>
    </i>
    <i r="1">
      <x v="462"/>
    </i>
    <i r="1">
      <x v="523"/>
    </i>
    <i r="1">
      <x v="448"/>
    </i>
    <i r="1">
      <x v="467"/>
    </i>
    <i r="1">
      <x v="506"/>
    </i>
    <i r="1">
      <x v="460"/>
    </i>
    <i r="1">
      <x v="513"/>
    </i>
    <i r="1">
      <x v="520"/>
    </i>
    <i r="1">
      <x v="468"/>
    </i>
    <i r="1">
      <x v="451"/>
    </i>
    <i r="1">
      <x v="499"/>
    </i>
    <i r="1">
      <x v="474"/>
    </i>
    <i r="1">
      <x v="484"/>
    </i>
    <i r="1">
      <x v="510"/>
    </i>
    <i r="1">
      <x v="479"/>
    </i>
    <i r="1">
      <x v="461"/>
    </i>
    <i r="1">
      <x v="511"/>
    </i>
    <i r="1">
      <x v="498"/>
    </i>
    <i r="1">
      <x v="438"/>
    </i>
    <i r="1">
      <x v="463"/>
    </i>
    <i r="1">
      <x v="491"/>
    </i>
    <i r="1">
      <x v="489"/>
    </i>
    <i r="1">
      <x v="443"/>
    </i>
    <i r="1">
      <x v="509"/>
    </i>
    <i r="1">
      <x v="483"/>
    </i>
    <i r="1">
      <x v="480"/>
    </i>
    <i r="1">
      <x v="519"/>
    </i>
    <i r="1">
      <x v="503"/>
    </i>
    <i r="1">
      <x v="458"/>
    </i>
    <i r="1">
      <x v="452"/>
    </i>
    <i r="1">
      <x v="454"/>
    </i>
    <i r="1">
      <x v="497"/>
    </i>
    <i r="1">
      <x v="471"/>
    </i>
    <i r="1">
      <x v="446"/>
    </i>
    <i r="1">
      <x v="487"/>
    </i>
    <i r="1">
      <x v="453"/>
    </i>
    <i r="1">
      <x v="466"/>
    </i>
    <i r="1">
      <x v="482"/>
    </i>
    <i r="1">
      <x v="508"/>
    </i>
    <i r="1">
      <x v="495"/>
    </i>
    <i r="1">
      <x v="493"/>
    </i>
    <i r="1">
      <x v="444"/>
    </i>
    <i r="1">
      <x v="449"/>
    </i>
    <i r="1">
      <x v="456"/>
    </i>
    <i r="1">
      <x v="476"/>
    </i>
    <i r="1">
      <x v="469"/>
    </i>
    <i r="1">
      <x v="490"/>
    </i>
    <i r="1">
      <x v="441"/>
    </i>
    <i r="1">
      <x v="514"/>
    </i>
    <i r="1">
      <x v="470"/>
    </i>
    <i r="1">
      <x v="440"/>
    </i>
    <i r="1">
      <x v="457"/>
    </i>
    <i r="1">
      <x v="465"/>
    </i>
    <i r="1">
      <x v="518"/>
    </i>
    <i r="1">
      <x v="481"/>
    </i>
    <i r="1">
      <x v="505"/>
    </i>
    <i r="1">
      <x v="464"/>
    </i>
    <i>
      <x v="6"/>
    </i>
    <i r="1">
      <x v="535"/>
    </i>
    <i r="1">
      <x v="587"/>
    </i>
    <i r="1">
      <x v="597"/>
    </i>
    <i r="1">
      <x v="543"/>
    </i>
    <i r="1">
      <x v="620"/>
    </i>
    <i r="1">
      <x v="615"/>
    </i>
    <i r="1">
      <x v="541"/>
    </i>
    <i r="1">
      <x v="584"/>
    </i>
    <i r="1">
      <x v="574"/>
    </i>
    <i r="1">
      <x v="582"/>
    </i>
    <i r="1">
      <x v="599"/>
    </i>
    <i r="1">
      <x v="568"/>
    </i>
    <i r="1">
      <x v="533"/>
    </i>
    <i r="1">
      <x v="562"/>
    </i>
    <i r="1">
      <x v="622"/>
    </i>
    <i r="1">
      <x v="551"/>
    </i>
    <i r="1">
      <x v="600"/>
    </i>
    <i r="1">
      <x v="532"/>
    </i>
    <i r="1">
      <x v="547"/>
    </i>
    <i r="1">
      <x v="530"/>
    </i>
    <i r="1">
      <x v="595"/>
    </i>
    <i r="1">
      <x v="548"/>
    </i>
    <i r="1">
      <x v="579"/>
    </i>
    <i r="1">
      <x v="618"/>
    </i>
    <i r="1">
      <x v="537"/>
    </i>
    <i r="1">
      <x v="621"/>
    </i>
    <i r="1">
      <x v="609"/>
    </i>
    <i r="1">
      <x v="539"/>
    </i>
    <i r="1">
      <x v="566"/>
    </i>
    <i r="1">
      <x v="628"/>
    </i>
    <i r="1">
      <x v="623"/>
    </i>
    <i r="1">
      <x v="567"/>
    </i>
    <i r="1">
      <x v="617"/>
    </i>
    <i r="1">
      <x v="577"/>
    </i>
    <i r="1">
      <x v="603"/>
    </i>
    <i r="1">
      <x v="540"/>
    </i>
    <i r="1">
      <x v="552"/>
    </i>
    <i r="1">
      <x v="527"/>
    </i>
    <i r="1">
      <x v="583"/>
    </i>
    <i r="1">
      <x v="572"/>
    </i>
    <i r="1">
      <x v="601"/>
    </i>
    <i r="1">
      <x v="559"/>
    </i>
    <i r="1">
      <x v="593"/>
    </i>
    <i r="1">
      <x v="592"/>
    </i>
    <i r="1">
      <x v="544"/>
    </i>
    <i r="1">
      <x v="553"/>
    </i>
    <i r="1">
      <x v="531"/>
    </i>
    <i r="1">
      <x v="542"/>
    </i>
    <i r="1">
      <x v="564"/>
    </i>
    <i r="1">
      <x v="557"/>
    </i>
    <i r="1">
      <x v="612"/>
    </i>
    <i r="1">
      <x v="534"/>
    </i>
    <i r="1">
      <x v="606"/>
    </i>
    <i r="1">
      <x v="526"/>
    </i>
    <i r="1">
      <x v="624"/>
    </i>
    <i r="1">
      <x v="573"/>
    </i>
    <i r="1">
      <x v="619"/>
    </i>
    <i r="1">
      <x v="616"/>
    </i>
    <i r="1">
      <x v="589"/>
    </i>
    <i r="1">
      <x v="560"/>
    </i>
    <i r="1">
      <x v="590"/>
    </i>
    <i r="1">
      <x v="614"/>
    </i>
    <i r="1">
      <x v="546"/>
    </i>
    <i r="1">
      <x v="585"/>
    </i>
    <i r="1">
      <x v="594"/>
    </i>
    <i r="1">
      <x v="625"/>
    </i>
    <i r="1">
      <x v="598"/>
    </i>
    <i r="1">
      <x v="545"/>
    </i>
    <i r="1">
      <x v="550"/>
    </i>
    <i r="1">
      <x v="536"/>
    </i>
    <i r="1">
      <x v="561"/>
    </i>
    <i r="1">
      <x v="578"/>
    </i>
    <i r="1">
      <x v="565"/>
    </i>
    <i r="1">
      <x v="571"/>
    </i>
    <i r="1">
      <x v="549"/>
    </i>
    <i r="1">
      <x v="556"/>
    </i>
    <i r="1">
      <x v="610"/>
    </i>
    <i r="1">
      <x v="554"/>
    </i>
    <i r="1">
      <x v="570"/>
    </i>
    <i r="1">
      <x v="607"/>
    </i>
    <i r="1">
      <x v="626"/>
    </i>
    <i r="1">
      <x v="569"/>
    </i>
    <i r="1">
      <x v="604"/>
    </i>
    <i r="1">
      <x v="608"/>
    </i>
    <i r="1">
      <x v="602"/>
    </i>
    <i r="1">
      <x v="611"/>
    </i>
    <i r="1">
      <x v="596"/>
    </i>
    <i r="1">
      <x v="580"/>
    </i>
    <i r="1">
      <x v="591"/>
    </i>
    <i r="1">
      <x v="563"/>
    </i>
    <i r="1">
      <x v="528"/>
    </i>
    <i r="1">
      <x v="576"/>
    </i>
    <i r="1">
      <x v="529"/>
    </i>
    <i r="1">
      <x v="538"/>
    </i>
    <i r="1">
      <x v="555"/>
    </i>
    <i r="1">
      <x v="605"/>
    </i>
    <i r="1">
      <x v="558"/>
    </i>
    <i r="1">
      <x v="627"/>
    </i>
    <i r="1">
      <x v="613"/>
    </i>
    <i r="1">
      <x v="588"/>
    </i>
    <i r="1">
      <x v="575"/>
    </i>
    <i r="1">
      <x v="581"/>
    </i>
    <i r="1">
      <x v="586"/>
    </i>
    <i t="grand">
      <x/>
    </i>
  </rowItems>
  <colFields count="1">
    <field x="-2"/>
  </colFields>
  <colItems count="2">
    <i>
      <x/>
    </i>
    <i i="1">
      <x v="1"/>
    </i>
  </colItems>
  <dataFields count="2">
    <dataField name="Sum of GrossRevenue2" fld="17" baseField="0" baseItem="0"/>
    <dataField name="Sum of GrossRevenue" fld="17" baseField="12" baseItem="0" numFmtId="2">
      <extLst>
        <ext xmlns:x14="http://schemas.microsoft.com/office/spreadsheetml/2009/9/main" uri="{E15A36E0-9728-4e99-A89B-3F7291B0FE68}">
          <x14:dataField pivotShowAs="percentOfRunningTotal"/>
        </ext>
      </extLst>
    </dataField>
  </dataFields>
  <formats count="5">
    <format dxfId="322">
      <pivotArea collapsedLevelsAreSubtotals="1" fieldPosition="0">
        <references count="2">
          <reference field="11" count="1" selected="0">
            <x v="0"/>
          </reference>
          <reference field="12" count="1">
            <x v="59"/>
          </reference>
        </references>
      </pivotArea>
    </format>
    <format dxfId="321">
      <pivotArea outline="0" collapsedLevelsAreSubtotals="1" fieldPosition="0"/>
    </format>
    <format dxfId="320">
      <pivotArea outline="0" fieldPosition="0">
        <references count="1">
          <reference field="4294967294" count="1">
            <x v="1"/>
          </reference>
        </references>
      </pivotArea>
    </format>
    <format dxfId="319">
      <pivotArea outline="0" collapsedLevelsAreSubtotals="1" fieldPosition="0">
        <references count="1">
          <reference field="4294967294" count="1" selected="0">
            <x v="1"/>
          </reference>
        </references>
      </pivotArea>
    </format>
    <format dxfId="318">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F446CC-207F-40C0-84FB-C5A4EC45690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35" firstHeaderRow="1" firstDataRow="1" firstDataCol="1"/>
  <pivotFields count="34">
    <pivotField axis="axisRow" showAll="0">
      <items count="632">
        <item x="67"/>
        <item x="133"/>
        <item x="5"/>
        <item x="70"/>
        <item x="214"/>
        <item x="111"/>
        <item x="173"/>
        <item x="148"/>
        <item x="32"/>
        <item x="79"/>
        <item x="21"/>
        <item x="59"/>
        <item x="16"/>
        <item x="117"/>
        <item x="188"/>
        <item x="178"/>
        <item x="93"/>
        <item x="105"/>
        <item x="75"/>
        <item x="223"/>
        <item x="196"/>
        <item x="86"/>
        <item x="203"/>
        <item x="166"/>
        <item x="213"/>
        <item x="145"/>
        <item x="216"/>
        <item x="192"/>
        <item x="205"/>
        <item x="118"/>
        <item x="162"/>
        <item x="206"/>
        <item x="42"/>
        <item x="161"/>
        <item x="98"/>
        <item x="218"/>
        <item x="84"/>
        <item x="141"/>
        <item x="64"/>
        <item x="116"/>
        <item x="135"/>
        <item x="15"/>
        <item x="172"/>
        <item x="149"/>
        <item x="33"/>
        <item x="36"/>
        <item x="124"/>
        <item x="25"/>
        <item x="138"/>
        <item x="103"/>
        <item x="126"/>
        <item x="50"/>
        <item x="176"/>
        <item x="179"/>
        <item x="60"/>
        <item x="122"/>
        <item x="153"/>
        <item x="69"/>
        <item x="152"/>
        <item x="96"/>
        <item x="54"/>
        <item x="77"/>
        <item x="180"/>
        <item x="130"/>
        <item x="134"/>
        <item x="27"/>
        <item x="113"/>
        <item x="155"/>
        <item x="185"/>
        <item x="74"/>
        <item x="4"/>
        <item x="88"/>
        <item x="99"/>
        <item x="61"/>
        <item x="110"/>
        <item x="190"/>
        <item x="44"/>
        <item x="28"/>
        <item x="100"/>
        <item x="11"/>
        <item x="215"/>
        <item x="109"/>
        <item x="171"/>
        <item x="139"/>
        <item x="119"/>
        <item x="199"/>
        <item x="82"/>
        <item x="30"/>
        <item x="177"/>
        <item x="128"/>
        <item x="18"/>
        <item x="164"/>
        <item x="121"/>
        <item x="62"/>
        <item x="181"/>
        <item x="169"/>
        <item x="94"/>
        <item x="8"/>
        <item x="150"/>
        <item x="101"/>
        <item x="125"/>
        <item x="49"/>
        <item x="40"/>
        <item x="143"/>
        <item x="167"/>
        <item x="198"/>
        <item x="22"/>
        <item x="175"/>
        <item x="129"/>
        <item x="204"/>
        <item x="73"/>
        <item x="13"/>
        <item x="197"/>
        <item x="220"/>
        <item x="207"/>
        <item x="7"/>
        <item x="92"/>
        <item x="131"/>
        <item x="108"/>
        <item x="209"/>
        <item x="189"/>
        <item x="107"/>
        <item x="154"/>
        <item x="91"/>
        <item x="57"/>
        <item x="114"/>
        <item x="45"/>
        <item x="9"/>
        <item x="174"/>
        <item x="26"/>
        <item x="195"/>
        <item x="123"/>
        <item x="183"/>
        <item x="144"/>
        <item x="78"/>
        <item x="89"/>
        <item x="156"/>
        <item x="106"/>
        <item x="194"/>
        <item x="187"/>
        <item x="136"/>
        <item x="159"/>
        <item x="58"/>
        <item x="186"/>
        <item x="211"/>
        <item x="90"/>
        <item x="1"/>
        <item x="3"/>
        <item x="56"/>
        <item x="87"/>
        <item x="158"/>
        <item x="140"/>
        <item x="104"/>
        <item x="168"/>
        <item x="0"/>
        <item x="46"/>
        <item x="212"/>
        <item x="157"/>
        <item x="23"/>
        <item x="24"/>
        <item x="63"/>
        <item x="151"/>
        <item x="66"/>
        <item x="165"/>
        <item x="52"/>
        <item x="102"/>
        <item x="6"/>
        <item x="38"/>
        <item x="224"/>
        <item x="65"/>
        <item x="10"/>
        <item x="221"/>
        <item x="208"/>
        <item x="127"/>
        <item x="202"/>
        <item x="132"/>
        <item x="41"/>
        <item x="191"/>
        <item x="217"/>
        <item x="193"/>
        <item x="170"/>
        <item x="20"/>
        <item x="34"/>
        <item x="14"/>
        <item x="12"/>
        <item x="43"/>
        <item x="53"/>
        <item x="146"/>
        <item x="51"/>
        <item x="83"/>
        <item x="97"/>
        <item x="48"/>
        <item x="31"/>
        <item x="72"/>
        <item x="147"/>
        <item x="2"/>
        <item x="19"/>
        <item x="142"/>
        <item x="182"/>
        <item x="29"/>
        <item x="115"/>
        <item x="55"/>
        <item x="76"/>
        <item x="71"/>
        <item x="137"/>
        <item x="81"/>
        <item x="120"/>
        <item x="112"/>
        <item x="184"/>
        <item x="95"/>
        <item x="85"/>
        <item x="39"/>
        <item x="68"/>
        <item x="163"/>
        <item x="37"/>
        <item x="35"/>
        <item x="80"/>
        <item x="17"/>
        <item x="210"/>
        <item x="201"/>
        <item x="219"/>
        <item x="222"/>
        <item x="200"/>
        <item x="160"/>
        <item x="47"/>
        <item x="448"/>
        <item x="227"/>
        <item x="260"/>
        <item x="329"/>
        <item x="365"/>
        <item x="444"/>
        <item x="234"/>
        <item x="317"/>
        <item x="454"/>
        <item x="462"/>
        <item x="326"/>
        <item x="377"/>
        <item x="427"/>
        <item x="458"/>
        <item x="435"/>
        <item x="265"/>
        <item x="258"/>
        <item x="306"/>
        <item x="353"/>
        <item x="446"/>
        <item x="259"/>
        <item x="237"/>
        <item x="285"/>
        <item x="242"/>
        <item x="385"/>
        <item x="245"/>
        <item x="291"/>
        <item x="368"/>
        <item x="346"/>
        <item x="289"/>
        <item x="281"/>
        <item x="336"/>
        <item x="429"/>
        <item x="255"/>
        <item x="402"/>
        <item x="280"/>
        <item x="299"/>
        <item x="423"/>
        <item x="418"/>
        <item x="275"/>
        <item x="460"/>
        <item x="411"/>
        <item x="438"/>
        <item x="278"/>
        <item x="246"/>
        <item x="232"/>
        <item x="370"/>
        <item x="283"/>
        <item x="451"/>
        <item x="231"/>
        <item x="361"/>
        <item x="367"/>
        <item x="292"/>
        <item x="430"/>
        <item x="319"/>
        <item x="441"/>
        <item x="249"/>
        <item x="294"/>
        <item x="420"/>
        <item x="457"/>
        <item x="344"/>
        <item x="274"/>
        <item x="318"/>
        <item x="419"/>
        <item x="371"/>
        <item x="228"/>
        <item x="273"/>
        <item x="421"/>
        <item x="414"/>
        <item x="296"/>
        <item x="236"/>
        <item x="433"/>
        <item x="313"/>
        <item x="422"/>
        <item x="445"/>
        <item x="338"/>
        <item x="316"/>
        <item x="453"/>
        <item x="355"/>
        <item x="304"/>
        <item x="321"/>
        <item x="270"/>
        <item x="384"/>
        <item x="334"/>
        <item x="364"/>
        <item x="262"/>
        <item x="399"/>
        <item x="348"/>
        <item x="398"/>
        <item x="284"/>
        <item x="380"/>
        <item x="347"/>
        <item x="331"/>
        <item x="428"/>
        <item x="350"/>
        <item x="261"/>
        <item x="459"/>
        <item x="443"/>
        <item x="431"/>
        <item x="243"/>
        <item x="312"/>
        <item x="404"/>
        <item x="392"/>
        <item x="315"/>
        <item x="436"/>
        <item x="400"/>
        <item x="290"/>
        <item x="264"/>
        <item x="266"/>
        <item x="307"/>
        <item x="244"/>
        <item x="382"/>
        <item x="381"/>
        <item x="256"/>
        <item x="310"/>
        <item x="375"/>
        <item x="379"/>
        <item x="314"/>
        <item x="337"/>
        <item x="301"/>
        <item x="386"/>
        <item x="351"/>
        <item x="340"/>
        <item x="322"/>
        <item x="339"/>
        <item x="390"/>
        <item x="332"/>
        <item x="372"/>
        <item x="424"/>
        <item x="305"/>
        <item x="388"/>
        <item x="293"/>
        <item x="298"/>
        <item x="241"/>
        <item x="325"/>
        <item x="354"/>
        <item x="369"/>
        <item x="333"/>
        <item x="297"/>
        <item x="378"/>
        <item x="323"/>
        <item x="413"/>
        <item x="308"/>
        <item x="257"/>
        <item x="252"/>
        <item x="461"/>
        <item x="440"/>
        <item x="383"/>
        <item x="415"/>
        <item x="357"/>
        <item x="401"/>
        <item x="279"/>
        <item x="394"/>
        <item x="363"/>
        <item x="311"/>
        <item x="272"/>
        <item x="342"/>
        <item x="330"/>
        <item x="226"/>
        <item x="407"/>
        <item x="393"/>
        <item x="416"/>
        <item x="412"/>
        <item x="376"/>
        <item x="288"/>
        <item x="238"/>
        <item x="408"/>
        <item x="251"/>
        <item x="248"/>
        <item x="426"/>
        <item x="396"/>
        <item x="432"/>
        <item x="397"/>
        <item x="434"/>
        <item x="343"/>
        <item x="439"/>
        <item x="267"/>
        <item x="374"/>
        <item x="410"/>
        <item x="358"/>
        <item x="450"/>
        <item x="395"/>
        <item x="263"/>
        <item x="360"/>
        <item x="327"/>
        <item x="324"/>
        <item x="300"/>
        <item x="282"/>
        <item x="449"/>
        <item x="447"/>
        <item x="247"/>
        <item x="235"/>
        <item x="303"/>
        <item x="271"/>
        <item x="356"/>
        <item x="302"/>
        <item x="389"/>
        <item x="442"/>
        <item x="269"/>
        <item x="229"/>
        <item x="341"/>
        <item x="230"/>
        <item x="328"/>
        <item x="240"/>
        <item x="239"/>
        <item x="349"/>
        <item x="352"/>
        <item x="287"/>
        <item x="359"/>
        <item x="455"/>
        <item x="277"/>
        <item x="276"/>
        <item x="335"/>
        <item x="366"/>
        <item x="345"/>
        <item x="225"/>
        <item x="425"/>
        <item x="452"/>
        <item x="295"/>
        <item x="405"/>
        <item x="362"/>
        <item x="286"/>
        <item x="250"/>
        <item x="268"/>
        <item x="437"/>
        <item x="406"/>
        <item x="409"/>
        <item x="254"/>
        <item x="320"/>
        <item x="456"/>
        <item x="387"/>
        <item x="309"/>
        <item x="253"/>
        <item x="391"/>
        <item x="373"/>
        <item x="403"/>
        <item x="417"/>
        <item x="233"/>
        <item x="544"/>
        <item x="505"/>
        <item x="589"/>
        <item x="464"/>
        <item x="521"/>
        <item x="473"/>
        <item x="467"/>
        <item x="586"/>
        <item x="585"/>
        <item x="511"/>
        <item x="525"/>
        <item x="508"/>
        <item x="570"/>
        <item x="580"/>
        <item x="581"/>
        <item x="608"/>
        <item x="542"/>
        <item x="478"/>
        <item x="503"/>
        <item x="559"/>
        <item x="621"/>
        <item x="625"/>
        <item x="527"/>
        <item x="529"/>
        <item x="626"/>
        <item x="539"/>
        <item x="546"/>
        <item x="571"/>
        <item x="598"/>
        <item x="517"/>
        <item x="493"/>
        <item x="573"/>
        <item x="488"/>
        <item x="601"/>
        <item x="607"/>
        <item x="522"/>
        <item x="576"/>
        <item x="577"/>
        <item x="536"/>
        <item x="476"/>
        <item x="509"/>
        <item x="507"/>
        <item x="487"/>
        <item x="489"/>
        <item x="466"/>
        <item x="551"/>
        <item x="558"/>
        <item x="562"/>
        <item x="475"/>
        <item x="617"/>
        <item x="565"/>
        <item x="599"/>
        <item x="604"/>
        <item x="528"/>
        <item x="483"/>
        <item x="513"/>
        <item x="537"/>
        <item x="596"/>
        <item x="569"/>
        <item x="491"/>
        <item x="567"/>
        <item x="556"/>
        <item x="523"/>
        <item x="496"/>
        <item x="533"/>
        <item x="597"/>
        <item x="495"/>
        <item x="547"/>
        <item x="497"/>
        <item x="463"/>
        <item x="535"/>
        <item x="564"/>
        <item x="501"/>
        <item x="602"/>
        <item x="516"/>
        <item x="593"/>
        <item x="469"/>
        <item x="519"/>
        <item x="477"/>
        <item x="472"/>
        <item x="566"/>
        <item x="587"/>
        <item x="628"/>
        <item x="578"/>
        <item x="524"/>
        <item x="504"/>
        <item x="538"/>
        <item x="592"/>
        <item x="603"/>
        <item x="465"/>
        <item x="563"/>
        <item x="520"/>
        <item x="600"/>
        <item x="470"/>
        <item x="590"/>
        <item x="485"/>
        <item x="582"/>
        <item x="612"/>
        <item x="468"/>
        <item x="481"/>
        <item x="514"/>
        <item x="629"/>
        <item x="541"/>
        <item x="613"/>
        <item x="575"/>
        <item x="588"/>
        <item x="498"/>
        <item x="609"/>
        <item x="499"/>
        <item x="502"/>
        <item x="561"/>
        <item x="555"/>
        <item x="595"/>
        <item x="490"/>
        <item x="574"/>
        <item x="624"/>
        <item x="494"/>
        <item x="627"/>
        <item x="554"/>
        <item x="548"/>
        <item x="512"/>
        <item x="534"/>
        <item x="614"/>
        <item x="540"/>
        <item x="518"/>
        <item x="486"/>
        <item x="532"/>
        <item x="552"/>
        <item x="623"/>
        <item x="583"/>
        <item x="594"/>
        <item x="560"/>
        <item x="616"/>
        <item x="557"/>
        <item x="606"/>
        <item x="622"/>
        <item x="550"/>
        <item x="630"/>
        <item x="619"/>
        <item x="591"/>
        <item x="526"/>
        <item x="568"/>
        <item x="515"/>
        <item x="605"/>
        <item x="543"/>
        <item x="545"/>
        <item x="492"/>
        <item x="620"/>
        <item x="479"/>
        <item x="530"/>
        <item x="572"/>
        <item x="471"/>
        <item x="482"/>
        <item x="615"/>
        <item x="500"/>
        <item x="579"/>
        <item x="484"/>
        <item x="474"/>
        <item x="510"/>
        <item x="531"/>
        <item x="506"/>
        <item x="610"/>
        <item x="584"/>
        <item x="611"/>
        <item x="480"/>
        <item x="549"/>
        <item x="618"/>
        <item x="553"/>
        <item t="default"/>
      </items>
    </pivotField>
    <pivotField showAll="0"/>
    <pivotField numFmtId="14" showAll="0">
      <items count="4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t="default"/>
      </items>
    </pivotField>
    <pivotField numFmtId="14" showAll="0"/>
    <pivotField showAll="0"/>
    <pivotField showAll="0">
      <items count="5">
        <item x="1"/>
        <item x="0"/>
        <item x="3"/>
        <item x="2"/>
        <item t="default"/>
      </items>
    </pivotField>
    <pivotField showAll="0"/>
    <pivotField showAll="0"/>
    <pivotField showAll="0"/>
    <pivotField showAll="0">
      <items count="7">
        <item x="2"/>
        <item x="0"/>
        <item x="4"/>
        <item x="1"/>
        <item x="3"/>
        <item x="5"/>
        <item t="default"/>
      </items>
    </pivotField>
    <pivotField showAll="0">
      <items count="17">
        <item x="1"/>
        <item x="0"/>
        <item x="11"/>
        <item x="2"/>
        <item x="14"/>
        <item x="7"/>
        <item x="6"/>
        <item x="4"/>
        <item x="12"/>
        <item x="13"/>
        <item x="10"/>
        <item x="9"/>
        <item x="3"/>
        <item x="8"/>
        <item x="5"/>
        <item x="15"/>
        <item t="default"/>
      </items>
    </pivotField>
    <pivotField showAll="0">
      <items count="8">
        <item x="3"/>
        <item x="6"/>
        <item x="0"/>
        <item x="5"/>
        <item x="4"/>
        <item x="2"/>
        <item x="1"/>
        <item t="default"/>
      </items>
    </pivotField>
    <pivotField showAll="0"/>
    <pivotField showAll="0"/>
    <pivotField showAll="0"/>
    <pivotField numFmtId="9" showAll="0"/>
    <pivotField showAll="0"/>
    <pivotField dataField="1" showAll="0"/>
    <pivotField showAll="0"/>
    <pivotField showAll="0"/>
    <pivotField numFmtId="10" showAll="0"/>
    <pivotField showAll="0"/>
    <pivotField numFmtId="165" showAll="0"/>
    <pivotField showAll="0"/>
    <pivotField showAll="0"/>
    <pivotField showAll="0"/>
    <pivotField showAll="0"/>
    <pivotField numFmtId="165" showAll="0">
      <items count="4">
        <item x="0"/>
        <item x="1"/>
        <item x="2"/>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6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t="grand">
      <x/>
    </i>
  </rowItems>
  <colItems count="1">
    <i/>
  </colItems>
  <dataFields count="1">
    <dataField name="Sum of GrossRevenue" fld="17" baseField="0" baseItem="0" numFmtId="2"/>
  </dataFields>
  <formats count="1">
    <format dxfId="3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CAB6EC-9C31-4E9F-AFB1-6358461FE02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34">
    <pivotField axis="axisRow" dataField="1" showAll="0">
      <items count="632">
        <item x="67"/>
        <item x="133"/>
        <item x="5"/>
        <item x="70"/>
        <item x="214"/>
        <item x="111"/>
        <item x="173"/>
        <item x="148"/>
        <item x="32"/>
        <item x="79"/>
        <item x="21"/>
        <item x="59"/>
        <item x="16"/>
        <item x="117"/>
        <item x="188"/>
        <item x="178"/>
        <item x="93"/>
        <item x="105"/>
        <item x="75"/>
        <item x="223"/>
        <item x="196"/>
        <item x="86"/>
        <item x="203"/>
        <item x="166"/>
        <item x="213"/>
        <item x="145"/>
        <item x="216"/>
        <item x="192"/>
        <item x="205"/>
        <item x="118"/>
        <item x="162"/>
        <item x="206"/>
        <item x="42"/>
        <item x="161"/>
        <item x="98"/>
        <item x="218"/>
        <item x="84"/>
        <item x="141"/>
        <item x="64"/>
        <item x="116"/>
        <item x="135"/>
        <item x="15"/>
        <item x="172"/>
        <item x="149"/>
        <item x="33"/>
        <item x="36"/>
        <item x="124"/>
        <item x="25"/>
        <item x="138"/>
        <item x="103"/>
        <item x="126"/>
        <item x="50"/>
        <item x="176"/>
        <item x="179"/>
        <item x="60"/>
        <item x="122"/>
        <item x="153"/>
        <item x="69"/>
        <item x="152"/>
        <item x="96"/>
        <item x="54"/>
        <item x="77"/>
        <item x="180"/>
        <item x="130"/>
        <item x="134"/>
        <item x="27"/>
        <item x="113"/>
        <item x="155"/>
        <item x="185"/>
        <item x="74"/>
        <item x="4"/>
        <item x="88"/>
        <item x="99"/>
        <item x="61"/>
        <item x="110"/>
        <item x="190"/>
        <item x="44"/>
        <item x="28"/>
        <item x="100"/>
        <item x="11"/>
        <item x="215"/>
        <item x="109"/>
        <item x="171"/>
        <item x="139"/>
        <item x="119"/>
        <item x="199"/>
        <item x="82"/>
        <item x="30"/>
        <item x="177"/>
        <item x="128"/>
        <item x="18"/>
        <item x="164"/>
        <item x="121"/>
        <item x="62"/>
        <item x="181"/>
        <item x="169"/>
        <item x="94"/>
        <item x="8"/>
        <item x="150"/>
        <item x="101"/>
        <item x="125"/>
        <item x="49"/>
        <item x="40"/>
        <item x="143"/>
        <item x="167"/>
        <item x="198"/>
        <item x="22"/>
        <item x="175"/>
        <item x="129"/>
        <item x="204"/>
        <item x="73"/>
        <item x="13"/>
        <item x="197"/>
        <item x="220"/>
        <item x="207"/>
        <item x="7"/>
        <item x="92"/>
        <item x="131"/>
        <item x="108"/>
        <item x="209"/>
        <item x="189"/>
        <item x="107"/>
        <item x="154"/>
        <item x="91"/>
        <item x="57"/>
        <item x="114"/>
        <item x="45"/>
        <item x="9"/>
        <item x="174"/>
        <item x="26"/>
        <item x="195"/>
        <item x="123"/>
        <item x="183"/>
        <item x="144"/>
        <item x="78"/>
        <item x="89"/>
        <item x="156"/>
        <item x="106"/>
        <item x="194"/>
        <item x="187"/>
        <item x="136"/>
        <item x="159"/>
        <item x="58"/>
        <item x="186"/>
        <item x="211"/>
        <item x="90"/>
        <item x="1"/>
        <item x="3"/>
        <item x="56"/>
        <item x="87"/>
        <item x="158"/>
        <item x="140"/>
        <item x="104"/>
        <item x="168"/>
        <item x="0"/>
        <item x="46"/>
        <item x="212"/>
        <item x="157"/>
        <item x="23"/>
        <item x="24"/>
        <item x="63"/>
        <item x="151"/>
        <item x="66"/>
        <item x="165"/>
        <item x="52"/>
        <item x="102"/>
        <item x="6"/>
        <item x="38"/>
        <item x="224"/>
        <item x="65"/>
        <item x="10"/>
        <item x="221"/>
        <item x="208"/>
        <item x="127"/>
        <item x="202"/>
        <item x="132"/>
        <item x="41"/>
        <item x="191"/>
        <item x="217"/>
        <item x="193"/>
        <item x="170"/>
        <item x="20"/>
        <item x="34"/>
        <item x="14"/>
        <item x="12"/>
        <item x="43"/>
        <item x="53"/>
        <item x="146"/>
        <item x="51"/>
        <item x="83"/>
        <item x="97"/>
        <item x="48"/>
        <item x="31"/>
        <item x="72"/>
        <item x="147"/>
        <item x="2"/>
        <item x="19"/>
        <item x="142"/>
        <item x="182"/>
        <item x="29"/>
        <item x="115"/>
        <item x="55"/>
        <item x="76"/>
        <item x="71"/>
        <item x="137"/>
        <item x="81"/>
        <item x="120"/>
        <item x="112"/>
        <item x="184"/>
        <item x="95"/>
        <item x="85"/>
        <item x="39"/>
        <item x="68"/>
        <item x="163"/>
        <item x="37"/>
        <item x="35"/>
        <item x="80"/>
        <item x="17"/>
        <item x="210"/>
        <item x="201"/>
        <item x="219"/>
        <item x="222"/>
        <item x="200"/>
        <item x="160"/>
        <item x="47"/>
        <item x="448"/>
        <item x="227"/>
        <item x="260"/>
        <item x="329"/>
        <item x="365"/>
        <item x="444"/>
        <item x="234"/>
        <item x="317"/>
        <item x="454"/>
        <item x="462"/>
        <item x="326"/>
        <item x="377"/>
        <item x="427"/>
        <item x="458"/>
        <item x="435"/>
        <item x="265"/>
        <item x="258"/>
        <item x="306"/>
        <item x="353"/>
        <item x="446"/>
        <item x="259"/>
        <item x="237"/>
        <item x="285"/>
        <item x="242"/>
        <item x="385"/>
        <item x="245"/>
        <item x="291"/>
        <item x="368"/>
        <item x="346"/>
        <item x="289"/>
        <item x="281"/>
        <item x="336"/>
        <item x="429"/>
        <item x="255"/>
        <item x="402"/>
        <item x="280"/>
        <item x="299"/>
        <item x="423"/>
        <item x="418"/>
        <item x="275"/>
        <item x="460"/>
        <item x="411"/>
        <item x="438"/>
        <item x="278"/>
        <item x="246"/>
        <item x="232"/>
        <item x="370"/>
        <item x="283"/>
        <item x="451"/>
        <item x="231"/>
        <item x="361"/>
        <item x="367"/>
        <item x="292"/>
        <item x="430"/>
        <item x="319"/>
        <item x="441"/>
        <item x="249"/>
        <item x="294"/>
        <item x="420"/>
        <item x="457"/>
        <item x="344"/>
        <item x="274"/>
        <item x="318"/>
        <item x="419"/>
        <item x="371"/>
        <item x="228"/>
        <item x="273"/>
        <item x="421"/>
        <item x="414"/>
        <item x="296"/>
        <item x="236"/>
        <item x="433"/>
        <item x="313"/>
        <item x="422"/>
        <item x="445"/>
        <item x="338"/>
        <item x="316"/>
        <item x="453"/>
        <item x="355"/>
        <item x="304"/>
        <item x="321"/>
        <item x="270"/>
        <item x="384"/>
        <item x="334"/>
        <item x="364"/>
        <item x="262"/>
        <item x="399"/>
        <item x="348"/>
        <item x="398"/>
        <item x="284"/>
        <item x="380"/>
        <item x="347"/>
        <item x="331"/>
        <item x="428"/>
        <item x="350"/>
        <item x="261"/>
        <item x="459"/>
        <item x="443"/>
        <item x="431"/>
        <item x="243"/>
        <item x="312"/>
        <item x="404"/>
        <item x="392"/>
        <item x="315"/>
        <item x="436"/>
        <item x="400"/>
        <item x="290"/>
        <item x="264"/>
        <item x="266"/>
        <item x="307"/>
        <item x="244"/>
        <item x="382"/>
        <item x="381"/>
        <item x="256"/>
        <item x="310"/>
        <item x="375"/>
        <item x="379"/>
        <item x="314"/>
        <item x="337"/>
        <item x="301"/>
        <item x="386"/>
        <item x="351"/>
        <item x="340"/>
        <item x="322"/>
        <item x="339"/>
        <item x="390"/>
        <item x="332"/>
        <item x="372"/>
        <item x="424"/>
        <item x="305"/>
        <item x="388"/>
        <item x="293"/>
        <item x="298"/>
        <item x="241"/>
        <item x="325"/>
        <item x="354"/>
        <item x="369"/>
        <item x="333"/>
        <item x="297"/>
        <item x="378"/>
        <item x="323"/>
        <item x="413"/>
        <item x="308"/>
        <item x="257"/>
        <item x="252"/>
        <item x="461"/>
        <item x="440"/>
        <item x="383"/>
        <item x="415"/>
        <item x="357"/>
        <item x="401"/>
        <item x="279"/>
        <item x="394"/>
        <item x="363"/>
        <item x="311"/>
        <item x="272"/>
        <item x="342"/>
        <item x="330"/>
        <item x="226"/>
        <item x="407"/>
        <item x="393"/>
        <item x="416"/>
        <item x="412"/>
        <item x="376"/>
        <item x="288"/>
        <item x="238"/>
        <item x="408"/>
        <item x="251"/>
        <item x="248"/>
        <item x="426"/>
        <item x="396"/>
        <item x="432"/>
        <item x="397"/>
        <item x="434"/>
        <item x="343"/>
        <item x="439"/>
        <item x="267"/>
        <item x="374"/>
        <item x="410"/>
        <item x="358"/>
        <item x="450"/>
        <item x="395"/>
        <item x="263"/>
        <item x="360"/>
        <item x="327"/>
        <item x="324"/>
        <item x="300"/>
        <item x="282"/>
        <item x="449"/>
        <item x="447"/>
        <item x="247"/>
        <item x="235"/>
        <item x="303"/>
        <item x="271"/>
        <item x="356"/>
        <item x="302"/>
        <item x="389"/>
        <item x="442"/>
        <item x="269"/>
        <item x="229"/>
        <item x="341"/>
        <item x="230"/>
        <item x="328"/>
        <item x="240"/>
        <item x="239"/>
        <item x="349"/>
        <item x="352"/>
        <item x="287"/>
        <item x="359"/>
        <item x="455"/>
        <item x="277"/>
        <item x="276"/>
        <item x="335"/>
        <item x="366"/>
        <item x="345"/>
        <item x="225"/>
        <item x="425"/>
        <item x="452"/>
        <item x="295"/>
        <item x="405"/>
        <item x="362"/>
        <item x="286"/>
        <item x="250"/>
        <item x="268"/>
        <item x="437"/>
        <item x="406"/>
        <item x="409"/>
        <item x="254"/>
        <item x="320"/>
        <item x="456"/>
        <item x="387"/>
        <item x="309"/>
        <item x="253"/>
        <item x="391"/>
        <item x="373"/>
        <item x="403"/>
        <item x="417"/>
        <item x="233"/>
        <item x="544"/>
        <item x="505"/>
        <item x="589"/>
        <item x="464"/>
        <item x="521"/>
        <item x="473"/>
        <item x="467"/>
        <item x="586"/>
        <item x="585"/>
        <item x="511"/>
        <item x="525"/>
        <item x="508"/>
        <item x="570"/>
        <item x="580"/>
        <item x="581"/>
        <item x="608"/>
        <item x="542"/>
        <item x="478"/>
        <item x="503"/>
        <item x="559"/>
        <item x="621"/>
        <item x="625"/>
        <item x="527"/>
        <item x="529"/>
        <item x="626"/>
        <item x="539"/>
        <item x="546"/>
        <item x="571"/>
        <item x="598"/>
        <item x="517"/>
        <item x="493"/>
        <item x="573"/>
        <item x="488"/>
        <item x="601"/>
        <item x="607"/>
        <item x="522"/>
        <item x="576"/>
        <item x="577"/>
        <item x="536"/>
        <item x="476"/>
        <item x="509"/>
        <item x="507"/>
        <item x="487"/>
        <item x="489"/>
        <item x="466"/>
        <item x="551"/>
        <item x="558"/>
        <item x="562"/>
        <item x="475"/>
        <item x="617"/>
        <item x="565"/>
        <item x="599"/>
        <item x="604"/>
        <item x="528"/>
        <item x="483"/>
        <item x="513"/>
        <item x="537"/>
        <item x="596"/>
        <item x="569"/>
        <item x="491"/>
        <item x="567"/>
        <item x="556"/>
        <item x="523"/>
        <item x="496"/>
        <item x="533"/>
        <item x="597"/>
        <item x="495"/>
        <item x="547"/>
        <item x="497"/>
        <item x="463"/>
        <item x="535"/>
        <item x="564"/>
        <item x="501"/>
        <item x="602"/>
        <item x="516"/>
        <item x="593"/>
        <item x="469"/>
        <item x="519"/>
        <item x="477"/>
        <item x="472"/>
        <item x="566"/>
        <item x="587"/>
        <item x="628"/>
        <item x="578"/>
        <item x="524"/>
        <item x="504"/>
        <item x="538"/>
        <item x="592"/>
        <item x="603"/>
        <item x="465"/>
        <item x="563"/>
        <item x="520"/>
        <item x="600"/>
        <item x="470"/>
        <item x="590"/>
        <item x="485"/>
        <item x="582"/>
        <item x="612"/>
        <item x="468"/>
        <item x="481"/>
        <item x="514"/>
        <item x="629"/>
        <item x="541"/>
        <item x="613"/>
        <item x="575"/>
        <item x="588"/>
        <item x="498"/>
        <item x="609"/>
        <item x="499"/>
        <item x="502"/>
        <item x="561"/>
        <item x="555"/>
        <item x="595"/>
        <item x="490"/>
        <item x="574"/>
        <item x="624"/>
        <item x="494"/>
        <item x="627"/>
        <item x="554"/>
        <item x="548"/>
        <item x="512"/>
        <item x="534"/>
        <item x="614"/>
        <item x="540"/>
        <item x="518"/>
        <item x="486"/>
        <item x="532"/>
        <item x="552"/>
        <item x="623"/>
        <item x="583"/>
        <item x="594"/>
        <item x="560"/>
        <item x="616"/>
        <item x="557"/>
        <item x="606"/>
        <item x="622"/>
        <item x="550"/>
        <item x="630"/>
        <item x="619"/>
        <item x="591"/>
        <item x="526"/>
        <item x="568"/>
        <item x="515"/>
        <item x="605"/>
        <item x="543"/>
        <item x="545"/>
        <item x="492"/>
        <item x="620"/>
        <item x="479"/>
        <item x="530"/>
        <item x="572"/>
        <item x="471"/>
        <item x="482"/>
        <item x="615"/>
        <item x="500"/>
        <item x="579"/>
        <item x="484"/>
        <item x="474"/>
        <item x="510"/>
        <item x="531"/>
        <item x="506"/>
        <item x="610"/>
        <item x="584"/>
        <item x="611"/>
        <item x="480"/>
        <item x="549"/>
        <item x="618"/>
        <item x="553"/>
        <item t="default"/>
      </items>
    </pivotField>
    <pivotField showAll="0"/>
    <pivotField axis="axisRow" numFmtId="14" showAll="0">
      <items count="4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t="default"/>
      </items>
    </pivotField>
    <pivotField numFmtId="14" showAll="0"/>
    <pivotField showAll="0"/>
    <pivotField showAll="0">
      <items count="5">
        <item x="1"/>
        <item x="0"/>
        <item x="3"/>
        <item x="2"/>
        <item t="default"/>
      </items>
    </pivotField>
    <pivotField showAll="0"/>
    <pivotField showAll="0"/>
    <pivotField showAll="0"/>
    <pivotField showAll="0">
      <items count="7">
        <item x="2"/>
        <item x="0"/>
        <item x="4"/>
        <item x="1"/>
        <item x="3"/>
        <item x="5"/>
        <item t="default"/>
      </items>
    </pivotField>
    <pivotField showAll="0">
      <items count="17">
        <item x="1"/>
        <item x="0"/>
        <item x="11"/>
        <item x="2"/>
        <item x="14"/>
        <item x="7"/>
        <item x="6"/>
        <item x="4"/>
        <item x="12"/>
        <item x="13"/>
        <item x="10"/>
        <item x="9"/>
        <item x="3"/>
        <item x="8"/>
        <item x="5"/>
        <item x="15"/>
        <item t="default"/>
      </items>
    </pivotField>
    <pivotField showAll="0">
      <items count="8">
        <item x="3"/>
        <item x="6"/>
        <item x="0"/>
        <item x="5"/>
        <item x="4"/>
        <item x="2"/>
        <item x="1"/>
        <item t="default"/>
      </items>
    </pivotField>
    <pivotField showAll="0"/>
    <pivotField showAll="0"/>
    <pivotField showAll="0"/>
    <pivotField numFmtId="9" showAll="0"/>
    <pivotField showAll="0"/>
    <pivotField showAll="0"/>
    <pivotField showAll="0"/>
    <pivotField showAll="0"/>
    <pivotField numFmtId="10" showAll="0"/>
    <pivotField showAll="0"/>
    <pivotField numFmtId="165" showAll="0"/>
    <pivotField showAll="0"/>
    <pivotField showAll="0"/>
    <pivotField showAll="0"/>
    <pivotField showAll="0"/>
    <pivotField numFmtId="165" showAll="0">
      <items count="4">
        <item x="0"/>
        <item x="1"/>
        <item x="2"/>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3">
    <field x="31"/>
    <field x="2"/>
    <field x="0"/>
  </rowFields>
  <rowItems count="13">
    <i>
      <x v="1"/>
    </i>
    <i>
      <x v="2"/>
    </i>
    <i>
      <x v="3"/>
    </i>
    <i>
      <x v="4"/>
    </i>
    <i>
      <x v="5"/>
    </i>
    <i>
      <x v="6"/>
    </i>
    <i>
      <x v="7"/>
    </i>
    <i>
      <x v="8"/>
    </i>
    <i>
      <x v="9"/>
    </i>
    <i>
      <x v="10"/>
    </i>
    <i>
      <x v="11"/>
    </i>
    <i>
      <x v="12"/>
    </i>
    <i t="grand">
      <x/>
    </i>
  </rowItems>
  <colItems count="1">
    <i/>
  </colItems>
  <dataFields count="1">
    <dataField name="Number of Ord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2F25DB-88DD-4360-91AD-A15FCFD3041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51" firstHeaderRow="1" firstDataRow="1" firstDataCol="1"/>
  <pivotFields count="34">
    <pivotField axis="axisRow" showAll="0" sortType="descending">
      <items count="632">
        <item x="67"/>
        <item x="133"/>
        <item x="5"/>
        <item x="70"/>
        <item x="214"/>
        <item x="111"/>
        <item x="173"/>
        <item x="148"/>
        <item x="32"/>
        <item x="79"/>
        <item x="21"/>
        <item x="59"/>
        <item x="16"/>
        <item x="117"/>
        <item x="188"/>
        <item x="178"/>
        <item x="93"/>
        <item x="105"/>
        <item x="75"/>
        <item x="223"/>
        <item x="196"/>
        <item x="86"/>
        <item x="203"/>
        <item x="166"/>
        <item x="213"/>
        <item x="145"/>
        <item x="216"/>
        <item x="192"/>
        <item x="205"/>
        <item x="118"/>
        <item x="162"/>
        <item x="206"/>
        <item x="42"/>
        <item x="161"/>
        <item x="98"/>
        <item x="218"/>
        <item x="84"/>
        <item x="141"/>
        <item x="64"/>
        <item x="116"/>
        <item x="135"/>
        <item x="15"/>
        <item x="172"/>
        <item x="149"/>
        <item x="33"/>
        <item x="36"/>
        <item x="124"/>
        <item x="25"/>
        <item x="138"/>
        <item x="103"/>
        <item x="126"/>
        <item x="50"/>
        <item x="176"/>
        <item x="179"/>
        <item x="60"/>
        <item x="122"/>
        <item x="153"/>
        <item x="69"/>
        <item x="152"/>
        <item x="96"/>
        <item x="54"/>
        <item x="77"/>
        <item x="180"/>
        <item x="130"/>
        <item x="134"/>
        <item x="27"/>
        <item x="113"/>
        <item x="155"/>
        <item x="185"/>
        <item x="74"/>
        <item x="4"/>
        <item x="88"/>
        <item x="99"/>
        <item x="61"/>
        <item x="110"/>
        <item x="190"/>
        <item x="44"/>
        <item x="28"/>
        <item x="100"/>
        <item x="11"/>
        <item x="215"/>
        <item x="109"/>
        <item x="171"/>
        <item x="139"/>
        <item x="119"/>
        <item x="199"/>
        <item x="82"/>
        <item x="30"/>
        <item x="177"/>
        <item x="128"/>
        <item x="18"/>
        <item x="164"/>
        <item x="121"/>
        <item x="62"/>
        <item x="181"/>
        <item x="169"/>
        <item x="94"/>
        <item x="8"/>
        <item x="150"/>
        <item x="101"/>
        <item x="125"/>
        <item x="49"/>
        <item x="40"/>
        <item x="143"/>
        <item x="167"/>
        <item x="198"/>
        <item x="22"/>
        <item x="175"/>
        <item x="129"/>
        <item x="204"/>
        <item x="73"/>
        <item x="13"/>
        <item x="197"/>
        <item x="220"/>
        <item x="207"/>
        <item x="7"/>
        <item x="92"/>
        <item x="131"/>
        <item x="108"/>
        <item x="209"/>
        <item x="189"/>
        <item x="107"/>
        <item x="154"/>
        <item x="91"/>
        <item x="57"/>
        <item x="114"/>
        <item x="45"/>
        <item x="9"/>
        <item x="174"/>
        <item x="26"/>
        <item x="195"/>
        <item x="123"/>
        <item x="183"/>
        <item x="144"/>
        <item x="78"/>
        <item x="89"/>
        <item x="156"/>
        <item x="106"/>
        <item x="194"/>
        <item x="187"/>
        <item x="136"/>
        <item x="159"/>
        <item x="58"/>
        <item x="186"/>
        <item x="211"/>
        <item x="90"/>
        <item x="1"/>
        <item x="3"/>
        <item x="56"/>
        <item x="87"/>
        <item x="158"/>
        <item x="140"/>
        <item x="104"/>
        <item x="168"/>
        <item x="0"/>
        <item x="46"/>
        <item x="212"/>
        <item x="157"/>
        <item x="23"/>
        <item x="24"/>
        <item x="63"/>
        <item x="151"/>
        <item x="66"/>
        <item x="165"/>
        <item x="52"/>
        <item x="102"/>
        <item x="6"/>
        <item x="38"/>
        <item x="224"/>
        <item x="65"/>
        <item x="10"/>
        <item x="221"/>
        <item x="208"/>
        <item x="127"/>
        <item x="202"/>
        <item x="132"/>
        <item x="41"/>
        <item x="191"/>
        <item x="217"/>
        <item x="193"/>
        <item x="170"/>
        <item x="20"/>
        <item x="34"/>
        <item x="14"/>
        <item x="12"/>
        <item x="43"/>
        <item x="53"/>
        <item x="146"/>
        <item x="51"/>
        <item x="83"/>
        <item x="97"/>
        <item x="48"/>
        <item x="31"/>
        <item x="72"/>
        <item x="147"/>
        <item x="2"/>
        <item x="19"/>
        <item x="142"/>
        <item x="182"/>
        <item x="29"/>
        <item x="115"/>
        <item x="55"/>
        <item x="76"/>
        <item x="71"/>
        <item x="137"/>
        <item x="81"/>
        <item x="120"/>
        <item x="112"/>
        <item x="184"/>
        <item x="95"/>
        <item x="85"/>
        <item x="39"/>
        <item x="68"/>
        <item x="163"/>
        <item x="37"/>
        <item x="35"/>
        <item x="80"/>
        <item x="17"/>
        <item x="210"/>
        <item x="201"/>
        <item x="219"/>
        <item x="222"/>
        <item x="200"/>
        <item x="160"/>
        <item x="47"/>
        <item x="448"/>
        <item x="227"/>
        <item x="260"/>
        <item x="329"/>
        <item x="365"/>
        <item x="444"/>
        <item x="234"/>
        <item x="317"/>
        <item x="454"/>
        <item x="462"/>
        <item x="326"/>
        <item x="377"/>
        <item x="427"/>
        <item x="458"/>
        <item x="435"/>
        <item x="265"/>
        <item x="258"/>
        <item x="306"/>
        <item x="353"/>
        <item x="446"/>
        <item x="259"/>
        <item x="237"/>
        <item x="285"/>
        <item x="242"/>
        <item x="385"/>
        <item x="245"/>
        <item x="291"/>
        <item x="368"/>
        <item x="346"/>
        <item x="289"/>
        <item x="281"/>
        <item x="336"/>
        <item x="429"/>
        <item x="255"/>
        <item x="402"/>
        <item x="280"/>
        <item x="299"/>
        <item x="423"/>
        <item x="418"/>
        <item x="275"/>
        <item x="460"/>
        <item x="411"/>
        <item x="438"/>
        <item x="278"/>
        <item x="246"/>
        <item x="232"/>
        <item x="370"/>
        <item x="283"/>
        <item x="451"/>
        <item x="231"/>
        <item x="361"/>
        <item x="367"/>
        <item x="292"/>
        <item x="430"/>
        <item x="319"/>
        <item x="441"/>
        <item x="249"/>
        <item x="294"/>
        <item x="420"/>
        <item x="457"/>
        <item x="344"/>
        <item x="274"/>
        <item x="318"/>
        <item x="419"/>
        <item x="371"/>
        <item x="228"/>
        <item x="273"/>
        <item x="421"/>
        <item x="414"/>
        <item x="296"/>
        <item x="236"/>
        <item x="433"/>
        <item x="313"/>
        <item x="422"/>
        <item x="445"/>
        <item x="338"/>
        <item x="316"/>
        <item x="453"/>
        <item x="355"/>
        <item x="304"/>
        <item x="321"/>
        <item x="270"/>
        <item x="384"/>
        <item x="334"/>
        <item x="364"/>
        <item x="262"/>
        <item x="399"/>
        <item x="348"/>
        <item x="398"/>
        <item x="284"/>
        <item x="380"/>
        <item x="347"/>
        <item x="331"/>
        <item x="428"/>
        <item x="350"/>
        <item x="261"/>
        <item x="459"/>
        <item x="443"/>
        <item x="431"/>
        <item x="243"/>
        <item x="312"/>
        <item x="404"/>
        <item x="392"/>
        <item x="315"/>
        <item x="436"/>
        <item x="400"/>
        <item x="290"/>
        <item x="264"/>
        <item x="266"/>
        <item x="307"/>
        <item x="244"/>
        <item x="382"/>
        <item x="381"/>
        <item x="256"/>
        <item x="310"/>
        <item x="375"/>
        <item x="379"/>
        <item x="314"/>
        <item x="337"/>
        <item x="301"/>
        <item x="386"/>
        <item x="351"/>
        <item x="340"/>
        <item x="322"/>
        <item x="339"/>
        <item x="390"/>
        <item x="332"/>
        <item x="372"/>
        <item x="424"/>
        <item x="305"/>
        <item x="388"/>
        <item x="293"/>
        <item x="298"/>
        <item x="241"/>
        <item x="325"/>
        <item x="354"/>
        <item x="369"/>
        <item x="333"/>
        <item x="297"/>
        <item x="378"/>
        <item x="323"/>
        <item x="413"/>
        <item x="308"/>
        <item x="257"/>
        <item x="252"/>
        <item x="461"/>
        <item x="440"/>
        <item x="383"/>
        <item x="415"/>
        <item x="357"/>
        <item x="401"/>
        <item x="279"/>
        <item x="394"/>
        <item x="363"/>
        <item x="311"/>
        <item x="272"/>
        <item x="342"/>
        <item x="330"/>
        <item x="226"/>
        <item x="407"/>
        <item x="393"/>
        <item x="416"/>
        <item x="412"/>
        <item x="376"/>
        <item x="288"/>
        <item x="238"/>
        <item x="408"/>
        <item x="251"/>
        <item x="248"/>
        <item x="426"/>
        <item x="396"/>
        <item x="432"/>
        <item x="397"/>
        <item x="434"/>
        <item x="343"/>
        <item x="439"/>
        <item x="267"/>
        <item x="374"/>
        <item x="410"/>
        <item x="358"/>
        <item x="450"/>
        <item x="395"/>
        <item x="263"/>
        <item x="360"/>
        <item x="327"/>
        <item x="324"/>
        <item x="300"/>
        <item x="282"/>
        <item x="449"/>
        <item x="447"/>
        <item x="247"/>
        <item x="235"/>
        <item x="303"/>
        <item x="271"/>
        <item x="356"/>
        <item x="302"/>
        <item x="389"/>
        <item x="442"/>
        <item x="269"/>
        <item x="229"/>
        <item x="341"/>
        <item x="230"/>
        <item x="328"/>
        <item x="240"/>
        <item x="239"/>
        <item x="349"/>
        <item x="352"/>
        <item x="287"/>
        <item x="359"/>
        <item x="455"/>
        <item x="277"/>
        <item x="276"/>
        <item x="335"/>
        <item x="366"/>
        <item x="345"/>
        <item x="225"/>
        <item x="425"/>
        <item x="452"/>
        <item x="295"/>
        <item x="405"/>
        <item x="362"/>
        <item x="286"/>
        <item x="250"/>
        <item x="268"/>
        <item x="437"/>
        <item x="406"/>
        <item x="409"/>
        <item x="254"/>
        <item x="320"/>
        <item x="456"/>
        <item x="387"/>
        <item x="309"/>
        <item x="253"/>
        <item x="391"/>
        <item x="373"/>
        <item x="403"/>
        <item x="417"/>
        <item x="233"/>
        <item x="544"/>
        <item x="505"/>
        <item x="589"/>
        <item x="464"/>
        <item x="521"/>
        <item x="473"/>
        <item x="467"/>
        <item x="586"/>
        <item x="585"/>
        <item x="511"/>
        <item x="525"/>
        <item x="508"/>
        <item x="570"/>
        <item x="580"/>
        <item x="581"/>
        <item x="608"/>
        <item x="542"/>
        <item x="478"/>
        <item x="503"/>
        <item x="559"/>
        <item x="621"/>
        <item x="625"/>
        <item x="527"/>
        <item x="529"/>
        <item x="626"/>
        <item x="539"/>
        <item x="546"/>
        <item x="571"/>
        <item x="598"/>
        <item x="517"/>
        <item x="493"/>
        <item x="573"/>
        <item x="488"/>
        <item x="601"/>
        <item x="607"/>
        <item x="522"/>
        <item x="576"/>
        <item x="577"/>
        <item x="536"/>
        <item x="476"/>
        <item x="509"/>
        <item x="507"/>
        <item x="487"/>
        <item x="489"/>
        <item x="466"/>
        <item x="551"/>
        <item x="558"/>
        <item x="562"/>
        <item x="475"/>
        <item x="617"/>
        <item x="565"/>
        <item x="599"/>
        <item x="604"/>
        <item x="528"/>
        <item x="483"/>
        <item x="513"/>
        <item x="537"/>
        <item x="596"/>
        <item x="569"/>
        <item x="491"/>
        <item x="567"/>
        <item x="556"/>
        <item x="523"/>
        <item x="496"/>
        <item x="533"/>
        <item x="597"/>
        <item x="495"/>
        <item x="547"/>
        <item x="497"/>
        <item x="463"/>
        <item x="535"/>
        <item x="564"/>
        <item x="501"/>
        <item x="602"/>
        <item x="516"/>
        <item x="593"/>
        <item x="469"/>
        <item x="519"/>
        <item x="477"/>
        <item x="472"/>
        <item x="566"/>
        <item x="587"/>
        <item x="628"/>
        <item x="578"/>
        <item x="524"/>
        <item x="504"/>
        <item x="538"/>
        <item x="592"/>
        <item x="603"/>
        <item x="465"/>
        <item x="563"/>
        <item x="520"/>
        <item x="600"/>
        <item x="470"/>
        <item x="590"/>
        <item x="485"/>
        <item x="582"/>
        <item x="612"/>
        <item x="468"/>
        <item x="481"/>
        <item x="514"/>
        <item x="629"/>
        <item x="541"/>
        <item x="613"/>
        <item x="575"/>
        <item x="588"/>
        <item x="498"/>
        <item x="609"/>
        <item x="499"/>
        <item x="502"/>
        <item x="561"/>
        <item x="555"/>
        <item x="595"/>
        <item x="490"/>
        <item x="574"/>
        <item x="624"/>
        <item x="494"/>
        <item x="627"/>
        <item x="554"/>
        <item x="548"/>
        <item x="512"/>
        <item x="534"/>
        <item x="614"/>
        <item x="540"/>
        <item x="518"/>
        <item x="486"/>
        <item x="532"/>
        <item x="552"/>
        <item x="623"/>
        <item x="583"/>
        <item x="594"/>
        <item x="560"/>
        <item x="616"/>
        <item x="557"/>
        <item x="606"/>
        <item x="622"/>
        <item x="550"/>
        <item x="630"/>
        <item x="619"/>
        <item x="591"/>
        <item x="526"/>
        <item x="568"/>
        <item x="515"/>
        <item x="605"/>
        <item x="543"/>
        <item x="545"/>
        <item x="492"/>
        <item x="620"/>
        <item x="479"/>
        <item x="530"/>
        <item x="572"/>
        <item x="471"/>
        <item x="482"/>
        <item x="615"/>
        <item x="500"/>
        <item x="579"/>
        <item x="484"/>
        <item x="474"/>
        <item x="510"/>
        <item x="531"/>
        <item x="506"/>
        <item x="610"/>
        <item x="584"/>
        <item x="611"/>
        <item x="480"/>
        <item x="549"/>
        <item x="618"/>
        <item x="553"/>
        <item t="default"/>
      </items>
      <autoSortScope>
        <pivotArea dataOnly="0" outline="0" fieldPosition="0">
          <references count="1">
            <reference field="4294967294" count="1" selected="0">
              <x v="0"/>
            </reference>
          </references>
        </pivotArea>
      </autoSortScope>
    </pivotField>
    <pivotField showAll="0"/>
    <pivotField numFmtId="14" showAll="0">
      <items count="4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t="default"/>
      </items>
    </pivotField>
    <pivotField numFmtId="14" showAll="0"/>
    <pivotField showAll="0"/>
    <pivotField showAll="0">
      <items count="5">
        <item x="1"/>
        <item x="0"/>
        <item x="3"/>
        <item x="2"/>
        <item t="default"/>
      </items>
    </pivotField>
    <pivotField showAll="0"/>
    <pivotField showAll="0"/>
    <pivotField showAll="0"/>
    <pivotField showAll="0">
      <items count="7">
        <item x="2"/>
        <item x="0"/>
        <item x="4"/>
        <item x="1"/>
        <item x="3"/>
        <item x="5"/>
        <item t="default"/>
      </items>
    </pivotField>
    <pivotField axis="axisRow" showAll="0">
      <items count="17">
        <item x="1"/>
        <item x="0"/>
        <item x="11"/>
        <item x="2"/>
        <item x="14"/>
        <item x="7"/>
        <item x="6"/>
        <item x="4"/>
        <item x="12"/>
        <item x="13"/>
        <item x="10"/>
        <item x="9"/>
        <item x="3"/>
        <item x="8"/>
        <item x="5"/>
        <item x="15"/>
        <item t="default"/>
      </items>
    </pivotField>
    <pivotField showAll="0">
      <items count="8">
        <item x="3"/>
        <item x="6"/>
        <item x="0"/>
        <item x="5"/>
        <item x="4"/>
        <item x="2"/>
        <item x="1"/>
        <item t="default"/>
      </items>
    </pivotField>
    <pivotField showAll="0"/>
    <pivotField showAll="0"/>
    <pivotField showAll="0"/>
    <pivotField numFmtId="9" showAll="0"/>
    <pivotField showAll="0"/>
    <pivotField showAll="0"/>
    <pivotField showAll="0"/>
    <pivotField dataField="1" showAll="0"/>
    <pivotField numFmtId="10" showAll="0"/>
    <pivotField showAll="0"/>
    <pivotField numFmtId="165" showAll="0"/>
    <pivotField showAll="0"/>
    <pivotField showAll="0"/>
    <pivotField showAll="0"/>
    <pivotField showAll="0"/>
    <pivotField numFmtId="165" showAll="0">
      <items count="4">
        <item x="0"/>
        <item x="1"/>
        <item x="2"/>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pivotField showAll="0" defaultSubtotal="0">
      <items count="5">
        <item x="0"/>
        <item x="1"/>
        <item x="2"/>
        <item x="3"/>
        <item x="4"/>
      </items>
    </pivotField>
  </pivotFields>
  <rowFields count="2">
    <field x="10"/>
    <field x="0"/>
  </rowFields>
  <rowItems count="648">
    <i>
      <x/>
    </i>
    <i r="1">
      <x v="13"/>
    </i>
    <i r="1">
      <x v="221"/>
    </i>
    <i r="1">
      <x v="566"/>
    </i>
    <i r="1">
      <x v="630"/>
    </i>
    <i r="1">
      <x v="618"/>
    </i>
    <i r="1">
      <x v="227"/>
    </i>
    <i r="1">
      <x v="296"/>
    </i>
    <i r="1">
      <x v="48"/>
    </i>
    <i r="1">
      <x v="355"/>
    </i>
    <i r="1">
      <x v="616"/>
    </i>
    <i r="1">
      <x v="54"/>
    </i>
    <i r="1">
      <x v="97"/>
    </i>
    <i r="1">
      <x v="375"/>
    </i>
    <i r="1">
      <x v="242"/>
    </i>
    <i r="1">
      <x v="134"/>
    </i>
    <i r="1">
      <x v="143"/>
    </i>
    <i r="1">
      <x v="144"/>
    </i>
    <i r="1">
      <x v="596"/>
    </i>
    <i r="1">
      <x v="98"/>
    </i>
    <i r="1">
      <x v="91"/>
    </i>
    <i r="1">
      <x v="290"/>
    </i>
    <i r="1">
      <x v="169"/>
    </i>
    <i r="1">
      <x v="393"/>
    </i>
    <i r="1">
      <x v="357"/>
    </i>
    <i r="1">
      <x v="34"/>
    </i>
    <i r="1">
      <x v="45"/>
    </i>
    <i r="1">
      <x v="186"/>
    </i>
    <i r="1">
      <x v="146"/>
    </i>
    <i r="1">
      <x v="59"/>
    </i>
    <i r="1">
      <x v="510"/>
    </i>
    <i r="1">
      <x v="515"/>
    </i>
    <i r="1">
      <x v="261"/>
    </i>
    <i r="1">
      <x/>
    </i>
    <i r="1">
      <x v="426"/>
    </i>
    <i r="1">
      <x v="586"/>
    </i>
    <i r="1">
      <x v="449"/>
    </i>
    <i r="1">
      <x v="71"/>
    </i>
    <i r="1">
      <x v="235"/>
    </i>
    <i r="1">
      <x v="462"/>
    </i>
    <i r="1">
      <x v="245"/>
    </i>
    <i r="1">
      <x v="494"/>
    </i>
    <i r="1">
      <x v="419"/>
    </i>
    <i r="1">
      <x v="167"/>
    </i>
    <i r="1">
      <x v="443"/>
    </i>
    <i r="1">
      <x v="600"/>
    </i>
    <i r="1">
      <x v="35"/>
    </i>
    <i>
      <x v="1"/>
    </i>
    <i r="1">
      <x v="339"/>
    </i>
    <i r="1">
      <x v="568"/>
    </i>
    <i r="1">
      <x v="259"/>
    </i>
    <i r="1">
      <x v="33"/>
    </i>
    <i r="1">
      <x v="331"/>
    </i>
    <i r="1">
      <x v="619"/>
    </i>
    <i r="1">
      <x v="180"/>
    </i>
    <i r="1">
      <x v="234"/>
    </i>
    <i r="1">
      <x v="131"/>
    </i>
    <i r="1">
      <x v="541"/>
    </i>
    <i r="1">
      <x v="341"/>
    </i>
    <i r="1">
      <x v="421"/>
    </i>
    <i r="1">
      <x v="55"/>
    </i>
    <i r="1">
      <x v="585"/>
    </i>
    <i r="1">
      <x v="469"/>
    </i>
    <i r="1">
      <x v="298"/>
    </i>
    <i r="1">
      <x v="50"/>
    </i>
    <i r="1">
      <x v="23"/>
    </i>
    <i r="1">
      <x v="113"/>
    </i>
    <i r="1">
      <x v="558"/>
    </i>
    <i r="1">
      <x v="513"/>
    </i>
    <i r="1">
      <x v="124"/>
    </i>
    <i r="1">
      <x v="628"/>
    </i>
    <i r="1">
      <x v="452"/>
    </i>
    <i r="1">
      <x v="304"/>
    </i>
    <i r="1">
      <x v="295"/>
    </i>
    <i r="1">
      <x v="61"/>
    </i>
    <i r="1">
      <x v="535"/>
    </i>
    <i r="1">
      <x v="248"/>
    </i>
    <i r="1">
      <x v="154"/>
    </i>
    <i r="1">
      <x v="206"/>
    </i>
    <i r="1">
      <x v="488"/>
    </i>
    <i r="1">
      <x v="231"/>
    </i>
    <i r="1">
      <x v="153"/>
    </i>
    <i r="1">
      <x v="267"/>
    </i>
    <i r="1">
      <x v="422"/>
    </i>
    <i r="1">
      <x v="439"/>
    </i>
    <i r="1">
      <x v="560"/>
    </i>
    <i r="1">
      <x v="380"/>
    </i>
    <i r="1">
      <x v="620"/>
    </i>
    <i r="1">
      <x v="383"/>
    </i>
    <i r="1">
      <x v="225"/>
    </i>
    <i r="1">
      <x v="104"/>
    </i>
    <i r="1">
      <x v="76"/>
    </i>
    <i r="1">
      <x v="373"/>
    </i>
    <i r="1">
      <x v="575"/>
    </i>
    <i r="1">
      <x v="194"/>
    </i>
    <i>
      <x v="2"/>
    </i>
    <i r="1">
      <x v="329"/>
    </i>
    <i r="1">
      <x v="310"/>
    </i>
    <i r="1">
      <x v="483"/>
    </i>
    <i r="1">
      <x v="81"/>
    </i>
    <i r="1">
      <x v="420"/>
    </i>
    <i r="1">
      <x v="105"/>
    </i>
    <i r="1">
      <x v="379"/>
    </i>
    <i r="1">
      <x v="62"/>
    </i>
    <i r="1">
      <x v="548"/>
    </i>
    <i r="1">
      <x v="175"/>
    </i>
    <i r="1">
      <x v="479"/>
    </i>
    <i r="1">
      <x v="598"/>
    </i>
    <i r="1">
      <x v="64"/>
    </i>
    <i r="1">
      <x v="563"/>
    </i>
    <i r="1">
      <x v="176"/>
    </i>
    <i r="1">
      <x v="358"/>
    </i>
    <i r="1">
      <x v="265"/>
    </i>
    <i r="1">
      <x v="182"/>
    </i>
    <i r="1">
      <x v="287"/>
    </i>
    <i r="1">
      <x v="604"/>
    </i>
    <i r="1">
      <x v="584"/>
    </i>
    <i r="1">
      <x v="253"/>
    </i>
    <i r="1">
      <x v="268"/>
    </i>
    <i r="1">
      <x v="120"/>
    </i>
    <i r="1">
      <x v="507"/>
    </i>
    <i r="1">
      <x v="165"/>
    </i>
    <i r="1">
      <x v="387"/>
    </i>
    <i r="1">
      <x v="158"/>
    </i>
    <i r="1">
      <x v="471"/>
    </i>
    <i r="1">
      <x v="205"/>
    </i>
    <i r="1">
      <x v="622"/>
    </i>
    <i r="1">
      <x v="517"/>
    </i>
    <i r="1">
      <x v="523"/>
    </i>
    <i r="1">
      <x v="126"/>
    </i>
    <i r="1">
      <x v="220"/>
    </i>
    <i r="1">
      <x v="459"/>
    </i>
    <i r="1">
      <x v="340"/>
    </i>
    <i>
      <x v="3"/>
    </i>
    <i r="1">
      <x v="216"/>
    </i>
    <i r="1">
      <x v="230"/>
    </i>
    <i r="1">
      <x v="364"/>
    </i>
    <i r="1">
      <x v="627"/>
    </i>
    <i r="1">
      <x v="382"/>
    </i>
    <i r="1">
      <x v="46"/>
    </i>
    <i r="1">
      <x v="440"/>
    </i>
    <i r="1">
      <x v="363"/>
    </i>
    <i r="1">
      <x v="545"/>
    </i>
    <i r="1">
      <x v="87"/>
    </i>
    <i r="1">
      <x v="106"/>
    </i>
    <i r="1">
      <x v="8"/>
    </i>
    <i r="1">
      <x v="319"/>
    </i>
    <i r="1">
      <x v="82"/>
    </i>
    <i r="1">
      <x v="107"/>
    </i>
    <i r="1">
      <x v="156"/>
    </i>
    <i r="1">
      <x v="195"/>
    </i>
    <i r="1">
      <x v="520"/>
    </i>
    <i r="1">
      <x v="318"/>
    </i>
    <i r="1">
      <x v="294"/>
    </i>
    <i r="1">
      <x v="454"/>
    </i>
    <i r="1">
      <x v="51"/>
    </i>
    <i r="1">
      <x v="576"/>
    </i>
    <i r="1">
      <x v="455"/>
    </i>
    <i r="1">
      <x v="309"/>
    </i>
    <i r="1">
      <x v="345"/>
    </i>
    <i r="1">
      <x v="338"/>
    </i>
    <i r="1">
      <x v="442"/>
    </i>
    <i r="1">
      <x v="361"/>
    </i>
    <i r="1">
      <x v="184"/>
    </i>
    <i r="1">
      <x v="481"/>
    </i>
    <i r="1">
      <x v="527"/>
    </i>
    <i r="1">
      <x v="178"/>
    </i>
    <i r="1">
      <x v="161"/>
    </i>
    <i r="1">
      <x v="297"/>
    </i>
    <i r="1">
      <x v="217"/>
    </i>
    <i r="1">
      <x v="546"/>
    </i>
    <i r="1">
      <x v="215"/>
    </i>
    <i>
      <x v="4"/>
    </i>
    <i r="1">
      <x v="218"/>
    </i>
    <i r="1">
      <x v="326"/>
    </i>
    <i r="1">
      <x v="436"/>
    </i>
    <i r="1">
      <x v="236"/>
    </i>
    <i r="1">
      <x v="188"/>
    </i>
    <i r="1">
      <x v="73"/>
    </i>
    <i r="1">
      <x v="410"/>
    </i>
    <i r="1">
      <x v="509"/>
    </i>
    <i r="1">
      <x v="330"/>
    </i>
    <i r="1">
      <x v="540"/>
    </i>
    <i r="1">
      <x v="135"/>
    </i>
    <i r="1">
      <x v="189"/>
    </i>
    <i r="1">
      <x v="282"/>
    </i>
    <i r="1">
      <x v="174"/>
    </i>
    <i r="1">
      <x v="1"/>
    </i>
    <i r="1">
      <x v="623"/>
    </i>
    <i r="1">
      <x v="60"/>
    </i>
    <i r="1">
      <x v="595"/>
    </i>
    <i r="1">
      <x v="66"/>
    </i>
    <i r="1">
      <x v="464"/>
    </i>
    <i r="1">
      <x v="407"/>
    </i>
    <i r="1">
      <x v="246"/>
    </i>
    <i r="1">
      <x v="323"/>
    </i>
    <i r="1">
      <x v="390"/>
    </i>
    <i r="1">
      <x v="629"/>
    </i>
    <i r="1">
      <x v="292"/>
    </i>
    <i r="1">
      <x v="539"/>
    </i>
    <i r="1">
      <x v="190"/>
    </i>
    <i r="1">
      <x v="328"/>
    </i>
    <i r="1">
      <x v="284"/>
    </i>
    <i r="1">
      <x v="212"/>
    </i>
    <i r="1">
      <x v="536"/>
    </i>
    <i r="1">
      <x v="123"/>
    </i>
    <i r="1">
      <x v="424"/>
    </i>
    <i>
      <x v="5"/>
    </i>
    <i r="1">
      <x v="347"/>
    </i>
    <i r="1">
      <x v="321"/>
    </i>
    <i r="1">
      <x v="608"/>
    </i>
    <i r="1">
      <x v="624"/>
    </i>
    <i r="1">
      <x v="615"/>
    </i>
    <i r="1">
      <x v="349"/>
    </i>
    <i r="1">
      <x v="269"/>
    </i>
    <i r="1">
      <x v="365"/>
    </i>
    <i r="1">
      <x v="117"/>
    </i>
    <i r="1">
      <x v="460"/>
    </i>
    <i r="1">
      <x v="114"/>
    </i>
    <i r="1">
      <x v="516"/>
    </i>
    <i r="1">
      <x v="151"/>
    </i>
    <i r="1">
      <x v="391"/>
    </i>
    <i r="1">
      <x v="210"/>
    </i>
    <i r="1">
      <x v="27"/>
    </i>
    <i r="1">
      <x v="22"/>
    </i>
    <i r="1">
      <x v="92"/>
    </i>
    <i r="1">
      <x v="554"/>
    </i>
    <i r="1">
      <x v="322"/>
    </i>
    <i r="1">
      <x v="78"/>
    </i>
    <i r="1">
      <x v="530"/>
    </i>
    <i r="1">
      <x v="487"/>
    </i>
    <i r="1">
      <x v="547"/>
    </i>
    <i r="1">
      <x v="431"/>
    </i>
    <i r="1">
      <x v="368"/>
    </i>
    <i r="1">
      <x v="457"/>
    </i>
    <i r="1">
      <x v="384"/>
    </i>
    <i r="1">
      <x v="276"/>
    </i>
    <i r="1">
      <x v="359"/>
    </i>
    <i r="1">
      <x v="569"/>
    </i>
    <i r="1">
      <x v="29"/>
    </i>
    <i r="1">
      <x v="127"/>
    </i>
    <i r="1">
      <x v="121"/>
    </i>
    <i r="1">
      <x v="448"/>
    </i>
    <i r="1">
      <x v="10"/>
    </i>
    <i r="1">
      <x v="122"/>
    </i>
    <i r="1">
      <x v="400"/>
    </i>
    <i r="1">
      <x v="453"/>
    </i>
    <i r="1">
      <x v="599"/>
    </i>
    <i r="1">
      <x v="478"/>
    </i>
    <i r="1">
      <x v="39"/>
    </i>
    <i r="1">
      <x v="537"/>
    </i>
    <i r="1">
      <x v="3"/>
    </i>
    <i r="1">
      <x v="255"/>
    </i>
    <i r="1">
      <x v="445"/>
    </i>
    <i r="1">
      <x v="303"/>
    </i>
    <i r="1">
      <x v="614"/>
    </i>
    <i r="1">
      <x v="371"/>
    </i>
    <i r="1">
      <x v="385"/>
    </i>
    <i r="1">
      <x v="532"/>
    </i>
    <i>
      <x v="6"/>
    </i>
    <i r="1">
      <x v="226"/>
    </i>
    <i r="1">
      <x v="602"/>
    </i>
    <i r="1">
      <x v="427"/>
    </i>
    <i r="1">
      <x v="346"/>
    </i>
    <i r="1">
      <x v="192"/>
    </i>
    <i r="1">
      <x v="16"/>
    </i>
    <i r="1">
      <x v="166"/>
    </i>
    <i r="1">
      <x v="398"/>
    </i>
    <i r="1">
      <x v="621"/>
    </i>
    <i r="1">
      <x v="83"/>
    </i>
    <i r="1">
      <x v="332"/>
    </i>
    <i r="1">
      <x v="187"/>
    </i>
    <i r="1">
      <x v="423"/>
    </i>
    <i r="1">
      <x v="482"/>
    </i>
    <i r="1">
      <x v="607"/>
    </i>
    <i r="1">
      <x v="504"/>
    </i>
    <i r="1">
      <x v="314"/>
    </i>
    <i r="1">
      <x v="476"/>
    </i>
    <i r="1">
      <x v="360"/>
    </i>
    <i r="1">
      <x v="473"/>
    </i>
    <i r="1">
      <x v="53"/>
    </i>
    <i r="1">
      <x v="238"/>
    </i>
    <i r="1">
      <x v="250"/>
    </i>
    <i r="1">
      <x v="432"/>
    </i>
    <i r="1">
      <x v="556"/>
    </i>
    <i r="1">
      <x v="164"/>
    </i>
    <i r="1">
      <x v="498"/>
    </i>
    <i r="1">
      <x v="111"/>
    </i>
    <i r="1">
      <x v="367"/>
    </i>
    <i r="1">
      <x v="472"/>
    </i>
    <i>
      <x v="7"/>
    </i>
    <i r="1">
      <x v="465"/>
    </i>
    <i r="1">
      <x v="317"/>
    </i>
    <i r="1">
      <x v="490"/>
    </i>
    <i r="1">
      <x v="428"/>
    </i>
    <i r="1">
      <x v="461"/>
    </i>
    <i r="1">
      <x v="112"/>
    </i>
    <i r="1">
      <x v="438"/>
    </i>
    <i r="1">
      <x v="325"/>
    </i>
    <i r="1">
      <x v="281"/>
    </i>
    <i r="1">
      <x v="553"/>
    </i>
    <i r="1">
      <x v="389"/>
    </i>
    <i r="1">
      <x v="372"/>
    </i>
    <i r="1">
      <x v="572"/>
    </i>
    <i r="1">
      <x v="342"/>
    </i>
    <i r="1">
      <x v="395"/>
    </i>
    <i r="1">
      <x v="77"/>
    </i>
    <i r="1">
      <x v="396"/>
    </i>
    <i r="1">
      <x v="489"/>
    </i>
    <i r="1">
      <x v="288"/>
    </i>
    <i r="1">
      <x v="132"/>
    </i>
    <i r="1">
      <x v="348"/>
    </i>
    <i r="1">
      <x v="493"/>
    </i>
    <i r="1">
      <x v="374"/>
    </i>
    <i r="1">
      <x v="503"/>
    </i>
    <i r="1">
      <x v="501"/>
    </i>
    <i r="1">
      <x v="524"/>
    </i>
    <i r="1">
      <x v="480"/>
    </i>
    <i r="1">
      <x v="561"/>
    </i>
    <i r="1">
      <x v="571"/>
    </i>
    <i r="1">
      <x v="378"/>
    </i>
    <i r="1">
      <x v="99"/>
    </i>
    <i r="1">
      <x v="467"/>
    </i>
    <i r="1">
      <x v="308"/>
    </i>
    <i r="1">
      <x v="392"/>
    </i>
    <i r="1">
      <x v="508"/>
    </i>
    <i r="1">
      <x v="544"/>
    </i>
    <i r="1">
      <x v="38"/>
    </i>
    <i r="1">
      <x v="299"/>
    </i>
    <i r="1">
      <x v="70"/>
    </i>
    <i r="1">
      <x v="447"/>
    </i>
    <i r="1">
      <x v="20"/>
    </i>
    <i r="1">
      <x v="11"/>
    </i>
    <i r="1">
      <x v="529"/>
    </i>
    <i r="1">
      <x v="119"/>
    </i>
    <i r="1">
      <x v="145"/>
    </i>
    <i>
      <x v="8"/>
    </i>
    <i r="1">
      <x v="191"/>
    </i>
    <i r="1">
      <x v="336"/>
    </i>
    <i r="1">
      <x v="466"/>
    </i>
    <i r="1">
      <x v="275"/>
    </i>
    <i r="1">
      <x v="14"/>
    </i>
    <i r="1">
      <x v="514"/>
    </i>
    <i r="1">
      <x v="435"/>
    </i>
    <i r="1">
      <x v="89"/>
    </i>
    <i r="1">
      <x v="570"/>
    </i>
    <i r="1">
      <x v="386"/>
    </i>
    <i r="1">
      <x v="44"/>
    </i>
    <i r="1">
      <x v="32"/>
    </i>
    <i r="1">
      <x v="88"/>
    </i>
    <i r="1">
      <x v="593"/>
    </i>
    <i r="1">
      <x v="533"/>
    </i>
    <i r="1">
      <x v="239"/>
    </i>
    <i r="1">
      <x v="17"/>
    </i>
    <i r="1">
      <x v="418"/>
    </i>
    <i r="1">
      <x v="240"/>
    </i>
    <i r="1">
      <x v="264"/>
    </i>
    <i r="1">
      <x v="605"/>
    </i>
    <i r="1">
      <x v="335"/>
    </i>
    <i r="1">
      <x v="65"/>
    </i>
    <i r="1">
      <x v="137"/>
    </i>
    <i r="1">
      <x v="499"/>
    </i>
    <i r="1">
      <x v="163"/>
    </i>
    <i r="1">
      <x v="177"/>
    </i>
    <i r="1">
      <x v="625"/>
    </i>
    <i r="1">
      <x v="42"/>
    </i>
    <i r="1">
      <x v="305"/>
    </i>
    <i r="1">
      <x v="333"/>
    </i>
    <i r="1">
      <x v="617"/>
    </i>
    <i r="1">
      <x v="353"/>
    </i>
    <i r="1">
      <x v="58"/>
    </i>
    <i r="1">
      <x v="343"/>
    </i>
    <i r="1">
      <x v="140"/>
    </i>
    <i r="1">
      <x v="609"/>
    </i>
    <i r="1">
      <x v="252"/>
    </i>
    <i>
      <x v="9"/>
    </i>
    <i r="1">
      <x v="433"/>
    </i>
    <i r="1">
      <x v="197"/>
    </i>
    <i r="1">
      <x v="148"/>
    </i>
    <i r="1">
      <x v="582"/>
    </i>
    <i r="1">
      <x v="108"/>
    </i>
    <i r="1">
      <x v="500"/>
    </i>
    <i r="1">
      <x v="565"/>
    </i>
    <i r="1">
      <x v="512"/>
    </i>
    <i r="1">
      <x v="468"/>
    </i>
    <i r="1">
      <x v="327"/>
    </i>
    <i r="1">
      <x v="404"/>
    </i>
    <i r="1">
      <x v="437"/>
    </i>
    <i r="1">
      <x v="24"/>
    </i>
    <i r="1">
      <x v="271"/>
    </i>
    <i r="1">
      <x v="6"/>
    </i>
    <i r="1">
      <x v="228"/>
    </i>
    <i r="1">
      <x v="68"/>
    </i>
    <i r="1">
      <x v="15"/>
    </i>
    <i r="1">
      <x v="402"/>
    </i>
    <i r="1">
      <x v="56"/>
    </i>
    <i r="1">
      <x v="425"/>
    </i>
    <i r="1">
      <x v="5"/>
    </i>
    <i r="1">
      <x v="526"/>
    </i>
    <i r="1">
      <x v="74"/>
    </i>
    <i r="1">
      <x v="37"/>
    </i>
    <i r="1">
      <x v="95"/>
    </i>
    <i r="1">
      <x v="413"/>
    </i>
    <i r="1">
      <x v="612"/>
    </i>
    <i r="1">
      <x v="202"/>
    </i>
    <i r="1">
      <x v="430"/>
    </i>
    <i r="1">
      <x v="18"/>
    </i>
    <i r="1">
      <x v="403"/>
    </i>
    <i r="1">
      <x v="528"/>
    </i>
    <i r="1">
      <x v="518"/>
    </i>
    <i r="1">
      <x v="444"/>
    </i>
    <i r="1">
      <x v="257"/>
    </i>
    <i r="1">
      <x v="474"/>
    </i>
    <i r="1">
      <x v="125"/>
    </i>
    <i r="1">
      <x v="185"/>
    </i>
    <i r="1">
      <x v="36"/>
    </i>
    <i r="1">
      <x v="247"/>
    </i>
    <i r="1">
      <x v="416"/>
    </i>
    <i r="1">
      <x v="193"/>
    </i>
    <i r="1">
      <x v="139"/>
    </i>
    <i r="1">
      <x v="208"/>
    </i>
    <i r="1">
      <x v="484"/>
    </i>
    <i r="1">
      <x v="408"/>
    </i>
    <i r="1">
      <x v="128"/>
    </i>
    <i r="1">
      <x v="405"/>
    </i>
    <i r="1">
      <x v="293"/>
    </i>
    <i>
      <x v="10"/>
    </i>
    <i r="1">
      <x v="603"/>
    </i>
    <i r="1">
      <x v="370"/>
    </i>
    <i r="1">
      <x v="203"/>
    </i>
    <i r="1">
      <x v="199"/>
    </i>
    <i r="1">
      <x v="277"/>
    </i>
    <i r="1">
      <x v="101"/>
    </i>
    <i r="1">
      <x v="241"/>
    </i>
    <i r="1">
      <x v="397"/>
    </i>
    <i r="1">
      <x v="26"/>
    </i>
    <i r="1">
      <x v="7"/>
    </i>
    <i r="1">
      <x v="209"/>
    </i>
    <i r="1">
      <x v="312"/>
    </i>
    <i r="1">
      <x v="90"/>
    </i>
    <i r="1">
      <x v="94"/>
    </i>
    <i r="1">
      <x v="495"/>
    </i>
    <i r="1">
      <x v="159"/>
    </i>
    <i r="1">
      <x v="412"/>
    </i>
    <i r="1">
      <x v="313"/>
    </i>
    <i r="1">
      <x v="497"/>
    </i>
    <i r="1">
      <x v="434"/>
    </i>
    <i r="1">
      <x v="552"/>
    </i>
    <i r="1">
      <x v="274"/>
    </i>
    <i r="1">
      <x v="369"/>
    </i>
    <i r="1">
      <x v="49"/>
    </i>
    <i r="1">
      <x v="301"/>
    </i>
    <i r="1">
      <x v="463"/>
    </i>
    <i r="1">
      <x v="9"/>
    </i>
    <i r="1">
      <x v="72"/>
    </i>
    <i r="1">
      <x v="214"/>
    </i>
    <i r="1">
      <x v="130"/>
    </i>
    <i r="1">
      <x v="244"/>
    </i>
    <i r="1">
      <x v="470"/>
    </i>
    <i r="1">
      <x v="307"/>
    </i>
    <i r="1">
      <x v="456"/>
    </i>
    <i r="1">
      <x v="229"/>
    </i>
    <i r="1">
      <x v="356"/>
    </i>
    <i r="1">
      <x v="149"/>
    </i>
    <i r="1">
      <x v="589"/>
    </i>
    <i r="1">
      <x v="4"/>
    </i>
    <i r="1">
      <x v="531"/>
    </i>
    <i r="1">
      <x v="587"/>
    </i>
    <i r="1">
      <x v="601"/>
    </i>
    <i r="1">
      <x v="286"/>
    </i>
    <i r="1">
      <x v="485"/>
    </i>
    <i>
      <x v="11"/>
    </i>
    <i r="1">
      <x v="502"/>
    </i>
    <i r="1">
      <x v="196"/>
    </i>
    <i r="1">
      <x v="129"/>
    </i>
    <i r="1">
      <x v="289"/>
    </i>
    <i r="1">
      <x v="477"/>
    </i>
    <i r="1">
      <x v="316"/>
    </i>
    <i r="1">
      <x v="417"/>
    </i>
    <i r="1">
      <x v="381"/>
    </i>
    <i r="1">
      <x v="280"/>
    </i>
    <i r="1">
      <x v="110"/>
    </i>
    <i r="1">
      <x v="157"/>
    </i>
    <i r="1">
      <x v="486"/>
    </i>
    <i r="1">
      <x v="521"/>
    </i>
    <i r="1">
      <x v="429"/>
    </i>
    <i r="1">
      <x v="588"/>
    </i>
    <i r="1">
      <x v="260"/>
    </i>
    <i r="1">
      <x v="75"/>
    </i>
    <i r="1">
      <x v="450"/>
    </i>
    <i r="1">
      <x v="506"/>
    </i>
    <i r="1">
      <x v="611"/>
    </i>
    <i r="1">
      <x v="168"/>
    </i>
    <i r="1">
      <x v="183"/>
    </i>
    <i r="1">
      <x v="334"/>
    </i>
    <i r="1">
      <x v="138"/>
    </i>
    <i r="1">
      <x v="388"/>
    </i>
    <i r="1">
      <x v="590"/>
    </i>
    <i r="1">
      <x v="213"/>
    </i>
    <i r="1">
      <x v="300"/>
    </i>
    <i r="1">
      <x v="377"/>
    </i>
    <i r="1">
      <x v="273"/>
    </i>
    <i r="1">
      <x v="511"/>
    </i>
    <i r="1">
      <x v="505"/>
    </i>
    <i r="1">
      <x v="562"/>
    </i>
    <i r="1">
      <x v="172"/>
    </i>
    <i r="1">
      <x v="583"/>
    </i>
    <i r="1">
      <x v="69"/>
    </i>
    <i r="1">
      <x v="80"/>
    </i>
    <i r="1">
      <x v="564"/>
    </i>
    <i r="1">
      <x v="458"/>
    </i>
    <i r="1">
      <x v="258"/>
    </i>
    <i r="1">
      <x v="219"/>
    </i>
    <i r="1">
      <x v="578"/>
    </i>
    <i r="1">
      <x v="222"/>
    </i>
    <i r="1">
      <x v="19"/>
    </i>
    <i r="1">
      <x v="102"/>
    </i>
    <i r="1">
      <x v="63"/>
    </i>
    <i>
      <x v="12"/>
    </i>
    <i r="1">
      <x v="285"/>
    </i>
    <i r="1">
      <x v="86"/>
    </i>
    <i r="1">
      <x v="351"/>
    </i>
    <i r="1">
      <x v="12"/>
    </i>
    <i r="1">
      <x v="581"/>
    </i>
    <i r="1">
      <x v="136"/>
    </i>
    <i r="1">
      <x v="441"/>
    </i>
    <i r="1">
      <x v="116"/>
    </i>
    <i r="1">
      <x v="115"/>
    </i>
    <i r="1">
      <x v="40"/>
    </i>
    <i r="1">
      <x v="283"/>
    </i>
    <i r="1">
      <x v="256"/>
    </i>
    <i r="1">
      <x v="21"/>
    </i>
    <i r="1">
      <x v="594"/>
    </i>
    <i r="1">
      <x v="592"/>
    </i>
    <i r="1">
      <x v="181"/>
    </i>
    <i r="1">
      <x v="534"/>
    </i>
    <i r="1">
      <x v="550"/>
    </i>
    <i r="1">
      <x v="406"/>
    </i>
    <i r="1">
      <x v="200"/>
    </i>
    <i r="1">
      <x v="376"/>
    </i>
    <i r="1">
      <x v="543"/>
    </i>
    <i r="1">
      <x v="302"/>
    </i>
    <i r="1">
      <x v="162"/>
    </i>
    <i r="1">
      <x v="204"/>
    </i>
    <i r="1">
      <x v="366"/>
    </i>
    <i r="1">
      <x v="147"/>
    </i>
    <i r="1">
      <x v="243"/>
    </i>
    <i r="1">
      <x v="272"/>
    </i>
    <i r="1">
      <x v="306"/>
    </i>
    <i r="1">
      <x v="201"/>
    </i>
    <i r="1">
      <x v="352"/>
    </i>
    <i r="1">
      <x v="525"/>
    </i>
    <i r="1">
      <x v="399"/>
    </i>
    <i r="1">
      <x v="597"/>
    </i>
    <i r="1">
      <x v="171"/>
    </i>
    <i r="1">
      <x v="278"/>
    </i>
    <i r="1">
      <x v="291"/>
    </i>
    <i r="1">
      <x v="626"/>
    </i>
    <i r="1">
      <x v="57"/>
    </i>
    <i r="1">
      <x v="47"/>
    </i>
    <i r="1">
      <x v="606"/>
    </i>
    <i r="1">
      <x v="232"/>
    </i>
    <i r="1">
      <x v="538"/>
    </i>
    <i r="1">
      <x v="155"/>
    </i>
    <i r="1">
      <x v="160"/>
    </i>
    <i r="1">
      <x v="233"/>
    </i>
    <i r="1">
      <x v="610"/>
    </i>
    <i>
      <x v="13"/>
    </i>
    <i r="1">
      <x v="311"/>
    </i>
    <i r="1">
      <x v="207"/>
    </i>
    <i r="1">
      <x v="41"/>
    </i>
    <i r="1">
      <x v="519"/>
    </i>
    <i r="1">
      <x v="411"/>
    </i>
    <i r="1">
      <x v="84"/>
    </i>
    <i r="1">
      <x v="141"/>
    </i>
    <i r="1">
      <x v="555"/>
    </i>
    <i r="1">
      <x v="109"/>
    </i>
    <i r="1">
      <x v="577"/>
    </i>
    <i r="1">
      <x v="25"/>
    </i>
    <i r="1">
      <x v="551"/>
    </i>
    <i r="1">
      <x v="549"/>
    </i>
    <i r="1">
      <x v="580"/>
    </i>
    <i r="1">
      <x v="103"/>
    </i>
    <i r="1">
      <x v="249"/>
    </i>
    <i r="1">
      <x v="150"/>
    </i>
    <i r="1">
      <x v="337"/>
    </i>
    <i r="1">
      <x v="28"/>
    </i>
    <i r="1">
      <x v="254"/>
    </i>
    <i r="1">
      <x v="100"/>
    </i>
    <i r="1">
      <x v="43"/>
    </i>
    <i r="1">
      <x v="324"/>
    </i>
    <i r="1">
      <x v="263"/>
    </i>
    <i r="1">
      <x v="613"/>
    </i>
    <i r="1">
      <x v="30"/>
    </i>
    <i r="1">
      <x v="579"/>
    </i>
    <i r="1">
      <x v="492"/>
    </i>
    <i r="1">
      <x v="93"/>
    </i>
    <i r="1">
      <x v="279"/>
    </i>
    <i r="1">
      <x v="344"/>
    </i>
    <i r="1">
      <x v="79"/>
    </i>
    <i>
      <x v="14"/>
    </i>
    <i r="1">
      <x v="446"/>
    </i>
    <i r="1">
      <x v="320"/>
    </i>
    <i r="1">
      <x v="451"/>
    </i>
    <i r="1">
      <x v="574"/>
    </i>
    <i r="1">
      <x v="394"/>
    </i>
    <i r="1">
      <x v="591"/>
    </i>
    <i r="1">
      <x v="262"/>
    </i>
    <i r="1">
      <x v="223"/>
    </i>
    <i r="1">
      <x v="409"/>
    </i>
    <i r="1">
      <x v="362"/>
    </i>
    <i r="1">
      <x v="96"/>
    </i>
    <i r="1">
      <x v="152"/>
    </i>
    <i r="1">
      <x v="354"/>
    </i>
    <i r="1">
      <x v="414"/>
    </i>
    <i r="1">
      <x v="67"/>
    </i>
    <i r="1">
      <x v="224"/>
    </i>
    <i r="1">
      <x v="251"/>
    </i>
    <i r="1">
      <x v="567"/>
    </i>
    <i r="1">
      <x v="179"/>
    </i>
    <i r="1">
      <x v="557"/>
    </i>
    <i r="1">
      <x v="522"/>
    </i>
    <i r="1">
      <x v="496"/>
    </i>
    <i r="1">
      <x v="401"/>
    </i>
    <i r="1">
      <x v="142"/>
    </i>
    <i r="1">
      <x v="118"/>
    </i>
    <i r="1">
      <x v="211"/>
    </i>
    <i r="1">
      <x v="237"/>
    </i>
    <i r="1">
      <x v="52"/>
    </i>
    <i r="1">
      <x v="2"/>
    </i>
    <i r="1">
      <x v="266"/>
    </i>
    <i r="1">
      <x v="491"/>
    </i>
    <i r="1">
      <x v="415"/>
    </i>
    <i r="1">
      <x v="542"/>
    </i>
    <i r="1">
      <x v="350"/>
    </i>
    <i r="1">
      <x v="573"/>
    </i>
    <i r="1">
      <x v="170"/>
    </i>
    <i r="1">
      <x v="31"/>
    </i>
    <i>
      <x v="15"/>
    </i>
    <i r="1">
      <x v="559"/>
    </i>
    <i r="1">
      <x v="475"/>
    </i>
    <i r="1">
      <x v="315"/>
    </i>
    <i r="1">
      <x v="173"/>
    </i>
    <i r="1">
      <x v="85"/>
    </i>
    <i r="1">
      <x v="133"/>
    </i>
    <i r="1">
      <x v="270"/>
    </i>
    <i r="1">
      <x v="198"/>
    </i>
    <i t="grand">
      <x/>
    </i>
  </rowItems>
  <colItems count="1">
    <i/>
  </colItems>
  <dataFields count="1">
    <dataField name="Sum of GrossProfit" fld="19" baseField="0" baseItem="0"/>
  </dataFields>
  <formats count="32">
    <format dxfId="313">
      <pivotArea collapsedLevelsAreSubtotals="1" fieldPosition="0">
        <references count="2">
          <reference field="0" count="46">
            <x v="0"/>
            <x v="13"/>
            <x v="34"/>
            <x v="35"/>
            <x v="45"/>
            <x v="48"/>
            <x v="54"/>
            <x v="59"/>
            <x v="71"/>
            <x v="91"/>
            <x v="97"/>
            <x v="98"/>
            <x v="134"/>
            <x v="143"/>
            <x v="144"/>
            <x v="146"/>
            <x v="167"/>
            <x v="169"/>
            <x v="186"/>
            <x v="221"/>
            <x v="227"/>
            <x v="235"/>
            <x v="242"/>
            <x v="245"/>
            <x v="261"/>
            <x v="290"/>
            <x v="296"/>
            <x v="355"/>
            <x v="357"/>
            <x v="375"/>
            <x v="393"/>
            <x v="419"/>
            <x v="426"/>
            <x v="443"/>
            <x v="449"/>
            <x v="462"/>
            <x v="494"/>
            <x v="510"/>
            <x v="515"/>
            <x v="566"/>
            <x v="586"/>
            <x v="596"/>
            <x v="600"/>
            <x v="616"/>
            <x v="618"/>
            <x v="630"/>
          </reference>
          <reference field="10" count="1" selected="0">
            <x v="0"/>
          </reference>
        </references>
      </pivotArea>
    </format>
    <format dxfId="312">
      <pivotArea collapsedLevelsAreSubtotals="1" fieldPosition="0">
        <references count="1">
          <reference field="10" count="1">
            <x v="1"/>
          </reference>
        </references>
      </pivotArea>
    </format>
    <format dxfId="311">
      <pivotArea collapsedLevelsAreSubtotals="1" fieldPosition="0">
        <references count="2">
          <reference field="0" count="47">
            <x v="23"/>
            <x v="33"/>
            <x v="50"/>
            <x v="55"/>
            <x v="61"/>
            <x v="76"/>
            <x v="104"/>
            <x v="113"/>
            <x v="124"/>
            <x v="131"/>
            <x v="153"/>
            <x v="154"/>
            <x v="180"/>
            <x v="194"/>
            <x v="206"/>
            <x v="225"/>
            <x v="231"/>
            <x v="234"/>
            <x v="248"/>
            <x v="259"/>
            <x v="267"/>
            <x v="295"/>
            <x v="298"/>
            <x v="304"/>
            <x v="331"/>
            <x v="339"/>
            <x v="341"/>
            <x v="373"/>
            <x v="380"/>
            <x v="383"/>
            <x v="421"/>
            <x v="422"/>
            <x v="439"/>
            <x v="452"/>
            <x v="469"/>
            <x v="488"/>
            <x v="513"/>
            <x v="535"/>
            <x v="541"/>
            <x v="558"/>
            <x v="560"/>
            <x v="568"/>
            <x v="575"/>
            <x v="585"/>
            <x v="619"/>
            <x v="620"/>
            <x v="628"/>
          </reference>
          <reference field="10" count="1" selected="0">
            <x v="1"/>
          </reference>
        </references>
      </pivotArea>
    </format>
    <format dxfId="310">
      <pivotArea collapsedLevelsAreSubtotals="1" fieldPosition="0">
        <references count="1">
          <reference field="10" count="1">
            <x v="2"/>
          </reference>
        </references>
      </pivotArea>
    </format>
    <format dxfId="309">
      <pivotArea collapsedLevelsAreSubtotals="1" fieldPosition="0">
        <references count="2">
          <reference field="0" count="37">
            <x v="62"/>
            <x v="64"/>
            <x v="81"/>
            <x v="105"/>
            <x v="120"/>
            <x v="126"/>
            <x v="158"/>
            <x v="165"/>
            <x v="175"/>
            <x v="176"/>
            <x v="182"/>
            <x v="205"/>
            <x v="220"/>
            <x v="253"/>
            <x v="265"/>
            <x v="268"/>
            <x v="287"/>
            <x v="310"/>
            <x v="329"/>
            <x v="340"/>
            <x v="358"/>
            <x v="379"/>
            <x v="387"/>
            <x v="420"/>
            <x v="459"/>
            <x v="471"/>
            <x v="479"/>
            <x v="483"/>
            <x v="507"/>
            <x v="517"/>
            <x v="523"/>
            <x v="548"/>
            <x v="563"/>
            <x v="584"/>
            <x v="598"/>
            <x v="604"/>
            <x v="622"/>
          </reference>
          <reference field="10" count="1" selected="0">
            <x v="2"/>
          </reference>
        </references>
      </pivotArea>
    </format>
    <format dxfId="308">
      <pivotArea collapsedLevelsAreSubtotals="1" fieldPosition="0">
        <references count="1">
          <reference field="10" count="1">
            <x v="3"/>
          </reference>
        </references>
      </pivotArea>
    </format>
    <format dxfId="307">
      <pivotArea collapsedLevelsAreSubtotals="1" fieldPosition="0">
        <references count="2">
          <reference field="0" count="38">
            <x v="8"/>
            <x v="46"/>
            <x v="51"/>
            <x v="82"/>
            <x v="87"/>
            <x v="106"/>
            <x v="107"/>
            <x v="156"/>
            <x v="161"/>
            <x v="178"/>
            <x v="184"/>
            <x v="195"/>
            <x v="215"/>
            <x v="216"/>
            <x v="217"/>
            <x v="230"/>
            <x v="294"/>
            <x v="297"/>
            <x v="309"/>
            <x v="318"/>
            <x v="319"/>
            <x v="338"/>
            <x v="345"/>
            <x v="361"/>
            <x v="363"/>
            <x v="364"/>
            <x v="382"/>
            <x v="440"/>
            <x v="442"/>
            <x v="454"/>
            <x v="455"/>
            <x v="481"/>
            <x v="520"/>
            <x v="527"/>
            <x v="545"/>
            <x v="546"/>
            <x v="576"/>
            <x v="627"/>
          </reference>
          <reference field="10" count="1" selected="0">
            <x v="3"/>
          </reference>
        </references>
      </pivotArea>
    </format>
    <format dxfId="306">
      <pivotArea collapsedLevelsAreSubtotals="1" fieldPosition="0">
        <references count="1">
          <reference field="10" count="1">
            <x v="4"/>
          </reference>
        </references>
      </pivotArea>
    </format>
    <format dxfId="305">
      <pivotArea collapsedLevelsAreSubtotals="1" fieldPosition="0">
        <references count="2">
          <reference field="0" count="34">
            <x v="1"/>
            <x v="60"/>
            <x v="66"/>
            <x v="73"/>
            <x v="123"/>
            <x v="135"/>
            <x v="174"/>
            <x v="188"/>
            <x v="189"/>
            <x v="190"/>
            <x v="212"/>
            <x v="218"/>
            <x v="236"/>
            <x v="246"/>
            <x v="282"/>
            <x v="284"/>
            <x v="292"/>
            <x v="323"/>
            <x v="326"/>
            <x v="328"/>
            <x v="330"/>
            <x v="390"/>
            <x v="407"/>
            <x v="410"/>
            <x v="424"/>
            <x v="436"/>
            <x v="464"/>
            <x v="509"/>
            <x v="536"/>
            <x v="539"/>
            <x v="540"/>
            <x v="595"/>
            <x v="623"/>
            <x v="629"/>
          </reference>
          <reference field="10" count="1" selected="0">
            <x v="4"/>
          </reference>
        </references>
      </pivotArea>
    </format>
    <format dxfId="304">
      <pivotArea collapsedLevelsAreSubtotals="1" fieldPosition="0">
        <references count="1">
          <reference field="10" count="1">
            <x v="5"/>
          </reference>
        </references>
      </pivotArea>
    </format>
    <format dxfId="303">
      <pivotArea collapsedLevelsAreSubtotals="1" fieldPosition="0">
        <references count="2">
          <reference field="0" count="51">
            <x v="3"/>
            <x v="10"/>
            <x v="22"/>
            <x v="27"/>
            <x v="29"/>
            <x v="39"/>
            <x v="78"/>
            <x v="92"/>
            <x v="114"/>
            <x v="117"/>
            <x v="121"/>
            <x v="122"/>
            <x v="127"/>
            <x v="151"/>
            <x v="210"/>
            <x v="255"/>
            <x v="269"/>
            <x v="276"/>
            <x v="303"/>
            <x v="321"/>
            <x v="322"/>
            <x v="347"/>
            <x v="349"/>
            <x v="359"/>
            <x v="365"/>
            <x v="368"/>
            <x v="371"/>
            <x v="384"/>
            <x v="385"/>
            <x v="391"/>
            <x v="400"/>
            <x v="431"/>
            <x v="445"/>
            <x v="448"/>
            <x v="453"/>
            <x v="457"/>
            <x v="460"/>
            <x v="478"/>
            <x v="487"/>
            <x v="516"/>
            <x v="530"/>
            <x v="532"/>
            <x v="537"/>
            <x v="547"/>
            <x v="554"/>
            <x v="569"/>
            <x v="599"/>
            <x v="608"/>
            <x v="614"/>
            <x v="615"/>
            <x v="624"/>
          </reference>
          <reference field="10" count="1" selected="0">
            <x v="5"/>
          </reference>
        </references>
      </pivotArea>
    </format>
    <format dxfId="302">
      <pivotArea collapsedLevelsAreSubtotals="1" fieldPosition="0">
        <references count="1">
          <reference field="10" count="1">
            <x v="6"/>
          </reference>
        </references>
      </pivotArea>
    </format>
    <format dxfId="301">
      <pivotArea collapsedLevelsAreSubtotals="1" fieldPosition="0">
        <references count="2">
          <reference field="0" count="30">
            <x v="16"/>
            <x v="53"/>
            <x v="83"/>
            <x v="111"/>
            <x v="164"/>
            <x v="166"/>
            <x v="187"/>
            <x v="192"/>
            <x v="226"/>
            <x v="238"/>
            <x v="250"/>
            <x v="314"/>
            <x v="332"/>
            <x v="346"/>
            <x v="360"/>
            <x v="367"/>
            <x v="398"/>
            <x v="423"/>
            <x v="427"/>
            <x v="432"/>
            <x v="472"/>
            <x v="473"/>
            <x v="476"/>
            <x v="482"/>
            <x v="498"/>
            <x v="504"/>
            <x v="556"/>
            <x v="602"/>
            <x v="607"/>
            <x v="621"/>
          </reference>
          <reference field="10" count="1" selected="0">
            <x v="6"/>
          </reference>
        </references>
      </pivotArea>
    </format>
    <format dxfId="300">
      <pivotArea collapsedLevelsAreSubtotals="1" fieldPosition="0">
        <references count="1">
          <reference field="10" count="1">
            <x v="7"/>
          </reference>
        </references>
      </pivotArea>
    </format>
    <format dxfId="299">
      <pivotArea collapsedLevelsAreSubtotals="1" fieldPosition="0">
        <references count="2">
          <reference field="0" count="45">
            <x v="11"/>
            <x v="20"/>
            <x v="38"/>
            <x v="70"/>
            <x v="77"/>
            <x v="99"/>
            <x v="112"/>
            <x v="119"/>
            <x v="132"/>
            <x v="145"/>
            <x v="281"/>
            <x v="288"/>
            <x v="299"/>
            <x v="308"/>
            <x v="317"/>
            <x v="325"/>
            <x v="342"/>
            <x v="348"/>
            <x v="372"/>
            <x v="374"/>
            <x v="378"/>
            <x v="389"/>
            <x v="392"/>
            <x v="395"/>
            <x v="396"/>
            <x v="428"/>
            <x v="438"/>
            <x v="447"/>
            <x v="461"/>
            <x v="465"/>
            <x v="467"/>
            <x v="480"/>
            <x v="489"/>
            <x v="490"/>
            <x v="493"/>
            <x v="501"/>
            <x v="503"/>
            <x v="508"/>
            <x v="524"/>
            <x v="529"/>
            <x v="544"/>
            <x v="553"/>
            <x v="561"/>
            <x v="571"/>
            <x v="572"/>
          </reference>
          <reference field="10" count="1" selected="0">
            <x v="7"/>
          </reference>
        </references>
      </pivotArea>
    </format>
    <format dxfId="298">
      <pivotArea collapsedLevelsAreSubtotals="1" fieldPosition="0">
        <references count="1">
          <reference field="10" count="1">
            <x v="8"/>
          </reference>
        </references>
      </pivotArea>
    </format>
    <format dxfId="297">
      <pivotArea collapsedLevelsAreSubtotals="1" fieldPosition="0">
        <references count="2">
          <reference field="0" count="38">
            <x v="14"/>
            <x v="17"/>
            <x v="32"/>
            <x v="42"/>
            <x v="44"/>
            <x v="58"/>
            <x v="65"/>
            <x v="88"/>
            <x v="89"/>
            <x v="137"/>
            <x v="140"/>
            <x v="163"/>
            <x v="177"/>
            <x v="191"/>
            <x v="239"/>
            <x v="240"/>
            <x v="252"/>
            <x v="264"/>
            <x v="275"/>
            <x v="305"/>
            <x v="333"/>
            <x v="335"/>
            <x v="336"/>
            <x v="343"/>
            <x v="353"/>
            <x v="386"/>
            <x v="418"/>
            <x v="435"/>
            <x v="466"/>
            <x v="499"/>
            <x v="514"/>
            <x v="533"/>
            <x v="570"/>
            <x v="593"/>
            <x v="605"/>
            <x v="609"/>
            <x v="617"/>
            <x v="625"/>
          </reference>
          <reference field="10" count="1" selected="0">
            <x v="8"/>
          </reference>
        </references>
      </pivotArea>
    </format>
    <format dxfId="296">
      <pivotArea collapsedLevelsAreSubtotals="1" fieldPosition="0">
        <references count="1">
          <reference field="10" count="1">
            <x v="9"/>
          </reference>
        </references>
      </pivotArea>
    </format>
    <format dxfId="295">
      <pivotArea collapsedLevelsAreSubtotals="1" fieldPosition="0">
        <references count="2">
          <reference field="0" count="50">
            <x v="5"/>
            <x v="6"/>
            <x v="15"/>
            <x v="18"/>
            <x v="24"/>
            <x v="36"/>
            <x v="37"/>
            <x v="56"/>
            <x v="68"/>
            <x v="74"/>
            <x v="95"/>
            <x v="108"/>
            <x v="125"/>
            <x v="128"/>
            <x v="139"/>
            <x v="148"/>
            <x v="185"/>
            <x v="193"/>
            <x v="197"/>
            <x v="202"/>
            <x v="208"/>
            <x v="228"/>
            <x v="247"/>
            <x v="257"/>
            <x v="271"/>
            <x v="293"/>
            <x v="327"/>
            <x v="402"/>
            <x v="403"/>
            <x v="404"/>
            <x v="405"/>
            <x v="408"/>
            <x v="413"/>
            <x v="416"/>
            <x v="425"/>
            <x v="430"/>
            <x v="433"/>
            <x v="437"/>
            <x v="444"/>
            <x v="468"/>
            <x v="474"/>
            <x v="484"/>
            <x v="500"/>
            <x v="512"/>
            <x v="518"/>
            <x v="526"/>
            <x v="528"/>
            <x v="565"/>
            <x v="582"/>
            <x v="612"/>
          </reference>
          <reference field="10" count="1" selected="0">
            <x v="9"/>
          </reference>
        </references>
      </pivotArea>
    </format>
    <format dxfId="294">
      <pivotArea collapsedLevelsAreSubtotals="1" fieldPosition="0">
        <references count="1">
          <reference field="10" count="1">
            <x v="10"/>
          </reference>
        </references>
      </pivotArea>
    </format>
    <format dxfId="293">
      <pivotArea collapsedLevelsAreSubtotals="1" fieldPosition="0">
        <references count="2">
          <reference field="0" count="44">
            <x v="4"/>
            <x v="7"/>
            <x v="9"/>
            <x v="26"/>
            <x v="49"/>
            <x v="72"/>
            <x v="90"/>
            <x v="94"/>
            <x v="101"/>
            <x v="130"/>
            <x v="149"/>
            <x v="159"/>
            <x v="199"/>
            <x v="203"/>
            <x v="209"/>
            <x v="214"/>
            <x v="229"/>
            <x v="241"/>
            <x v="244"/>
            <x v="274"/>
            <x v="277"/>
            <x v="286"/>
            <x v="301"/>
            <x v="307"/>
            <x v="312"/>
            <x v="313"/>
            <x v="356"/>
            <x v="369"/>
            <x v="370"/>
            <x v="397"/>
            <x v="412"/>
            <x v="434"/>
            <x v="456"/>
            <x v="463"/>
            <x v="470"/>
            <x v="485"/>
            <x v="495"/>
            <x v="497"/>
            <x v="531"/>
            <x v="552"/>
            <x v="587"/>
            <x v="589"/>
            <x v="601"/>
            <x v="603"/>
          </reference>
          <reference field="10" count="1" selected="0">
            <x v="10"/>
          </reference>
        </references>
      </pivotArea>
    </format>
    <format dxfId="292">
      <pivotArea collapsedLevelsAreSubtotals="1" fieldPosition="0">
        <references count="1">
          <reference field="10" count="1">
            <x v="11"/>
          </reference>
        </references>
      </pivotArea>
    </format>
    <format dxfId="291">
      <pivotArea collapsedLevelsAreSubtotals="1" fieldPosition="0">
        <references count="2">
          <reference field="0" count="46">
            <x v="19"/>
            <x v="63"/>
            <x v="69"/>
            <x v="75"/>
            <x v="80"/>
            <x v="102"/>
            <x v="110"/>
            <x v="129"/>
            <x v="138"/>
            <x v="157"/>
            <x v="168"/>
            <x v="172"/>
            <x v="183"/>
            <x v="196"/>
            <x v="213"/>
            <x v="219"/>
            <x v="222"/>
            <x v="258"/>
            <x v="260"/>
            <x v="273"/>
            <x v="280"/>
            <x v="289"/>
            <x v="300"/>
            <x v="316"/>
            <x v="334"/>
            <x v="377"/>
            <x v="381"/>
            <x v="388"/>
            <x v="417"/>
            <x v="429"/>
            <x v="450"/>
            <x v="458"/>
            <x v="477"/>
            <x v="486"/>
            <x v="502"/>
            <x v="505"/>
            <x v="506"/>
            <x v="511"/>
            <x v="521"/>
            <x v="562"/>
            <x v="564"/>
            <x v="578"/>
            <x v="583"/>
            <x v="588"/>
            <x v="590"/>
            <x v="611"/>
          </reference>
          <reference field="10" count="1" selected="0">
            <x v="11"/>
          </reference>
        </references>
      </pivotArea>
    </format>
    <format dxfId="290">
      <pivotArea collapsedLevelsAreSubtotals="1" fieldPosition="0">
        <references count="1">
          <reference field="10" count="1">
            <x v="12"/>
          </reference>
        </references>
      </pivotArea>
    </format>
    <format dxfId="289">
      <pivotArea collapsedLevelsAreSubtotals="1" fieldPosition="0">
        <references count="2">
          <reference field="0" count="48">
            <x v="12"/>
            <x v="21"/>
            <x v="40"/>
            <x v="47"/>
            <x v="57"/>
            <x v="86"/>
            <x v="115"/>
            <x v="116"/>
            <x v="136"/>
            <x v="147"/>
            <x v="155"/>
            <x v="160"/>
            <x v="162"/>
            <x v="171"/>
            <x v="181"/>
            <x v="200"/>
            <x v="201"/>
            <x v="204"/>
            <x v="232"/>
            <x v="233"/>
            <x v="243"/>
            <x v="256"/>
            <x v="272"/>
            <x v="278"/>
            <x v="283"/>
            <x v="285"/>
            <x v="291"/>
            <x v="302"/>
            <x v="306"/>
            <x v="351"/>
            <x v="352"/>
            <x v="366"/>
            <x v="376"/>
            <x v="399"/>
            <x v="406"/>
            <x v="441"/>
            <x v="525"/>
            <x v="534"/>
            <x v="538"/>
            <x v="543"/>
            <x v="550"/>
            <x v="581"/>
            <x v="592"/>
            <x v="594"/>
            <x v="597"/>
            <x v="606"/>
            <x v="610"/>
            <x v="626"/>
          </reference>
          <reference field="10" count="1" selected="0">
            <x v="12"/>
          </reference>
        </references>
      </pivotArea>
    </format>
    <format dxfId="288">
      <pivotArea collapsedLevelsAreSubtotals="1" fieldPosition="0">
        <references count="1">
          <reference field="10" count="1">
            <x v="13"/>
          </reference>
        </references>
      </pivotArea>
    </format>
    <format dxfId="287">
      <pivotArea collapsedLevelsAreSubtotals="1" fieldPosition="0">
        <references count="2">
          <reference field="0" count="32">
            <x v="25"/>
            <x v="28"/>
            <x v="30"/>
            <x v="41"/>
            <x v="43"/>
            <x v="79"/>
            <x v="84"/>
            <x v="93"/>
            <x v="100"/>
            <x v="103"/>
            <x v="109"/>
            <x v="141"/>
            <x v="150"/>
            <x v="207"/>
            <x v="249"/>
            <x v="254"/>
            <x v="263"/>
            <x v="279"/>
            <x v="311"/>
            <x v="324"/>
            <x v="337"/>
            <x v="344"/>
            <x v="411"/>
            <x v="492"/>
            <x v="519"/>
            <x v="549"/>
            <x v="551"/>
            <x v="555"/>
            <x v="577"/>
            <x v="579"/>
            <x v="580"/>
            <x v="613"/>
          </reference>
          <reference field="10" count="1" selected="0">
            <x v="13"/>
          </reference>
        </references>
      </pivotArea>
    </format>
    <format dxfId="286">
      <pivotArea collapsedLevelsAreSubtotals="1" fieldPosition="0">
        <references count="1">
          <reference field="10" count="1">
            <x v="14"/>
          </reference>
        </references>
      </pivotArea>
    </format>
    <format dxfId="285">
      <pivotArea collapsedLevelsAreSubtotals="1" fieldPosition="0">
        <references count="2">
          <reference field="0" count="37">
            <x v="2"/>
            <x v="31"/>
            <x v="52"/>
            <x v="67"/>
            <x v="96"/>
            <x v="118"/>
            <x v="142"/>
            <x v="152"/>
            <x v="170"/>
            <x v="179"/>
            <x v="211"/>
            <x v="223"/>
            <x v="224"/>
            <x v="237"/>
            <x v="251"/>
            <x v="262"/>
            <x v="266"/>
            <x v="320"/>
            <x v="350"/>
            <x v="354"/>
            <x v="362"/>
            <x v="394"/>
            <x v="401"/>
            <x v="409"/>
            <x v="414"/>
            <x v="415"/>
            <x v="446"/>
            <x v="451"/>
            <x v="491"/>
            <x v="496"/>
            <x v="522"/>
            <x v="542"/>
            <x v="557"/>
            <x v="567"/>
            <x v="573"/>
            <x v="574"/>
            <x v="591"/>
          </reference>
          <reference field="10" count="1" selected="0">
            <x v="14"/>
          </reference>
        </references>
      </pivotArea>
    </format>
    <format dxfId="284">
      <pivotArea collapsedLevelsAreSubtotals="1" fieldPosition="0">
        <references count="1">
          <reference field="10" count="1">
            <x v="15"/>
          </reference>
        </references>
      </pivotArea>
    </format>
    <format dxfId="283">
      <pivotArea collapsedLevelsAreSubtotals="1" fieldPosition="0">
        <references count="2">
          <reference field="0" count="8">
            <x v="85"/>
            <x v="133"/>
            <x v="173"/>
            <x v="198"/>
            <x v="270"/>
            <x v="315"/>
            <x v="475"/>
            <x v="559"/>
          </reference>
          <reference field="10" count="1" selected="0">
            <x v="15"/>
          </reference>
        </references>
      </pivotArea>
    </format>
    <format dxfId="282">
      <pivotArea grandRow="1" outline="0" collapsedLevelsAreSubtotals="1" fieldPosition="0"/>
    </format>
  </formats>
  <conditionalFormats count="2">
    <conditionalFormat type="all" priority="2">
      <pivotAreas count="1">
        <pivotArea type="data" collapsedLevelsAreSubtotals="1" fieldPosition="0">
          <references count="2">
            <reference field="4294967294" count="1" selected="0">
              <x v="0"/>
            </reference>
            <reference field="10" count="1">
              <x v="0"/>
            </reference>
          </references>
        </pivotArea>
      </pivotAreas>
    </conditionalFormat>
    <conditionalFormat type="all" priority="1">
      <pivotAreas count="1">
        <pivotArea type="data" collapsedLevelsAreSubtotals="1" fieldPosition="0">
          <references count="2">
            <reference field="4294967294" count="1" selected="0">
              <x v="0"/>
            </reference>
            <reference field="10" count="1">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B52F72-5EE4-40E6-BAD4-779C8CE770C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H9" firstHeaderRow="1" firstDataRow="2" firstDataCol="1"/>
  <pivotFields count="29">
    <pivotField showAll="0"/>
    <pivotField showAll="0"/>
    <pivotField showAll="0"/>
    <pivotField showAll="0"/>
    <pivotField showAll="0"/>
    <pivotField axis="axisRow" showAll="0" sortType="descending">
      <items count="6">
        <item x="1"/>
        <item x="0"/>
        <item x="3"/>
        <item x="2"/>
        <item x="4"/>
        <item t="default"/>
      </items>
      <autoSortScope>
        <pivotArea dataOnly="0" outline="0" fieldPosition="0">
          <references count="2">
            <reference field="4294967294" count="1" selected="0">
              <x v="0"/>
            </reference>
            <reference field="9" count="1" selected="0">
              <x v="3"/>
            </reference>
          </references>
        </pivotArea>
      </autoSortScope>
    </pivotField>
    <pivotField showAll="0"/>
    <pivotField showAll="0"/>
    <pivotField showAll="0"/>
    <pivotField axis="axisCol" showAll="0">
      <items count="8">
        <item x="2"/>
        <item x="0"/>
        <item x="4"/>
        <item x="1"/>
        <item x="3"/>
        <item x="5"/>
        <item h="1" x="6"/>
        <item t="default"/>
      </items>
    </pivotField>
    <pivotField showAll="0"/>
    <pivotField showAll="0"/>
    <pivotField showAll="0"/>
    <pivotField showAll="0"/>
    <pivotField showAll="0"/>
    <pivotField showAll="0"/>
    <pivotField showAll="0"/>
    <pivotField dataField="1" numFmtId="2" showAll="0"/>
    <pivotField showAll="0"/>
    <pivotField numFmtId="2" showAll="0"/>
    <pivotField numFmtId="10" showAll="0"/>
    <pivotField showAll="0"/>
    <pivotField showAll="0"/>
    <pivotField showAll="0"/>
    <pivotField showAll="0"/>
    <pivotField showAll="0"/>
    <pivotField showAll="0"/>
    <pivotField showAll="0"/>
    <pivotField showAll="0"/>
  </pivotFields>
  <rowFields count="1">
    <field x="5"/>
  </rowFields>
  <rowItems count="5">
    <i>
      <x v="1"/>
    </i>
    <i>
      <x v="3"/>
    </i>
    <i>
      <x/>
    </i>
    <i>
      <x v="2"/>
    </i>
    <i t="grand">
      <x/>
    </i>
  </rowItems>
  <colFields count="1">
    <field x="9"/>
  </colFields>
  <colItems count="7">
    <i>
      <x/>
    </i>
    <i>
      <x v="1"/>
    </i>
    <i>
      <x v="2"/>
    </i>
    <i>
      <x v="3"/>
    </i>
    <i>
      <x v="4"/>
    </i>
    <i>
      <x v="5"/>
    </i>
    <i t="grand">
      <x/>
    </i>
  </colItems>
  <dataFields count="1">
    <dataField name="Sum of GrossRevenue" fld="17" baseField="0" baseItem="0" numFmtId="2"/>
  </dataFields>
  <formats count="2">
    <format dxfId="281">
      <pivotArea collapsedLevelsAreSubtotals="1" fieldPosition="0">
        <references count="2">
          <reference field="5" count="1">
            <x v="1"/>
          </reference>
          <reference field="9" count="1" selected="0">
            <x v="3"/>
          </reference>
        </references>
      </pivotArea>
    </format>
    <format dxfId="280">
      <pivotArea collapsedLevelsAreSubtotals="1" fieldPosition="0">
        <references count="2">
          <reference field="5" count="1">
            <x v="1"/>
          </reference>
          <reference field="9"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24A78B8-F331-4C95-8E76-217785974D7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H9" firstHeaderRow="1" firstDataRow="2" firstDataCol="1"/>
  <pivotFields count="34">
    <pivotField showAll="0"/>
    <pivotField showAll="0"/>
    <pivotField numFmtId="14" showAll="0">
      <items count="4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t="default"/>
      </items>
    </pivotField>
    <pivotField numFmtId="14" showAll="0"/>
    <pivotField showAll="0"/>
    <pivotField axis="axisRow" showAll="0">
      <items count="5">
        <item x="1"/>
        <item x="0"/>
        <item x="3"/>
        <item x="2"/>
        <item t="default"/>
      </items>
    </pivotField>
    <pivotField showAll="0"/>
    <pivotField showAll="0"/>
    <pivotField showAll="0"/>
    <pivotField axis="axisCol" showAll="0">
      <items count="7">
        <item x="2"/>
        <item x="0"/>
        <item x="4"/>
        <item x="1"/>
        <item x="3"/>
        <item x="5"/>
        <item t="default"/>
      </items>
    </pivotField>
    <pivotField showAll="0">
      <items count="17">
        <item x="1"/>
        <item x="0"/>
        <item x="11"/>
        <item x="2"/>
        <item x="14"/>
        <item x="7"/>
        <item x="6"/>
        <item x="4"/>
        <item x="12"/>
        <item x="13"/>
        <item x="10"/>
        <item x="9"/>
        <item x="3"/>
        <item x="8"/>
        <item x="5"/>
        <item x="15"/>
        <item t="default"/>
      </items>
    </pivotField>
    <pivotField showAll="0">
      <items count="8">
        <item x="3"/>
        <item x="6"/>
        <item x="0"/>
        <item x="5"/>
        <item x="4"/>
        <item x="2"/>
        <item x="1"/>
        <item t="default"/>
      </items>
    </pivotField>
    <pivotField showAll="0"/>
    <pivotField showAll="0"/>
    <pivotField showAll="0"/>
    <pivotField numFmtId="9" showAll="0"/>
    <pivotField showAll="0"/>
    <pivotField showAll="0"/>
    <pivotField showAll="0"/>
    <pivotField dataField="1" showAll="0"/>
    <pivotField numFmtId="10" showAll="0"/>
    <pivotField showAll="0"/>
    <pivotField numFmtId="165" showAll="0"/>
    <pivotField showAll="0"/>
    <pivotField showAll="0"/>
    <pivotField showAll="0"/>
    <pivotField showAll="0"/>
    <pivotField numFmtId="165" showAll="0">
      <items count="4">
        <item x="0"/>
        <item x="1"/>
        <item x="2"/>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pivotField showAll="0" defaultSubtotal="0">
      <items count="5">
        <item x="0"/>
        <item x="1"/>
        <item x="2"/>
        <item x="3"/>
        <item x="4"/>
      </items>
    </pivotField>
  </pivotFields>
  <rowFields count="1">
    <field x="5"/>
  </rowFields>
  <rowItems count="5">
    <i>
      <x/>
    </i>
    <i>
      <x v="1"/>
    </i>
    <i>
      <x v="2"/>
    </i>
    <i>
      <x v="3"/>
    </i>
    <i t="grand">
      <x/>
    </i>
  </rowItems>
  <colFields count="1">
    <field x="9"/>
  </colFields>
  <colItems count="7">
    <i>
      <x/>
    </i>
    <i>
      <x v="1"/>
    </i>
    <i>
      <x v="2"/>
    </i>
    <i>
      <x v="3"/>
    </i>
    <i>
      <x v="4"/>
    </i>
    <i>
      <x v="5"/>
    </i>
    <i t="grand">
      <x/>
    </i>
  </colItems>
  <dataFields count="1">
    <dataField name="Sum of GrossProfit" fld="19" baseField="0" baseItem="0"/>
  </dataFields>
  <chartFormats count="1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0" format="4" series="1">
      <pivotArea type="data" outline="0" fieldPosition="0">
        <references count="2">
          <reference field="4294967294" count="1" selected="0">
            <x v="0"/>
          </reference>
          <reference field="9" count="1" selected="0">
            <x v="4"/>
          </reference>
        </references>
      </pivotArea>
    </chartFormat>
    <chartFormat chart="0" format="5" series="1">
      <pivotArea type="data" outline="0" fieldPosition="0">
        <references count="2">
          <reference field="4294967294" count="1" selected="0">
            <x v="0"/>
          </reference>
          <reference field="9" count="1" selected="0">
            <x v="5"/>
          </reference>
        </references>
      </pivotArea>
    </chartFormat>
    <chartFormat chart="8" format="12" series="1">
      <pivotArea type="data" outline="0" fieldPosition="0">
        <references count="2">
          <reference field="4294967294" count="1" selected="0">
            <x v="0"/>
          </reference>
          <reference field="9" count="1" selected="0">
            <x v="0"/>
          </reference>
        </references>
      </pivotArea>
    </chartFormat>
    <chartFormat chart="8" format="13" series="1">
      <pivotArea type="data" outline="0" fieldPosition="0">
        <references count="2">
          <reference field="4294967294" count="1" selected="0">
            <x v="0"/>
          </reference>
          <reference field="9" count="1" selected="0">
            <x v="1"/>
          </reference>
        </references>
      </pivotArea>
    </chartFormat>
    <chartFormat chart="8" format="14" series="1">
      <pivotArea type="data" outline="0" fieldPosition="0">
        <references count="2">
          <reference field="4294967294" count="1" selected="0">
            <x v="0"/>
          </reference>
          <reference field="9" count="1" selected="0">
            <x v="2"/>
          </reference>
        </references>
      </pivotArea>
    </chartFormat>
    <chartFormat chart="8" format="15" series="1">
      <pivotArea type="data" outline="0" fieldPosition="0">
        <references count="2">
          <reference field="4294967294" count="1" selected="0">
            <x v="0"/>
          </reference>
          <reference field="9" count="1" selected="0">
            <x v="3"/>
          </reference>
        </references>
      </pivotArea>
    </chartFormat>
    <chartFormat chart="8" format="16" series="1">
      <pivotArea type="data" outline="0" fieldPosition="0">
        <references count="2">
          <reference field="4294967294" count="1" selected="0">
            <x v="0"/>
          </reference>
          <reference field="9" count="1" selected="0">
            <x v="4"/>
          </reference>
        </references>
      </pivotArea>
    </chartFormat>
    <chartFormat chart="8" format="17" series="1">
      <pivotArea type="data" outline="0" fieldPosition="0">
        <references count="2">
          <reference field="4294967294" count="1" selected="0">
            <x v="0"/>
          </reference>
          <reference field="9" count="1" selected="0">
            <x v="5"/>
          </reference>
        </references>
      </pivotArea>
    </chartFormat>
    <chartFormat chart="8" format="18"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EDA50F5-1EED-496D-B5AF-D68D646FAF2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6" firstHeaderRow="1" firstDataRow="1" firstDataCol="1"/>
  <pivotFields count="34">
    <pivotField showAll="0"/>
    <pivotField showAll="0"/>
    <pivotField numFmtId="14" showAll="0">
      <items count="4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t="default"/>
      </items>
    </pivotField>
    <pivotField numFmtId="14" showAll="0"/>
    <pivotField showAll="0"/>
    <pivotField showAll="0">
      <items count="5">
        <item x="1"/>
        <item x="0"/>
        <item x="3"/>
        <item x="2"/>
        <item t="default"/>
      </items>
    </pivotField>
    <pivotField showAll="0">
      <items count="13">
        <item x="9"/>
        <item x="0"/>
        <item x="3"/>
        <item x="2"/>
        <item x="8"/>
        <item x="10"/>
        <item x="11"/>
        <item x="7"/>
        <item x="5"/>
        <item x="1"/>
        <item x="6"/>
        <item x="4"/>
        <item t="default"/>
      </items>
    </pivotField>
    <pivotField showAll="0"/>
    <pivotField showAll="0"/>
    <pivotField showAll="0">
      <items count="7">
        <item x="2"/>
        <item x="0"/>
        <item x="4"/>
        <item x="1"/>
        <item x="3"/>
        <item x="5"/>
        <item t="default"/>
      </items>
    </pivotField>
    <pivotField showAll="0">
      <items count="17">
        <item x="1"/>
        <item x="0"/>
        <item x="11"/>
        <item x="2"/>
        <item x="14"/>
        <item x="7"/>
        <item x="6"/>
        <item x="4"/>
        <item x="12"/>
        <item x="13"/>
        <item x="10"/>
        <item x="9"/>
        <item x="3"/>
        <item x="8"/>
        <item x="5"/>
        <item x="15"/>
        <item t="default"/>
      </items>
    </pivotField>
    <pivotField showAll="0">
      <items count="8">
        <item x="3"/>
        <item x="6"/>
        <item x="0"/>
        <item x="5"/>
        <item x="4"/>
        <item x="2"/>
        <item x="1"/>
        <item t="default"/>
      </items>
    </pivotField>
    <pivotField showAll="0"/>
    <pivotField showAll="0"/>
    <pivotField showAll="0"/>
    <pivotField numFmtId="9" showAll="0"/>
    <pivotField showAll="0"/>
    <pivotField dataField="1" showAll="0"/>
    <pivotField showAll="0"/>
    <pivotField showAll="0"/>
    <pivotField numFmtId="10" showAll="0"/>
    <pivotField showAll="0">
      <items count="34">
        <item x="3"/>
        <item x="15"/>
        <item x="27"/>
        <item x="7"/>
        <item x="19"/>
        <item x="31"/>
        <item x="11"/>
        <item x="23"/>
        <item x="1"/>
        <item x="13"/>
        <item x="25"/>
        <item x="0"/>
        <item x="12"/>
        <item x="24"/>
        <item x="6"/>
        <item x="18"/>
        <item x="30"/>
        <item x="5"/>
        <item x="17"/>
        <item x="29"/>
        <item x="2"/>
        <item x="14"/>
        <item x="26"/>
        <item x="4"/>
        <item x="16"/>
        <item x="28"/>
        <item x="10"/>
        <item x="22"/>
        <item x="9"/>
        <item x="21"/>
        <item x="8"/>
        <item x="20"/>
        <item x="32"/>
        <item t="default"/>
      </items>
    </pivotField>
    <pivotField numFmtId="165" showAll="0">
      <items count="34">
        <item x="0"/>
        <item x="1"/>
        <item x="2"/>
        <item x="3"/>
        <item x="4"/>
        <item x="5"/>
        <item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t="default"/>
      </items>
    </pivotField>
    <pivotField showAll="0"/>
    <pivotField showAll="0"/>
    <pivotField showAll="0"/>
    <pivotField showAll="0"/>
    <pivotField numFmtId="165" showAll="0">
      <items count="4">
        <item x="0"/>
        <item x="1"/>
        <item x="2"/>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31"/>
  </rowFields>
  <rowItems count="13">
    <i>
      <x v="1"/>
    </i>
    <i>
      <x v="2"/>
    </i>
    <i>
      <x v="3"/>
    </i>
    <i>
      <x v="4"/>
    </i>
    <i>
      <x v="5"/>
    </i>
    <i>
      <x v="6"/>
    </i>
    <i>
      <x v="7"/>
    </i>
    <i>
      <x v="8"/>
    </i>
    <i>
      <x v="9"/>
    </i>
    <i>
      <x v="10"/>
    </i>
    <i>
      <x v="11"/>
    </i>
    <i>
      <x v="12"/>
    </i>
    <i t="grand">
      <x/>
    </i>
  </rowItems>
  <colItems count="1">
    <i/>
  </colItems>
  <dataFields count="1">
    <dataField name="Sum of GrossRevenue" fld="17" baseField="0" baseItem="0"/>
  </dataFields>
  <chartFormats count="2">
    <chartFormat chart="2"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D8DED9A-9F1E-4B7C-AFF1-C82E00210A0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4" firstHeaderRow="1" firstDataRow="1" firstDataCol="1"/>
  <pivotFields count="34">
    <pivotField showAll="0"/>
    <pivotField showAll="0"/>
    <pivotField numFmtId="14" showAll="0">
      <items count="4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t="default"/>
      </items>
    </pivotField>
    <pivotField numFmtId="14" showAll="0"/>
    <pivotField showAll="0"/>
    <pivotField showAll="0">
      <items count="5">
        <item x="1"/>
        <item x="0"/>
        <item x="3"/>
        <item x="2"/>
        <item t="default"/>
      </items>
    </pivotField>
    <pivotField showAll="0"/>
    <pivotField showAll="0"/>
    <pivotField showAll="0"/>
    <pivotField showAll="0">
      <items count="7">
        <item x="2"/>
        <item x="0"/>
        <item x="4"/>
        <item x="1"/>
        <item x="3"/>
        <item x="5"/>
        <item t="default"/>
      </items>
    </pivotField>
    <pivotField showAll="0">
      <items count="17">
        <item x="1"/>
        <item x="0"/>
        <item x="11"/>
        <item x="2"/>
        <item x="14"/>
        <item x="7"/>
        <item x="6"/>
        <item x="4"/>
        <item x="12"/>
        <item x="13"/>
        <item x="10"/>
        <item x="9"/>
        <item x="3"/>
        <item x="8"/>
        <item x="5"/>
        <item x="15"/>
        <item t="default"/>
      </items>
    </pivotField>
    <pivotField showAll="0">
      <items count="8">
        <item x="3"/>
        <item x="6"/>
        <item x="0"/>
        <item x="5"/>
        <item x="4"/>
        <item x="2"/>
        <item x="1"/>
        <item t="default"/>
      </items>
    </pivotField>
    <pivotField axis="axisRow" showAll="0" measureFilter="1" sortType="descending">
      <items count="630">
        <item x="255"/>
        <item x="588"/>
        <item x="196"/>
        <item x="439"/>
        <item x="135"/>
        <item x="554"/>
        <item x="170"/>
        <item x="155"/>
        <item x="593"/>
        <item x="486"/>
        <item x="472"/>
        <item x="617"/>
        <item x="57"/>
        <item x="561"/>
        <item x="94"/>
        <item x="538"/>
        <item x="79"/>
        <item x="442"/>
        <item x="354"/>
        <item x="283"/>
        <item x="190"/>
        <item x="560"/>
        <item x="115"/>
        <item x="41"/>
        <item x="299"/>
        <item x="163"/>
        <item x="225"/>
        <item x="548"/>
        <item x="110"/>
        <item x="164"/>
        <item x="172"/>
        <item x="182"/>
        <item x="6"/>
        <item x="350"/>
        <item x="105"/>
        <item x="141"/>
        <item x="564"/>
        <item x="484"/>
        <item x="493"/>
        <item x="193"/>
        <item x="613"/>
        <item x="379"/>
        <item x="469"/>
        <item x="97"/>
        <item x="165"/>
        <item x="46"/>
        <item x="176"/>
        <item x="485"/>
        <item x="487"/>
        <item x="323"/>
        <item x="87"/>
        <item x="194"/>
        <item x="128"/>
        <item x="473"/>
        <item x="450"/>
        <item x="246"/>
        <item x="427"/>
        <item x="291"/>
        <item x="224"/>
        <item x="359"/>
        <item x="627"/>
        <item x="436"/>
        <item x="137"/>
        <item x="322"/>
        <item x="314"/>
        <item x="343"/>
        <item x="67"/>
        <item x="342"/>
        <item x="566"/>
        <item x="245"/>
        <item x="573"/>
        <item x="589"/>
        <item x="136"/>
        <item x="17"/>
        <item x="186"/>
        <item x="459"/>
        <item x="346"/>
        <item x="590"/>
        <item x="402"/>
        <item x="40"/>
        <item x="347"/>
        <item x="80"/>
        <item x="123"/>
        <item x="508"/>
        <item x="477"/>
        <item x="211"/>
        <item x="326"/>
        <item x="168"/>
        <item x="404"/>
        <item x="463"/>
        <item x="581"/>
        <item x="98"/>
        <item x="247"/>
        <item x="218"/>
        <item x="376"/>
        <item x="25"/>
        <item x="210"/>
        <item x="426"/>
        <item x="332"/>
        <item x="180"/>
        <item x="154"/>
        <item x="444"/>
        <item x="237"/>
        <item x="36"/>
        <item x="15"/>
        <item x="603"/>
        <item x="542"/>
        <item x="391"/>
        <item x="268"/>
        <item x="502"/>
        <item x="306"/>
        <item x="494"/>
        <item x="448"/>
        <item x="551"/>
        <item x="521"/>
        <item x="378"/>
        <item x="435"/>
        <item x="400"/>
        <item x="557"/>
        <item x="558"/>
        <item x="217"/>
        <item x="420"/>
        <item x="89"/>
        <item x="216"/>
        <item x="177"/>
        <item x="69"/>
        <item x="612"/>
        <item x="407"/>
        <item x="488"/>
        <item x="234"/>
        <item x="88"/>
        <item x="171"/>
        <item x="616"/>
        <item x="373"/>
        <item x="70"/>
        <item x="595"/>
        <item x="103"/>
        <item x="349"/>
        <item x="253"/>
        <item x="316"/>
        <item x="600"/>
        <item x="147"/>
        <item x="335"/>
        <item x="523"/>
        <item x="292"/>
        <item x="125"/>
        <item x="303"/>
        <item x="626"/>
        <item x="457"/>
        <item x="91"/>
        <item x="621"/>
        <item x="503"/>
        <item x="158"/>
        <item x="120"/>
        <item x="65"/>
        <item x="382"/>
        <item x="272"/>
        <item x="277"/>
        <item x="317"/>
        <item x="405"/>
        <item x="235"/>
        <item x="293"/>
        <item x="37"/>
        <item x="278"/>
        <item x="572"/>
        <item x="95"/>
        <item x="66"/>
        <item x="470"/>
        <item x="130"/>
        <item x="38"/>
        <item x="587"/>
        <item x="280"/>
        <item x="250"/>
        <item x="540"/>
        <item x="78"/>
        <item x="417"/>
        <item x="259"/>
        <item x="308"/>
        <item x="129"/>
        <item x="575"/>
        <item x="59"/>
        <item x="202"/>
        <item x="556"/>
        <item x="68"/>
        <item x="330"/>
        <item x="220"/>
        <item x="363"/>
        <item x="124"/>
        <item x="567"/>
        <item x="582"/>
        <item x="192"/>
        <item x="256"/>
        <item x="90"/>
        <item x="287"/>
        <item x="221"/>
        <item x="492"/>
        <item x="615"/>
        <item x="623"/>
        <item x="552"/>
        <item x="18"/>
        <item x="526"/>
        <item x="53"/>
        <item x="228"/>
        <item x="204"/>
        <item x="28"/>
        <item x="471"/>
        <item x="117"/>
        <item x="601"/>
        <item x="387"/>
        <item x="518"/>
        <item x="2"/>
        <item x="341"/>
        <item x="119"/>
        <item x="598"/>
        <item x="203"/>
        <item x="167"/>
        <item x="312"/>
        <item x="302"/>
        <item x="431"/>
        <item x="395"/>
        <item x="251"/>
        <item x="242"/>
        <item x="174"/>
        <item x="33"/>
        <item x="121"/>
        <item x="82"/>
        <item x="348"/>
        <item x="173"/>
        <item x="482"/>
        <item x="380"/>
        <item x="243"/>
        <item x="553"/>
        <item x="512"/>
        <item x="191"/>
        <item x="466"/>
        <item x="577"/>
        <item x="614"/>
        <item x="44"/>
        <item x="368"/>
        <item x="495"/>
        <item x="458"/>
        <item x="447"/>
        <item x="264"/>
        <item x="295"/>
        <item x="0"/>
        <item x="276"/>
        <item x="460"/>
        <item x="580"/>
        <item x="547"/>
        <item x="188"/>
        <item x="307"/>
        <item x="336"/>
        <item x="62"/>
        <item x="11"/>
        <item x="358"/>
        <item x="357"/>
        <item x="236"/>
        <item x="297"/>
        <item x="127"/>
        <item x="425"/>
        <item x="334"/>
        <item x="489"/>
        <item x="362"/>
        <item x="215"/>
        <item x="468"/>
        <item x="61"/>
        <item x="596"/>
        <item x="34"/>
        <item x="319"/>
        <item x="71"/>
        <item x="151"/>
        <item x="252"/>
        <item x="81"/>
        <item x="9"/>
        <item x="31"/>
        <item x="529"/>
        <item x="371"/>
        <item x="116"/>
        <item x="550"/>
        <item x="624"/>
        <item x="51"/>
        <item x="134"/>
        <item x="263"/>
        <item x="531"/>
        <item x="386"/>
        <item x="197"/>
        <item x="143"/>
        <item x="238"/>
        <item x="451"/>
        <item x="315"/>
        <item x="205"/>
        <item x="602"/>
        <item x="107"/>
        <item x="410"/>
        <item x="281"/>
        <item x="49"/>
        <item x="446"/>
        <item x="73"/>
        <item x="516"/>
        <item x="478"/>
        <item x="72"/>
        <item x="483"/>
        <item x="422"/>
        <item x="385"/>
        <item x="47"/>
        <item x="519"/>
        <item x="328"/>
        <item x="104"/>
        <item x="285"/>
        <item x="153"/>
        <item x="274"/>
        <item x="565"/>
        <item x="54"/>
        <item x="214"/>
        <item x="300"/>
        <item x="353"/>
        <item x="461"/>
        <item x="397"/>
        <item x="19"/>
        <item x="318"/>
        <item x="93"/>
        <item x="305"/>
        <item x="524"/>
        <item x="279"/>
        <item x="511"/>
        <item x="12"/>
        <item x="145"/>
        <item x="179"/>
        <item x="355"/>
        <item x="578"/>
        <item x="585"/>
        <item x="132"/>
        <item x="434"/>
        <item x="411"/>
        <item x="270"/>
        <item x="456"/>
        <item x="288"/>
        <item x="333"/>
        <item x="187"/>
        <item x="412"/>
        <item x="364"/>
        <item x="418"/>
        <item x="241"/>
        <item x="100"/>
        <item x="530"/>
        <item x="42"/>
        <item x="620"/>
        <item x="513"/>
        <item x="611"/>
        <item x="403"/>
        <item x="20"/>
        <item x="377"/>
        <item x="392"/>
        <item x="321"/>
        <item x="109"/>
        <item x="26"/>
        <item x="604"/>
        <item x="231"/>
        <item x="586"/>
        <item x="138"/>
        <item x="131"/>
        <item x="591"/>
        <item x="52"/>
        <item x="449"/>
        <item x="227"/>
        <item x="536"/>
        <item x="60"/>
        <item x="310"/>
        <item x="122"/>
        <item x="64"/>
        <item x="198"/>
        <item x="21"/>
        <item x="479"/>
        <item x="429"/>
        <item x="146"/>
        <item x="430"/>
        <item x="200"/>
        <item x="83"/>
        <item x="522"/>
        <item x="13"/>
        <item x="579"/>
        <item x="140"/>
        <item x="415"/>
        <item x="549"/>
        <item x="599"/>
        <item x="108"/>
        <item x="290"/>
        <item x="195"/>
        <item x="8"/>
        <item x="304"/>
        <item x="345"/>
        <item x="443"/>
        <item x="226"/>
        <item x="360"/>
        <item x="142"/>
        <item x="16"/>
        <item x="29"/>
        <item x="609"/>
        <item x="408"/>
        <item x="520"/>
        <item x="139"/>
        <item x="480"/>
        <item x="286"/>
        <item x="75"/>
        <item x="344"/>
        <item x="212"/>
        <item x="7"/>
        <item x="606"/>
        <item x="496"/>
        <item x="568"/>
        <item x="409"/>
        <item x="118"/>
        <item x="331"/>
        <item x="507"/>
        <item x="32"/>
        <item x="265"/>
        <item x="464"/>
        <item x="365"/>
        <item x="594"/>
        <item x="389"/>
        <item x="505"/>
        <item x="500"/>
        <item x="423"/>
        <item x="528"/>
        <item x="248"/>
        <item x="10"/>
        <item x="181"/>
        <item x="366"/>
        <item x="625"/>
        <item x="144"/>
        <item x="262"/>
        <item x="244"/>
        <item x="352"/>
        <item x="27"/>
        <item x="517"/>
        <item x="455"/>
        <item x="388"/>
        <item x="162"/>
        <item x="491"/>
        <item x="619"/>
        <item x="149"/>
        <item x="76"/>
        <item x="476"/>
        <item x="257"/>
        <item x="55"/>
        <item x="440"/>
        <item x="96"/>
        <item x="148"/>
        <item x="14"/>
        <item x="101"/>
        <item x="370"/>
        <item x="337"/>
        <item x="201"/>
        <item x="537"/>
        <item x="532"/>
        <item x="628"/>
        <item x="465"/>
        <item x="498"/>
        <item x="219"/>
        <item x="372"/>
        <item x="4"/>
        <item x="275"/>
        <item x="562"/>
        <item x="545"/>
        <item x="514"/>
        <item x="570"/>
        <item x="534"/>
        <item x="157"/>
        <item x="284"/>
        <item x="325"/>
        <item x="506"/>
        <item x="509"/>
        <item x="527"/>
        <item x="398"/>
        <item x="206"/>
        <item x="112"/>
        <item x="271"/>
        <item x="22"/>
        <item x="269"/>
        <item x="254"/>
        <item x="571"/>
        <item x="74"/>
        <item x="576"/>
        <item x="289"/>
        <item x="563"/>
        <item x="539"/>
        <item x="490"/>
        <item x="189"/>
        <item x="381"/>
        <item x="77"/>
        <item x="467"/>
        <item x="544"/>
        <item x="207"/>
        <item x="114"/>
        <item x="339"/>
        <item x="356"/>
        <item x="327"/>
        <item x="622"/>
        <item x="462"/>
        <item x="63"/>
        <item x="213"/>
        <item x="569"/>
        <item x="401"/>
        <item x="583"/>
        <item x="351"/>
        <item x="266"/>
        <item x="223"/>
        <item x="311"/>
        <item x="45"/>
        <item x="454"/>
        <item x="150"/>
        <item x="533"/>
        <item x="475"/>
        <item x="183"/>
        <item x="39"/>
        <item x="535"/>
        <item x="394"/>
        <item x="185"/>
        <item x="84"/>
        <item x="301"/>
        <item x="199"/>
        <item x="597"/>
        <item x="324"/>
        <item x="607"/>
        <item x="340"/>
        <item x="414"/>
        <item x="24"/>
        <item x="294"/>
        <item x="383"/>
        <item x="367"/>
        <item x="92"/>
        <item x="618"/>
        <item x="432"/>
        <item x="126"/>
        <item x="3"/>
        <item x="222"/>
        <item x="313"/>
        <item x="175"/>
        <item x="481"/>
        <item x="86"/>
        <item x="605"/>
        <item x="424"/>
        <item x="133"/>
        <item x="543"/>
        <item x="421"/>
        <item x="111"/>
        <item x="296"/>
        <item x="396"/>
        <item x="361"/>
        <item x="474"/>
        <item x="390"/>
        <item x="416"/>
        <item x="504"/>
        <item x="99"/>
        <item x="574"/>
        <item x="320"/>
        <item x="384"/>
        <item x="329"/>
        <item x="438"/>
        <item x="166"/>
        <item x="338"/>
        <item x="43"/>
        <item x="156"/>
        <item x="1"/>
        <item x="453"/>
        <item x="375"/>
        <item x="419"/>
        <item x="249"/>
        <item x="433"/>
        <item x="184"/>
        <item x="169"/>
        <item x="50"/>
        <item x="159"/>
        <item x="499"/>
        <item x="260"/>
        <item x="441"/>
        <item x="437"/>
        <item x="369"/>
        <item x="406"/>
        <item x="584"/>
        <item x="309"/>
        <item x="501"/>
        <item x="592"/>
        <item x="393"/>
        <item x="546"/>
        <item x="525"/>
        <item x="5"/>
        <item x="261"/>
        <item x="559"/>
        <item x="113"/>
        <item x="178"/>
        <item x="106"/>
        <item x="229"/>
        <item x="239"/>
        <item x="230"/>
        <item x="445"/>
        <item x="273"/>
        <item x="56"/>
        <item x="35"/>
        <item x="161"/>
        <item x="258"/>
        <item x="298"/>
        <item x="23"/>
        <item x="232"/>
        <item x="267"/>
        <item x="102"/>
        <item x="208"/>
        <item x="610"/>
        <item x="209"/>
        <item x="240"/>
        <item x="233"/>
        <item x="515"/>
        <item x="282"/>
        <item x="510"/>
        <item x="541"/>
        <item x="48"/>
        <item x="58"/>
        <item x="413"/>
        <item x="452"/>
        <item x="85"/>
        <item x="608"/>
        <item x="399"/>
        <item x="30"/>
        <item x="152"/>
        <item x="555"/>
        <item x="374"/>
        <item x="497"/>
        <item x="428"/>
        <item x="160"/>
        <item t="default"/>
      </items>
      <autoSortScope>
        <pivotArea dataOnly="0" outline="0" fieldPosition="0">
          <references count="1">
            <reference field="4294967294" count="1" selected="0">
              <x v="0"/>
            </reference>
          </references>
        </pivotArea>
      </autoSortScope>
    </pivotField>
    <pivotField showAll="0"/>
    <pivotField showAll="0"/>
    <pivotField numFmtId="9" showAll="0"/>
    <pivotField showAll="0"/>
    <pivotField dataField="1" showAll="0"/>
    <pivotField showAll="0"/>
    <pivotField showAll="0"/>
    <pivotField numFmtId="10" showAll="0"/>
    <pivotField showAll="0"/>
    <pivotField numFmtId="165" showAll="0"/>
    <pivotField showAll="0"/>
    <pivotField showAll="0"/>
    <pivotField showAll="0"/>
    <pivotField showAll="0"/>
    <pivotField numFmtId="165" showAll="0">
      <items count="4">
        <item x="0"/>
        <item x="1"/>
        <item x="2"/>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pivotField showAll="0" defaultSubtotal="0">
      <items count="5">
        <item x="0"/>
        <item x="1"/>
        <item x="2"/>
        <item x="3"/>
        <item x="4"/>
      </items>
    </pivotField>
  </pivotFields>
  <rowFields count="1">
    <field x="12"/>
  </rowFields>
  <rowItems count="11">
    <i>
      <x v="170"/>
    </i>
    <i>
      <x v="367"/>
    </i>
    <i>
      <x v="247"/>
    </i>
    <i>
      <x v="322"/>
    </i>
    <i>
      <x v="269"/>
    </i>
    <i>
      <x v="318"/>
    </i>
    <i>
      <x v="116"/>
    </i>
    <i>
      <x v="206"/>
    </i>
    <i>
      <x v="404"/>
    </i>
    <i>
      <x v="402"/>
    </i>
    <i t="grand">
      <x/>
    </i>
  </rowItems>
  <colItems count="1">
    <i/>
  </colItems>
  <dataFields count="1">
    <dataField name="Sum of GrossRevenue" fld="17" baseField="0" baseItem="0" numFmtId="2"/>
  </dataFields>
  <formats count="1">
    <format dxfId="27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C13444B-9BD2-4326-B5BF-7CF99926E45F}" sourceName="Region">
  <pivotTables>
    <pivotTable tabId="16" name="PivotTable7"/>
    <pivotTable tabId="14" name="PivotTable6"/>
    <pivotTable tabId="13" name="PivotTable5"/>
    <pivotTable tabId="9" name="PivotTable2"/>
    <pivotTable tabId="10" name="PivotTable3"/>
    <pivotTable tabId="17" name="PivotTable8"/>
    <pivotTable tabId="12" name="PivotTable4"/>
    <pivotTable tabId="18" name="PivotTable9"/>
  </pivotTables>
  <data>
    <tabular pivotCacheId="731992932">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1FE6761-2F66-4C79-AD85-F05BC6D50B18}" sourceName="Country">
  <pivotTables>
    <pivotTable tabId="16" name="PivotTable7"/>
  </pivotTables>
  <data>
    <tabular pivotCacheId="731992932">
      <items count="12">
        <i x="9" s="1"/>
        <i x="0" s="1"/>
        <i x="3" s="1"/>
        <i x="2" s="1"/>
        <i x="8" s="1"/>
        <i x="10" s="1"/>
        <i x="11" s="1"/>
        <i x="7" s="1"/>
        <i x="5" s="1"/>
        <i x="1" s="1"/>
        <i x="6"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A30C4D94-4599-452A-A48D-DDDACF0AC4D6}" sourceName="Channel">
  <pivotTables>
    <pivotTable tabId="16" name="PivotTable7"/>
    <pivotTable tabId="14" name="PivotTable6"/>
    <pivotTable tabId="13" name="PivotTable5"/>
    <pivotTable tabId="9" name="PivotTable2"/>
    <pivotTable tabId="10" name="PivotTable3"/>
    <pivotTable tabId="17" name="PivotTable8"/>
    <pivotTable tabId="12" name="PivotTable4"/>
    <pivotTable tabId="18" name="PivotTable9"/>
  </pivotTables>
  <data>
    <tabular pivotCacheId="731992932">
      <items count="6">
        <i x="2" s="1"/>
        <i x="0" s="1"/>
        <i x="4" s="1"/>
        <i x="1" s="1"/>
        <i x="3"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0D931B1E-DABE-41FE-BB3E-A7EB55347A67}" sourceName="ProductCategory">
  <pivotTables>
    <pivotTable tabId="16" name="PivotTable7"/>
    <pivotTable tabId="14" name="PivotTable6"/>
    <pivotTable tabId="13" name="PivotTable5"/>
    <pivotTable tabId="9" name="PivotTable2"/>
    <pivotTable tabId="10" name="PivotTable3"/>
    <pivotTable tabId="17" name="PivotTable8"/>
    <pivotTable tabId="12" name="PivotTable4"/>
    <pivotTable tabId="18" name="PivotTable9"/>
  </pivotTables>
  <data>
    <tabular pivotCacheId="731992932">
      <items count="7">
        <i x="3" s="1"/>
        <i x="6" s="1"/>
        <i x="0" s="1"/>
        <i x="5" s="1"/>
        <i x="4"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698832DB-6C37-4874-A322-6FBBBACD2D7F}" sourceName="Salesperson">
  <pivotTables>
    <pivotTable tabId="16" name="PivotTable7"/>
    <pivotTable tabId="14" name="PivotTable6"/>
    <pivotTable tabId="13" name="PivotTable5"/>
    <pivotTable tabId="9" name="PivotTable2"/>
    <pivotTable tabId="10" name="PivotTable3"/>
    <pivotTable tabId="17" name="PivotTable8"/>
    <pivotTable tabId="12" name="PivotTable4"/>
    <pivotTable tabId="18" name="PivotTable9"/>
  </pivotTables>
  <data>
    <tabular pivotCacheId="731992932">
      <items count="16">
        <i x="1" s="1"/>
        <i x="0" s="1"/>
        <i x="11" s="1"/>
        <i x="2" s="1"/>
        <i x="14" s="1"/>
        <i x="7" s="1"/>
        <i x="6" s="1"/>
        <i x="4" s="1"/>
        <i x="12" s="1"/>
        <i x="13" s="1"/>
        <i x="10" s="1"/>
        <i x="9" s="1"/>
        <i x="3" s="1"/>
        <i x="8" s="1"/>
        <i x="5"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8B685D3-DFCE-45D9-9C3D-B3E6B2A403C4}" cache="Slicer_Region" caption="Region" style="SlicerStyleLight4" rowHeight="241300"/>
  <slicer name="Country 1" xr10:uid="{C3571EA5-5B42-4E61-A51B-A7A07217EBCB}" cache="Slicer_Country" caption="Country" startItem="4" style="SlicerStyleLight4" rowHeight="241300"/>
  <slicer name="Channel 1" xr10:uid="{0BAFCD9E-BD1C-4F19-A06D-E80612982A2F}" cache="Slicer_Channel" caption="Channel" style="SlicerStyleLight4" rowHeight="241300"/>
  <slicer name="ProductCategory 1" xr10:uid="{AC571950-3ABD-4359-9042-15BFDC654CAF}" cache="Slicer_ProductCategory" caption="ProductCategory" style="SlicerStyleLight4" rowHeight="241300"/>
  <slicer name="Salesperson 1" xr10:uid="{3F167A40-D309-4366-AA82-FE790990E16A}" cache="Slicer_Salesperson" caption="Salesperson" style="SlicerStyleLigh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81519D4-6F1C-41E1-B58B-D216719FC455}" cache="Slicer_Region" caption="Region" rowHeight="241300"/>
  <slicer name="Country" xr10:uid="{86FAC0B3-DA6E-4695-A584-F772407E6F97}" cache="Slicer_Country" caption="Country" rowHeight="241300"/>
  <slicer name="Channel" xr10:uid="{86BE4BFE-A45C-4585-97A9-BA6A802AFED1}" cache="Slicer_Channel" caption="Channel" rowHeight="241300"/>
  <slicer name="ProductCategory" xr10:uid="{3605B61D-8900-4CEA-AAB4-19068B4017FC}" cache="Slicer_ProductCategory" caption="ProductCategory" rowHeight="241300"/>
  <slicer name="Salesperson" xr10:uid="{9FB28766-BDF0-420E-9CC3-CCC4812CA4B4}" cache="Slicer_Salesperson" caption="Salesperson"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3.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1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3F604-9B83-4DDC-9C31-C552908D2132}">
  <sheetPr>
    <tabColor theme="7" tint="-0.249977111117893"/>
  </sheetPr>
  <dimension ref="A1"/>
  <sheetViews>
    <sheetView tabSelected="1" topLeftCell="B4" zoomScale="66" zoomScaleNormal="66" workbookViewId="0">
      <selection activeCell="S25" sqref="S25"/>
    </sheetView>
  </sheetViews>
  <sheetFormatPr defaultRowHeight="14.5" x14ac:dyDescent="0.35"/>
  <cols>
    <col min="1" max="17" width="8.7265625" style="26"/>
    <col min="18" max="18" width="10.36328125" style="26" customWidth="1"/>
    <col min="19" max="21" width="8.7265625" style="26"/>
    <col min="22" max="22" width="9.08984375" style="26" customWidth="1"/>
    <col min="23" max="16384" width="8.7265625" style="2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33"/>
  <sheetViews>
    <sheetView topLeftCell="E610" workbookViewId="0">
      <selection activeCell="E618" sqref="E618"/>
    </sheetView>
  </sheetViews>
  <sheetFormatPr defaultRowHeight="14.5" x14ac:dyDescent="0.35"/>
  <cols>
    <col min="1" max="1" width="15.90625" bestFit="1" customWidth="1"/>
    <col min="2" max="2" width="10.08984375" bestFit="1" customWidth="1"/>
    <col min="3" max="3" width="12.36328125" bestFit="1" customWidth="1"/>
    <col min="4" max="4" width="8.453125" bestFit="1" customWidth="1"/>
    <col min="5" max="5" width="14.1796875" bestFit="1" customWidth="1"/>
    <col min="6" max="6" width="12.453125" bestFit="1" customWidth="1"/>
    <col min="7" max="7" width="16.36328125" bestFit="1" customWidth="1"/>
    <col min="8" max="8" width="11.1796875" bestFit="1" customWidth="1"/>
    <col min="9" max="9" width="10.81640625" bestFit="1" customWidth="1"/>
    <col min="10" max="10" width="15" bestFit="1" customWidth="1"/>
    <col min="11" max="11" width="9.81640625" bestFit="1" customWidth="1"/>
    <col min="12" max="12" width="8.08984375" bestFit="1" customWidth="1"/>
    <col min="13" max="13" width="8.453125" bestFit="1" customWidth="1"/>
    <col min="14" max="14" width="10.81640625" bestFit="1" customWidth="1"/>
    <col min="15" max="15" width="8.1796875" bestFit="1"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15</v>
      </c>
      <c r="B2" s="2">
        <v>45362</v>
      </c>
      <c r="C2" s="2">
        <v>45388</v>
      </c>
      <c r="D2" t="s">
        <v>646</v>
      </c>
      <c r="E2" t="s">
        <v>650</v>
      </c>
      <c r="F2" t="s">
        <v>662</v>
      </c>
      <c r="G2" t="s">
        <v>701</v>
      </c>
      <c r="H2" t="s">
        <v>707</v>
      </c>
      <c r="I2" t="s">
        <v>712</v>
      </c>
      <c r="J2" t="s">
        <v>727</v>
      </c>
      <c r="K2" t="s">
        <v>734</v>
      </c>
      <c r="L2">
        <v>279.24</v>
      </c>
      <c r="M2">
        <v>608.9</v>
      </c>
      <c r="N2">
        <v>0.112</v>
      </c>
      <c r="O2">
        <v>9</v>
      </c>
    </row>
    <row r="3" spans="1:15" x14ac:dyDescent="0.35">
      <c r="A3" t="s">
        <v>16</v>
      </c>
      <c r="B3" s="2">
        <v>45588</v>
      </c>
      <c r="C3" s="2">
        <v>45587</v>
      </c>
      <c r="D3" t="s">
        <v>646</v>
      </c>
      <c r="E3" t="s">
        <v>651</v>
      </c>
      <c r="F3" t="s">
        <v>663</v>
      </c>
      <c r="G3" t="s">
        <v>702</v>
      </c>
      <c r="H3" t="s">
        <v>708</v>
      </c>
      <c r="I3" t="s">
        <v>713</v>
      </c>
      <c r="J3" t="s">
        <v>728</v>
      </c>
      <c r="K3" t="s">
        <v>735</v>
      </c>
      <c r="L3">
        <v>1084.3900000000001</v>
      </c>
      <c r="M3">
        <v>759.33</v>
      </c>
      <c r="N3">
        <v>0.23699999999999999</v>
      </c>
      <c r="O3">
        <v>31</v>
      </c>
    </row>
    <row r="4" spans="1:15" x14ac:dyDescent="0.35">
      <c r="A4" t="s">
        <v>17</v>
      </c>
      <c r="B4" s="2">
        <v>44985</v>
      </c>
      <c r="C4" s="2">
        <v>45010</v>
      </c>
      <c r="D4" t="s">
        <v>646</v>
      </c>
      <c r="E4" t="s">
        <v>650</v>
      </c>
      <c r="F4" t="s">
        <v>664</v>
      </c>
      <c r="G4" t="s">
        <v>701</v>
      </c>
      <c r="H4" t="s">
        <v>707</v>
      </c>
      <c r="I4" t="s">
        <v>714</v>
      </c>
      <c r="J4" t="s">
        <v>729</v>
      </c>
      <c r="K4" t="s">
        <v>736</v>
      </c>
      <c r="L4">
        <v>1460.76</v>
      </c>
      <c r="M4">
        <v>-30.66</v>
      </c>
      <c r="N4">
        <v>0.13100000000000001</v>
      </c>
      <c r="O4">
        <v>12</v>
      </c>
    </row>
    <row r="5" spans="1:15" x14ac:dyDescent="0.35">
      <c r="A5" t="s">
        <v>18</v>
      </c>
      <c r="B5" s="2">
        <v>45745</v>
      </c>
      <c r="C5" s="2">
        <v>45749</v>
      </c>
      <c r="D5" t="s">
        <v>646</v>
      </c>
      <c r="E5" t="s">
        <v>651</v>
      </c>
      <c r="F5" t="s">
        <v>665</v>
      </c>
      <c r="G5" t="s">
        <v>703</v>
      </c>
      <c r="H5" t="s">
        <v>709</v>
      </c>
      <c r="I5" t="s">
        <v>715</v>
      </c>
      <c r="J5" t="s">
        <v>730</v>
      </c>
      <c r="K5" t="s">
        <v>737</v>
      </c>
      <c r="L5">
        <v>259.93</v>
      </c>
      <c r="M5">
        <v>255.94</v>
      </c>
      <c r="N5">
        <v>7.1999999999999995E-2</v>
      </c>
      <c r="O5">
        <v>22</v>
      </c>
    </row>
    <row r="6" spans="1:15" x14ac:dyDescent="0.35">
      <c r="A6" t="s">
        <v>19</v>
      </c>
      <c r="B6" s="2">
        <v>45266</v>
      </c>
      <c r="C6" s="2">
        <v>45291</v>
      </c>
      <c r="D6" t="s">
        <v>647</v>
      </c>
      <c r="E6" t="s">
        <v>652</v>
      </c>
      <c r="F6" t="s">
        <v>666</v>
      </c>
      <c r="G6" t="s">
        <v>704</v>
      </c>
      <c r="H6" t="s">
        <v>707</v>
      </c>
      <c r="I6" t="s">
        <v>716</v>
      </c>
      <c r="J6" t="s">
        <v>728</v>
      </c>
      <c r="K6" t="s">
        <v>738</v>
      </c>
      <c r="L6">
        <v>663.03</v>
      </c>
      <c r="M6">
        <v>813.51</v>
      </c>
      <c r="N6">
        <v>0.10199999999999999</v>
      </c>
      <c r="O6">
        <v>15</v>
      </c>
    </row>
    <row r="7" spans="1:15" x14ac:dyDescent="0.35">
      <c r="A7" t="s">
        <v>20</v>
      </c>
      <c r="B7" s="2">
        <v>44928</v>
      </c>
      <c r="C7" s="2">
        <v>44931</v>
      </c>
      <c r="D7" t="s">
        <v>648</v>
      </c>
      <c r="E7" t="s">
        <v>653</v>
      </c>
      <c r="F7" t="s">
        <v>667</v>
      </c>
      <c r="G7" t="s">
        <v>701</v>
      </c>
      <c r="H7" t="s">
        <v>710</v>
      </c>
      <c r="I7" t="s">
        <v>717</v>
      </c>
      <c r="J7" t="s">
        <v>731</v>
      </c>
      <c r="K7" t="s">
        <v>739</v>
      </c>
      <c r="L7">
        <v>315.87</v>
      </c>
      <c r="M7">
        <v>591.67999999999995</v>
      </c>
      <c r="N7">
        <v>0</v>
      </c>
      <c r="O7">
        <v>7</v>
      </c>
    </row>
    <row r="8" spans="1:15" x14ac:dyDescent="0.35">
      <c r="A8" t="s">
        <v>21</v>
      </c>
      <c r="B8" s="2">
        <v>45653</v>
      </c>
      <c r="C8" s="2">
        <v>45671</v>
      </c>
      <c r="D8" t="s">
        <v>647</v>
      </c>
      <c r="E8" t="s">
        <v>654</v>
      </c>
      <c r="F8" t="s">
        <v>668</v>
      </c>
      <c r="G8" t="s">
        <v>705</v>
      </c>
      <c r="H8" t="s">
        <v>709</v>
      </c>
      <c r="I8" t="s">
        <v>718</v>
      </c>
      <c r="J8" t="s">
        <v>732</v>
      </c>
      <c r="K8" t="s">
        <v>740</v>
      </c>
      <c r="L8">
        <v>586.07000000000005</v>
      </c>
      <c r="M8">
        <v>845.97</v>
      </c>
      <c r="N8">
        <v>0.14699999999999999</v>
      </c>
      <c r="O8">
        <v>4</v>
      </c>
    </row>
    <row r="9" spans="1:15" x14ac:dyDescent="0.35">
      <c r="A9" t="s">
        <v>22</v>
      </c>
      <c r="B9" s="2">
        <v>44941</v>
      </c>
      <c r="C9" s="2">
        <v>44939</v>
      </c>
      <c r="D9" t="s">
        <v>646</v>
      </c>
      <c r="E9" t="s">
        <v>651</v>
      </c>
      <c r="F9" t="s">
        <v>669</v>
      </c>
      <c r="G9" t="s">
        <v>702</v>
      </c>
      <c r="H9" t="s">
        <v>708</v>
      </c>
      <c r="I9" t="s">
        <v>719</v>
      </c>
      <c r="J9" t="s">
        <v>728</v>
      </c>
      <c r="K9" t="s">
        <v>741</v>
      </c>
      <c r="L9">
        <v>28.38</v>
      </c>
      <c r="M9">
        <v>47.22</v>
      </c>
      <c r="N9">
        <v>0.19400000000000001</v>
      </c>
      <c r="O9">
        <v>18</v>
      </c>
    </row>
    <row r="10" spans="1:15" x14ac:dyDescent="0.35">
      <c r="A10" t="s">
        <v>23</v>
      </c>
      <c r="B10" s="2">
        <v>45416</v>
      </c>
      <c r="C10" s="2">
        <v>45441</v>
      </c>
      <c r="D10" t="s">
        <v>646</v>
      </c>
      <c r="E10" t="s">
        <v>651</v>
      </c>
      <c r="F10" t="s">
        <v>669</v>
      </c>
      <c r="G10" t="s">
        <v>703</v>
      </c>
      <c r="H10" t="s">
        <v>709</v>
      </c>
      <c r="I10" t="s">
        <v>719</v>
      </c>
      <c r="J10" t="s">
        <v>732</v>
      </c>
      <c r="K10" t="s">
        <v>742</v>
      </c>
      <c r="L10">
        <v>1295.3399999999999</v>
      </c>
      <c r="M10">
        <v>2530.81</v>
      </c>
      <c r="N10">
        <v>3.1E-2</v>
      </c>
      <c r="O10">
        <v>6</v>
      </c>
    </row>
    <row r="11" spans="1:15" x14ac:dyDescent="0.35">
      <c r="A11" t="s">
        <v>24</v>
      </c>
      <c r="B11" s="2">
        <v>45798</v>
      </c>
      <c r="C11" s="2">
        <v>45817</v>
      </c>
      <c r="D11" t="s">
        <v>648</v>
      </c>
      <c r="E11" t="s">
        <v>655</v>
      </c>
      <c r="F11" t="s">
        <v>670</v>
      </c>
      <c r="G11" t="s">
        <v>703</v>
      </c>
      <c r="H11" t="s">
        <v>708</v>
      </c>
      <c r="I11" t="s">
        <v>720</v>
      </c>
      <c r="J11" t="s">
        <v>727</v>
      </c>
      <c r="K11" t="s">
        <v>743</v>
      </c>
      <c r="L11">
        <v>1331.38</v>
      </c>
      <c r="M11">
        <v>2309.56</v>
      </c>
      <c r="N11">
        <v>0.14899999999999999</v>
      </c>
      <c r="O11">
        <v>31</v>
      </c>
    </row>
    <row r="12" spans="1:15" x14ac:dyDescent="0.35">
      <c r="A12" t="s">
        <v>25</v>
      </c>
      <c r="B12" s="2">
        <v>45319</v>
      </c>
      <c r="C12" s="2">
        <v>45331</v>
      </c>
      <c r="D12" t="s">
        <v>649</v>
      </c>
      <c r="E12" t="s">
        <v>656</v>
      </c>
      <c r="F12" t="s">
        <v>671</v>
      </c>
      <c r="G12" t="s">
        <v>701</v>
      </c>
      <c r="H12" t="s">
        <v>708</v>
      </c>
      <c r="I12" t="s">
        <v>715</v>
      </c>
      <c r="J12" t="s">
        <v>733</v>
      </c>
      <c r="K12" t="s">
        <v>744</v>
      </c>
      <c r="L12">
        <v>644.16999999999996</v>
      </c>
      <c r="M12">
        <v>700.12</v>
      </c>
      <c r="N12">
        <v>6.0000000000000001E-3</v>
      </c>
      <c r="O12">
        <v>23</v>
      </c>
    </row>
    <row r="13" spans="1:15" x14ac:dyDescent="0.35">
      <c r="A13" t="s">
        <v>26</v>
      </c>
      <c r="B13" s="2">
        <v>45660</v>
      </c>
      <c r="C13" s="2">
        <v>45680</v>
      </c>
      <c r="D13" t="s">
        <v>647</v>
      </c>
      <c r="E13" t="s">
        <v>652</v>
      </c>
      <c r="F13" t="s">
        <v>666</v>
      </c>
      <c r="G13" t="s">
        <v>701</v>
      </c>
      <c r="H13" t="s">
        <v>710</v>
      </c>
      <c r="I13" t="s">
        <v>721</v>
      </c>
      <c r="J13" t="s">
        <v>730</v>
      </c>
      <c r="K13" t="s">
        <v>745</v>
      </c>
      <c r="L13">
        <v>908.6</v>
      </c>
      <c r="M13">
        <v>691.37</v>
      </c>
      <c r="N13">
        <v>0.25</v>
      </c>
      <c r="O13">
        <v>20</v>
      </c>
    </row>
    <row r="14" spans="1:15" x14ac:dyDescent="0.35">
      <c r="A14" t="s">
        <v>27</v>
      </c>
      <c r="B14" s="2">
        <v>45722</v>
      </c>
      <c r="C14" s="2">
        <v>45747</v>
      </c>
      <c r="D14" t="s">
        <v>648</v>
      </c>
      <c r="E14" t="s">
        <v>655</v>
      </c>
      <c r="F14" t="s">
        <v>672</v>
      </c>
      <c r="G14" t="s">
        <v>703</v>
      </c>
      <c r="H14" t="s">
        <v>708</v>
      </c>
      <c r="I14" t="s">
        <v>713</v>
      </c>
      <c r="J14" t="s">
        <v>727</v>
      </c>
      <c r="K14" t="s">
        <v>746</v>
      </c>
      <c r="L14">
        <v>331.57</v>
      </c>
      <c r="M14">
        <v>548.4</v>
      </c>
      <c r="N14">
        <v>9.4E-2</v>
      </c>
      <c r="O14">
        <v>10</v>
      </c>
    </row>
    <row r="15" spans="1:15" x14ac:dyDescent="0.35">
      <c r="A15" t="s">
        <v>28</v>
      </c>
      <c r="B15" s="2">
        <v>45311</v>
      </c>
      <c r="C15" s="2">
        <v>45335</v>
      </c>
      <c r="D15" t="s">
        <v>649</v>
      </c>
      <c r="E15" t="s">
        <v>657</v>
      </c>
      <c r="F15" t="s">
        <v>673</v>
      </c>
      <c r="G15" t="s">
        <v>701</v>
      </c>
      <c r="H15" t="s">
        <v>707</v>
      </c>
      <c r="I15" t="s">
        <v>722</v>
      </c>
      <c r="J15" t="s">
        <v>728</v>
      </c>
      <c r="K15" t="s">
        <v>747</v>
      </c>
      <c r="L15">
        <v>643.53</v>
      </c>
      <c r="M15">
        <v>1439.01</v>
      </c>
      <c r="N15">
        <v>0</v>
      </c>
      <c r="O15">
        <v>15</v>
      </c>
    </row>
    <row r="16" spans="1:15" x14ac:dyDescent="0.35">
      <c r="A16" t="s">
        <v>29</v>
      </c>
      <c r="B16" s="2">
        <v>45901</v>
      </c>
      <c r="C16" s="2">
        <v>45930</v>
      </c>
      <c r="D16" t="s">
        <v>648</v>
      </c>
      <c r="E16" t="s">
        <v>655</v>
      </c>
      <c r="F16" t="s">
        <v>672</v>
      </c>
      <c r="G16" t="s">
        <v>702</v>
      </c>
      <c r="H16" t="s">
        <v>707</v>
      </c>
      <c r="I16" t="s">
        <v>723</v>
      </c>
      <c r="J16" t="s">
        <v>733</v>
      </c>
      <c r="K16" t="s">
        <v>748</v>
      </c>
      <c r="L16">
        <v>780.59</v>
      </c>
      <c r="M16">
        <v>631.57000000000005</v>
      </c>
      <c r="N16">
        <v>0</v>
      </c>
      <c r="O16">
        <v>12</v>
      </c>
    </row>
    <row r="17" spans="1:15" x14ac:dyDescent="0.35">
      <c r="A17" t="s">
        <v>30</v>
      </c>
      <c r="B17" s="2">
        <v>45039</v>
      </c>
      <c r="C17" s="2">
        <v>45038</v>
      </c>
      <c r="D17" t="s">
        <v>646</v>
      </c>
      <c r="E17" t="s">
        <v>650</v>
      </c>
      <c r="F17" t="s">
        <v>664</v>
      </c>
      <c r="G17" t="s">
        <v>705</v>
      </c>
      <c r="H17" t="s">
        <v>711</v>
      </c>
      <c r="I17" t="s">
        <v>718</v>
      </c>
      <c r="J17" t="s">
        <v>731</v>
      </c>
      <c r="K17" t="s">
        <v>749</v>
      </c>
      <c r="L17">
        <v>756.51</v>
      </c>
      <c r="M17">
        <v>850.8</v>
      </c>
      <c r="N17">
        <v>7.3999999999999996E-2</v>
      </c>
      <c r="O17">
        <v>9</v>
      </c>
    </row>
    <row r="18" spans="1:15" x14ac:dyDescent="0.35">
      <c r="A18" t="s">
        <v>31</v>
      </c>
      <c r="B18" s="2">
        <v>45636</v>
      </c>
      <c r="C18" s="2">
        <v>45665</v>
      </c>
      <c r="D18" t="s">
        <v>649</v>
      </c>
      <c r="E18" t="s">
        <v>657</v>
      </c>
      <c r="F18" t="s">
        <v>673</v>
      </c>
      <c r="G18" t="s">
        <v>705</v>
      </c>
      <c r="H18" t="s">
        <v>707</v>
      </c>
      <c r="I18" t="s">
        <v>723</v>
      </c>
      <c r="J18" t="s">
        <v>728</v>
      </c>
      <c r="K18" t="s">
        <v>750</v>
      </c>
      <c r="L18">
        <v>891.08</v>
      </c>
      <c r="M18">
        <v>1040.0999999999999</v>
      </c>
      <c r="N18">
        <v>0.109</v>
      </c>
      <c r="O18">
        <v>28</v>
      </c>
    </row>
    <row r="19" spans="1:15" x14ac:dyDescent="0.35">
      <c r="A19" t="s">
        <v>32</v>
      </c>
      <c r="B19" s="2">
        <v>45908</v>
      </c>
      <c r="C19" s="2">
        <v>45916</v>
      </c>
      <c r="D19" t="s">
        <v>647</v>
      </c>
      <c r="E19" t="s">
        <v>652</v>
      </c>
      <c r="F19" t="s">
        <v>666</v>
      </c>
      <c r="G19" t="s">
        <v>701</v>
      </c>
      <c r="H19" t="s">
        <v>710</v>
      </c>
      <c r="I19" t="s">
        <v>712</v>
      </c>
      <c r="J19" t="s">
        <v>730</v>
      </c>
      <c r="K19" t="s">
        <v>751</v>
      </c>
      <c r="L19">
        <v>1225.57</v>
      </c>
      <c r="M19">
        <v>2705.57</v>
      </c>
      <c r="N19">
        <v>0.183</v>
      </c>
      <c r="O19">
        <v>16</v>
      </c>
    </row>
    <row r="20" spans="1:15" x14ac:dyDescent="0.35">
      <c r="A20" t="s">
        <v>33</v>
      </c>
      <c r="B20" s="2">
        <v>45858</v>
      </c>
      <c r="C20" s="2">
        <v>45874</v>
      </c>
      <c r="D20" t="s">
        <v>648</v>
      </c>
      <c r="E20" t="s">
        <v>655</v>
      </c>
      <c r="F20" t="s">
        <v>672</v>
      </c>
      <c r="G20" t="s">
        <v>706</v>
      </c>
      <c r="H20" t="s">
        <v>709</v>
      </c>
      <c r="I20" t="s">
        <v>715</v>
      </c>
      <c r="J20" t="s">
        <v>733</v>
      </c>
      <c r="K20" t="s">
        <v>752</v>
      </c>
      <c r="L20">
        <v>1068.17</v>
      </c>
      <c r="M20">
        <v>2375.37</v>
      </c>
      <c r="N20">
        <v>0.109</v>
      </c>
      <c r="O20">
        <v>18</v>
      </c>
    </row>
    <row r="21" spans="1:15" x14ac:dyDescent="0.35">
      <c r="A21" t="s">
        <v>34</v>
      </c>
      <c r="B21" s="2">
        <v>45798</v>
      </c>
      <c r="C21" s="2">
        <v>45796</v>
      </c>
      <c r="D21" t="s">
        <v>649</v>
      </c>
      <c r="E21" t="s">
        <v>658</v>
      </c>
      <c r="F21" t="s">
        <v>674</v>
      </c>
      <c r="G21" t="s">
        <v>706</v>
      </c>
      <c r="H21" t="s">
        <v>708</v>
      </c>
      <c r="I21" t="s">
        <v>724</v>
      </c>
      <c r="J21" t="s">
        <v>731</v>
      </c>
      <c r="K21" t="s">
        <v>753</v>
      </c>
      <c r="L21">
        <v>1015.16</v>
      </c>
      <c r="M21">
        <v>2148.14</v>
      </c>
      <c r="N21">
        <v>3.7999999999999999E-2</v>
      </c>
      <c r="O21">
        <v>19</v>
      </c>
    </row>
    <row r="22" spans="1:15" x14ac:dyDescent="0.35">
      <c r="A22" t="s">
        <v>35</v>
      </c>
      <c r="B22" s="2">
        <v>45498</v>
      </c>
      <c r="C22" s="2">
        <v>45497</v>
      </c>
      <c r="D22" t="s">
        <v>646</v>
      </c>
      <c r="E22" t="s">
        <v>650</v>
      </c>
      <c r="F22" t="s">
        <v>675</v>
      </c>
      <c r="G22" t="s">
        <v>703</v>
      </c>
      <c r="H22" t="s">
        <v>711</v>
      </c>
      <c r="I22" t="s">
        <v>713</v>
      </c>
      <c r="J22" t="s">
        <v>731</v>
      </c>
      <c r="K22" t="s">
        <v>754</v>
      </c>
      <c r="L22">
        <v>1494.4</v>
      </c>
      <c r="M22">
        <v>3661.07</v>
      </c>
      <c r="N22">
        <v>7.1999999999999995E-2</v>
      </c>
      <c r="O22">
        <v>7</v>
      </c>
    </row>
    <row r="23" spans="1:15" x14ac:dyDescent="0.35">
      <c r="A23" t="s">
        <v>36</v>
      </c>
      <c r="B23" s="2">
        <v>45057</v>
      </c>
      <c r="C23" s="2">
        <v>45074</v>
      </c>
      <c r="D23" t="s">
        <v>647</v>
      </c>
      <c r="E23" t="s">
        <v>659</v>
      </c>
      <c r="F23" t="s">
        <v>676</v>
      </c>
      <c r="G23" t="s">
        <v>706</v>
      </c>
      <c r="H23" t="s">
        <v>709</v>
      </c>
      <c r="I23" t="s">
        <v>718</v>
      </c>
      <c r="J23" t="s">
        <v>729</v>
      </c>
      <c r="K23" t="s">
        <v>755</v>
      </c>
      <c r="L23">
        <v>1331.19</v>
      </c>
      <c r="M23">
        <v>2903.09</v>
      </c>
      <c r="N23">
        <v>0.14299999999999999</v>
      </c>
      <c r="O23">
        <v>8</v>
      </c>
    </row>
    <row r="24" spans="1:15" x14ac:dyDescent="0.35">
      <c r="A24" t="s">
        <v>37</v>
      </c>
      <c r="B24" s="2">
        <v>45822</v>
      </c>
      <c r="C24" s="2">
        <v>45837</v>
      </c>
      <c r="D24" t="s">
        <v>646</v>
      </c>
      <c r="E24" t="s">
        <v>651</v>
      </c>
      <c r="F24" t="s">
        <v>663</v>
      </c>
      <c r="G24" t="s">
        <v>704</v>
      </c>
      <c r="H24" t="s">
        <v>709</v>
      </c>
      <c r="I24" t="s">
        <v>724</v>
      </c>
      <c r="J24" t="s">
        <v>733</v>
      </c>
      <c r="K24" t="s">
        <v>756</v>
      </c>
      <c r="L24">
        <v>730.99</v>
      </c>
      <c r="M24">
        <v>1242.8399999999999</v>
      </c>
      <c r="N24">
        <v>0.12</v>
      </c>
      <c r="O24">
        <v>10</v>
      </c>
    </row>
    <row r="25" spans="1:15" x14ac:dyDescent="0.35">
      <c r="A25" t="s">
        <v>38</v>
      </c>
      <c r="B25" s="2">
        <v>45430</v>
      </c>
      <c r="C25" s="2">
        <v>45435</v>
      </c>
      <c r="D25" t="s">
        <v>648</v>
      </c>
      <c r="E25" t="s">
        <v>660</v>
      </c>
      <c r="F25" t="s">
        <v>677</v>
      </c>
      <c r="G25" t="s">
        <v>706</v>
      </c>
      <c r="H25" t="s">
        <v>707</v>
      </c>
      <c r="I25" t="s">
        <v>722</v>
      </c>
      <c r="J25" t="s">
        <v>731</v>
      </c>
      <c r="K25" t="s">
        <v>757</v>
      </c>
      <c r="L25">
        <v>1274.5899999999999</v>
      </c>
      <c r="M25">
        <v>2553.69</v>
      </c>
      <c r="N25">
        <v>0.01</v>
      </c>
      <c r="O25">
        <v>8</v>
      </c>
    </row>
    <row r="26" spans="1:15" x14ac:dyDescent="0.35">
      <c r="A26" t="s">
        <v>39</v>
      </c>
      <c r="B26" s="2">
        <v>44964</v>
      </c>
      <c r="C26" s="2">
        <v>44969</v>
      </c>
      <c r="D26" t="s">
        <v>648</v>
      </c>
      <c r="E26" t="s">
        <v>655</v>
      </c>
      <c r="F26" t="s">
        <v>670</v>
      </c>
      <c r="G26" t="s">
        <v>702</v>
      </c>
      <c r="H26" t="s">
        <v>708</v>
      </c>
      <c r="I26" t="s">
        <v>725</v>
      </c>
      <c r="J26" t="s">
        <v>727</v>
      </c>
      <c r="K26" t="s">
        <v>758</v>
      </c>
      <c r="L26">
        <v>948.55</v>
      </c>
      <c r="M26">
        <v>2089.16</v>
      </c>
      <c r="N26">
        <v>7.0000000000000001E-3</v>
      </c>
      <c r="O26">
        <v>12</v>
      </c>
    </row>
    <row r="27" spans="1:15" x14ac:dyDescent="0.35">
      <c r="A27" t="s">
        <v>40</v>
      </c>
      <c r="B27" s="2">
        <v>45473</v>
      </c>
      <c r="C27" s="2">
        <v>45487</v>
      </c>
      <c r="D27" t="s">
        <v>648</v>
      </c>
      <c r="E27" t="s">
        <v>655</v>
      </c>
      <c r="F27" t="s">
        <v>672</v>
      </c>
      <c r="G27" t="s">
        <v>702</v>
      </c>
      <c r="H27" t="s">
        <v>707</v>
      </c>
      <c r="I27" t="s">
        <v>712</v>
      </c>
      <c r="J27" t="s">
        <v>733</v>
      </c>
      <c r="K27" t="s">
        <v>759</v>
      </c>
      <c r="L27">
        <v>1491.85</v>
      </c>
      <c r="M27">
        <v>2583.02</v>
      </c>
      <c r="N27">
        <v>0.16800000000000001</v>
      </c>
      <c r="O27">
        <v>4</v>
      </c>
    </row>
    <row r="28" spans="1:15" x14ac:dyDescent="0.35">
      <c r="A28" t="s">
        <v>41</v>
      </c>
      <c r="B28" s="2">
        <v>45626</v>
      </c>
      <c r="C28" s="2">
        <v>45656</v>
      </c>
      <c r="D28" t="s">
        <v>649</v>
      </c>
      <c r="E28" t="s">
        <v>657</v>
      </c>
      <c r="F28" t="s">
        <v>673</v>
      </c>
      <c r="G28" t="s">
        <v>704</v>
      </c>
      <c r="H28" t="s">
        <v>709</v>
      </c>
      <c r="I28" t="s">
        <v>721</v>
      </c>
      <c r="J28" t="s">
        <v>728</v>
      </c>
      <c r="K28" t="s">
        <v>760</v>
      </c>
      <c r="L28">
        <v>117.64</v>
      </c>
      <c r="M28">
        <v>175.67</v>
      </c>
      <c r="N28">
        <v>0</v>
      </c>
      <c r="O28">
        <v>10</v>
      </c>
    </row>
    <row r="29" spans="1:15" x14ac:dyDescent="0.35">
      <c r="A29" t="s">
        <v>42</v>
      </c>
      <c r="B29" s="2">
        <v>45492</v>
      </c>
      <c r="C29" s="2">
        <v>45492</v>
      </c>
      <c r="D29" t="s">
        <v>646</v>
      </c>
      <c r="E29" t="s">
        <v>650</v>
      </c>
      <c r="F29" t="s">
        <v>662</v>
      </c>
      <c r="G29" t="s">
        <v>705</v>
      </c>
      <c r="H29" t="s">
        <v>707</v>
      </c>
      <c r="I29" t="s">
        <v>720</v>
      </c>
      <c r="J29" t="s">
        <v>730</v>
      </c>
      <c r="K29" t="s">
        <v>761</v>
      </c>
      <c r="L29">
        <v>857.24</v>
      </c>
      <c r="M29">
        <v>758.23</v>
      </c>
      <c r="N29">
        <v>0.125</v>
      </c>
      <c r="O29">
        <v>6</v>
      </c>
    </row>
    <row r="30" spans="1:15" x14ac:dyDescent="0.35">
      <c r="A30" t="s">
        <v>43</v>
      </c>
      <c r="B30" s="2">
        <v>45030</v>
      </c>
      <c r="C30" s="2">
        <v>45060</v>
      </c>
      <c r="D30" t="s">
        <v>646</v>
      </c>
      <c r="E30" t="s">
        <v>650</v>
      </c>
      <c r="F30" t="s">
        <v>678</v>
      </c>
      <c r="G30" t="s">
        <v>704</v>
      </c>
      <c r="H30" t="s">
        <v>709</v>
      </c>
      <c r="I30" t="s">
        <v>724</v>
      </c>
      <c r="J30" t="s">
        <v>730</v>
      </c>
      <c r="K30" t="s">
        <v>762</v>
      </c>
      <c r="L30">
        <v>209.25</v>
      </c>
      <c r="M30">
        <v>434.8</v>
      </c>
      <c r="N30">
        <v>0</v>
      </c>
      <c r="O30">
        <v>9</v>
      </c>
    </row>
    <row r="31" spans="1:15" x14ac:dyDescent="0.35">
      <c r="A31" t="s">
        <v>44</v>
      </c>
      <c r="B31" s="2">
        <v>45754</v>
      </c>
      <c r="C31" s="2">
        <v>45758</v>
      </c>
      <c r="D31" t="s">
        <v>649</v>
      </c>
      <c r="E31" t="s">
        <v>657</v>
      </c>
      <c r="F31" t="s">
        <v>679</v>
      </c>
      <c r="G31" t="s">
        <v>702</v>
      </c>
      <c r="H31" t="s">
        <v>707</v>
      </c>
      <c r="I31" t="s">
        <v>718</v>
      </c>
      <c r="J31" t="s">
        <v>729</v>
      </c>
      <c r="K31" t="s">
        <v>763</v>
      </c>
      <c r="L31">
        <v>754.77</v>
      </c>
      <c r="M31">
        <v>1666.18</v>
      </c>
      <c r="N31">
        <v>0.13900000000000001</v>
      </c>
      <c r="O31">
        <v>14</v>
      </c>
    </row>
    <row r="32" spans="1:15" x14ac:dyDescent="0.35">
      <c r="A32" t="s">
        <v>45</v>
      </c>
      <c r="B32" s="2">
        <v>45653</v>
      </c>
      <c r="C32" s="2">
        <v>45672</v>
      </c>
      <c r="D32" t="s">
        <v>647</v>
      </c>
      <c r="E32" t="s">
        <v>654</v>
      </c>
      <c r="F32" t="s">
        <v>680</v>
      </c>
      <c r="G32" t="s">
        <v>703</v>
      </c>
      <c r="H32" t="s">
        <v>710</v>
      </c>
      <c r="I32" t="s">
        <v>715</v>
      </c>
      <c r="J32" t="s">
        <v>727</v>
      </c>
      <c r="K32" t="s">
        <v>764</v>
      </c>
      <c r="L32">
        <v>495.59</v>
      </c>
      <c r="M32">
        <v>631.78</v>
      </c>
      <c r="N32">
        <v>8.6999999999999994E-2</v>
      </c>
      <c r="O32">
        <v>17</v>
      </c>
    </row>
    <row r="33" spans="1:15" x14ac:dyDescent="0.35">
      <c r="A33" t="s">
        <v>46</v>
      </c>
      <c r="B33" s="2">
        <v>44980</v>
      </c>
      <c r="C33" s="2">
        <v>45010</v>
      </c>
      <c r="D33" t="s">
        <v>648</v>
      </c>
      <c r="E33" t="s">
        <v>653</v>
      </c>
      <c r="F33" t="s">
        <v>681</v>
      </c>
      <c r="G33" t="s">
        <v>706</v>
      </c>
      <c r="H33" t="s">
        <v>708</v>
      </c>
      <c r="I33" t="s">
        <v>726</v>
      </c>
      <c r="J33" t="s">
        <v>730</v>
      </c>
      <c r="K33" t="s">
        <v>765</v>
      </c>
      <c r="L33">
        <v>1242.6600000000001</v>
      </c>
      <c r="M33">
        <v>1794.07</v>
      </c>
      <c r="N33">
        <v>8.8999999999999996E-2</v>
      </c>
      <c r="O33">
        <v>16</v>
      </c>
    </row>
    <row r="34" spans="1:15" x14ac:dyDescent="0.35">
      <c r="A34" t="s">
        <v>47</v>
      </c>
      <c r="B34" s="2">
        <v>45862</v>
      </c>
      <c r="C34" s="2">
        <v>45875</v>
      </c>
      <c r="D34" t="s">
        <v>646</v>
      </c>
      <c r="E34" t="s">
        <v>661</v>
      </c>
      <c r="F34" t="s">
        <v>682</v>
      </c>
      <c r="G34" t="s">
        <v>702</v>
      </c>
      <c r="H34" t="s">
        <v>709</v>
      </c>
      <c r="I34" t="s">
        <v>726</v>
      </c>
      <c r="J34" t="s">
        <v>729</v>
      </c>
      <c r="K34" t="s">
        <v>766</v>
      </c>
      <c r="L34">
        <v>1463.9</v>
      </c>
      <c r="M34">
        <v>2633.02</v>
      </c>
      <c r="N34">
        <v>8.4000000000000005E-2</v>
      </c>
      <c r="O34">
        <v>4</v>
      </c>
    </row>
    <row r="35" spans="1:15" x14ac:dyDescent="0.35">
      <c r="A35" t="s">
        <v>48</v>
      </c>
      <c r="B35" s="2">
        <v>45400</v>
      </c>
      <c r="C35" s="2">
        <v>45420</v>
      </c>
      <c r="D35" t="s">
        <v>649</v>
      </c>
      <c r="E35" t="s">
        <v>658</v>
      </c>
      <c r="F35" t="s">
        <v>683</v>
      </c>
      <c r="G35" t="s">
        <v>703</v>
      </c>
      <c r="I35" t="s">
        <v>726</v>
      </c>
      <c r="J35" t="s">
        <v>731</v>
      </c>
      <c r="K35" t="s">
        <v>767</v>
      </c>
      <c r="L35">
        <v>645.33000000000004</v>
      </c>
      <c r="M35">
        <v>1321.85</v>
      </c>
      <c r="N35">
        <v>0</v>
      </c>
      <c r="O35">
        <v>10</v>
      </c>
    </row>
    <row r="36" spans="1:15" x14ac:dyDescent="0.35">
      <c r="A36" t="s">
        <v>49</v>
      </c>
      <c r="B36" s="2">
        <v>45527</v>
      </c>
      <c r="C36" s="2">
        <v>45525</v>
      </c>
      <c r="D36" t="s">
        <v>646</v>
      </c>
      <c r="E36" t="s">
        <v>661</v>
      </c>
      <c r="F36" t="s">
        <v>682</v>
      </c>
      <c r="G36" t="s">
        <v>702</v>
      </c>
      <c r="H36" t="s">
        <v>707</v>
      </c>
      <c r="I36" t="s">
        <v>718</v>
      </c>
      <c r="J36" t="s">
        <v>727</v>
      </c>
      <c r="K36" t="s">
        <v>768</v>
      </c>
      <c r="L36">
        <v>1432.52</v>
      </c>
      <c r="M36">
        <v>3036.87</v>
      </c>
      <c r="N36">
        <v>0</v>
      </c>
      <c r="O36">
        <v>9</v>
      </c>
    </row>
    <row r="37" spans="1:15" x14ac:dyDescent="0.35">
      <c r="A37" t="s">
        <v>50</v>
      </c>
      <c r="B37" s="2">
        <v>45012</v>
      </c>
      <c r="C37" s="2">
        <v>45038</v>
      </c>
      <c r="D37" t="s">
        <v>647</v>
      </c>
      <c r="E37" t="s">
        <v>654</v>
      </c>
      <c r="F37" t="s">
        <v>680</v>
      </c>
      <c r="G37" t="s">
        <v>703</v>
      </c>
      <c r="H37" t="s">
        <v>709</v>
      </c>
      <c r="I37" t="s">
        <v>713</v>
      </c>
      <c r="J37" t="s">
        <v>728</v>
      </c>
      <c r="K37" t="s">
        <v>769</v>
      </c>
      <c r="L37">
        <v>178.53</v>
      </c>
      <c r="M37">
        <v>199.37</v>
      </c>
      <c r="N37">
        <v>0.10100000000000001</v>
      </c>
      <c r="O37">
        <v>37</v>
      </c>
    </row>
    <row r="38" spans="1:15" x14ac:dyDescent="0.35">
      <c r="A38" t="s">
        <v>51</v>
      </c>
      <c r="B38" s="2">
        <v>45358</v>
      </c>
      <c r="C38" s="2">
        <v>45376</v>
      </c>
      <c r="D38" t="s">
        <v>649</v>
      </c>
      <c r="E38" t="s">
        <v>656</v>
      </c>
      <c r="F38" t="s">
        <v>684</v>
      </c>
      <c r="G38" t="s">
        <v>701</v>
      </c>
      <c r="H38" t="s">
        <v>708</v>
      </c>
      <c r="I38" t="s">
        <v>717</v>
      </c>
      <c r="J38" t="s">
        <v>727</v>
      </c>
      <c r="K38" t="s">
        <v>770</v>
      </c>
      <c r="L38">
        <v>712.84</v>
      </c>
      <c r="M38">
        <v>927.51</v>
      </c>
      <c r="N38">
        <v>0.24299999999999999</v>
      </c>
      <c r="O38">
        <v>27</v>
      </c>
    </row>
    <row r="39" spans="1:15" x14ac:dyDescent="0.35">
      <c r="A39" t="s">
        <v>52</v>
      </c>
      <c r="B39" s="2">
        <v>45832</v>
      </c>
      <c r="C39" s="2">
        <v>45848</v>
      </c>
      <c r="D39" t="s">
        <v>647</v>
      </c>
      <c r="E39" t="s">
        <v>659</v>
      </c>
      <c r="F39" t="s">
        <v>685</v>
      </c>
      <c r="G39" t="s">
        <v>706</v>
      </c>
      <c r="H39" t="s">
        <v>711</v>
      </c>
      <c r="I39" t="s">
        <v>725</v>
      </c>
      <c r="J39" t="s">
        <v>727</v>
      </c>
      <c r="K39" t="s">
        <v>771</v>
      </c>
      <c r="L39">
        <v>757.19</v>
      </c>
      <c r="M39">
        <v>1735.41</v>
      </c>
      <c r="N39">
        <v>0.13600000000000001</v>
      </c>
      <c r="O39">
        <v>8</v>
      </c>
    </row>
    <row r="40" spans="1:15" x14ac:dyDescent="0.35">
      <c r="A40" t="s">
        <v>53</v>
      </c>
      <c r="B40" s="2">
        <v>45401</v>
      </c>
      <c r="C40" s="2">
        <v>45418</v>
      </c>
      <c r="D40" t="s">
        <v>646</v>
      </c>
      <c r="E40" t="s">
        <v>651</v>
      </c>
      <c r="F40" t="s">
        <v>663</v>
      </c>
      <c r="G40" t="s">
        <v>703</v>
      </c>
      <c r="H40" t="s">
        <v>708</v>
      </c>
      <c r="I40" t="s">
        <v>720</v>
      </c>
      <c r="J40" t="s">
        <v>728</v>
      </c>
      <c r="K40" t="s">
        <v>772</v>
      </c>
      <c r="L40">
        <v>865.33</v>
      </c>
      <c r="M40">
        <v>1395.64</v>
      </c>
      <c r="N40">
        <v>0.17499999999999999</v>
      </c>
      <c r="O40">
        <v>13</v>
      </c>
    </row>
    <row r="41" spans="1:15" x14ac:dyDescent="0.35">
      <c r="A41" t="s">
        <v>54</v>
      </c>
      <c r="B41" s="2">
        <v>45094</v>
      </c>
      <c r="C41" s="2">
        <v>45101</v>
      </c>
      <c r="D41" t="s">
        <v>648</v>
      </c>
      <c r="E41" t="s">
        <v>660</v>
      </c>
      <c r="F41" t="s">
        <v>686</v>
      </c>
      <c r="G41" t="s">
        <v>701</v>
      </c>
      <c r="H41" t="s">
        <v>707</v>
      </c>
      <c r="I41" t="s">
        <v>714</v>
      </c>
      <c r="J41" t="s">
        <v>728</v>
      </c>
      <c r="K41" t="s">
        <v>773</v>
      </c>
      <c r="L41">
        <v>313.99</v>
      </c>
      <c r="M41">
        <v>454.42</v>
      </c>
      <c r="N41">
        <v>0.129</v>
      </c>
      <c r="O41">
        <v>9</v>
      </c>
    </row>
    <row r="42" spans="1:15" x14ac:dyDescent="0.35">
      <c r="A42" t="s">
        <v>55</v>
      </c>
      <c r="B42" s="2">
        <v>45531</v>
      </c>
      <c r="C42" s="2">
        <v>45554</v>
      </c>
      <c r="D42" t="s">
        <v>649</v>
      </c>
      <c r="E42" t="s">
        <v>656</v>
      </c>
      <c r="F42" t="s">
        <v>671</v>
      </c>
      <c r="G42" t="s">
        <v>705</v>
      </c>
      <c r="H42" t="s">
        <v>711</v>
      </c>
      <c r="I42" t="s">
        <v>726</v>
      </c>
      <c r="J42" t="s">
        <v>732</v>
      </c>
      <c r="K42" t="s">
        <v>774</v>
      </c>
      <c r="L42">
        <v>1024.01</v>
      </c>
      <c r="M42">
        <v>1580.97</v>
      </c>
      <c r="N42">
        <v>3.6999999999999998E-2</v>
      </c>
      <c r="O42">
        <v>27</v>
      </c>
    </row>
    <row r="43" spans="1:15" x14ac:dyDescent="0.35">
      <c r="A43" t="s">
        <v>56</v>
      </c>
      <c r="B43" s="2">
        <v>45302</v>
      </c>
      <c r="C43" s="2">
        <v>45324</v>
      </c>
      <c r="D43" t="s">
        <v>646</v>
      </c>
      <c r="E43" t="s">
        <v>661</v>
      </c>
      <c r="F43" t="s">
        <v>687</v>
      </c>
      <c r="G43" t="s">
        <v>704</v>
      </c>
      <c r="H43" t="s">
        <v>708</v>
      </c>
      <c r="I43" t="s">
        <v>723</v>
      </c>
      <c r="J43" t="s">
        <v>729</v>
      </c>
      <c r="K43" t="s">
        <v>775</v>
      </c>
      <c r="L43">
        <v>1206.2</v>
      </c>
      <c r="M43">
        <v>1759.79</v>
      </c>
      <c r="N43">
        <v>0</v>
      </c>
      <c r="O43">
        <v>6</v>
      </c>
    </row>
    <row r="44" spans="1:15" x14ac:dyDescent="0.35">
      <c r="A44" t="s">
        <v>57</v>
      </c>
      <c r="B44" s="2">
        <v>45590</v>
      </c>
      <c r="C44" s="2">
        <v>45610</v>
      </c>
      <c r="D44" t="s">
        <v>646</v>
      </c>
      <c r="E44" t="s">
        <v>650</v>
      </c>
      <c r="F44" t="s">
        <v>675</v>
      </c>
      <c r="G44" t="s">
        <v>701</v>
      </c>
      <c r="H44" t="s">
        <v>711</v>
      </c>
      <c r="I44" t="s">
        <v>722</v>
      </c>
      <c r="J44" t="s">
        <v>728</v>
      </c>
      <c r="K44" t="s">
        <v>776</v>
      </c>
      <c r="L44">
        <v>1396.48</v>
      </c>
      <c r="M44">
        <v>3204.5</v>
      </c>
      <c r="N44">
        <v>0.318</v>
      </c>
      <c r="O44">
        <v>14</v>
      </c>
    </row>
    <row r="45" spans="1:15" x14ac:dyDescent="0.35">
      <c r="A45" t="s">
        <v>58</v>
      </c>
      <c r="B45" s="2">
        <v>45806</v>
      </c>
      <c r="C45" s="2">
        <v>45828</v>
      </c>
      <c r="D45" t="s">
        <v>649</v>
      </c>
      <c r="E45" t="s">
        <v>656</v>
      </c>
      <c r="F45" t="s">
        <v>671</v>
      </c>
      <c r="G45" t="s">
        <v>701</v>
      </c>
      <c r="H45" t="s">
        <v>711</v>
      </c>
      <c r="I45" t="s">
        <v>720</v>
      </c>
      <c r="J45" t="s">
        <v>728</v>
      </c>
      <c r="K45" t="s">
        <v>777</v>
      </c>
      <c r="L45">
        <v>483.47</v>
      </c>
      <c r="M45">
        <v>1135.43</v>
      </c>
      <c r="N45">
        <v>0.14599999999999999</v>
      </c>
      <c r="O45">
        <v>11</v>
      </c>
    </row>
    <row r="46" spans="1:15" x14ac:dyDescent="0.35">
      <c r="A46" t="s">
        <v>59</v>
      </c>
      <c r="B46" s="2">
        <v>45432</v>
      </c>
      <c r="C46" s="2">
        <v>45445</v>
      </c>
      <c r="D46" t="s">
        <v>648</v>
      </c>
      <c r="E46" t="s">
        <v>653</v>
      </c>
      <c r="F46" t="s">
        <v>688</v>
      </c>
      <c r="G46" t="s">
        <v>706</v>
      </c>
      <c r="H46" t="s">
        <v>709</v>
      </c>
      <c r="I46" t="s">
        <v>723</v>
      </c>
      <c r="J46" t="s">
        <v>727</v>
      </c>
      <c r="K46" t="s">
        <v>778</v>
      </c>
      <c r="L46">
        <v>675.43</v>
      </c>
      <c r="M46">
        <v>996.36</v>
      </c>
      <c r="N46">
        <v>0.182</v>
      </c>
      <c r="O46">
        <v>22</v>
      </c>
    </row>
    <row r="47" spans="1:15" x14ac:dyDescent="0.35">
      <c r="A47" t="s">
        <v>60</v>
      </c>
      <c r="B47" s="2">
        <v>45035</v>
      </c>
      <c r="C47" s="2">
        <v>45046</v>
      </c>
      <c r="D47" t="s">
        <v>647</v>
      </c>
      <c r="E47" t="s">
        <v>654</v>
      </c>
      <c r="F47" t="s">
        <v>680</v>
      </c>
      <c r="G47" t="s">
        <v>705</v>
      </c>
      <c r="H47" t="s">
        <v>707</v>
      </c>
      <c r="I47" t="s">
        <v>720</v>
      </c>
      <c r="J47" t="s">
        <v>729</v>
      </c>
      <c r="K47" t="s">
        <v>779</v>
      </c>
      <c r="L47">
        <v>826.55</v>
      </c>
      <c r="M47">
        <v>1397.05</v>
      </c>
      <c r="N47">
        <v>0.16900000000000001</v>
      </c>
      <c r="O47">
        <v>28</v>
      </c>
    </row>
    <row r="48" spans="1:15" x14ac:dyDescent="0.35">
      <c r="A48" t="s">
        <v>61</v>
      </c>
      <c r="B48" s="2">
        <v>45100</v>
      </c>
      <c r="C48" s="2">
        <v>45110</v>
      </c>
      <c r="D48" t="s">
        <v>646</v>
      </c>
      <c r="E48" t="s">
        <v>651</v>
      </c>
      <c r="F48" t="s">
        <v>669</v>
      </c>
      <c r="G48" t="s">
        <v>704</v>
      </c>
      <c r="H48" t="s">
        <v>708</v>
      </c>
      <c r="I48" t="s">
        <v>713</v>
      </c>
      <c r="J48" t="s">
        <v>728</v>
      </c>
      <c r="K48" t="s">
        <v>780</v>
      </c>
      <c r="L48">
        <v>337.75</v>
      </c>
      <c r="M48">
        <v>548.89</v>
      </c>
      <c r="N48">
        <v>0</v>
      </c>
      <c r="O48">
        <v>13</v>
      </c>
    </row>
    <row r="49" spans="1:15" x14ac:dyDescent="0.35">
      <c r="A49" t="s">
        <v>62</v>
      </c>
      <c r="B49" s="2">
        <v>45426</v>
      </c>
      <c r="C49" s="2">
        <v>45440</v>
      </c>
      <c r="D49" t="s">
        <v>649</v>
      </c>
      <c r="E49" t="s">
        <v>658</v>
      </c>
      <c r="F49" t="s">
        <v>674</v>
      </c>
      <c r="G49" t="s">
        <v>704</v>
      </c>
      <c r="H49" t="s">
        <v>707</v>
      </c>
      <c r="I49" t="s">
        <v>717</v>
      </c>
      <c r="J49" t="s">
        <v>729</v>
      </c>
      <c r="K49" t="s">
        <v>781</v>
      </c>
      <c r="L49">
        <v>1421.14</v>
      </c>
      <c r="M49">
        <v>3524</v>
      </c>
      <c r="N49">
        <v>0</v>
      </c>
      <c r="O49">
        <v>31</v>
      </c>
    </row>
    <row r="50" spans="1:15" x14ac:dyDescent="0.35">
      <c r="A50" t="s">
        <v>63</v>
      </c>
      <c r="B50" s="2">
        <v>45579</v>
      </c>
      <c r="C50" s="2">
        <v>45604</v>
      </c>
      <c r="D50" t="s">
        <v>646</v>
      </c>
      <c r="E50" t="s">
        <v>651</v>
      </c>
      <c r="F50" t="s">
        <v>665</v>
      </c>
      <c r="G50" t="s">
        <v>706</v>
      </c>
      <c r="H50" t="s">
        <v>708</v>
      </c>
      <c r="I50" t="s">
        <v>719</v>
      </c>
      <c r="J50" t="s">
        <v>729</v>
      </c>
      <c r="K50" t="s">
        <v>782</v>
      </c>
      <c r="L50">
        <v>859.35</v>
      </c>
      <c r="M50">
        <v>1825.61</v>
      </c>
      <c r="N50">
        <v>0.187</v>
      </c>
      <c r="O50">
        <v>24</v>
      </c>
    </row>
    <row r="51" spans="1:15" x14ac:dyDescent="0.35">
      <c r="A51" t="s">
        <v>64</v>
      </c>
      <c r="B51" s="2">
        <v>45117</v>
      </c>
      <c r="C51" s="2">
        <v>45139</v>
      </c>
      <c r="D51" t="s">
        <v>649</v>
      </c>
      <c r="E51" t="s">
        <v>657</v>
      </c>
      <c r="F51" t="s">
        <v>673</v>
      </c>
      <c r="G51" t="s">
        <v>704</v>
      </c>
      <c r="H51" t="s">
        <v>709</v>
      </c>
      <c r="I51" t="s">
        <v>717</v>
      </c>
      <c r="J51" t="s">
        <v>728</v>
      </c>
      <c r="K51" t="s">
        <v>783</v>
      </c>
      <c r="L51">
        <v>1303.56</v>
      </c>
      <c r="M51">
        <v>1791.37</v>
      </c>
      <c r="N51">
        <v>0.126</v>
      </c>
      <c r="O51">
        <v>22</v>
      </c>
    </row>
    <row r="52" spans="1:15" x14ac:dyDescent="0.35">
      <c r="A52" t="s">
        <v>65</v>
      </c>
      <c r="B52" s="2">
        <v>45602</v>
      </c>
      <c r="C52" s="2">
        <v>45618</v>
      </c>
      <c r="D52" t="s">
        <v>648</v>
      </c>
      <c r="E52" t="s">
        <v>653</v>
      </c>
      <c r="F52" t="s">
        <v>667</v>
      </c>
      <c r="G52" t="s">
        <v>703</v>
      </c>
      <c r="H52" t="s">
        <v>710</v>
      </c>
      <c r="I52" t="s">
        <v>726</v>
      </c>
      <c r="J52" t="s">
        <v>733</v>
      </c>
      <c r="K52" t="s">
        <v>784</v>
      </c>
      <c r="L52">
        <v>1454.11</v>
      </c>
      <c r="M52">
        <v>2629.75</v>
      </c>
      <c r="N52">
        <v>0.29199999999999998</v>
      </c>
      <c r="O52">
        <v>8</v>
      </c>
    </row>
    <row r="53" spans="1:15" x14ac:dyDescent="0.35">
      <c r="A53" t="s">
        <v>66</v>
      </c>
      <c r="B53" s="2">
        <v>45582</v>
      </c>
      <c r="C53" s="2">
        <v>45602</v>
      </c>
      <c r="D53" t="s">
        <v>647</v>
      </c>
      <c r="E53" t="s">
        <v>654</v>
      </c>
      <c r="F53" t="s">
        <v>668</v>
      </c>
      <c r="G53" t="s">
        <v>706</v>
      </c>
      <c r="H53" t="s">
        <v>710</v>
      </c>
      <c r="I53" t="s">
        <v>719</v>
      </c>
      <c r="J53" t="s">
        <v>732</v>
      </c>
      <c r="K53" t="s">
        <v>785</v>
      </c>
      <c r="L53">
        <v>72.94</v>
      </c>
      <c r="M53">
        <v>106.3</v>
      </c>
      <c r="N53">
        <v>0.29499999999999998</v>
      </c>
      <c r="O53">
        <v>8</v>
      </c>
    </row>
    <row r="54" spans="1:15" x14ac:dyDescent="0.35">
      <c r="A54" t="s">
        <v>67</v>
      </c>
      <c r="B54" s="2">
        <v>45016</v>
      </c>
      <c r="C54" s="2">
        <v>45021</v>
      </c>
      <c r="D54" t="s">
        <v>646</v>
      </c>
      <c r="E54" t="s">
        <v>650</v>
      </c>
      <c r="F54" t="s">
        <v>678</v>
      </c>
      <c r="G54" t="s">
        <v>702</v>
      </c>
      <c r="H54" t="s">
        <v>709</v>
      </c>
      <c r="I54" t="s">
        <v>717</v>
      </c>
      <c r="J54" t="s">
        <v>731</v>
      </c>
      <c r="K54" t="s">
        <v>786</v>
      </c>
      <c r="L54">
        <v>533.26</v>
      </c>
      <c r="M54">
        <v>385.72</v>
      </c>
      <c r="N54">
        <v>0</v>
      </c>
      <c r="O54">
        <v>15</v>
      </c>
    </row>
    <row r="55" spans="1:15" x14ac:dyDescent="0.35">
      <c r="A55" t="s">
        <v>68</v>
      </c>
      <c r="B55" s="2">
        <v>45678</v>
      </c>
      <c r="C55" s="2">
        <v>45704</v>
      </c>
      <c r="D55" t="s">
        <v>649</v>
      </c>
      <c r="E55" t="s">
        <v>657</v>
      </c>
      <c r="F55" t="s">
        <v>679</v>
      </c>
      <c r="G55" t="s">
        <v>701</v>
      </c>
      <c r="H55" t="s">
        <v>710</v>
      </c>
      <c r="I55" t="s">
        <v>719</v>
      </c>
      <c r="J55" t="s">
        <v>731</v>
      </c>
      <c r="K55" t="s">
        <v>787</v>
      </c>
      <c r="L55">
        <v>204.11</v>
      </c>
      <c r="M55">
        <v>236.87</v>
      </c>
      <c r="N55">
        <v>0.182</v>
      </c>
      <c r="O55">
        <v>13</v>
      </c>
    </row>
    <row r="56" spans="1:15" x14ac:dyDescent="0.35">
      <c r="A56" t="s">
        <v>69</v>
      </c>
      <c r="B56" s="2">
        <v>45168</v>
      </c>
      <c r="C56" s="2">
        <v>45170</v>
      </c>
      <c r="D56" t="s">
        <v>649</v>
      </c>
      <c r="E56" t="s">
        <v>656</v>
      </c>
      <c r="F56" t="s">
        <v>684</v>
      </c>
      <c r="G56" t="s">
        <v>701</v>
      </c>
      <c r="H56" t="s">
        <v>711</v>
      </c>
      <c r="I56" t="s">
        <v>725</v>
      </c>
      <c r="J56" t="s">
        <v>729</v>
      </c>
      <c r="K56" t="s">
        <v>788</v>
      </c>
      <c r="L56">
        <v>44.42</v>
      </c>
      <c r="M56">
        <v>41.9</v>
      </c>
      <c r="N56">
        <v>0.14399999999999999</v>
      </c>
      <c r="O56">
        <v>6</v>
      </c>
    </row>
    <row r="57" spans="1:15" x14ac:dyDescent="0.35">
      <c r="A57" t="s">
        <v>70</v>
      </c>
      <c r="B57" s="2">
        <v>45753</v>
      </c>
      <c r="C57" s="2">
        <v>45777</v>
      </c>
      <c r="D57" t="s">
        <v>648</v>
      </c>
      <c r="E57" t="s">
        <v>655</v>
      </c>
      <c r="F57" t="s">
        <v>672</v>
      </c>
      <c r="G57" t="s">
        <v>702</v>
      </c>
      <c r="H57" t="s">
        <v>708</v>
      </c>
      <c r="I57" t="s">
        <v>723</v>
      </c>
      <c r="J57" t="s">
        <v>732</v>
      </c>
      <c r="K57" t="s">
        <v>789</v>
      </c>
      <c r="L57">
        <v>855.78</v>
      </c>
      <c r="M57">
        <v>977.38</v>
      </c>
      <c r="N57">
        <v>0.14699999999999999</v>
      </c>
      <c r="O57">
        <v>38</v>
      </c>
    </row>
    <row r="58" spans="1:15" x14ac:dyDescent="0.35">
      <c r="A58" t="s">
        <v>71</v>
      </c>
      <c r="B58" s="2">
        <v>45697</v>
      </c>
      <c r="C58" s="2">
        <v>45717</v>
      </c>
      <c r="D58" t="s">
        <v>648</v>
      </c>
      <c r="E58" t="s">
        <v>655</v>
      </c>
      <c r="F58" t="s">
        <v>670</v>
      </c>
      <c r="G58" t="s">
        <v>701</v>
      </c>
      <c r="H58" t="s">
        <v>710</v>
      </c>
      <c r="I58" t="s">
        <v>717</v>
      </c>
      <c r="J58" t="s">
        <v>731</v>
      </c>
      <c r="K58" t="s">
        <v>790</v>
      </c>
      <c r="L58">
        <v>1154.6400000000001</v>
      </c>
      <c r="M58">
        <v>2794.13</v>
      </c>
      <c r="N58">
        <v>3.5000000000000003E-2</v>
      </c>
      <c r="O58">
        <v>11</v>
      </c>
    </row>
    <row r="59" spans="1:15" x14ac:dyDescent="0.35">
      <c r="A59" t="s">
        <v>72</v>
      </c>
      <c r="B59" s="2">
        <v>45643</v>
      </c>
      <c r="C59" s="2">
        <v>45644</v>
      </c>
      <c r="D59" t="s">
        <v>649</v>
      </c>
      <c r="E59" t="s">
        <v>656</v>
      </c>
      <c r="F59" t="s">
        <v>684</v>
      </c>
      <c r="G59" t="s">
        <v>702</v>
      </c>
      <c r="H59" t="s">
        <v>707</v>
      </c>
      <c r="I59" t="s">
        <v>716</v>
      </c>
      <c r="J59" t="s">
        <v>733</v>
      </c>
      <c r="K59" t="s">
        <v>791</v>
      </c>
      <c r="L59">
        <v>346.82</v>
      </c>
      <c r="M59">
        <v>701.95</v>
      </c>
      <c r="N59">
        <v>0.14699999999999999</v>
      </c>
      <c r="O59">
        <v>8</v>
      </c>
    </row>
    <row r="60" spans="1:15" x14ac:dyDescent="0.35">
      <c r="A60" t="s">
        <v>73</v>
      </c>
      <c r="B60" s="2">
        <v>45817</v>
      </c>
      <c r="C60" s="2">
        <v>45826</v>
      </c>
      <c r="D60" t="s">
        <v>649</v>
      </c>
      <c r="E60" t="s">
        <v>657</v>
      </c>
      <c r="F60" t="s">
        <v>673</v>
      </c>
      <c r="G60" t="s">
        <v>705</v>
      </c>
      <c r="H60" t="s">
        <v>709</v>
      </c>
      <c r="I60" t="s">
        <v>722</v>
      </c>
      <c r="J60" t="s">
        <v>733</v>
      </c>
      <c r="K60" t="s">
        <v>792</v>
      </c>
      <c r="L60">
        <v>1225.5</v>
      </c>
      <c r="M60">
        <v>-5.27</v>
      </c>
      <c r="N60">
        <v>7.4999999999999997E-2</v>
      </c>
      <c r="O60">
        <v>56</v>
      </c>
    </row>
    <row r="61" spans="1:15" x14ac:dyDescent="0.35">
      <c r="A61" t="s">
        <v>74</v>
      </c>
      <c r="B61" s="2">
        <v>45779</v>
      </c>
      <c r="C61" s="2">
        <v>45790</v>
      </c>
      <c r="D61" t="s">
        <v>646</v>
      </c>
      <c r="E61" t="s">
        <v>650</v>
      </c>
      <c r="F61" t="s">
        <v>678</v>
      </c>
      <c r="G61" t="s">
        <v>705</v>
      </c>
      <c r="H61" t="s">
        <v>708</v>
      </c>
      <c r="I61" t="s">
        <v>720</v>
      </c>
      <c r="J61" t="s">
        <v>733</v>
      </c>
      <c r="K61" t="s">
        <v>793</v>
      </c>
      <c r="L61">
        <v>1057.5999999999999</v>
      </c>
      <c r="M61">
        <v>1437.06</v>
      </c>
      <c r="N61">
        <v>0.20499999999999999</v>
      </c>
      <c r="O61">
        <v>4</v>
      </c>
    </row>
    <row r="62" spans="1:15" x14ac:dyDescent="0.35">
      <c r="A62" t="s">
        <v>75</v>
      </c>
      <c r="B62" s="2">
        <v>45361</v>
      </c>
      <c r="C62" s="2">
        <v>45391</v>
      </c>
      <c r="D62" t="s">
        <v>649</v>
      </c>
      <c r="E62" t="s">
        <v>657</v>
      </c>
      <c r="F62" t="s">
        <v>679</v>
      </c>
      <c r="G62" t="s">
        <v>701</v>
      </c>
      <c r="H62" t="s">
        <v>711</v>
      </c>
      <c r="I62" t="s">
        <v>714</v>
      </c>
      <c r="J62" t="s">
        <v>727</v>
      </c>
      <c r="K62" t="s">
        <v>794</v>
      </c>
      <c r="L62">
        <v>1176.56</v>
      </c>
      <c r="M62">
        <v>1911.89</v>
      </c>
      <c r="N62">
        <v>0.11899999999999999</v>
      </c>
      <c r="O62">
        <v>20</v>
      </c>
    </row>
    <row r="63" spans="1:15" x14ac:dyDescent="0.35">
      <c r="A63" t="s">
        <v>76</v>
      </c>
      <c r="B63" s="2">
        <v>45910</v>
      </c>
      <c r="C63" s="2">
        <v>45912</v>
      </c>
      <c r="D63" t="s">
        <v>647</v>
      </c>
      <c r="E63" t="s">
        <v>652</v>
      </c>
      <c r="F63" t="s">
        <v>689</v>
      </c>
      <c r="G63" t="s">
        <v>704</v>
      </c>
      <c r="H63" t="s">
        <v>708</v>
      </c>
      <c r="I63" t="s">
        <v>719</v>
      </c>
      <c r="J63" t="s">
        <v>727</v>
      </c>
      <c r="K63" t="s">
        <v>795</v>
      </c>
      <c r="L63">
        <v>1470.15</v>
      </c>
      <c r="M63">
        <v>2593.7800000000002</v>
      </c>
      <c r="N63">
        <v>0.11</v>
      </c>
      <c r="O63">
        <v>12</v>
      </c>
    </row>
    <row r="64" spans="1:15" x14ac:dyDescent="0.35">
      <c r="A64" t="s">
        <v>77</v>
      </c>
      <c r="B64" s="2">
        <v>45774</v>
      </c>
      <c r="C64" s="2">
        <v>45802</v>
      </c>
      <c r="D64" t="s">
        <v>649</v>
      </c>
      <c r="E64" t="s">
        <v>657</v>
      </c>
      <c r="F64" t="s">
        <v>690</v>
      </c>
      <c r="G64" t="s">
        <v>705</v>
      </c>
      <c r="H64" t="s">
        <v>709</v>
      </c>
      <c r="I64" t="s">
        <v>714</v>
      </c>
      <c r="J64" t="s">
        <v>730</v>
      </c>
      <c r="K64" t="s">
        <v>796</v>
      </c>
      <c r="L64">
        <v>603.45000000000005</v>
      </c>
      <c r="M64">
        <v>1244.08</v>
      </c>
      <c r="N64">
        <v>0.2</v>
      </c>
      <c r="O64">
        <v>11</v>
      </c>
    </row>
    <row r="65" spans="1:15" x14ac:dyDescent="0.35">
      <c r="A65" t="s">
        <v>78</v>
      </c>
      <c r="B65" s="2">
        <v>45598</v>
      </c>
      <c r="C65" s="2">
        <v>45614</v>
      </c>
      <c r="D65" t="s">
        <v>647</v>
      </c>
      <c r="E65" t="s">
        <v>654</v>
      </c>
      <c r="F65" t="s">
        <v>691</v>
      </c>
      <c r="G65" t="s">
        <v>705</v>
      </c>
      <c r="H65" t="s">
        <v>710</v>
      </c>
      <c r="I65" t="s">
        <v>719</v>
      </c>
      <c r="J65" t="s">
        <v>732</v>
      </c>
      <c r="K65" t="s">
        <v>797</v>
      </c>
      <c r="L65">
        <v>1233.58</v>
      </c>
      <c r="M65">
        <v>1912.51</v>
      </c>
      <c r="N65">
        <v>0.255</v>
      </c>
      <c r="O65">
        <v>51</v>
      </c>
    </row>
    <row r="66" spans="1:15" x14ac:dyDescent="0.35">
      <c r="A66" t="s">
        <v>79</v>
      </c>
      <c r="B66" s="2">
        <v>44972</v>
      </c>
      <c r="C66" s="2">
        <v>44983</v>
      </c>
      <c r="D66" t="s">
        <v>646</v>
      </c>
      <c r="E66" t="s">
        <v>661</v>
      </c>
      <c r="F66" t="s">
        <v>682</v>
      </c>
      <c r="G66" t="s">
        <v>703</v>
      </c>
      <c r="H66" t="s">
        <v>707</v>
      </c>
      <c r="I66" t="s">
        <v>723</v>
      </c>
      <c r="J66" t="s">
        <v>731</v>
      </c>
      <c r="K66" t="s">
        <v>798</v>
      </c>
      <c r="L66">
        <v>498.5</v>
      </c>
      <c r="M66">
        <v>755.87</v>
      </c>
      <c r="N66">
        <v>0.13</v>
      </c>
      <c r="O66">
        <v>40</v>
      </c>
    </row>
    <row r="67" spans="1:15" x14ac:dyDescent="0.35">
      <c r="A67" t="s">
        <v>80</v>
      </c>
      <c r="B67" s="2">
        <v>45263</v>
      </c>
      <c r="C67" s="2">
        <v>45286</v>
      </c>
      <c r="D67" t="s">
        <v>648</v>
      </c>
      <c r="E67" t="s">
        <v>655</v>
      </c>
      <c r="F67" t="s">
        <v>692</v>
      </c>
      <c r="G67" t="s">
        <v>702</v>
      </c>
      <c r="H67" t="s">
        <v>707</v>
      </c>
      <c r="I67" t="s">
        <v>719</v>
      </c>
      <c r="J67" t="s">
        <v>730</v>
      </c>
      <c r="K67" t="s">
        <v>799</v>
      </c>
      <c r="L67">
        <v>1303.1099999999999</v>
      </c>
      <c r="M67">
        <v>1145.67</v>
      </c>
      <c r="N67">
        <v>0.184</v>
      </c>
      <c r="O67">
        <v>13</v>
      </c>
    </row>
    <row r="68" spans="1:15" x14ac:dyDescent="0.35">
      <c r="A68" t="s">
        <v>81</v>
      </c>
      <c r="B68" s="2">
        <v>45004</v>
      </c>
      <c r="C68" s="2">
        <v>45025</v>
      </c>
      <c r="D68" t="s">
        <v>649</v>
      </c>
      <c r="E68" t="s">
        <v>658</v>
      </c>
      <c r="F68" t="s">
        <v>693</v>
      </c>
      <c r="G68" t="s">
        <v>704</v>
      </c>
      <c r="H68" t="s">
        <v>707</v>
      </c>
      <c r="I68" t="s">
        <v>716</v>
      </c>
      <c r="J68" t="s">
        <v>733</v>
      </c>
      <c r="K68" t="s">
        <v>800</v>
      </c>
      <c r="L68">
        <v>1082.17</v>
      </c>
      <c r="M68">
        <v>1234.0999999999999</v>
      </c>
      <c r="N68">
        <v>0.189</v>
      </c>
      <c r="O68">
        <v>16</v>
      </c>
    </row>
    <row r="69" spans="1:15" x14ac:dyDescent="0.35">
      <c r="A69" t="s">
        <v>82</v>
      </c>
      <c r="B69" s="2">
        <v>45434</v>
      </c>
      <c r="C69" s="2">
        <v>45449</v>
      </c>
      <c r="D69" t="s">
        <v>647</v>
      </c>
      <c r="E69" t="s">
        <v>652</v>
      </c>
      <c r="F69" t="s">
        <v>694</v>
      </c>
      <c r="G69" t="s">
        <v>701</v>
      </c>
      <c r="H69" t="s">
        <v>710</v>
      </c>
      <c r="I69" t="s">
        <v>712</v>
      </c>
      <c r="J69" t="s">
        <v>732</v>
      </c>
      <c r="K69" t="s">
        <v>801</v>
      </c>
      <c r="L69">
        <v>673.88</v>
      </c>
      <c r="M69">
        <v>1228.01</v>
      </c>
      <c r="N69">
        <v>0.105</v>
      </c>
      <c r="O69">
        <v>13</v>
      </c>
    </row>
    <row r="70" spans="1:15" x14ac:dyDescent="0.35">
      <c r="A70" t="s">
        <v>83</v>
      </c>
      <c r="B70" s="2">
        <v>45157</v>
      </c>
      <c r="C70" s="2">
        <v>45176</v>
      </c>
      <c r="D70" t="s">
        <v>646</v>
      </c>
      <c r="E70" t="s">
        <v>661</v>
      </c>
      <c r="F70" t="s">
        <v>682</v>
      </c>
      <c r="G70" t="s">
        <v>706</v>
      </c>
      <c r="H70" t="s">
        <v>707</v>
      </c>
      <c r="I70" t="s">
        <v>726</v>
      </c>
      <c r="J70" t="s">
        <v>732</v>
      </c>
      <c r="K70" t="s">
        <v>802</v>
      </c>
      <c r="L70">
        <v>494.61</v>
      </c>
      <c r="M70">
        <v>605.23</v>
      </c>
      <c r="N70">
        <v>0.20399999999999999</v>
      </c>
      <c r="O70">
        <v>18</v>
      </c>
    </row>
    <row r="71" spans="1:15" x14ac:dyDescent="0.35">
      <c r="A71" t="s">
        <v>84</v>
      </c>
      <c r="B71" s="2">
        <v>45037</v>
      </c>
      <c r="C71" s="2">
        <v>45056</v>
      </c>
      <c r="D71" t="s">
        <v>647</v>
      </c>
      <c r="E71" t="s">
        <v>659</v>
      </c>
      <c r="F71" t="s">
        <v>685</v>
      </c>
      <c r="G71" t="s">
        <v>701</v>
      </c>
      <c r="H71" t="s">
        <v>707</v>
      </c>
      <c r="I71" t="s">
        <v>720</v>
      </c>
      <c r="J71" t="s">
        <v>727</v>
      </c>
      <c r="K71" t="s">
        <v>803</v>
      </c>
      <c r="L71">
        <v>882.33</v>
      </c>
      <c r="M71">
        <v>1880.15</v>
      </c>
      <c r="N71">
        <v>0.05</v>
      </c>
      <c r="O71">
        <v>5</v>
      </c>
    </row>
    <row r="72" spans="1:15" x14ac:dyDescent="0.35">
      <c r="A72" t="s">
        <v>85</v>
      </c>
      <c r="B72" s="2">
        <v>45369</v>
      </c>
      <c r="C72" s="2">
        <v>45372</v>
      </c>
      <c r="D72" t="s">
        <v>649</v>
      </c>
      <c r="E72" t="s">
        <v>656</v>
      </c>
      <c r="F72" t="s">
        <v>684</v>
      </c>
      <c r="G72" t="s">
        <v>705</v>
      </c>
      <c r="H72" t="s">
        <v>708</v>
      </c>
      <c r="I72" t="s">
        <v>724</v>
      </c>
      <c r="J72" t="s">
        <v>733</v>
      </c>
      <c r="K72" t="s">
        <v>804</v>
      </c>
      <c r="L72">
        <v>910.63</v>
      </c>
      <c r="M72">
        <v>1269.4000000000001</v>
      </c>
      <c r="N72">
        <v>6.8000000000000005E-2</v>
      </c>
      <c r="O72">
        <v>9</v>
      </c>
    </row>
    <row r="73" spans="1:15" x14ac:dyDescent="0.35">
      <c r="A73" t="s">
        <v>86</v>
      </c>
      <c r="B73" s="2">
        <v>45756</v>
      </c>
      <c r="C73" s="2">
        <v>45783</v>
      </c>
      <c r="D73" t="s">
        <v>648</v>
      </c>
      <c r="E73" t="s">
        <v>655</v>
      </c>
      <c r="F73" t="s">
        <v>672</v>
      </c>
      <c r="G73" t="s">
        <v>706</v>
      </c>
      <c r="H73" t="s">
        <v>709</v>
      </c>
      <c r="I73" t="s">
        <v>721</v>
      </c>
      <c r="J73" t="s">
        <v>731</v>
      </c>
      <c r="K73" t="s">
        <v>805</v>
      </c>
      <c r="L73">
        <v>264.19</v>
      </c>
      <c r="M73">
        <v>620.92999999999995</v>
      </c>
      <c r="N73">
        <v>0.14199999999999999</v>
      </c>
      <c r="O73">
        <v>12</v>
      </c>
    </row>
    <row r="74" spans="1:15" x14ac:dyDescent="0.35">
      <c r="A74" t="s">
        <v>87</v>
      </c>
      <c r="B74" s="2">
        <v>45394</v>
      </c>
      <c r="C74" s="2">
        <v>45419</v>
      </c>
      <c r="D74" t="s">
        <v>646</v>
      </c>
      <c r="E74" t="s">
        <v>661</v>
      </c>
      <c r="F74" t="s">
        <v>682</v>
      </c>
      <c r="G74" t="s">
        <v>702</v>
      </c>
      <c r="H74" t="s">
        <v>710</v>
      </c>
      <c r="I74" t="s">
        <v>720</v>
      </c>
      <c r="J74" t="s">
        <v>731</v>
      </c>
      <c r="K74" t="s">
        <v>806</v>
      </c>
      <c r="L74">
        <v>1376.51</v>
      </c>
      <c r="M74">
        <v>1455.91</v>
      </c>
      <c r="N74">
        <v>0.185</v>
      </c>
      <c r="O74">
        <v>17</v>
      </c>
    </row>
    <row r="75" spans="1:15" x14ac:dyDescent="0.35">
      <c r="A75" t="s">
        <v>88</v>
      </c>
      <c r="B75" s="2">
        <v>45641</v>
      </c>
      <c r="C75" s="2">
        <v>45646</v>
      </c>
      <c r="D75" t="s">
        <v>647</v>
      </c>
      <c r="E75" t="s">
        <v>659</v>
      </c>
      <c r="F75" t="s">
        <v>676</v>
      </c>
      <c r="G75" t="s">
        <v>705</v>
      </c>
      <c r="H75" t="s">
        <v>711</v>
      </c>
      <c r="I75" t="s">
        <v>713</v>
      </c>
      <c r="J75" t="s">
        <v>729</v>
      </c>
      <c r="K75" t="s">
        <v>807</v>
      </c>
      <c r="L75">
        <v>717.55</v>
      </c>
      <c r="M75">
        <v>546.42999999999995</v>
      </c>
      <c r="N75">
        <v>4.7E-2</v>
      </c>
      <c r="O75">
        <v>18</v>
      </c>
    </row>
    <row r="76" spans="1:15" x14ac:dyDescent="0.35">
      <c r="A76" t="s">
        <v>89</v>
      </c>
      <c r="B76" s="2">
        <v>45066</v>
      </c>
      <c r="C76" s="2">
        <v>45064</v>
      </c>
      <c r="D76" t="s">
        <v>646</v>
      </c>
      <c r="E76" t="s">
        <v>661</v>
      </c>
      <c r="F76" t="s">
        <v>687</v>
      </c>
      <c r="G76" t="s">
        <v>701</v>
      </c>
      <c r="H76" t="s">
        <v>710</v>
      </c>
      <c r="I76" t="s">
        <v>720</v>
      </c>
      <c r="J76" t="s">
        <v>727</v>
      </c>
      <c r="K76" t="s">
        <v>808</v>
      </c>
      <c r="L76">
        <v>917.88</v>
      </c>
      <c r="M76">
        <v>1347.92</v>
      </c>
      <c r="N76">
        <v>0.34300000000000003</v>
      </c>
      <c r="O76">
        <v>5</v>
      </c>
    </row>
    <row r="77" spans="1:15" x14ac:dyDescent="0.35">
      <c r="A77" t="s">
        <v>90</v>
      </c>
      <c r="B77" s="2">
        <v>45187</v>
      </c>
      <c r="C77" s="2">
        <v>45207</v>
      </c>
      <c r="D77" t="s">
        <v>647</v>
      </c>
      <c r="E77" t="s">
        <v>654</v>
      </c>
      <c r="F77" t="s">
        <v>680</v>
      </c>
      <c r="G77" t="s">
        <v>705</v>
      </c>
      <c r="H77" t="s">
        <v>711</v>
      </c>
      <c r="I77" t="s">
        <v>717</v>
      </c>
      <c r="J77" t="s">
        <v>727</v>
      </c>
      <c r="K77" t="s">
        <v>809</v>
      </c>
      <c r="L77">
        <v>825.64</v>
      </c>
      <c r="M77">
        <v>1108.43</v>
      </c>
      <c r="N77">
        <v>0.114</v>
      </c>
      <c r="O77">
        <v>7</v>
      </c>
    </row>
    <row r="78" spans="1:15" x14ac:dyDescent="0.35">
      <c r="A78" t="s">
        <v>91</v>
      </c>
      <c r="B78" s="2">
        <v>45532</v>
      </c>
      <c r="C78" s="2">
        <v>45560</v>
      </c>
      <c r="D78" t="s">
        <v>648</v>
      </c>
      <c r="E78" t="s">
        <v>655</v>
      </c>
      <c r="F78" t="s">
        <v>692</v>
      </c>
      <c r="G78" t="s">
        <v>703</v>
      </c>
      <c r="H78" t="s">
        <v>708</v>
      </c>
      <c r="J78" t="s">
        <v>733</v>
      </c>
      <c r="K78" t="s">
        <v>810</v>
      </c>
      <c r="L78">
        <v>1394.65</v>
      </c>
      <c r="M78">
        <v>3144.1</v>
      </c>
      <c r="N78">
        <v>0.13400000000000001</v>
      </c>
      <c r="O78">
        <v>13</v>
      </c>
    </row>
    <row r="79" spans="1:15" x14ac:dyDescent="0.35">
      <c r="A79" t="s">
        <v>92</v>
      </c>
      <c r="B79" s="2">
        <v>45473</v>
      </c>
      <c r="C79" s="2">
        <v>45471</v>
      </c>
      <c r="D79" t="s">
        <v>648</v>
      </c>
      <c r="E79" t="s">
        <v>655</v>
      </c>
      <c r="F79" t="s">
        <v>692</v>
      </c>
      <c r="G79" t="s">
        <v>705</v>
      </c>
      <c r="H79" t="s">
        <v>711</v>
      </c>
      <c r="I79" t="s">
        <v>716</v>
      </c>
      <c r="J79" t="s">
        <v>733</v>
      </c>
      <c r="K79" t="s">
        <v>811</v>
      </c>
      <c r="L79">
        <v>1112.98</v>
      </c>
      <c r="M79">
        <v>2095.73</v>
      </c>
      <c r="N79">
        <v>7.1999999999999995E-2</v>
      </c>
      <c r="O79">
        <v>17</v>
      </c>
    </row>
    <row r="80" spans="1:15" x14ac:dyDescent="0.35">
      <c r="A80" t="s">
        <v>93</v>
      </c>
      <c r="B80" s="2">
        <v>45091</v>
      </c>
      <c r="C80" s="2">
        <v>45093</v>
      </c>
      <c r="D80" t="s">
        <v>649</v>
      </c>
      <c r="E80" t="s">
        <v>658</v>
      </c>
      <c r="F80" t="s">
        <v>693</v>
      </c>
      <c r="G80" t="s">
        <v>703</v>
      </c>
      <c r="H80" t="s">
        <v>711</v>
      </c>
      <c r="I80" t="s">
        <v>723</v>
      </c>
      <c r="J80" t="s">
        <v>727</v>
      </c>
      <c r="K80" t="s">
        <v>812</v>
      </c>
      <c r="L80">
        <v>357.36</v>
      </c>
      <c r="M80">
        <v>703.62</v>
      </c>
      <c r="N80">
        <v>0.25700000000000001</v>
      </c>
      <c r="O80">
        <v>20</v>
      </c>
    </row>
    <row r="81" spans="1:15" x14ac:dyDescent="0.35">
      <c r="A81" t="s">
        <v>94</v>
      </c>
      <c r="B81" s="2">
        <v>45617</v>
      </c>
      <c r="C81" s="2">
        <v>45647</v>
      </c>
      <c r="D81" t="s">
        <v>649</v>
      </c>
      <c r="E81" t="s">
        <v>657</v>
      </c>
      <c r="F81" t="s">
        <v>673</v>
      </c>
      <c r="G81" t="s">
        <v>705</v>
      </c>
      <c r="H81" t="s">
        <v>711</v>
      </c>
      <c r="I81" t="s">
        <v>714</v>
      </c>
      <c r="J81" t="s">
        <v>732</v>
      </c>
      <c r="K81" t="s">
        <v>813</v>
      </c>
      <c r="L81">
        <v>1122.68</v>
      </c>
      <c r="M81">
        <v>1997.19</v>
      </c>
      <c r="N81">
        <v>0.186</v>
      </c>
      <c r="O81">
        <v>3</v>
      </c>
    </row>
    <row r="82" spans="1:15" x14ac:dyDescent="0.35">
      <c r="A82" t="s">
        <v>95</v>
      </c>
      <c r="B82" s="2">
        <v>44965</v>
      </c>
      <c r="C82" s="2">
        <v>44968</v>
      </c>
      <c r="D82" t="s">
        <v>646</v>
      </c>
      <c r="E82" t="s">
        <v>661</v>
      </c>
      <c r="F82" t="s">
        <v>695</v>
      </c>
      <c r="G82" t="s">
        <v>701</v>
      </c>
      <c r="H82" t="s">
        <v>711</v>
      </c>
      <c r="I82" t="s">
        <v>724</v>
      </c>
      <c r="J82" t="s">
        <v>729</v>
      </c>
      <c r="K82" t="s">
        <v>814</v>
      </c>
      <c r="L82">
        <v>1410.05</v>
      </c>
      <c r="M82">
        <v>2763.95</v>
      </c>
      <c r="N82">
        <v>0.161</v>
      </c>
      <c r="O82">
        <v>26</v>
      </c>
    </row>
    <row r="83" spans="1:15" x14ac:dyDescent="0.35">
      <c r="A83" t="s">
        <v>96</v>
      </c>
      <c r="B83" s="2">
        <v>45157</v>
      </c>
      <c r="C83" s="2">
        <v>45181</v>
      </c>
      <c r="D83" t="s">
        <v>648</v>
      </c>
      <c r="E83" t="s">
        <v>653</v>
      </c>
      <c r="F83" t="s">
        <v>688</v>
      </c>
      <c r="G83" t="s">
        <v>706</v>
      </c>
      <c r="H83" t="s">
        <v>707</v>
      </c>
      <c r="I83" t="s">
        <v>714</v>
      </c>
      <c r="J83" t="s">
        <v>728</v>
      </c>
      <c r="K83" t="s">
        <v>815</v>
      </c>
      <c r="L83">
        <v>1183.95</v>
      </c>
      <c r="M83">
        <v>1503.53</v>
      </c>
      <c r="N83">
        <v>0.24099999999999999</v>
      </c>
      <c r="O83">
        <v>16</v>
      </c>
    </row>
    <row r="84" spans="1:15" x14ac:dyDescent="0.35">
      <c r="A84" t="s">
        <v>97</v>
      </c>
      <c r="B84" s="2">
        <v>45791</v>
      </c>
      <c r="C84" s="2">
        <v>45801</v>
      </c>
      <c r="D84" t="s">
        <v>649</v>
      </c>
      <c r="E84" t="s">
        <v>657</v>
      </c>
      <c r="F84" t="s">
        <v>690</v>
      </c>
      <c r="G84" t="s">
        <v>705</v>
      </c>
      <c r="H84" t="s">
        <v>709</v>
      </c>
      <c r="I84" t="s">
        <v>723</v>
      </c>
      <c r="J84" t="s">
        <v>727</v>
      </c>
      <c r="K84" t="s">
        <v>816</v>
      </c>
      <c r="L84">
        <v>170.39</v>
      </c>
      <c r="M84">
        <v>388.04</v>
      </c>
      <c r="N84">
        <v>8.4000000000000005E-2</v>
      </c>
      <c r="O84">
        <v>15</v>
      </c>
    </row>
    <row r="85" spans="1:15" x14ac:dyDescent="0.35">
      <c r="A85" t="s">
        <v>98</v>
      </c>
      <c r="B85" s="2">
        <v>45770</v>
      </c>
      <c r="C85" s="2">
        <v>45769</v>
      </c>
      <c r="D85" t="s">
        <v>648</v>
      </c>
      <c r="E85" t="s">
        <v>660</v>
      </c>
      <c r="F85" t="s">
        <v>686</v>
      </c>
      <c r="G85" t="s">
        <v>703</v>
      </c>
      <c r="H85" t="s">
        <v>710</v>
      </c>
      <c r="I85" t="s">
        <v>726</v>
      </c>
      <c r="J85" t="s">
        <v>732</v>
      </c>
      <c r="K85" t="s">
        <v>817</v>
      </c>
      <c r="L85">
        <v>23.24</v>
      </c>
      <c r="M85">
        <v>44.57</v>
      </c>
      <c r="N85">
        <v>0.215</v>
      </c>
      <c r="O85">
        <v>15</v>
      </c>
    </row>
    <row r="86" spans="1:15" x14ac:dyDescent="0.35">
      <c r="A86" t="s">
        <v>99</v>
      </c>
      <c r="B86" s="2">
        <v>45741</v>
      </c>
      <c r="C86" s="2">
        <v>45764</v>
      </c>
      <c r="D86" t="s">
        <v>649</v>
      </c>
      <c r="E86" t="s">
        <v>658</v>
      </c>
      <c r="F86" t="s">
        <v>683</v>
      </c>
      <c r="G86" t="s">
        <v>704</v>
      </c>
      <c r="H86" t="s">
        <v>707</v>
      </c>
      <c r="I86" t="s">
        <v>722</v>
      </c>
      <c r="J86" t="s">
        <v>729</v>
      </c>
      <c r="K86" t="s">
        <v>818</v>
      </c>
      <c r="L86">
        <v>1421.19</v>
      </c>
      <c r="M86">
        <v>1808.26</v>
      </c>
      <c r="N86">
        <v>0.104</v>
      </c>
      <c r="O86">
        <v>13</v>
      </c>
    </row>
    <row r="87" spans="1:15" x14ac:dyDescent="0.35">
      <c r="A87" t="s">
        <v>100</v>
      </c>
      <c r="B87" s="2">
        <v>45282</v>
      </c>
      <c r="C87" s="2">
        <v>45283</v>
      </c>
      <c r="D87" t="s">
        <v>646</v>
      </c>
      <c r="E87" t="s">
        <v>661</v>
      </c>
      <c r="F87" t="s">
        <v>695</v>
      </c>
      <c r="G87" t="s">
        <v>703</v>
      </c>
      <c r="H87" t="s">
        <v>709</v>
      </c>
      <c r="I87" t="s">
        <v>726</v>
      </c>
      <c r="J87" t="s">
        <v>727</v>
      </c>
      <c r="K87" t="s">
        <v>819</v>
      </c>
      <c r="L87">
        <v>1186.18</v>
      </c>
      <c r="M87">
        <v>1285.0899999999999</v>
      </c>
      <c r="N87">
        <v>7.0000000000000007E-2</v>
      </c>
      <c r="O87">
        <v>11</v>
      </c>
    </row>
    <row r="88" spans="1:15" x14ac:dyDescent="0.35">
      <c r="A88" t="s">
        <v>101</v>
      </c>
      <c r="B88" s="2">
        <v>45388</v>
      </c>
      <c r="C88" s="2">
        <v>45407</v>
      </c>
      <c r="D88" t="s">
        <v>647</v>
      </c>
      <c r="E88" t="s">
        <v>659</v>
      </c>
      <c r="F88" t="s">
        <v>685</v>
      </c>
      <c r="G88" t="s">
        <v>701</v>
      </c>
      <c r="H88" t="s">
        <v>707</v>
      </c>
      <c r="I88" t="s">
        <v>723</v>
      </c>
      <c r="J88" t="s">
        <v>727</v>
      </c>
      <c r="K88" t="s">
        <v>820</v>
      </c>
      <c r="L88">
        <v>1366.48</v>
      </c>
      <c r="M88">
        <v>1678.14</v>
      </c>
      <c r="N88">
        <v>0.154</v>
      </c>
      <c r="O88">
        <v>10</v>
      </c>
    </row>
    <row r="89" spans="1:15" x14ac:dyDescent="0.35">
      <c r="A89" t="s">
        <v>102</v>
      </c>
      <c r="B89" s="2">
        <v>45876</v>
      </c>
      <c r="C89" s="2">
        <v>45888</v>
      </c>
      <c r="D89" t="s">
        <v>646</v>
      </c>
      <c r="E89" t="s">
        <v>650</v>
      </c>
      <c r="F89" t="s">
        <v>678</v>
      </c>
      <c r="G89" t="s">
        <v>701</v>
      </c>
      <c r="I89" t="s">
        <v>724</v>
      </c>
      <c r="J89" t="s">
        <v>727</v>
      </c>
      <c r="K89" t="s">
        <v>821</v>
      </c>
      <c r="L89">
        <v>601.51</v>
      </c>
      <c r="M89">
        <v>679.35</v>
      </c>
      <c r="N89">
        <v>0.188</v>
      </c>
      <c r="O89">
        <v>3</v>
      </c>
    </row>
    <row r="90" spans="1:15" x14ac:dyDescent="0.35">
      <c r="A90" t="s">
        <v>103</v>
      </c>
      <c r="B90" s="2">
        <v>45312</v>
      </c>
      <c r="C90" s="2">
        <v>45316</v>
      </c>
      <c r="D90" t="s">
        <v>647</v>
      </c>
      <c r="E90" t="s">
        <v>654</v>
      </c>
      <c r="F90" t="s">
        <v>680</v>
      </c>
      <c r="G90" t="s">
        <v>704</v>
      </c>
      <c r="H90" t="s">
        <v>711</v>
      </c>
      <c r="I90" t="s">
        <v>712</v>
      </c>
      <c r="J90" t="s">
        <v>732</v>
      </c>
      <c r="K90" t="s">
        <v>822</v>
      </c>
      <c r="L90">
        <v>523.70000000000005</v>
      </c>
      <c r="M90">
        <v>1109.92</v>
      </c>
      <c r="N90">
        <v>0.03</v>
      </c>
      <c r="O90">
        <v>11</v>
      </c>
    </row>
    <row r="91" spans="1:15" x14ac:dyDescent="0.35">
      <c r="A91" t="s">
        <v>104</v>
      </c>
      <c r="B91" s="2">
        <v>45106</v>
      </c>
      <c r="C91" s="2">
        <v>45109</v>
      </c>
      <c r="D91" t="s">
        <v>647</v>
      </c>
      <c r="E91" t="s">
        <v>652</v>
      </c>
      <c r="F91" t="s">
        <v>694</v>
      </c>
      <c r="G91" t="s">
        <v>702</v>
      </c>
      <c r="H91" t="s">
        <v>709</v>
      </c>
      <c r="I91" t="s">
        <v>721</v>
      </c>
      <c r="J91" t="s">
        <v>732</v>
      </c>
      <c r="K91" t="s">
        <v>823</v>
      </c>
      <c r="L91">
        <v>55.65</v>
      </c>
      <c r="M91">
        <v>83.57</v>
      </c>
      <c r="N91">
        <v>6.6000000000000003E-2</v>
      </c>
      <c r="O91">
        <v>8</v>
      </c>
    </row>
    <row r="92" spans="1:15" x14ac:dyDescent="0.35">
      <c r="A92" t="s">
        <v>105</v>
      </c>
      <c r="B92" s="2">
        <v>45775</v>
      </c>
      <c r="C92" s="2">
        <v>45792</v>
      </c>
      <c r="D92" t="s">
        <v>647</v>
      </c>
      <c r="E92" t="s">
        <v>652</v>
      </c>
      <c r="F92" t="s">
        <v>694</v>
      </c>
      <c r="G92" t="s">
        <v>702</v>
      </c>
      <c r="H92" t="s">
        <v>711</v>
      </c>
      <c r="I92" t="s">
        <v>725</v>
      </c>
      <c r="J92" t="s">
        <v>729</v>
      </c>
      <c r="K92" t="s">
        <v>824</v>
      </c>
      <c r="L92">
        <v>691.19</v>
      </c>
      <c r="M92">
        <v>1284.3</v>
      </c>
      <c r="N92">
        <v>7.3999999999999996E-2</v>
      </c>
      <c r="O92">
        <v>7</v>
      </c>
    </row>
    <row r="93" spans="1:15" x14ac:dyDescent="0.35">
      <c r="A93" t="s">
        <v>106</v>
      </c>
      <c r="B93" s="2">
        <v>45817</v>
      </c>
      <c r="C93" s="2">
        <v>45833</v>
      </c>
      <c r="D93" t="s">
        <v>647</v>
      </c>
      <c r="E93" t="s">
        <v>654</v>
      </c>
      <c r="F93" t="s">
        <v>696</v>
      </c>
      <c r="G93" t="s">
        <v>706</v>
      </c>
      <c r="H93" t="s">
        <v>710</v>
      </c>
      <c r="I93" t="s">
        <v>724</v>
      </c>
      <c r="J93" t="s">
        <v>730</v>
      </c>
      <c r="K93" t="s">
        <v>825</v>
      </c>
      <c r="L93">
        <v>527.33000000000004</v>
      </c>
      <c r="M93">
        <v>911.72</v>
      </c>
      <c r="N93">
        <v>0.14399999999999999</v>
      </c>
      <c r="O93">
        <v>25</v>
      </c>
    </row>
    <row r="94" spans="1:15" x14ac:dyDescent="0.35">
      <c r="A94" t="s">
        <v>107</v>
      </c>
      <c r="B94" s="2">
        <v>45101</v>
      </c>
      <c r="C94" s="2">
        <v>45100</v>
      </c>
      <c r="D94" t="s">
        <v>648</v>
      </c>
      <c r="E94" t="s">
        <v>655</v>
      </c>
      <c r="F94" t="s">
        <v>692</v>
      </c>
      <c r="G94" t="s">
        <v>703</v>
      </c>
      <c r="H94" t="s">
        <v>707</v>
      </c>
      <c r="I94" t="s">
        <v>718</v>
      </c>
      <c r="J94" t="s">
        <v>728</v>
      </c>
      <c r="K94" t="s">
        <v>826</v>
      </c>
      <c r="L94">
        <v>804.01</v>
      </c>
      <c r="M94">
        <v>1405.07</v>
      </c>
      <c r="N94">
        <v>9.6000000000000002E-2</v>
      </c>
      <c r="O94">
        <v>8</v>
      </c>
    </row>
    <row r="95" spans="1:15" x14ac:dyDescent="0.35">
      <c r="A95" t="s">
        <v>108</v>
      </c>
      <c r="B95" s="2">
        <v>45569</v>
      </c>
      <c r="C95" s="2">
        <v>45598</v>
      </c>
      <c r="D95" t="s">
        <v>646</v>
      </c>
      <c r="E95" t="s">
        <v>651</v>
      </c>
      <c r="F95" t="s">
        <v>669</v>
      </c>
      <c r="G95" t="s">
        <v>701</v>
      </c>
      <c r="H95" t="s">
        <v>710</v>
      </c>
      <c r="I95" t="s">
        <v>721</v>
      </c>
      <c r="J95" t="s">
        <v>733</v>
      </c>
      <c r="K95" t="s">
        <v>827</v>
      </c>
      <c r="L95">
        <v>412.09</v>
      </c>
      <c r="M95">
        <v>968.94</v>
      </c>
      <c r="N95">
        <v>9.9000000000000005E-2</v>
      </c>
      <c r="O95">
        <v>23</v>
      </c>
    </row>
    <row r="96" spans="1:15" x14ac:dyDescent="0.35">
      <c r="A96" t="s">
        <v>109</v>
      </c>
      <c r="B96" s="2">
        <v>45910</v>
      </c>
      <c r="C96" s="2">
        <v>45930</v>
      </c>
      <c r="D96" t="s">
        <v>646</v>
      </c>
      <c r="E96" t="s">
        <v>650</v>
      </c>
      <c r="F96" t="s">
        <v>675</v>
      </c>
      <c r="G96" t="s">
        <v>701</v>
      </c>
      <c r="H96" t="s">
        <v>711</v>
      </c>
      <c r="I96" t="s">
        <v>716</v>
      </c>
      <c r="J96" t="s">
        <v>730</v>
      </c>
      <c r="K96" t="s">
        <v>828</v>
      </c>
      <c r="L96">
        <v>1009.48</v>
      </c>
      <c r="M96">
        <v>1088.81</v>
      </c>
      <c r="N96">
        <v>0.16</v>
      </c>
      <c r="O96">
        <v>6</v>
      </c>
    </row>
    <row r="97" spans="1:15" x14ac:dyDescent="0.35">
      <c r="A97" t="s">
        <v>110</v>
      </c>
      <c r="B97" s="2">
        <v>45022</v>
      </c>
      <c r="C97" s="2">
        <v>45043</v>
      </c>
      <c r="D97" t="s">
        <v>649</v>
      </c>
      <c r="E97" t="s">
        <v>658</v>
      </c>
      <c r="F97" t="s">
        <v>693</v>
      </c>
      <c r="G97" t="s">
        <v>706</v>
      </c>
      <c r="H97" t="s">
        <v>710</v>
      </c>
      <c r="I97" t="s">
        <v>714</v>
      </c>
      <c r="J97" t="s">
        <v>728</v>
      </c>
      <c r="K97" t="s">
        <v>829</v>
      </c>
      <c r="L97">
        <v>1084.79</v>
      </c>
      <c r="M97">
        <v>2484.9899999999998</v>
      </c>
      <c r="N97">
        <v>3.4000000000000002E-2</v>
      </c>
      <c r="O97">
        <v>18</v>
      </c>
    </row>
    <row r="98" spans="1:15" x14ac:dyDescent="0.35">
      <c r="A98" t="s">
        <v>111</v>
      </c>
      <c r="B98" s="2">
        <v>45870</v>
      </c>
      <c r="C98" s="2">
        <v>45885</v>
      </c>
      <c r="D98" t="s">
        <v>647</v>
      </c>
      <c r="E98" t="s">
        <v>654</v>
      </c>
      <c r="G98" t="s">
        <v>706</v>
      </c>
      <c r="H98" t="s">
        <v>711</v>
      </c>
      <c r="I98" t="s">
        <v>719</v>
      </c>
      <c r="J98" t="s">
        <v>732</v>
      </c>
      <c r="K98" t="s">
        <v>830</v>
      </c>
      <c r="L98">
        <v>24.44</v>
      </c>
      <c r="M98">
        <v>28.69</v>
      </c>
      <c r="N98">
        <v>0.14599999999999999</v>
      </c>
      <c r="O98">
        <v>6</v>
      </c>
    </row>
    <row r="99" spans="1:15" x14ac:dyDescent="0.35">
      <c r="A99" t="s">
        <v>112</v>
      </c>
      <c r="B99" s="2">
        <v>45440</v>
      </c>
      <c r="C99" s="2">
        <v>45438</v>
      </c>
      <c r="D99" t="s">
        <v>646</v>
      </c>
      <c r="E99" t="s">
        <v>651</v>
      </c>
      <c r="F99" t="s">
        <v>669</v>
      </c>
      <c r="G99" t="s">
        <v>706</v>
      </c>
      <c r="H99" t="s">
        <v>708</v>
      </c>
      <c r="I99" t="s">
        <v>721</v>
      </c>
      <c r="J99" t="s">
        <v>733</v>
      </c>
      <c r="K99" t="s">
        <v>831</v>
      </c>
      <c r="L99">
        <v>1227.08</v>
      </c>
      <c r="M99">
        <v>1896.62</v>
      </c>
      <c r="N99">
        <v>0</v>
      </c>
      <c r="O99">
        <v>18</v>
      </c>
    </row>
    <row r="100" spans="1:15" x14ac:dyDescent="0.35">
      <c r="A100" t="s">
        <v>113</v>
      </c>
      <c r="B100" s="2">
        <v>45860</v>
      </c>
      <c r="C100" s="2">
        <v>45887</v>
      </c>
      <c r="D100" t="s">
        <v>647</v>
      </c>
      <c r="E100" t="s">
        <v>659</v>
      </c>
      <c r="F100" t="s">
        <v>676</v>
      </c>
      <c r="G100" t="s">
        <v>703</v>
      </c>
      <c r="H100" t="s">
        <v>709</v>
      </c>
      <c r="I100" t="s">
        <v>724</v>
      </c>
      <c r="J100" t="s">
        <v>729</v>
      </c>
      <c r="K100" t="s">
        <v>832</v>
      </c>
      <c r="L100">
        <v>547.32000000000005</v>
      </c>
      <c r="M100">
        <v>419.17</v>
      </c>
      <c r="N100">
        <v>9.1999999999999998E-2</v>
      </c>
      <c r="O100">
        <v>14</v>
      </c>
    </row>
    <row r="101" spans="1:15" x14ac:dyDescent="0.35">
      <c r="A101" t="s">
        <v>114</v>
      </c>
      <c r="B101" s="2">
        <v>44985</v>
      </c>
      <c r="C101" s="2">
        <v>45005</v>
      </c>
      <c r="D101" t="s">
        <v>649</v>
      </c>
      <c r="E101" t="s">
        <v>656</v>
      </c>
      <c r="F101" t="s">
        <v>671</v>
      </c>
      <c r="G101" t="s">
        <v>705</v>
      </c>
      <c r="H101" t="s">
        <v>711</v>
      </c>
      <c r="I101" t="s">
        <v>722</v>
      </c>
      <c r="J101" t="s">
        <v>731</v>
      </c>
      <c r="K101" t="s">
        <v>833</v>
      </c>
      <c r="L101">
        <v>1200.78</v>
      </c>
      <c r="M101">
        <v>2001.17</v>
      </c>
      <c r="N101">
        <v>0.29199999999999998</v>
      </c>
      <c r="O101">
        <v>18</v>
      </c>
    </row>
    <row r="102" spans="1:15" x14ac:dyDescent="0.35">
      <c r="A102" t="s">
        <v>115</v>
      </c>
      <c r="B102" s="2">
        <v>45684</v>
      </c>
      <c r="C102" s="2">
        <v>45703</v>
      </c>
      <c r="D102" t="s">
        <v>647</v>
      </c>
      <c r="E102" t="s">
        <v>659</v>
      </c>
      <c r="F102" t="s">
        <v>676</v>
      </c>
      <c r="G102" t="s">
        <v>703</v>
      </c>
      <c r="H102" t="s">
        <v>711</v>
      </c>
      <c r="I102" t="s">
        <v>716</v>
      </c>
      <c r="J102" t="s">
        <v>730</v>
      </c>
      <c r="K102" t="s">
        <v>834</v>
      </c>
      <c r="L102">
        <v>1253.22</v>
      </c>
      <c r="M102">
        <v>3104.71</v>
      </c>
      <c r="N102">
        <v>0</v>
      </c>
      <c r="O102">
        <v>17</v>
      </c>
    </row>
    <row r="103" spans="1:15" x14ac:dyDescent="0.35">
      <c r="A103" t="s">
        <v>116</v>
      </c>
      <c r="B103" s="2">
        <v>45304</v>
      </c>
      <c r="C103" s="2">
        <v>45313</v>
      </c>
      <c r="D103" t="s">
        <v>647</v>
      </c>
      <c r="E103" t="s">
        <v>654</v>
      </c>
      <c r="F103" t="s">
        <v>691</v>
      </c>
      <c r="G103" t="s">
        <v>706</v>
      </c>
      <c r="H103" t="s">
        <v>709</v>
      </c>
      <c r="I103" t="s">
        <v>713</v>
      </c>
      <c r="J103" t="s">
        <v>727</v>
      </c>
      <c r="K103" t="s">
        <v>835</v>
      </c>
      <c r="L103">
        <v>313.60000000000002</v>
      </c>
      <c r="M103">
        <v>334.28</v>
      </c>
      <c r="N103">
        <v>0.14000000000000001</v>
      </c>
      <c r="O103">
        <v>22</v>
      </c>
    </row>
    <row r="104" spans="1:15" x14ac:dyDescent="0.35">
      <c r="A104" t="s">
        <v>117</v>
      </c>
      <c r="B104" s="2">
        <v>45747</v>
      </c>
      <c r="C104" s="2">
        <v>45751</v>
      </c>
      <c r="D104" t="s">
        <v>646</v>
      </c>
      <c r="E104" t="s">
        <v>650</v>
      </c>
      <c r="F104" t="s">
        <v>678</v>
      </c>
      <c r="G104" t="s">
        <v>701</v>
      </c>
      <c r="H104" t="s">
        <v>711</v>
      </c>
      <c r="I104" t="s">
        <v>712</v>
      </c>
      <c r="J104" t="s">
        <v>731</v>
      </c>
      <c r="K104" t="s">
        <v>836</v>
      </c>
      <c r="L104">
        <v>862.08</v>
      </c>
      <c r="M104">
        <v>1952.83</v>
      </c>
      <c r="N104">
        <v>0</v>
      </c>
      <c r="O104">
        <v>7</v>
      </c>
    </row>
    <row r="105" spans="1:15" x14ac:dyDescent="0.35">
      <c r="A105" t="s">
        <v>118</v>
      </c>
      <c r="B105" s="2">
        <v>45631</v>
      </c>
      <c r="C105" s="2">
        <v>45654</v>
      </c>
      <c r="D105" t="s">
        <v>648</v>
      </c>
      <c r="E105" t="s">
        <v>653</v>
      </c>
      <c r="F105" t="s">
        <v>688</v>
      </c>
      <c r="G105" t="s">
        <v>701</v>
      </c>
      <c r="H105" t="s">
        <v>711</v>
      </c>
      <c r="I105" t="s">
        <v>721</v>
      </c>
      <c r="J105" t="s">
        <v>733</v>
      </c>
      <c r="K105" t="s">
        <v>837</v>
      </c>
      <c r="L105">
        <v>107.03</v>
      </c>
      <c r="M105">
        <v>242.29</v>
      </c>
      <c r="N105">
        <v>0.18</v>
      </c>
      <c r="O105">
        <v>30</v>
      </c>
    </row>
    <row r="106" spans="1:15" x14ac:dyDescent="0.35">
      <c r="A106" t="s">
        <v>119</v>
      </c>
      <c r="B106" s="2">
        <v>45549</v>
      </c>
      <c r="C106" s="2">
        <v>45570</v>
      </c>
      <c r="D106" t="s">
        <v>647</v>
      </c>
      <c r="E106" t="s">
        <v>659</v>
      </c>
      <c r="F106" t="s">
        <v>685</v>
      </c>
      <c r="G106" t="s">
        <v>705</v>
      </c>
      <c r="H106" t="s">
        <v>708</v>
      </c>
      <c r="I106" t="s">
        <v>722</v>
      </c>
      <c r="J106" t="s">
        <v>731</v>
      </c>
      <c r="K106" t="s">
        <v>838</v>
      </c>
      <c r="L106">
        <v>1405.56</v>
      </c>
      <c r="M106">
        <v>2968.87</v>
      </c>
      <c r="N106">
        <v>0.16900000000000001</v>
      </c>
      <c r="O106">
        <v>5</v>
      </c>
    </row>
    <row r="107" spans="1:15" x14ac:dyDescent="0.35">
      <c r="A107" t="s">
        <v>120</v>
      </c>
      <c r="B107" s="2">
        <v>45433</v>
      </c>
      <c r="C107" s="2">
        <v>45439</v>
      </c>
      <c r="D107" t="s">
        <v>646</v>
      </c>
      <c r="E107" t="s">
        <v>661</v>
      </c>
      <c r="F107" t="s">
        <v>682</v>
      </c>
      <c r="G107" t="s">
        <v>703</v>
      </c>
      <c r="H107" t="s">
        <v>708</v>
      </c>
      <c r="I107" t="s">
        <v>724</v>
      </c>
      <c r="J107" t="s">
        <v>727</v>
      </c>
      <c r="K107" t="s">
        <v>839</v>
      </c>
      <c r="L107">
        <v>1157.51</v>
      </c>
      <c r="M107">
        <v>1394.3</v>
      </c>
      <c r="N107">
        <v>0.27800000000000002</v>
      </c>
      <c r="O107">
        <v>12</v>
      </c>
    </row>
    <row r="108" spans="1:15" x14ac:dyDescent="0.35">
      <c r="A108" t="s">
        <v>121</v>
      </c>
      <c r="B108" s="2">
        <v>45057</v>
      </c>
      <c r="C108" s="2">
        <v>45084</v>
      </c>
      <c r="D108" t="s">
        <v>646</v>
      </c>
      <c r="E108" t="s">
        <v>650</v>
      </c>
      <c r="F108" t="s">
        <v>675</v>
      </c>
      <c r="G108" t="s">
        <v>701</v>
      </c>
      <c r="H108" t="s">
        <v>708</v>
      </c>
      <c r="I108" t="s">
        <v>713</v>
      </c>
      <c r="J108" t="s">
        <v>730</v>
      </c>
      <c r="K108" t="s">
        <v>840</v>
      </c>
      <c r="L108">
        <v>12.85</v>
      </c>
      <c r="M108">
        <v>15.41</v>
      </c>
      <c r="N108">
        <v>0.13700000000000001</v>
      </c>
      <c r="O108">
        <v>39</v>
      </c>
    </row>
    <row r="109" spans="1:15" x14ac:dyDescent="0.35">
      <c r="A109" t="s">
        <v>122</v>
      </c>
      <c r="B109" s="2">
        <v>45518</v>
      </c>
      <c r="C109" s="2">
        <v>45539</v>
      </c>
      <c r="D109" t="s">
        <v>649</v>
      </c>
      <c r="E109" t="s">
        <v>658</v>
      </c>
      <c r="F109" t="s">
        <v>693</v>
      </c>
      <c r="G109" t="s">
        <v>703</v>
      </c>
      <c r="H109" t="s">
        <v>708</v>
      </c>
      <c r="I109" t="s">
        <v>713</v>
      </c>
      <c r="J109" t="s">
        <v>730</v>
      </c>
      <c r="K109" t="s">
        <v>841</v>
      </c>
      <c r="L109">
        <v>1138.8</v>
      </c>
      <c r="M109">
        <v>2250.81</v>
      </c>
      <c r="N109">
        <v>0.123</v>
      </c>
      <c r="O109">
        <v>12</v>
      </c>
    </row>
    <row r="110" spans="1:15" x14ac:dyDescent="0.35">
      <c r="A110" t="s">
        <v>123</v>
      </c>
      <c r="B110" s="2">
        <v>45581</v>
      </c>
      <c r="C110" s="2">
        <v>45604</v>
      </c>
      <c r="D110" t="s">
        <v>647</v>
      </c>
      <c r="E110" t="s">
        <v>652</v>
      </c>
      <c r="F110" t="s">
        <v>666</v>
      </c>
      <c r="G110" t="s">
        <v>705</v>
      </c>
      <c r="H110" t="s">
        <v>707</v>
      </c>
      <c r="I110" t="s">
        <v>713</v>
      </c>
      <c r="J110" t="s">
        <v>729</v>
      </c>
      <c r="K110" t="s">
        <v>842</v>
      </c>
      <c r="L110">
        <v>82.14</v>
      </c>
      <c r="M110">
        <v>166.04</v>
      </c>
      <c r="N110">
        <v>0</v>
      </c>
      <c r="O110">
        <v>10</v>
      </c>
    </row>
    <row r="111" spans="1:15" x14ac:dyDescent="0.35">
      <c r="A111" t="s">
        <v>124</v>
      </c>
      <c r="B111" s="2">
        <v>45445</v>
      </c>
      <c r="C111" s="2">
        <v>45451</v>
      </c>
      <c r="D111" t="s">
        <v>646</v>
      </c>
      <c r="E111" t="s">
        <v>650</v>
      </c>
      <c r="F111" t="s">
        <v>662</v>
      </c>
      <c r="G111" t="s">
        <v>704</v>
      </c>
      <c r="H111" t="s">
        <v>709</v>
      </c>
      <c r="I111" t="s">
        <v>720</v>
      </c>
      <c r="J111" t="s">
        <v>733</v>
      </c>
      <c r="K111" t="s">
        <v>843</v>
      </c>
      <c r="L111">
        <v>292.94</v>
      </c>
      <c r="M111">
        <v>356.55</v>
      </c>
      <c r="N111">
        <v>0.22900000000000001</v>
      </c>
      <c r="O111">
        <v>2</v>
      </c>
    </row>
    <row r="112" spans="1:15" x14ac:dyDescent="0.35">
      <c r="A112" t="s">
        <v>125</v>
      </c>
      <c r="B112" s="2">
        <v>45452</v>
      </c>
      <c r="C112" s="2">
        <v>45480</v>
      </c>
      <c r="D112" t="s">
        <v>647</v>
      </c>
      <c r="E112" t="s">
        <v>659</v>
      </c>
      <c r="F112" t="s">
        <v>676</v>
      </c>
      <c r="G112" t="s">
        <v>701</v>
      </c>
      <c r="H112" t="s">
        <v>708</v>
      </c>
      <c r="I112" t="s">
        <v>713</v>
      </c>
      <c r="J112" t="s">
        <v>727</v>
      </c>
      <c r="K112" t="s">
        <v>844</v>
      </c>
      <c r="L112">
        <v>550.22</v>
      </c>
      <c r="M112">
        <v>1025.05</v>
      </c>
      <c r="N112">
        <v>0</v>
      </c>
      <c r="O112">
        <v>27</v>
      </c>
    </row>
    <row r="113" spans="1:15" x14ac:dyDescent="0.35">
      <c r="A113" t="s">
        <v>126</v>
      </c>
      <c r="B113" s="2">
        <v>45453</v>
      </c>
      <c r="C113" s="2">
        <v>45454</v>
      </c>
      <c r="D113" t="s">
        <v>649</v>
      </c>
      <c r="E113" t="s">
        <v>658</v>
      </c>
      <c r="F113" t="s">
        <v>674</v>
      </c>
      <c r="G113" t="s">
        <v>705</v>
      </c>
      <c r="H113" t="s">
        <v>709</v>
      </c>
      <c r="I113" t="s">
        <v>724</v>
      </c>
      <c r="J113" t="s">
        <v>731</v>
      </c>
      <c r="K113" t="s">
        <v>845</v>
      </c>
      <c r="L113">
        <v>1187.1300000000001</v>
      </c>
      <c r="M113">
        <v>1795.17</v>
      </c>
      <c r="N113">
        <v>1.2E-2</v>
      </c>
      <c r="O113">
        <v>17</v>
      </c>
    </row>
    <row r="114" spans="1:15" x14ac:dyDescent="0.35">
      <c r="A114" t="s">
        <v>127</v>
      </c>
      <c r="B114" s="2">
        <v>45472</v>
      </c>
      <c r="C114" s="2">
        <v>45499</v>
      </c>
      <c r="D114" t="s">
        <v>646</v>
      </c>
      <c r="E114" t="s">
        <v>661</v>
      </c>
      <c r="F114" t="s">
        <v>687</v>
      </c>
      <c r="G114" t="s">
        <v>706</v>
      </c>
      <c r="H114" t="s">
        <v>710</v>
      </c>
      <c r="I114" t="s">
        <v>717</v>
      </c>
      <c r="J114" t="s">
        <v>729</v>
      </c>
      <c r="K114" t="s">
        <v>846</v>
      </c>
      <c r="L114">
        <v>5.36</v>
      </c>
      <c r="M114">
        <v>4.37</v>
      </c>
      <c r="N114">
        <v>0.11799999999999999</v>
      </c>
      <c r="O114">
        <v>9</v>
      </c>
    </row>
    <row r="115" spans="1:15" x14ac:dyDescent="0.35">
      <c r="A115" t="s">
        <v>128</v>
      </c>
      <c r="B115" s="2">
        <v>45674</v>
      </c>
      <c r="C115" s="2">
        <v>45681</v>
      </c>
      <c r="D115" t="s">
        <v>648</v>
      </c>
      <c r="E115" t="s">
        <v>660</v>
      </c>
      <c r="F115" t="s">
        <v>697</v>
      </c>
      <c r="G115" t="s">
        <v>706</v>
      </c>
      <c r="H115" t="s">
        <v>708</v>
      </c>
      <c r="I115" t="s">
        <v>715</v>
      </c>
      <c r="J115" t="s">
        <v>733</v>
      </c>
      <c r="K115" t="s">
        <v>847</v>
      </c>
      <c r="L115">
        <v>142.09</v>
      </c>
      <c r="M115">
        <v>218.5</v>
      </c>
      <c r="N115">
        <v>0.11899999999999999</v>
      </c>
      <c r="O115">
        <v>11</v>
      </c>
    </row>
    <row r="116" spans="1:15" x14ac:dyDescent="0.35">
      <c r="A116" t="s">
        <v>129</v>
      </c>
      <c r="B116" s="2">
        <v>45250</v>
      </c>
      <c r="C116" s="2">
        <v>45265</v>
      </c>
      <c r="D116" t="s">
        <v>647</v>
      </c>
      <c r="E116" t="s">
        <v>652</v>
      </c>
      <c r="F116" t="s">
        <v>689</v>
      </c>
      <c r="G116" t="s">
        <v>706</v>
      </c>
      <c r="H116" t="s">
        <v>707</v>
      </c>
      <c r="I116" t="s">
        <v>716</v>
      </c>
      <c r="J116" t="s">
        <v>729</v>
      </c>
      <c r="K116" t="s">
        <v>848</v>
      </c>
      <c r="L116">
        <v>354.24</v>
      </c>
      <c r="M116">
        <v>249.87</v>
      </c>
      <c r="N116">
        <v>0</v>
      </c>
      <c r="O116">
        <v>6</v>
      </c>
    </row>
    <row r="117" spans="1:15" x14ac:dyDescent="0.35">
      <c r="A117" t="s">
        <v>130</v>
      </c>
      <c r="B117" s="2">
        <v>44987</v>
      </c>
      <c r="C117" s="2">
        <v>44990</v>
      </c>
      <c r="D117" t="s">
        <v>648</v>
      </c>
      <c r="E117" t="s">
        <v>655</v>
      </c>
      <c r="F117" t="s">
        <v>672</v>
      </c>
      <c r="G117" t="s">
        <v>706</v>
      </c>
      <c r="H117" t="s">
        <v>711</v>
      </c>
      <c r="I117" t="s">
        <v>715</v>
      </c>
      <c r="J117" t="s">
        <v>732</v>
      </c>
      <c r="K117" t="s">
        <v>849</v>
      </c>
      <c r="L117">
        <v>1473.58</v>
      </c>
      <c r="M117">
        <v>3436.52</v>
      </c>
      <c r="N117">
        <v>0.108</v>
      </c>
      <c r="O117">
        <v>8</v>
      </c>
    </row>
    <row r="118" spans="1:15" x14ac:dyDescent="0.35">
      <c r="A118" t="s">
        <v>131</v>
      </c>
      <c r="B118" s="2">
        <v>45811</v>
      </c>
      <c r="C118" s="2">
        <v>45818</v>
      </c>
      <c r="D118" t="s">
        <v>648</v>
      </c>
      <c r="E118" t="s">
        <v>653</v>
      </c>
      <c r="F118" t="s">
        <v>667</v>
      </c>
      <c r="G118" t="s">
        <v>704</v>
      </c>
      <c r="H118" t="s">
        <v>710</v>
      </c>
      <c r="I118" t="s">
        <v>719</v>
      </c>
      <c r="J118" t="s">
        <v>728</v>
      </c>
      <c r="K118" t="s">
        <v>850</v>
      </c>
      <c r="L118">
        <v>75.180000000000007</v>
      </c>
      <c r="M118">
        <v>53.45</v>
      </c>
      <c r="N118">
        <v>0.157</v>
      </c>
      <c r="O118">
        <v>17</v>
      </c>
    </row>
    <row r="119" spans="1:15" x14ac:dyDescent="0.35">
      <c r="A119" t="s">
        <v>132</v>
      </c>
      <c r="B119" s="2">
        <v>45653</v>
      </c>
      <c r="C119" s="2">
        <v>45659</v>
      </c>
      <c r="D119" t="s">
        <v>649</v>
      </c>
      <c r="E119" t="s">
        <v>656</v>
      </c>
      <c r="F119" t="s">
        <v>698</v>
      </c>
      <c r="G119" t="s">
        <v>702</v>
      </c>
      <c r="H119" t="s">
        <v>711</v>
      </c>
      <c r="I119" t="s">
        <v>721</v>
      </c>
      <c r="J119" t="s">
        <v>731</v>
      </c>
      <c r="K119" t="s">
        <v>851</v>
      </c>
      <c r="L119">
        <v>1391.99</v>
      </c>
      <c r="M119">
        <v>3469.7</v>
      </c>
      <c r="N119">
        <v>0.184</v>
      </c>
      <c r="O119">
        <v>23</v>
      </c>
    </row>
    <row r="120" spans="1:15" x14ac:dyDescent="0.35">
      <c r="A120" t="s">
        <v>133</v>
      </c>
      <c r="B120" s="2">
        <v>45086</v>
      </c>
      <c r="C120" s="2">
        <v>45096</v>
      </c>
      <c r="D120" t="s">
        <v>647</v>
      </c>
      <c r="E120" t="s">
        <v>659</v>
      </c>
      <c r="F120" t="s">
        <v>699</v>
      </c>
      <c r="G120" t="s">
        <v>706</v>
      </c>
      <c r="H120" t="s">
        <v>707</v>
      </c>
      <c r="I120" t="s">
        <v>721</v>
      </c>
      <c r="J120" t="s">
        <v>732</v>
      </c>
      <c r="K120" t="s">
        <v>852</v>
      </c>
      <c r="L120">
        <v>339.61</v>
      </c>
      <c r="M120">
        <v>621.02</v>
      </c>
      <c r="N120">
        <v>7.0999999999999994E-2</v>
      </c>
      <c r="O120">
        <v>10</v>
      </c>
    </row>
    <row r="121" spans="1:15" x14ac:dyDescent="0.35">
      <c r="A121" t="s">
        <v>134</v>
      </c>
      <c r="B121" s="2">
        <v>45847</v>
      </c>
      <c r="C121" s="2">
        <v>45856</v>
      </c>
      <c r="D121" t="s">
        <v>648</v>
      </c>
      <c r="E121" t="s">
        <v>653</v>
      </c>
      <c r="F121" t="s">
        <v>688</v>
      </c>
      <c r="G121" t="s">
        <v>702</v>
      </c>
      <c r="H121" t="s">
        <v>710</v>
      </c>
      <c r="I121" t="s">
        <v>714</v>
      </c>
      <c r="J121" t="s">
        <v>731</v>
      </c>
      <c r="K121" t="s">
        <v>853</v>
      </c>
      <c r="L121">
        <v>57.96</v>
      </c>
      <c r="M121">
        <v>88.51</v>
      </c>
      <c r="N121">
        <v>4.2999999999999997E-2</v>
      </c>
      <c r="O121">
        <v>7</v>
      </c>
    </row>
    <row r="122" spans="1:15" x14ac:dyDescent="0.35">
      <c r="A122" t="s">
        <v>135</v>
      </c>
      <c r="B122" s="2">
        <v>45827</v>
      </c>
      <c r="C122" s="2">
        <v>45850</v>
      </c>
      <c r="D122" t="s">
        <v>649</v>
      </c>
      <c r="E122" t="s">
        <v>658</v>
      </c>
      <c r="G122" t="s">
        <v>703</v>
      </c>
      <c r="H122" t="s">
        <v>711</v>
      </c>
      <c r="J122" t="s">
        <v>729</v>
      </c>
      <c r="K122" t="s">
        <v>854</v>
      </c>
      <c r="L122">
        <v>801.24</v>
      </c>
      <c r="M122">
        <v>1959.09</v>
      </c>
      <c r="N122">
        <v>0.123</v>
      </c>
      <c r="O122">
        <v>23</v>
      </c>
    </row>
    <row r="123" spans="1:15" x14ac:dyDescent="0.35">
      <c r="A123" t="s">
        <v>136</v>
      </c>
      <c r="B123" s="2">
        <v>45249</v>
      </c>
      <c r="C123" s="2">
        <v>45273</v>
      </c>
      <c r="D123" t="s">
        <v>649</v>
      </c>
      <c r="E123" t="s">
        <v>657</v>
      </c>
      <c r="F123" t="s">
        <v>679</v>
      </c>
      <c r="G123" t="s">
        <v>703</v>
      </c>
      <c r="H123" t="s">
        <v>711</v>
      </c>
      <c r="I123" t="s">
        <v>722</v>
      </c>
      <c r="J123" t="s">
        <v>732</v>
      </c>
      <c r="K123" t="s">
        <v>855</v>
      </c>
      <c r="L123">
        <v>1297.42</v>
      </c>
      <c r="M123">
        <v>2742.97</v>
      </c>
      <c r="N123">
        <v>6.9000000000000006E-2</v>
      </c>
      <c r="O123">
        <v>9</v>
      </c>
    </row>
    <row r="124" spans="1:15" x14ac:dyDescent="0.35">
      <c r="A124" t="s">
        <v>137</v>
      </c>
      <c r="B124" s="2">
        <v>45289</v>
      </c>
      <c r="C124" s="2">
        <v>45311</v>
      </c>
      <c r="D124" t="s">
        <v>646</v>
      </c>
      <c r="E124" t="s">
        <v>650</v>
      </c>
      <c r="F124" t="s">
        <v>662</v>
      </c>
      <c r="G124" t="s">
        <v>701</v>
      </c>
      <c r="H124" t="s">
        <v>711</v>
      </c>
      <c r="I124" t="s">
        <v>716</v>
      </c>
      <c r="J124" t="s">
        <v>730</v>
      </c>
      <c r="K124" t="s">
        <v>856</v>
      </c>
      <c r="L124">
        <v>1395.49</v>
      </c>
      <c r="M124">
        <v>1679.42</v>
      </c>
      <c r="N124">
        <v>0.20300000000000001</v>
      </c>
      <c r="O124">
        <v>12</v>
      </c>
    </row>
    <row r="125" spans="1:15" x14ac:dyDescent="0.35">
      <c r="A125" t="s">
        <v>138</v>
      </c>
      <c r="B125" s="2">
        <v>45598</v>
      </c>
      <c r="C125" s="2">
        <v>45625</v>
      </c>
      <c r="D125" t="s">
        <v>648</v>
      </c>
      <c r="E125" t="s">
        <v>655</v>
      </c>
      <c r="F125" t="s">
        <v>672</v>
      </c>
      <c r="G125" t="s">
        <v>705</v>
      </c>
      <c r="H125" t="s">
        <v>711</v>
      </c>
      <c r="I125" t="s">
        <v>714</v>
      </c>
      <c r="J125" t="s">
        <v>729</v>
      </c>
      <c r="K125" t="s">
        <v>857</v>
      </c>
      <c r="L125">
        <v>1363.51</v>
      </c>
      <c r="M125">
        <v>1433.9</v>
      </c>
      <c r="N125">
        <v>5.7000000000000002E-2</v>
      </c>
      <c r="O125">
        <v>8</v>
      </c>
    </row>
    <row r="126" spans="1:15" x14ac:dyDescent="0.35">
      <c r="A126" t="s">
        <v>139</v>
      </c>
      <c r="B126" s="2">
        <v>45159</v>
      </c>
      <c r="C126" s="2">
        <v>45173</v>
      </c>
      <c r="D126" t="s">
        <v>648</v>
      </c>
      <c r="E126" t="s">
        <v>653</v>
      </c>
      <c r="F126" t="s">
        <v>681</v>
      </c>
      <c r="G126" t="s">
        <v>702</v>
      </c>
      <c r="H126" t="s">
        <v>710</v>
      </c>
      <c r="I126" t="s">
        <v>721</v>
      </c>
      <c r="J126" t="s">
        <v>727</v>
      </c>
      <c r="K126" t="s">
        <v>858</v>
      </c>
      <c r="L126">
        <v>178.19</v>
      </c>
      <c r="M126">
        <v>284.43</v>
      </c>
      <c r="N126">
        <v>8.8999999999999996E-2</v>
      </c>
      <c r="O126">
        <v>8</v>
      </c>
    </row>
    <row r="127" spans="1:15" x14ac:dyDescent="0.35">
      <c r="A127" t="s">
        <v>140</v>
      </c>
      <c r="B127" s="2">
        <v>45150</v>
      </c>
      <c r="C127" s="2">
        <v>45175</v>
      </c>
      <c r="D127" t="s">
        <v>647</v>
      </c>
      <c r="E127" t="s">
        <v>659</v>
      </c>
      <c r="F127" t="s">
        <v>685</v>
      </c>
      <c r="G127" t="s">
        <v>705</v>
      </c>
      <c r="H127" t="s">
        <v>707</v>
      </c>
      <c r="I127" t="s">
        <v>717</v>
      </c>
      <c r="J127" t="s">
        <v>727</v>
      </c>
      <c r="K127" t="s">
        <v>859</v>
      </c>
      <c r="L127">
        <v>950.77</v>
      </c>
      <c r="M127">
        <v>694.78</v>
      </c>
      <c r="N127">
        <v>8.4000000000000005E-2</v>
      </c>
      <c r="O127">
        <v>14</v>
      </c>
    </row>
    <row r="128" spans="1:15" x14ac:dyDescent="0.35">
      <c r="A128" t="s">
        <v>141</v>
      </c>
      <c r="B128" s="2">
        <v>45450</v>
      </c>
      <c r="C128" s="2">
        <v>45469</v>
      </c>
      <c r="D128" t="s">
        <v>649</v>
      </c>
      <c r="E128" t="s">
        <v>656</v>
      </c>
      <c r="F128" t="s">
        <v>671</v>
      </c>
      <c r="G128" t="s">
        <v>703</v>
      </c>
      <c r="H128" t="s">
        <v>709</v>
      </c>
      <c r="I128" t="s">
        <v>724</v>
      </c>
      <c r="J128" t="s">
        <v>727</v>
      </c>
      <c r="K128" t="s">
        <v>860</v>
      </c>
      <c r="L128">
        <v>1064.32</v>
      </c>
      <c r="M128">
        <v>1848.39</v>
      </c>
      <c r="N128">
        <v>7.2999999999999995E-2</v>
      </c>
      <c r="O128">
        <v>38</v>
      </c>
    </row>
    <row r="129" spans="1:15" x14ac:dyDescent="0.35">
      <c r="A129" t="s">
        <v>142</v>
      </c>
      <c r="B129" s="2">
        <v>45874</v>
      </c>
      <c r="C129" s="2">
        <v>45883</v>
      </c>
      <c r="D129" t="s">
        <v>649</v>
      </c>
      <c r="E129" t="s">
        <v>658</v>
      </c>
      <c r="F129" t="s">
        <v>683</v>
      </c>
      <c r="G129" t="s">
        <v>703</v>
      </c>
      <c r="H129" t="s">
        <v>711</v>
      </c>
      <c r="I129" t="s">
        <v>718</v>
      </c>
      <c r="J129" t="s">
        <v>727</v>
      </c>
      <c r="K129" t="s">
        <v>861</v>
      </c>
      <c r="L129">
        <v>41.76</v>
      </c>
      <c r="M129">
        <v>45.19</v>
      </c>
      <c r="N129">
        <v>0.17899999999999999</v>
      </c>
      <c r="O129">
        <v>23</v>
      </c>
    </row>
    <row r="130" spans="1:15" x14ac:dyDescent="0.35">
      <c r="A130" t="s">
        <v>143</v>
      </c>
      <c r="B130" s="2">
        <v>45442</v>
      </c>
      <c r="C130" s="2">
        <v>45456</v>
      </c>
      <c r="D130" t="s">
        <v>648</v>
      </c>
      <c r="E130" t="s">
        <v>660</v>
      </c>
      <c r="F130" t="s">
        <v>686</v>
      </c>
      <c r="G130" t="s">
        <v>705</v>
      </c>
      <c r="H130" t="s">
        <v>707</v>
      </c>
      <c r="I130" t="s">
        <v>721</v>
      </c>
      <c r="J130" t="s">
        <v>730</v>
      </c>
      <c r="K130" t="s">
        <v>862</v>
      </c>
      <c r="L130">
        <v>157.78</v>
      </c>
      <c r="M130">
        <v>361.1</v>
      </c>
      <c r="N130">
        <v>0.187</v>
      </c>
      <c r="O130">
        <v>9</v>
      </c>
    </row>
    <row r="131" spans="1:15" x14ac:dyDescent="0.35">
      <c r="A131" t="s">
        <v>144</v>
      </c>
      <c r="B131" s="2">
        <v>44948</v>
      </c>
      <c r="C131" s="2">
        <v>44956</v>
      </c>
      <c r="D131" t="s">
        <v>648</v>
      </c>
      <c r="E131" t="s">
        <v>660</v>
      </c>
      <c r="F131" t="s">
        <v>686</v>
      </c>
      <c r="G131" t="s">
        <v>705</v>
      </c>
      <c r="H131" t="s">
        <v>708</v>
      </c>
      <c r="I131" t="s">
        <v>720</v>
      </c>
      <c r="J131" t="s">
        <v>729</v>
      </c>
      <c r="K131" t="s">
        <v>863</v>
      </c>
      <c r="L131">
        <v>413.52</v>
      </c>
      <c r="M131">
        <v>1004.34</v>
      </c>
      <c r="N131">
        <v>0.111</v>
      </c>
      <c r="O131">
        <v>18</v>
      </c>
    </row>
    <row r="132" spans="1:15" x14ac:dyDescent="0.35">
      <c r="A132" t="s">
        <v>145</v>
      </c>
      <c r="B132" s="2">
        <v>45700</v>
      </c>
      <c r="C132" s="2">
        <v>45716</v>
      </c>
      <c r="D132" t="s">
        <v>648</v>
      </c>
      <c r="E132" t="s">
        <v>655</v>
      </c>
      <c r="F132" t="s">
        <v>670</v>
      </c>
      <c r="G132" t="s">
        <v>703</v>
      </c>
      <c r="H132" t="s">
        <v>711</v>
      </c>
      <c r="I132" t="s">
        <v>717</v>
      </c>
      <c r="J132" t="s">
        <v>732</v>
      </c>
      <c r="K132" t="s">
        <v>864</v>
      </c>
      <c r="L132">
        <v>414.95</v>
      </c>
      <c r="M132">
        <v>1027.73</v>
      </c>
      <c r="N132">
        <v>6.3E-2</v>
      </c>
      <c r="O132">
        <v>8</v>
      </c>
    </row>
    <row r="133" spans="1:15" x14ac:dyDescent="0.35">
      <c r="A133" t="s">
        <v>146</v>
      </c>
      <c r="B133" s="2">
        <v>45719</v>
      </c>
      <c r="C133" s="2">
        <v>45740</v>
      </c>
      <c r="D133" t="s">
        <v>646</v>
      </c>
      <c r="E133" t="s">
        <v>651</v>
      </c>
      <c r="F133" t="s">
        <v>669</v>
      </c>
      <c r="G133" t="s">
        <v>706</v>
      </c>
      <c r="H133" t="s">
        <v>711</v>
      </c>
      <c r="I133" t="s">
        <v>722</v>
      </c>
      <c r="J133" t="s">
        <v>733</v>
      </c>
      <c r="K133" t="s">
        <v>865</v>
      </c>
      <c r="L133">
        <v>555.95000000000005</v>
      </c>
      <c r="M133">
        <v>468.09</v>
      </c>
      <c r="N133">
        <v>0.14199999999999999</v>
      </c>
      <c r="O133">
        <v>11</v>
      </c>
    </row>
    <row r="134" spans="1:15" x14ac:dyDescent="0.35">
      <c r="A134" t="s">
        <v>147</v>
      </c>
      <c r="B134" s="2">
        <v>44953</v>
      </c>
      <c r="C134" s="2">
        <v>44957</v>
      </c>
      <c r="D134" t="s">
        <v>649</v>
      </c>
      <c r="E134" t="s">
        <v>658</v>
      </c>
      <c r="F134" t="s">
        <v>693</v>
      </c>
      <c r="G134" t="s">
        <v>706</v>
      </c>
      <c r="H134" t="s">
        <v>708</v>
      </c>
      <c r="I134" t="s">
        <v>725</v>
      </c>
      <c r="J134" t="s">
        <v>731</v>
      </c>
      <c r="K134" t="s">
        <v>866</v>
      </c>
      <c r="L134">
        <v>941.2</v>
      </c>
      <c r="M134">
        <v>668.02</v>
      </c>
      <c r="N134">
        <v>0.22</v>
      </c>
      <c r="O134">
        <v>16</v>
      </c>
    </row>
    <row r="135" spans="1:15" x14ac:dyDescent="0.35">
      <c r="A135" t="s">
        <v>148</v>
      </c>
      <c r="B135" s="2">
        <v>45666</v>
      </c>
      <c r="C135" s="2">
        <v>45672</v>
      </c>
      <c r="D135" t="s">
        <v>647</v>
      </c>
      <c r="E135" t="s">
        <v>659</v>
      </c>
      <c r="F135" t="s">
        <v>699</v>
      </c>
      <c r="G135" t="s">
        <v>702</v>
      </c>
      <c r="H135" t="s">
        <v>708</v>
      </c>
      <c r="I135" t="s">
        <v>712</v>
      </c>
      <c r="J135" t="s">
        <v>730</v>
      </c>
      <c r="K135" t="s">
        <v>867</v>
      </c>
      <c r="L135">
        <v>304.77999999999997</v>
      </c>
      <c r="M135">
        <v>537.27</v>
      </c>
      <c r="N135">
        <v>0.187</v>
      </c>
      <c r="O135">
        <v>8</v>
      </c>
    </row>
    <row r="136" spans="1:15" x14ac:dyDescent="0.35">
      <c r="A136" t="s">
        <v>149</v>
      </c>
      <c r="B136" s="2">
        <v>45647</v>
      </c>
      <c r="C136" s="2">
        <v>45652</v>
      </c>
      <c r="D136" t="s">
        <v>648</v>
      </c>
      <c r="E136" t="s">
        <v>660</v>
      </c>
      <c r="F136" t="s">
        <v>686</v>
      </c>
      <c r="G136" t="s">
        <v>704</v>
      </c>
      <c r="H136" t="s">
        <v>709</v>
      </c>
      <c r="I136" t="s">
        <v>724</v>
      </c>
      <c r="J136" t="s">
        <v>728</v>
      </c>
      <c r="K136" t="s">
        <v>868</v>
      </c>
      <c r="L136">
        <v>699.57</v>
      </c>
      <c r="M136">
        <v>572.71</v>
      </c>
      <c r="N136">
        <v>0.192</v>
      </c>
      <c r="O136">
        <v>26</v>
      </c>
    </row>
    <row r="137" spans="1:15" x14ac:dyDescent="0.35">
      <c r="A137" t="s">
        <v>150</v>
      </c>
      <c r="B137" s="2">
        <v>45028</v>
      </c>
      <c r="C137" s="2">
        <v>45033</v>
      </c>
      <c r="D137" t="s">
        <v>649</v>
      </c>
      <c r="E137" t="s">
        <v>657</v>
      </c>
      <c r="F137" t="s">
        <v>679</v>
      </c>
      <c r="G137" t="s">
        <v>706</v>
      </c>
      <c r="H137" t="s">
        <v>711</v>
      </c>
      <c r="I137" t="s">
        <v>718</v>
      </c>
      <c r="J137" t="s">
        <v>732</v>
      </c>
      <c r="K137" t="s">
        <v>869</v>
      </c>
      <c r="L137">
        <v>1087.81</v>
      </c>
      <c r="M137">
        <v>2323.87</v>
      </c>
      <c r="N137">
        <v>9.4E-2</v>
      </c>
      <c r="O137">
        <v>13</v>
      </c>
    </row>
    <row r="138" spans="1:15" x14ac:dyDescent="0.35">
      <c r="A138" t="s">
        <v>151</v>
      </c>
      <c r="B138" s="2">
        <v>45640</v>
      </c>
      <c r="C138" s="2">
        <v>45669</v>
      </c>
      <c r="D138" t="s">
        <v>647</v>
      </c>
      <c r="E138" t="s">
        <v>659</v>
      </c>
      <c r="F138" t="s">
        <v>676</v>
      </c>
      <c r="G138" t="s">
        <v>702</v>
      </c>
      <c r="H138" t="s">
        <v>708</v>
      </c>
      <c r="I138" t="s">
        <v>713</v>
      </c>
      <c r="J138" t="s">
        <v>727</v>
      </c>
      <c r="K138" t="s">
        <v>870</v>
      </c>
      <c r="L138">
        <v>1412.15</v>
      </c>
      <c r="M138">
        <v>1631.04</v>
      </c>
      <c r="N138">
        <v>8.9999999999999993E-3</v>
      </c>
      <c r="O138">
        <v>6</v>
      </c>
    </row>
    <row r="139" spans="1:15" x14ac:dyDescent="0.35">
      <c r="A139" t="s">
        <v>152</v>
      </c>
      <c r="B139" s="2">
        <v>45016</v>
      </c>
      <c r="C139" s="2">
        <v>45028</v>
      </c>
      <c r="D139" t="s">
        <v>646</v>
      </c>
      <c r="E139" t="s">
        <v>650</v>
      </c>
      <c r="F139" t="s">
        <v>675</v>
      </c>
      <c r="G139" t="s">
        <v>705</v>
      </c>
      <c r="H139" t="s">
        <v>708</v>
      </c>
      <c r="I139" t="s">
        <v>712</v>
      </c>
      <c r="J139" t="s">
        <v>730</v>
      </c>
      <c r="K139" t="s">
        <v>871</v>
      </c>
      <c r="L139">
        <v>304.22000000000003</v>
      </c>
      <c r="M139">
        <v>393.31</v>
      </c>
      <c r="N139">
        <v>0.26500000000000001</v>
      </c>
      <c r="O139">
        <v>15</v>
      </c>
    </row>
    <row r="140" spans="1:15" x14ac:dyDescent="0.35">
      <c r="A140" t="s">
        <v>153</v>
      </c>
      <c r="B140" s="2">
        <v>45616</v>
      </c>
      <c r="C140" s="2">
        <v>45641</v>
      </c>
      <c r="D140" t="s">
        <v>649</v>
      </c>
      <c r="E140" t="s">
        <v>657</v>
      </c>
      <c r="F140" t="s">
        <v>690</v>
      </c>
      <c r="G140" t="s">
        <v>701</v>
      </c>
      <c r="H140" t="s">
        <v>708</v>
      </c>
      <c r="I140" t="s">
        <v>715</v>
      </c>
      <c r="J140" t="s">
        <v>728</v>
      </c>
      <c r="K140" t="s">
        <v>872</v>
      </c>
      <c r="L140">
        <v>1203.58</v>
      </c>
      <c r="M140">
        <v>1856.16</v>
      </c>
      <c r="N140">
        <v>0.129</v>
      </c>
      <c r="O140">
        <v>22</v>
      </c>
    </row>
    <row r="141" spans="1:15" x14ac:dyDescent="0.35">
      <c r="A141" t="s">
        <v>154</v>
      </c>
      <c r="B141" s="2">
        <v>45336</v>
      </c>
      <c r="C141" s="2">
        <v>45336</v>
      </c>
      <c r="D141" t="s">
        <v>647</v>
      </c>
      <c r="E141" t="s">
        <v>659</v>
      </c>
      <c r="F141" t="s">
        <v>699</v>
      </c>
      <c r="G141" t="s">
        <v>701</v>
      </c>
      <c r="H141" t="s">
        <v>710</v>
      </c>
      <c r="I141" t="s">
        <v>716</v>
      </c>
      <c r="J141" t="s">
        <v>733</v>
      </c>
      <c r="K141" t="s">
        <v>873</v>
      </c>
      <c r="L141">
        <v>65.930000000000007</v>
      </c>
      <c r="M141">
        <v>84.9</v>
      </c>
      <c r="N141">
        <v>0.25900000000000001</v>
      </c>
      <c r="O141">
        <v>23</v>
      </c>
    </row>
    <row r="142" spans="1:15" x14ac:dyDescent="0.35">
      <c r="A142" t="s">
        <v>155</v>
      </c>
      <c r="B142" s="2">
        <v>45048</v>
      </c>
      <c r="C142" s="2">
        <v>45064</v>
      </c>
      <c r="D142" t="s">
        <v>647</v>
      </c>
      <c r="E142" t="s">
        <v>654</v>
      </c>
      <c r="F142" t="s">
        <v>680</v>
      </c>
      <c r="G142" t="s">
        <v>705</v>
      </c>
      <c r="H142" t="s">
        <v>709</v>
      </c>
      <c r="I142" t="s">
        <v>723</v>
      </c>
      <c r="J142" t="s">
        <v>732</v>
      </c>
      <c r="K142" t="s">
        <v>874</v>
      </c>
      <c r="L142">
        <v>1463.92</v>
      </c>
      <c r="M142">
        <v>2252.2399999999998</v>
      </c>
      <c r="N142">
        <v>0.11799999999999999</v>
      </c>
      <c r="O142">
        <v>44</v>
      </c>
    </row>
    <row r="143" spans="1:15" x14ac:dyDescent="0.35">
      <c r="A143" t="s">
        <v>156</v>
      </c>
      <c r="B143" s="2">
        <v>45649</v>
      </c>
      <c r="C143" s="2">
        <v>45668</v>
      </c>
      <c r="D143" t="s">
        <v>649</v>
      </c>
      <c r="E143" t="s">
        <v>656</v>
      </c>
      <c r="F143" t="s">
        <v>671</v>
      </c>
      <c r="G143" t="s">
        <v>702</v>
      </c>
      <c r="H143" t="s">
        <v>707</v>
      </c>
      <c r="I143" t="s">
        <v>723</v>
      </c>
      <c r="J143" t="s">
        <v>730</v>
      </c>
      <c r="K143" t="s">
        <v>875</v>
      </c>
      <c r="L143">
        <v>501.81</v>
      </c>
      <c r="M143">
        <v>921.62</v>
      </c>
      <c r="N143">
        <v>0.01</v>
      </c>
      <c r="O143">
        <v>9</v>
      </c>
    </row>
    <row r="144" spans="1:15" x14ac:dyDescent="0.35">
      <c r="A144" t="s">
        <v>157</v>
      </c>
      <c r="B144" s="2">
        <v>45133</v>
      </c>
      <c r="C144" s="2">
        <v>45163</v>
      </c>
      <c r="D144" t="s">
        <v>648</v>
      </c>
      <c r="E144" t="s">
        <v>660</v>
      </c>
      <c r="F144" t="s">
        <v>700</v>
      </c>
      <c r="G144" t="s">
        <v>704</v>
      </c>
      <c r="H144" t="s">
        <v>707</v>
      </c>
      <c r="I144" t="s">
        <v>724</v>
      </c>
      <c r="J144" t="s">
        <v>733</v>
      </c>
      <c r="K144" t="s">
        <v>876</v>
      </c>
      <c r="L144">
        <v>1261.48</v>
      </c>
      <c r="M144">
        <v>1643.18</v>
      </c>
      <c r="N144">
        <v>0.151</v>
      </c>
      <c r="O144">
        <v>23</v>
      </c>
    </row>
    <row r="145" spans="1:15" x14ac:dyDescent="0.35">
      <c r="A145" t="s">
        <v>158</v>
      </c>
      <c r="B145" s="2">
        <v>45458</v>
      </c>
      <c r="C145" s="2">
        <v>45479</v>
      </c>
      <c r="D145" t="s">
        <v>648</v>
      </c>
      <c r="E145" t="s">
        <v>653</v>
      </c>
      <c r="F145" t="s">
        <v>667</v>
      </c>
      <c r="G145" t="s">
        <v>706</v>
      </c>
      <c r="H145" t="s">
        <v>710</v>
      </c>
      <c r="I145" t="s">
        <v>716</v>
      </c>
      <c r="J145" t="s">
        <v>728</v>
      </c>
      <c r="K145" t="s">
        <v>877</v>
      </c>
      <c r="L145">
        <v>817.23</v>
      </c>
      <c r="M145">
        <v>1467.17</v>
      </c>
      <c r="N145">
        <v>0.245</v>
      </c>
      <c r="O145">
        <v>9</v>
      </c>
    </row>
    <row r="146" spans="1:15" x14ac:dyDescent="0.35">
      <c r="A146" t="s">
        <v>159</v>
      </c>
      <c r="B146" s="2">
        <v>45112</v>
      </c>
      <c r="C146" s="2">
        <v>45121</v>
      </c>
      <c r="D146" t="s">
        <v>648</v>
      </c>
      <c r="E146" t="s">
        <v>655</v>
      </c>
      <c r="F146" t="s">
        <v>672</v>
      </c>
      <c r="G146" t="s">
        <v>706</v>
      </c>
      <c r="H146" t="s">
        <v>711</v>
      </c>
      <c r="I146" t="s">
        <v>717</v>
      </c>
      <c r="J146" t="s">
        <v>729</v>
      </c>
      <c r="K146" t="s">
        <v>878</v>
      </c>
      <c r="L146">
        <v>578.85</v>
      </c>
      <c r="M146">
        <v>998.76</v>
      </c>
      <c r="N146">
        <v>8.2000000000000003E-2</v>
      </c>
      <c r="O146">
        <v>28</v>
      </c>
    </row>
    <row r="147" spans="1:15" x14ac:dyDescent="0.35">
      <c r="A147" t="s">
        <v>160</v>
      </c>
      <c r="B147" s="2">
        <v>45260</v>
      </c>
      <c r="C147" s="2">
        <v>45259</v>
      </c>
      <c r="D147" t="s">
        <v>646</v>
      </c>
      <c r="E147" t="s">
        <v>661</v>
      </c>
      <c r="F147" t="s">
        <v>687</v>
      </c>
      <c r="G147" t="s">
        <v>705</v>
      </c>
      <c r="H147" t="s">
        <v>709</v>
      </c>
      <c r="I147" t="s">
        <v>718</v>
      </c>
      <c r="J147" t="s">
        <v>731</v>
      </c>
      <c r="K147" t="s">
        <v>879</v>
      </c>
      <c r="L147">
        <v>275.56</v>
      </c>
      <c r="M147">
        <v>630.72</v>
      </c>
      <c r="N147">
        <v>0.107</v>
      </c>
      <c r="O147">
        <v>23</v>
      </c>
    </row>
    <row r="148" spans="1:15" x14ac:dyDescent="0.35">
      <c r="A148" t="s">
        <v>161</v>
      </c>
      <c r="B148" s="2">
        <v>45911</v>
      </c>
      <c r="C148" s="2">
        <v>45928</v>
      </c>
      <c r="D148" t="s">
        <v>646</v>
      </c>
      <c r="E148" t="s">
        <v>650</v>
      </c>
      <c r="F148" t="s">
        <v>664</v>
      </c>
      <c r="G148" t="s">
        <v>703</v>
      </c>
      <c r="H148" t="s">
        <v>710</v>
      </c>
      <c r="I148" t="s">
        <v>713</v>
      </c>
      <c r="J148" t="s">
        <v>731</v>
      </c>
      <c r="K148" t="s">
        <v>880</v>
      </c>
      <c r="L148">
        <v>891.46</v>
      </c>
      <c r="M148">
        <v>728.61</v>
      </c>
      <c r="N148">
        <v>0.185</v>
      </c>
      <c r="O148">
        <v>6</v>
      </c>
    </row>
    <row r="149" spans="1:15" x14ac:dyDescent="0.35">
      <c r="A149" t="s">
        <v>162</v>
      </c>
      <c r="B149" s="2">
        <v>45386</v>
      </c>
      <c r="C149" s="2">
        <v>45406</v>
      </c>
      <c r="D149" t="s">
        <v>649</v>
      </c>
      <c r="E149" t="s">
        <v>656</v>
      </c>
      <c r="F149" t="s">
        <v>698</v>
      </c>
      <c r="G149" t="s">
        <v>703</v>
      </c>
      <c r="H149" t="s">
        <v>711</v>
      </c>
      <c r="I149" t="s">
        <v>719</v>
      </c>
      <c r="J149" t="s">
        <v>733</v>
      </c>
      <c r="K149" t="s">
        <v>881</v>
      </c>
      <c r="L149">
        <v>683.42</v>
      </c>
      <c r="M149">
        <v>951.51</v>
      </c>
      <c r="N149">
        <v>0</v>
      </c>
      <c r="O149">
        <v>14</v>
      </c>
    </row>
    <row r="150" spans="1:15" x14ac:dyDescent="0.35">
      <c r="A150" t="s">
        <v>163</v>
      </c>
      <c r="B150" s="2">
        <v>45183</v>
      </c>
      <c r="C150" s="2">
        <v>45185</v>
      </c>
      <c r="D150" t="s">
        <v>649</v>
      </c>
      <c r="E150" t="s">
        <v>657</v>
      </c>
      <c r="F150" t="s">
        <v>679</v>
      </c>
      <c r="G150" t="s">
        <v>703</v>
      </c>
      <c r="H150" t="s">
        <v>711</v>
      </c>
      <c r="I150" t="s">
        <v>717</v>
      </c>
      <c r="J150" t="s">
        <v>728</v>
      </c>
      <c r="K150" t="s">
        <v>882</v>
      </c>
      <c r="L150">
        <v>376.83</v>
      </c>
      <c r="M150">
        <v>732.88</v>
      </c>
      <c r="N150">
        <v>0.188</v>
      </c>
      <c r="O150">
        <v>25</v>
      </c>
    </row>
    <row r="151" spans="1:15" x14ac:dyDescent="0.35">
      <c r="A151" t="s">
        <v>164</v>
      </c>
      <c r="B151" s="2">
        <v>45558</v>
      </c>
      <c r="C151" s="2">
        <v>45583</v>
      </c>
      <c r="D151" t="s">
        <v>648</v>
      </c>
      <c r="E151" t="s">
        <v>653</v>
      </c>
      <c r="F151" t="s">
        <v>688</v>
      </c>
      <c r="G151" t="s">
        <v>705</v>
      </c>
      <c r="H151" t="s">
        <v>708</v>
      </c>
      <c r="I151" t="s">
        <v>725</v>
      </c>
      <c r="J151" t="s">
        <v>730</v>
      </c>
      <c r="K151" t="s">
        <v>883</v>
      </c>
      <c r="L151">
        <v>1297</v>
      </c>
      <c r="M151">
        <v>2411.52</v>
      </c>
      <c r="N151">
        <v>2.1000000000000001E-2</v>
      </c>
      <c r="O151">
        <v>18</v>
      </c>
    </row>
    <row r="152" spans="1:15" x14ac:dyDescent="0.35">
      <c r="A152" t="s">
        <v>165</v>
      </c>
      <c r="B152" s="2">
        <v>45763</v>
      </c>
      <c r="C152" s="2">
        <v>45793</v>
      </c>
      <c r="D152" t="s">
        <v>648</v>
      </c>
      <c r="E152" t="s">
        <v>653</v>
      </c>
      <c r="F152" t="s">
        <v>681</v>
      </c>
      <c r="G152" t="s">
        <v>706</v>
      </c>
      <c r="H152" t="s">
        <v>710</v>
      </c>
      <c r="I152" t="s">
        <v>723</v>
      </c>
      <c r="J152" t="s">
        <v>728</v>
      </c>
      <c r="K152" t="s">
        <v>884</v>
      </c>
      <c r="L152">
        <v>763.32</v>
      </c>
      <c r="M152">
        <v>568.29</v>
      </c>
      <c r="N152">
        <v>0.13100000000000001</v>
      </c>
      <c r="O152">
        <v>16</v>
      </c>
    </row>
    <row r="153" spans="1:15" x14ac:dyDescent="0.35">
      <c r="A153" t="s">
        <v>166</v>
      </c>
      <c r="B153" s="2">
        <v>45110</v>
      </c>
      <c r="C153" s="2">
        <v>45130</v>
      </c>
      <c r="D153" t="s">
        <v>646</v>
      </c>
      <c r="E153" t="s">
        <v>661</v>
      </c>
      <c r="F153" t="s">
        <v>682</v>
      </c>
      <c r="G153" t="s">
        <v>705</v>
      </c>
      <c r="H153" t="s">
        <v>710</v>
      </c>
      <c r="I153" t="s">
        <v>721</v>
      </c>
      <c r="J153" t="s">
        <v>731</v>
      </c>
      <c r="K153" t="s">
        <v>885</v>
      </c>
      <c r="L153">
        <v>1001.96</v>
      </c>
      <c r="M153">
        <v>1254.95</v>
      </c>
      <c r="N153">
        <v>4.4999999999999998E-2</v>
      </c>
      <c r="O153">
        <v>18</v>
      </c>
    </row>
    <row r="154" spans="1:15" x14ac:dyDescent="0.35">
      <c r="A154" t="s">
        <v>167</v>
      </c>
      <c r="B154" s="2">
        <v>45267</v>
      </c>
      <c r="C154" s="2">
        <v>45265</v>
      </c>
      <c r="D154" t="s">
        <v>647</v>
      </c>
      <c r="E154" t="s">
        <v>652</v>
      </c>
      <c r="F154" t="s">
        <v>689</v>
      </c>
      <c r="G154" t="s">
        <v>703</v>
      </c>
      <c r="H154" t="s">
        <v>709</v>
      </c>
      <c r="I154" t="s">
        <v>722</v>
      </c>
      <c r="J154" t="s">
        <v>728</v>
      </c>
      <c r="K154" t="s">
        <v>886</v>
      </c>
      <c r="L154">
        <v>1097.5899999999999</v>
      </c>
      <c r="M154">
        <v>845.55</v>
      </c>
      <c r="N154">
        <v>0.184</v>
      </c>
      <c r="O154">
        <v>6</v>
      </c>
    </row>
    <row r="155" spans="1:15" x14ac:dyDescent="0.35">
      <c r="A155" t="s">
        <v>168</v>
      </c>
      <c r="B155" s="2">
        <v>45340</v>
      </c>
      <c r="C155" s="2">
        <v>45355</v>
      </c>
      <c r="D155" t="s">
        <v>646</v>
      </c>
      <c r="E155" t="s">
        <v>650</v>
      </c>
      <c r="F155" t="s">
        <v>662</v>
      </c>
      <c r="G155" t="s">
        <v>702</v>
      </c>
      <c r="H155" t="s">
        <v>711</v>
      </c>
      <c r="I155" t="s">
        <v>723</v>
      </c>
      <c r="J155" t="s">
        <v>728</v>
      </c>
      <c r="K155" t="s">
        <v>887</v>
      </c>
      <c r="L155">
        <v>928.68</v>
      </c>
      <c r="M155">
        <v>2145.17</v>
      </c>
      <c r="N155">
        <v>0.13600000000000001</v>
      </c>
      <c r="O155">
        <v>16</v>
      </c>
    </row>
    <row r="156" spans="1:15" x14ac:dyDescent="0.35">
      <c r="A156" t="s">
        <v>169</v>
      </c>
      <c r="B156" s="2">
        <v>45230</v>
      </c>
      <c r="C156" s="2">
        <v>45232</v>
      </c>
      <c r="D156" t="s">
        <v>646</v>
      </c>
      <c r="E156" t="s">
        <v>650</v>
      </c>
      <c r="F156" t="s">
        <v>662</v>
      </c>
      <c r="G156" t="s">
        <v>702</v>
      </c>
      <c r="H156" t="s">
        <v>707</v>
      </c>
      <c r="I156" t="s">
        <v>719</v>
      </c>
      <c r="J156" t="s">
        <v>733</v>
      </c>
      <c r="K156" t="s">
        <v>888</v>
      </c>
      <c r="L156">
        <v>867.89</v>
      </c>
      <c r="M156">
        <v>1349.94</v>
      </c>
      <c r="N156">
        <v>0.184</v>
      </c>
      <c r="O156">
        <v>10</v>
      </c>
    </row>
    <row r="157" spans="1:15" x14ac:dyDescent="0.35">
      <c r="A157" t="s">
        <v>170</v>
      </c>
      <c r="B157" s="2">
        <v>45511</v>
      </c>
      <c r="C157" s="2">
        <v>45521</v>
      </c>
      <c r="D157" t="s">
        <v>647</v>
      </c>
      <c r="E157" t="s">
        <v>652</v>
      </c>
      <c r="F157" t="s">
        <v>666</v>
      </c>
      <c r="G157" t="s">
        <v>704</v>
      </c>
      <c r="H157" t="s">
        <v>708</v>
      </c>
      <c r="I157" t="s">
        <v>723</v>
      </c>
      <c r="J157" t="s">
        <v>729</v>
      </c>
      <c r="K157" t="s">
        <v>889</v>
      </c>
      <c r="L157">
        <v>436.58</v>
      </c>
      <c r="M157">
        <v>527.48</v>
      </c>
      <c r="N157">
        <v>0.111</v>
      </c>
      <c r="O157">
        <v>19</v>
      </c>
    </row>
    <row r="158" spans="1:15" x14ac:dyDescent="0.35">
      <c r="A158" t="s">
        <v>171</v>
      </c>
      <c r="B158" s="2">
        <v>45323</v>
      </c>
      <c r="C158" s="2">
        <v>45343</v>
      </c>
      <c r="D158" t="s">
        <v>649</v>
      </c>
      <c r="E158" t="s">
        <v>657</v>
      </c>
      <c r="F158" t="s">
        <v>690</v>
      </c>
      <c r="G158" t="s">
        <v>705</v>
      </c>
      <c r="H158" t="s">
        <v>709</v>
      </c>
      <c r="I158" t="s">
        <v>720</v>
      </c>
      <c r="J158" t="s">
        <v>729</v>
      </c>
      <c r="K158" t="s">
        <v>890</v>
      </c>
      <c r="L158">
        <v>656.2</v>
      </c>
      <c r="M158">
        <v>1467.17</v>
      </c>
      <c r="N158">
        <v>1.7999999999999999E-2</v>
      </c>
      <c r="O158">
        <v>5</v>
      </c>
    </row>
    <row r="159" spans="1:15" x14ac:dyDescent="0.35">
      <c r="A159" t="s">
        <v>172</v>
      </c>
      <c r="B159" s="2">
        <v>45531</v>
      </c>
      <c r="C159" s="2">
        <v>45553</v>
      </c>
      <c r="D159" t="s">
        <v>647</v>
      </c>
      <c r="E159" t="s">
        <v>654</v>
      </c>
      <c r="F159" t="s">
        <v>680</v>
      </c>
      <c r="G159" t="s">
        <v>704</v>
      </c>
      <c r="H159" t="s">
        <v>711</v>
      </c>
      <c r="I159" t="s">
        <v>717</v>
      </c>
      <c r="J159" t="s">
        <v>727</v>
      </c>
      <c r="K159" t="s">
        <v>891</v>
      </c>
      <c r="L159">
        <v>896.75</v>
      </c>
      <c r="M159">
        <v>1651.14</v>
      </c>
      <c r="N159">
        <v>2.5000000000000001E-2</v>
      </c>
      <c r="O159">
        <v>15</v>
      </c>
    </row>
    <row r="160" spans="1:15" x14ac:dyDescent="0.35">
      <c r="A160" t="s">
        <v>173</v>
      </c>
      <c r="B160" s="2">
        <v>45703</v>
      </c>
      <c r="C160" s="2">
        <v>45703</v>
      </c>
      <c r="D160" t="s">
        <v>649</v>
      </c>
      <c r="E160" t="s">
        <v>656</v>
      </c>
      <c r="F160" t="s">
        <v>698</v>
      </c>
      <c r="G160" t="s">
        <v>705</v>
      </c>
      <c r="H160" t="s">
        <v>709</v>
      </c>
      <c r="I160" t="s">
        <v>716</v>
      </c>
      <c r="J160" t="s">
        <v>733</v>
      </c>
      <c r="K160" t="s">
        <v>892</v>
      </c>
      <c r="L160">
        <v>815.83</v>
      </c>
      <c r="M160">
        <v>1982.18</v>
      </c>
      <c r="N160">
        <v>0.127</v>
      </c>
      <c r="O160">
        <v>6</v>
      </c>
    </row>
    <row r="161" spans="1:15" x14ac:dyDescent="0.35">
      <c r="A161" t="s">
        <v>174</v>
      </c>
      <c r="B161" s="2">
        <v>45870</v>
      </c>
      <c r="C161" s="2">
        <v>45890</v>
      </c>
      <c r="D161" t="s">
        <v>647</v>
      </c>
      <c r="E161" t="s">
        <v>659</v>
      </c>
      <c r="F161" t="s">
        <v>685</v>
      </c>
      <c r="G161" t="s">
        <v>701</v>
      </c>
      <c r="H161" t="s">
        <v>711</v>
      </c>
      <c r="I161" t="s">
        <v>714</v>
      </c>
      <c r="J161" t="s">
        <v>730</v>
      </c>
      <c r="K161" t="s">
        <v>893</v>
      </c>
      <c r="L161">
        <v>1220.4100000000001</v>
      </c>
      <c r="M161">
        <v>2552.2199999999998</v>
      </c>
      <c r="N161">
        <v>0.18099999999999999</v>
      </c>
      <c r="O161">
        <v>14</v>
      </c>
    </row>
    <row r="162" spans="1:15" x14ac:dyDescent="0.35">
      <c r="A162" t="s">
        <v>175</v>
      </c>
      <c r="B162" s="2">
        <v>44977</v>
      </c>
      <c r="C162" s="2">
        <v>44989</v>
      </c>
      <c r="D162" t="s">
        <v>647</v>
      </c>
      <c r="E162" t="s">
        <v>654</v>
      </c>
      <c r="F162" t="s">
        <v>680</v>
      </c>
      <c r="G162" t="s">
        <v>704</v>
      </c>
      <c r="H162" t="s">
        <v>710</v>
      </c>
      <c r="I162" t="s">
        <v>724</v>
      </c>
      <c r="J162" t="s">
        <v>732</v>
      </c>
      <c r="K162" t="s">
        <v>894</v>
      </c>
      <c r="L162">
        <v>299.75</v>
      </c>
      <c r="M162">
        <v>523.01</v>
      </c>
      <c r="N162">
        <v>0.157</v>
      </c>
      <c r="O162">
        <v>50</v>
      </c>
    </row>
    <row r="163" spans="1:15" x14ac:dyDescent="0.35">
      <c r="A163" t="s">
        <v>176</v>
      </c>
      <c r="B163" s="2">
        <v>45595</v>
      </c>
      <c r="C163" s="2">
        <v>45620</v>
      </c>
      <c r="D163" t="s">
        <v>647</v>
      </c>
      <c r="E163" t="s">
        <v>659</v>
      </c>
      <c r="F163" t="s">
        <v>676</v>
      </c>
      <c r="G163" t="s">
        <v>705</v>
      </c>
      <c r="H163" t="s">
        <v>708</v>
      </c>
      <c r="I163" t="s">
        <v>718</v>
      </c>
      <c r="J163" t="s">
        <v>727</v>
      </c>
      <c r="K163" t="s">
        <v>895</v>
      </c>
      <c r="L163">
        <v>811.05</v>
      </c>
      <c r="M163">
        <v>1217.71</v>
      </c>
      <c r="N163">
        <v>7.1999999999999995E-2</v>
      </c>
      <c r="O163">
        <v>5</v>
      </c>
    </row>
    <row r="164" spans="1:15" x14ac:dyDescent="0.35">
      <c r="A164" t="s">
        <v>177</v>
      </c>
      <c r="B164" s="2">
        <v>45385</v>
      </c>
      <c r="C164" s="2">
        <v>45389</v>
      </c>
      <c r="D164" t="s">
        <v>648</v>
      </c>
      <c r="E164" t="s">
        <v>655</v>
      </c>
      <c r="F164" t="s">
        <v>672</v>
      </c>
      <c r="G164" t="s">
        <v>703</v>
      </c>
      <c r="H164" t="s">
        <v>711</v>
      </c>
      <c r="I164" t="s">
        <v>725</v>
      </c>
      <c r="J164" t="s">
        <v>730</v>
      </c>
      <c r="K164" t="s">
        <v>896</v>
      </c>
      <c r="L164">
        <v>1023.27</v>
      </c>
      <c r="M164">
        <v>1343.64</v>
      </c>
      <c r="N164">
        <v>0.13300000000000001</v>
      </c>
      <c r="O164">
        <v>7</v>
      </c>
    </row>
    <row r="165" spans="1:15" x14ac:dyDescent="0.35">
      <c r="A165" t="s">
        <v>178</v>
      </c>
      <c r="B165" s="2">
        <v>45010</v>
      </c>
      <c r="C165" s="2">
        <v>45011</v>
      </c>
      <c r="D165" t="s">
        <v>647</v>
      </c>
      <c r="E165" t="s">
        <v>652</v>
      </c>
      <c r="F165" t="s">
        <v>666</v>
      </c>
      <c r="G165" t="s">
        <v>705</v>
      </c>
      <c r="H165" t="s">
        <v>710</v>
      </c>
      <c r="I165" t="s">
        <v>714</v>
      </c>
      <c r="J165" t="s">
        <v>732</v>
      </c>
      <c r="K165" t="s">
        <v>897</v>
      </c>
      <c r="L165">
        <v>135.12</v>
      </c>
      <c r="M165">
        <v>301.7</v>
      </c>
      <c r="N165">
        <v>0.14000000000000001</v>
      </c>
      <c r="O165">
        <v>47</v>
      </c>
    </row>
    <row r="166" spans="1:15" x14ac:dyDescent="0.35">
      <c r="A166" t="s">
        <v>179</v>
      </c>
      <c r="B166" s="2">
        <v>45447</v>
      </c>
      <c r="C166" s="2">
        <v>45459</v>
      </c>
      <c r="D166" t="s">
        <v>647</v>
      </c>
      <c r="E166" t="s">
        <v>659</v>
      </c>
      <c r="F166" t="s">
        <v>685</v>
      </c>
      <c r="G166" t="s">
        <v>701</v>
      </c>
      <c r="H166" t="s">
        <v>707</v>
      </c>
      <c r="I166" t="s">
        <v>713</v>
      </c>
      <c r="J166" t="s">
        <v>728</v>
      </c>
      <c r="K166" t="s">
        <v>898</v>
      </c>
      <c r="L166">
        <v>918.42</v>
      </c>
      <c r="M166">
        <v>1511.71</v>
      </c>
      <c r="N166">
        <v>0.02</v>
      </c>
      <c r="O166">
        <v>8</v>
      </c>
    </row>
    <row r="167" spans="1:15" x14ac:dyDescent="0.35">
      <c r="A167" t="s">
        <v>180</v>
      </c>
      <c r="B167" s="2">
        <v>44976</v>
      </c>
      <c r="C167" s="2">
        <v>44997</v>
      </c>
      <c r="D167" t="s">
        <v>649</v>
      </c>
      <c r="E167" t="s">
        <v>656</v>
      </c>
      <c r="F167" t="s">
        <v>671</v>
      </c>
      <c r="G167" t="s">
        <v>705</v>
      </c>
      <c r="H167" t="s">
        <v>711</v>
      </c>
      <c r="I167" t="s">
        <v>716</v>
      </c>
      <c r="J167" t="s">
        <v>732</v>
      </c>
      <c r="K167" t="s">
        <v>899</v>
      </c>
      <c r="L167">
        <v>1234.81</v>
      </c>
      <c r="M167">
        <v>2055.2399999999998</v>
      </c>
      <c r="N167">
        <v>5.2999999999999999E-2</v>
      </c>
      <c r="O167">
        <v>44</v>
      </c>
    </row>
    <row r="168" spans="1:15" x14ac:dyDescent="0.35">
      <c r="A168" t="s">
        <v>181</v>
      </c>
      <c r="B168" s="2">
        <v>45034</v>
      </c>
      <c r="C168" s="2">
        <v>45064</v>
      </c>
      <c r="D168" t="s">
        <v>647</v>
      </c>
      <c r="E168" t="s">
        <v>659</v>
      </c>
      <c r="F168" t="s">
        <v>676</v>
      </c>
      <c r="G168" t="s">
        <v>703</v>
      </c>
      <c r="H168" t="s">
        <v>707</v>
      </c>
      <c r="I168" t="s">
        <v>722</v>
      </c>
      <c r="J168" t="s">
        <v>731</v>
      </c>
      <c r="K168" t="s">
        <v>900</v>
      </c>
      <c r="L168">
        <v>329.03</v>
      </c>
      <c r="M168">
        <v>391.15</v>
      </c>
      <c r="N168">
        <v>0.19700000000000001</v>
      </c>
      <c r="O168">
        <v>46</v>
      </c>
    </row>
    <row r="169" spans="1:15" x14ac:dyDescent="0.35">
      <c r="A169" t="s">
        <v>182</v>
      </c>
      <c r="B169" s="2">
        <v>45435</v>
      </c>
      <c r="C169" s="2">
        <v>45457</v>
      </c>
      <c r="D169" t="s">
        <v>649</v>
      </c>
      <c r="E169" t="s">
        <v>657</v>
      </c>
      <c r="F169" t="s">
        <v>673</v>
      </c>
      <c r="G169" t="s">
        <v>705</v>
      </c>
      <c r="H169" t="s">
        <v>708</v>
      </c>
      <c r="I169" t="s">
        <v>725</v>
      </c>
      <c r="J169" t="s">
        <v>732</v>
      </c>
      <c r="K169" t="s">
        <v>901</v>
      </c>
      <c r="L169">
        <v>1481.74</v>
      </c>
      <c r="M169">
        <v>1848.97</v>
      </c>
      <c r="N169">
        <v>0.254</v>
      </c>
      <c r="O169">
        <v>9</v>
      </c>
    </row>
    <row r="170" spans="1:15" x14ac:dyDescent="0.35">
      <c r="A170" t="s">
        <v>183</v>
      </c>
      <c r="B170" s="2">
        <v>45206</v>
      </c>
      <c r="C170" s="2">
        <v>45222</v>
      </c>
      <c r="D170" t="s">
        <v>647</v>
      </c>
      <c r="E170" t="s">
        <v>654</v>
      </c>
      <c r="F170" t="s">
        <v>696</v>
      </c>
      <c r="G170" t="s">
        <v>704</v>
      </c>
      <c r="H170" t="s">
        <v>707</v>
      </c>
      <c r="I170" t="s">
        <v>715</v>
      </c>
      <c r="J170" t="s">
        <v>732</v>
      </c>
      <c r="K170" t="s">
        <v>902</v>
      </c>
      <c r="L170">
        <v>906.81</v>
      </c>
      <c r="M170">
        <v>1395.56</v>
      </c>
      <c r="N170">
        <v>0.185</v>
      </c>
      <c r="O170">
        <v>6</v>
      </c>
    </row>
    <row r="171" spans="1:15" x14ac:dyDescent="0.35">
      <c r="A171" t="s">
        <v>184</v>
      </c>
      <c r="B171" s="2">
        <v>45574</v>
      </c>
      <c r="C171" s="2">
        <v>45604</v>
      </c>
      <c r="D171" t="s">
        <v>649</v>
      </c>
      <c r="E171" t="s">
        <v>658</v>
      </c>
      <c r="F171" t="s">
        <v>693</v>
      </c>
      <c r="G171" t="s">
        <v>705</v>
      </c>
      <c r="H171" t="s">
        <v>710</v>
      </c>
      <c r="I171" t="s">
        <v>713</v>
      </c>
      <c r="J171" t="s">
        <v>727</v>
      </c>
      <c r="K171" t="s">
        <v>903</v>
      </c>
      <c r="L171">
        <v>343.85</v>
      </c>
      <c r="M171">
        <v>538.04</v>
      </c>
      <c r="N171">
        <v>0.13900000000000001</v>
      </c>
      <c r="O171">
        <v>5</v>
      </c>
    </row>
    <row r="172" spans="1:15" x14ac:dyDescent="0.35">
      <c r="A172" t="s">
        <v>185</v>
      </c>
      <c r="B172" s="2">
        <v>45488</v>
      </c>
      <c r="C172" s="2">
        <v>45488</v>
      </c>
      <c r="D172" t="s">
        <v>647</v>
      </c>
      <c r="E172" t="s">
        <v>652</v>
      </c>
      <c r="F172" t="s">
        <v>689</v>
      </c>
      <c r="G172" t="s">
        <v>705</v>
      </c>
      <c r="H172" t="s">
        <v>709</v>
      </c>
      <c r="I172" t="s">
        <v>715</v>
      </c>
      <c r="J172" t="s">
        <v>733</v>
      </c>
      <c r="K172" t="s">
        <v>904</v>
      </c>
      <c r="L172">
        <v>801.77</v>
      </c>
      <c r="M172">
        <v>1218.92</v>
      </c>
      <c r="N172">
        <v>0.254</v>
      </c>
      <c r="O172">
        <v>16</v>
      </c>
    </row>
    <row r="173" spans="1:15" x14ac:dyDescent="0.35">
      <c r="A173" t="s">
        <v>186</v>
      </c>
      <c r="B173" s="2">
        <v>45190</v>
      </c>
      <c r="C173" s="2">
        <v>45209</v>
      </c>
      <c r="D173" t="s">
        <v>647</v>
      </c>
      <c r="E173" t="s">
        <v>652</v>
      </c>
      <c r="F173" t="s">
        <v>689</v>
      </c>
      <c r="G173" t="s">
        <v>702</v>
      </c>
      <c r="H173" t="s">
        <v>708</v>
      </c>
      <c r="I173" t="s">
        <v>726</v>
      </c>
      <c r="J173" t="s">
        <v>727</v>
      </c>
      <c r="K173" t="s">
        <v>905</v>
      </c>
      <c r="L173">
        <v>845.63</v>
      </c>
      <c r="M173">
        <v>2062.12</v>
      </c>
      <c r="N173">
        <v>0.13400000000000001</v>
      </c>
      <c r="O173">
        <v>5</v>
      </c>
    </row>
    <row r="174" spans="1:15" x14ac:dyDescent="0.35">
      <c r="A174" t="s">
        <v>187</v>
      </c>
      <c r="B174" s="2">
        <v>44981</v>
      </c>
      <c r="C174" s="2">
        <v>44994</v>
      </c>
      <c r="D174" t="s">
        <v>648</v>
      </c>
      <c r="E174" t="s">
        <v>660</v>
      </c>
      <c r="F174" t="s">
        <v>700</v>
      </c>
      <c r="G174" t="s">
        <v>706</v>
      </c>
      <c r="H174" t="s">
        <v>708</v>
      </c>
      <c r="I174" t="s">
        <v>724</v>
      </c>
      <c r="J174" t="s">
        <v>727</v>
      </c>
      <c r="K174" t="s">
        <v>906</v>
      </c>
      <c r="L174">
        <v>6.85</v>
      </c>
      <c r="M174">
        <v>10.18</v>
      </c>
      <c r="N174">
        <v>4.7E-2</v>
      </c>
      <c r="O174">
        <v>10</v>
      </c>
    </row>
    <row r="175" spans="1:15" x14ac:dyDescent="0.35">
      <c r="A175" t="s">
        <v>188</v>
      </c>
      <c r="B175" s="2">
        <v>45798</v>
      </c>
      <c r="C175" s="2">
        <v>45796</v>
      </c>
      <c r="D175" t="s">
        <v>646</v>
      </c>
      <c r="E175" t="s">
        <v>661</v>
      </c>
      <c r="F175" t="s">
        <v>682</v>
      </c>
      <c r="G175" t="s">
        <v>703</v>
      </c>
      <c r="H175" t="s">
        <v>710</v>
      </c>
      <c r="I175" t="s">
        <v>719</v>
      </c>
      <c r="J175" t="s">
        <v>731</v>
      </c>
      <c r="K175" t="s">
        <v>907</v>
      </c>
      <c r="L175">
        <v>1263.8399999999999</v>
      </c>
      <c r="M175">
        <v>2281.7199999999998</v>
      </c>
      <c r="N175">
        <v>7.8E-2</v>
      </c>
      <c r="O175">
        <v>15</v>
      </c>
    </row>
    <row r="176" spans="1:15" x14ac:dyDescent="0.35">
      <c r="A176" t="s">
        <v>189</v>
      </c>
      <c r="B176" s="2">
        <v>45435</v>
      </c>
      <c r="C176" s="2">
        <v>45446</v>
      </c>
      <c r="D176" t="s">
        <v>646</v>
      </c>
      <c r="E176" t="s">
        <v>661</v>
      </c>
      <c r="F176" t="s">
        <v>682</v>
      </c>
      <c r="G176" t="s">
        <v>705</v>
      </c>
      <c r="H176" t="s">
        <v>710</v>
      </c>
      <c r="I176" t="s">
        <v>721</v>
      </c>
      <c r="J176" t="s">
        <v>728</v>
      </c>
      <c r="K176" t="s">
        <v>908</v>
      </c>
      <c r="L176">
        <v>180.89</v>
      </c>
      <c r="M176">
        <v>249.57</v>
      </c>
      <c r="N176">
        <v>2.1999999999999999E-2</v>
      </c>
      <c r="O176">
        <v>8</v>
      </c>
    </row>
    <row r="177" spans="1:15" x14ac:dyDescent="0.35">
      <c r="A177" t="s">
        <v>190</v>
      </c>
      <c r="B177" s="2">
        <v>45761</v>
      </c>
      <c r="C177" s="2">
        <v>45781</v>
      </c>
      <c r="D177" t="s">
        <v>649</v>
      </c>
      <c r="E177" t="s">
        <v>658</v>
      </c>
      <c r="F177" t="s">
        <v>674</v>
      </c>
      <c r="G177" t="s">
        <v>706</v>
      </c>
      <c r="H177" t="s">
        <v>709</v>
      </c>
      <c r="I177" t="s">
        <v>723</v>
      </c>
      <c r="J177" t="s">
        <v>732</v>
      </c>
      <c r="K177" t="s">
        <v>909</v>
      </c>
      <c r="L177">
        <v>1413.87</v>
      </c>
      <c r="M177">
        <v>3275</v>
      </c>
      <c r="N177">
        <v>0.255</v>
      </c>
      <c r="O177">
        <v>38</v>
      </c>
    </row>
    <row r="178" spans="1:15" x14ac:dyDescent="0.35">
      <c r="A178" t="s">
        <v>191</v>
      </c>
      <c r="B178" s="2">
        <v>45165</v>
      </c>
      <c r="C178" s="2">
        <v>45180</v>
      </c>
      <c r="D178" t="s">
        <v>649</v>
      </c>
      <c r="E178" t="s">
        <v>658</v>
      </c>
      <c r="F178" t="s">
        <v>683</v>
      </c>
      <c r="G178" t="s">
        <v>704</v>
      </c>
      <c r="H178" t="s">
        <v>709</v>
      </c>
      <c r="I178" t="s">
        <v>725</v>
      </c>
      <c r="J178" t="s">
        <v>728</v>
      </c>
      <c r="K178" t="s">
        <v>910</v>
      </c>
      <c r="L178">
        <v>943.79</v>
      </c>
      <c r="M178">
        <v>1913.76</v>
      </c>
      <c r="N178">
        <v>9.0999999999999998E-2</v>
      </c>
      <c r="O178">
        <v>9</v>
      </c>
    </row>
    <row r="179" spans="1:15" x14ac:dyDescent="0.35">
      <c r="A179" t="s">
        <v>192</v>
      </c>
      <c r="B179" s="2">
        <v>45325</v>
      </c>
      <c r="C179" s="2">
        <v>45343</v>
      </c>
      <c r="D179" t="s">
        <v>649</v>
      </c>
      <c r="E179" t="s">
        <v>656</v>
      </c>
      <c r="F179" t="s">
        <v>698</v>
      </c>
      <c r="G179" t="s">
        <v>701</v>
      </c>
      <c r="H179" t="s">
        <v>707</v>
      </c>
      <c r="I179" t="s">
        <v>722</v>
      </c>
      <c r="J179" t="s">
        <v>727</v>
      </c>
      <c r="K179" t="s">
        <v>911</v>
      </c>
      <c r="L179">
        <v>39.229999999999997</v>
      </c>
      <c r="M179">
        <v>30.09</v>
      </c>
      <c r="N179">
        <v>0.17699999999999999</v>
      </c>
      <c r="O179">
        <v>13</v>
      </c>
    </row>
    <row r="180" spans="1:15" x14ac:dyDescent="0.35">
      <c r="A180" t="s">
        <v>193</v>
      </c>
      <c r="B180" s="2">
        <v>45021</v>
      </c>
      <c r="C180" s="2">
        <v>45032</v>
      </c>
      <c r="D180" t="s">
        <v>648</v>
      </c>
      <c r="E180" t="s">
        <v>653</v>
      </c>
      <c r="F180" t="s">
        <v>688</v>
      </c>
      <c r="G180" t="s">
        <v>703</v>
      </c>
      <c r="H180" t="s">
        <v>708</v>
      </c>
      <c r="I180" t="s">
        <v>719</v>
      </c>
      <c r="J180" t="s">
        <v>732</v>
      </c>
      <c r="K180" t="s">
        <v>912</v>
      </c>
      <c r="L180">
        <v>213.1</v>
      </c>
      <c r="M180">
        <v>501.31</v>
      </c>
      <c r="N180">
        <v>5.6000000000000001E-2</v>
      </c>
      <c r="O180">
        <v>15</v>
      </c>
    </row>
    <row r="181" spans="1:15" x14ac:dyDescent="0.35">
      <c r="A181" t="s">
        <v>194</v>
      </c>
      <c r="B181" s="2">
        <v>45890</v>
      </c>
      <c r="C181" s="2">
        <v>45912</v>
      </c>
      <c r="D181" t="s">
        <v>647</v>
      </c>
      <c r="E181" t="s">
        <v>659</v>
      </c>
      <c r="F181" t="s">
        <v>676</v>
      </c>
      <c r="G181" t="s">
        <v>702</v>
      </c>
      <c r="H181" t="s">
        <v>707</v>
      </c>
      <c r="I181" t="s">
        <v>717</v>
      </c>
      <c r="J181" t="s">
        <v>728</v>
      </c>
      <c r="K181" t="s">
        <v>913</v>
      </c>
      <c r="L181">
        <v>352.66</v>
      </c>
      <c r="M181">
        <v>411.18</v>
      </c>
      <c r="N181">
        <v>0.17299999999999999</v>
      </c>
      <c r="O181">
        <v>13</v>
      </c>
    </row>
    <row r="182" spans="1:15" x14ac:dyDescent="0.35">
      <c r="A182" t="s">
        <v>195</v>
      </c>
      <c r="B182" s="2">
        <v>45915</v>
      </c>
      <c r="C182" s="2">
        <v>45918</v>
      </c>
      <c r="D182" t="s">
        <v>648</v>
      </c>
      <c r="E182" t="s">
        <v>655</v>
      </c>
      <c r="F182" t="s">
        <v>692</v>
      </c>
      <c r="G182" t="s">
        <v>703</v>
      </c>
      <c r="H182" t="s">
        <v>711</v>
      </c>
      <c r="I182" t="s">
        <v>716</v>
      </c>
      <c r="J182" t="s">
        <v>733</v>
      </c>
      <c r="K182" t="s">
        <v>914</v>
      </c>
      <c r="L182">
        <v>5.5</v>
      </c>
      <c r="M182">
        <v>5.92</v>
      </c>
      <c r="N182">
        <v>0.21199999999999999</v>
      </c>
      <c r="O182">
        <v>4</v>
      </c>
    </row>
    <row r="183" spans="1:15" x14ac:dyDescent="0.35">
      <c r="A183" t="s">
        <v>196</v>
      </c>
      <c r="B183" s="2">
        <v>45568</v>
      </c>
      <c r="C183" s="2">
        <v>45576</v>
      </c>
      <c r="D183" t="s">
        <v>647</v>
      </c>
      <c r="E183" t="s">
        <v>659</v>
      </c>
      <c r="F183" t="s">
        <v>699</v>
      </c>
      <c r="G183" t="s">
        <v>706</v>
      </c>
      <c r="H183" t="s">
        <v>711</v>
      </c>
      <c r="I183" t="s">
        <v>717</v>
      </c>
      <c r="J183" t="s">
        <v>730</v>
      </c>
      <c r="K183" t="s">
        <v>915</v>
      </c>
      <c r="L183">
        <v>1132.6099999999999</v>
      </c>
      <c r="M183">
        <v>2206.63</v>
      </c>
      <c r="N183">
        <v>6.3E-2</v>
      </c>
      <c r="O183">
        <v>20</v>
      </c>
    </row>
    <row r="184" spans="1:15" x14ac:dyDescent="0.35">
      <c r="A184" t="s">
        <v>197</v>
      </c>
      <c r="B184" s="2">
        <v>45690</v>
      </c>
      <c r="C184" s="2">
        <v>45720</v>
      </c>
      <c r="D184" t="s">
        <v>647</v>
      </c>
      <c r="E184" t="s">
        <v>652</v>
      </c>
      <c r="F184" t="s">
        <v>666</v>
      </c>
      <c r="G184" t="s">
        <v>702</v>
      </c>
      <c r="H184" t="s">
        <v>710</v>
      </c>
      <c r="I184" t="s">
        <v>716</v>
      </c>
      <c r="J184" t="s">
        <v>733</v>
      </c>
      <c r="K184" t="s">
        <v>916</v>
      </c>
      <c r="L184">
        <v>766.59</v>
      </c>
      <c r="M184">
        <v>1912.8</v>
      </c>
      <c r="N184">
        <v>0.19600000000000001</v>
      </c>
      <c r="O184">
        <v>5</v>
      </c>
    </row>
    <row r="185" spans="1:15" x14ac:dyDescent="0.35">
      <c r="A185" t="s">
        <v>198</v>
      </c>
      <c r="B185" s="2">
        <v>45157</v>
      </c>
      <c r="C185" s="2">
        <v>45161</v>
      </c>
      <c r="D185" t="s">
        <v>646</v>
      </c>
      <c r="E185" t="s">
        <v>651</v>
      </c>
      <c r="F185" t="s">
        <v>669</v>
      </c>
      <c r="G185" t="s">
        <v>705</v>
      </c>
      <c r="H185" t="s">
        <v>708</v>
      </c>
      <c r="I185" t="s">
        <v>713</v>
      </c>
      <c r="J185" t="s">
        <v>732</v>
      </c>
      <c r="K185" t="s">
        <v>917</v>
      </c>
      <c r="L185">
        <v>790.63</v>
      </c>
      <c r="M185">
        <v>1382.31</v>
      </c>
      <c r="N185">
        <v>0.10100000000000001</v>
      </c>
      <c r="O185">
        <v>7</v>
      </c>
    </row>
    <row r="186" spans="1:15" x14ac:dyDescent="0.35">
      <c r="A186" t="s">
        <v>199</v>
      </c>
      <c r="B186" s="2">
        <v>45587</v>
      </c>
      <c r="C186" s="2">
        <v>45594</v>
      </c>
      <c r="D186" t="s">
        <v>646</v>
      </c>
      <c r="E186" t="s">
        <v>651</v>
      </c>
      <c r="F186" t="s">
        <v>663</v>
      </c>
      <c r="G186" t="s">
        <v>706</v>
      </c>
      <c r="H186" t="s">
        <v>710</v>
      </c>
      <c r="I186" t="s">
        <v>724</v>
      </c>
      <c r="J186" t="s">
        <v>732</v>
      </c>
      <c r="K186" t="s">
        <v>918</v>
      </c>
      <c r="L186">
        <v>1023.06</v>
      </c>
      <c r="M186">
        <v>1355.61</v>
      </c>
      <c r="N186">
        <v>0.153</v>
      </c>
      <c r="O186">
        <v>23</v>
      </c>
    </row>
    <row r="187" spans="1:15" x14ac:dyDescent="0.35">
      <c r="A187" t="s">
        <v>200</v>
      </c>
      <c r="B187" s="2">
        <v>45099</v>
      </c>
      <c r="C187" s="2">
        <v>45128</v>
      </c>
      <c r="D187" t="s">
        <v>649</v>
      </c>
      <c r="E187" t="s">
        <v>657</v>
      </c>
      <c r="F187" t="s">
        <v>679</v>
      </c>
      <c r="G187" t="s">
        <v>701</v>
      </c>
      <c r="H187" t="s">
        <v>707</v>
      </c>
      <c r="I187" t="s">
        <v>713</v>
      </c>
      <c r="J187" t="s">
        <v>733</v>
      </c>
      <c r="K187" t="s">
        <v>919</v>
      </c>
      <c r="L187">
        <v>734.34</v>
      </c>
      <c r="M187">
        <v>887.9</v>
      </c>
      <c r="N187">
        <v>2.5000000000000001E-2</v>
      </c>
      <c r="O187">
        <v>12</v>
      </c>
    </row>
    <row r="188" spans="1:15" x14ac:dyDescent="0.35">
      <c r="A188" t="s">
        <v>201</v>
      </c>
      <c r="B188" s="2">
        <v>45670</v>
      </c>
      <c r="C188" s="2">
        <v>45696</v>
      </c>
      <c r="D188" t="s">
        <v>649</v>
      </c>
      <c r="E188" t="s">
        <v>657</v>
      </c>
      <c r="F188" t="s">
        <v>690</v>
      </c>
      <c r="G188" t="s">
        <v>703</v>
      </c>
      <c r="I188" t="s">
        <v>718</v>
      </c>
      <c r="J188" t="s">
        <v>732</v>
      </c>
      <c r="K188" t="s">
        <v>920</v>
      </c>
      <c r="L188">
        <v>594.74</v>
      </c>
      <c r="M188">
        <v>1020.69</v>
      </c>
      <c r="N188">
        <v>0.21099999999999999</v>
      </c>
      <c r="O188">
        <v>6</v>
      </c>
    </row>
    <row r="189" spans="1:15" x14ac:dyDescent="0.35">
      <c r="A189" t="s">
        <v>144</v>
      </c>
      <c r="B189" s="2">
        <v>44955</v>
      </c>
      <c r="C189" s="2">
        <v>44985</v>
      </c>
      <c r="D189" t="s">
        <v>647</v>
      </c>
      <c r="E189" t="s">
        <v>654</v>
      </c>
      <c r="F189" t="s">
        <v>668</v>
      </c>
      <c r="G189" t="s">
        <v>703</v>
      </c>
      <c r="H189" t="s">
        <v>707</v>
      </c>
      <c r="I189" t="s">
        <v>717</v>
      </c>
      <c r="J189" t="s">
        <v>733</v>
      </c>
      <c r="K189" t="s">
        <v>921</v>
      </c>
      <c r="L189">
        <v>1262.0999999999999</v>
      </c>
      <c r="M189">
        <v>1395.53</v>
      </c>
      <c r="N189">
        <v>0.23300000000000001</v>
      </c>
      <c r="O189">
        <v>25</v>
      </c>
    </row>
    <row r="190" spans="1:15" x14ac:dyDescent="0.35">
      <c r="A190" t="s">
        <v>202</v>
      </c>
      <c r="B190" s="2">
        <v>45126</v>
      </c>
      <c r="C190" s="2">
        <v>45138</v>
      </c>
      <c r="D190" t="s">
        <v>648</v>
      </c>
      <c r="E190" t="s">
        <v>655</v>
      </c>
      <c r="F190" t="s">
        <v>692</v>
      </c>
      <c r="G190" t="s">
        <v>701</v>
      </c>
      <c r="H190" t="s">
        <v>707</v>
      </c>
      <c r="I190" t="s">
        <v>712</v>
      </c>
      <c r="J190" t="s">
        <v>732</v>
      </c>
      <c r="K190" t="s">
        <v>922</v>
      </c>
      <c r="L190">
        <v>1334.64</v>
      </c>
      <c r="M190">
        <v>2273.42</v>
      </c>
      <c r="N190">
        <v>0.11799999999999999</v>
      </c>
      <c r="O190">
        <v>14</v>
      </c>
    </row>
    <row r="191" spans="1:15" x14ac:dyDescent="0.35">
      <c r="A191" t="s">
        <v>203</v>
      </c>
      <c r="B191" s="2">
        <v>45431</v>
      </c>
      <c r="C191" s="2">
        <v>45451</v>
      </c>
      <c r="D191" t="s">
        <v>648</v>
      </c>
      <c r="E191" t="s">
        <v>655</v>
      </c>
      <c r="F191" t="s">
        <v>672</v>
      </c>
      <c r="G191" t="s">
        <v>705</v>
      </c>
      <c r="H191" t="s">
        <v>707</v>
      </c>
      <c r="I191" t="s">
        <v>718</v>
      </c>
      <c r="J191" t="s">
        <v>732</v>
      </c>
      <c r="K191" t="s">
        <v>923</v>
      </c>
      <c r="L191">
        <v>1075.9000000000001</v>
      </c>
      <c r="M191">
        <v>1242.1500000000001</v>
      </c>
      <c r="N191">
        <v>1.2E-2</v>
      </c>
      <c r="O191">
        <v>7</v>
      </c>
    </row>
    <row r="192" spans="1:15" x14ac:dyDescent="0.35">
      <c r="A192" t="s">
        <v>204</v>
      </c>
      <c r="B192" s="2">
        <v>45325</v>
      </c>
      <c r="C192" s="2">
        <v>45341</v>
      </c>
      <c r="D192" t="s">
        <v>647</v>
      </c>
      <c r="E192" t="s">
        <v>659</v>
      </c>
      <c r="F192" t="s">
        <v>676</v>
      </c>
      <c r="G192" t="s">
        <v>705</v>
      </c>
      <c r="H192" t="s">
        <v>708</v>
      </c>
      <c r="I192" t="s">
        <v>722</v>
      </c>
      <c r="J192" t="s">
        <v>731</v>
      </c>
      <c r="K192" t="s">
        <v>924</v>
      </c>
      <c r="L192">
        <v>993.75</v>
      </c>
      <c r="M192">
        <v>1310.29</v>
      </c>
      <c r="N192">
        <v>0.215</v>
      </c>
      <c r="O192">
        <v>19</v>
      </c>
    </row>
    <row r="193" spans="1:15" x14ac:dyDescent="0.35">
      <c r="A193" t="s">
        <v>205</v>
      </c>
      <c r="B193" s="2">
        <v>45146</v>
      </c>
      <c r="C193" s="2">
        <v>45160</v>
      </c>
      <c r="D193" t="s">
        <v>649</v>
      </c>
      <c r="E193" t="s">
        <v>658</v>
      </c>
      <c r="F193" t="s">
        <v>674</v>
      </c>
      <c r="G193" t="s">
        <v>703</v>
      </c>
      <c r="H193" t="s">
        <v>711</v>
      </c>
      <c r="I193" t="s">
        <v>725</v>
      </c>
      <c r="J193" t="s">
        <v>732</v>
      </c>
      <c r="K193" t="s">
        <v>925</v>
      </c>
      <c r="L193">
        <v>446.69</v>
      </c>
      <c r="M193">
        <v>967.25</v>
      </c>
      <c r="N193">
        <v>9.4E-2</v>
      </c>
      <c r="O193">
        <v>10</v>
      </c>
    </row>
    <row r="194" spans="1:15" x14ac:dyDescent="0.35">
      <c r="A194" t="s">
        <v>206</v>
      </c>
      <c r="B194" s="2">
        <v>45516</v>
      </c>
      <c r="C194" s="2">
        <v>45538</v>
      </c>
      <c r="D194" t="s">
        <v>648</v>
      </c>
      <c r="E194" t="s">
        <v>660</v>
      </c>
      <c r="F194" t="s">
        <v>697</v>
      </c>
      <c r="G194" t="s">
        <v>704</v>
      </c>
      <c r="H194" t="s">
        <v>710</v>
      </c>
      <c r="I194" t="s">
        <v>714</v>
      </c>
      <c r="J194" t="s">
        <v>731</v>
      </c>
      <c r="K194" t="s">
        <v>926</v>
      </c>
      <c r="L194">
        <v>797.8</v>
      </c>
      <c r="M194">
        <v>886.22</v>
      </c>
      <c r="N194">
        <v>0.23599999999999999</v>
      </c>
      <c r="O194">
        <v>36</v>
      </c>
    </row>
    <row r="195" spans="1:15" x14ac:dyDescent="0.35">
      <c r="A195" t="s">
        <v>207</v>
      </c>
      <c r="B195" s="2">
        <v>45214</v>
      </c>
      <c r="C195" s="2">
        <v>45243</v>
      </c>
      <c r="D195" t="s">
        <v>647</v>
      </c>
      <c r="E195" t="s">
        <v>659</v>
      </c>
      <c r="F195" t="s">
        <v>676</v>
      </c>
      <c r="G195" t="s">
        <v>703</v>
      </c>
      <c r="H195" t="s">
        <v>710</v>
      </c>
      <c r="I195" t="s">
        <v>713</v>
      </c>
      <c r="J195" t="s">
        <v>728</v>
      </c>
      <c r="K195" t="s">
        <v>927</v>
      </c>
      <c r="L195">
        <v>986.44</v>
      </c>
      <c r="M195">
        <v>790.61</v>
      </c>
      <c r="N195">
        <v>7.1999999999999995E-2</v>
      </c>
      <c r="O195">
        <v>6</v>
      </c>
    </row>
    <row r="196" spans="1:15" x14ac:dyDescent="0.35">
      <c r="A196" t="s">
        <v>208</v>
      </c>
      <c r="B196" s="2">
        <v>45050</v>
      </c>
      <c r="C196" s="2">
        <v>45072</v>
      </c>
      <c r="D196" t="s">
        <v>648</v>
      </c>
      <c r="E196" t="s">
        <v>660</v>
      </c>
      <c r="F196" t="s">
        <v>686</v>
      </c>
      <c r="G196" t="s">
        <v>706</v>
      </c>
      <c r="H196" t="s">
        <v>708</v>
      </c>
      <c r="I196" t="s">
        <v>713</v>
      </c>
      <c r="J196" t="s">
        <v>729</v>
      </c>
      <c r="K196" t="s">
        <v>928</v>
      </c>
      <c r="L196">
        <v>249.71</v>
      </c>
      <c r="M196">
        <v>361.33</v>
      </c>
      <c r="N196">
        <v>9.4E-2</v>
      </c>
      <c r="O196">
        <v>12</v>
      </c>
    </row>
    <row r="197" spans="1:15" x14ac:dyDescent="0.35">
      <c r="A197" t="s">
        <v>209</v>
      </c>
      <c r="B197" s="2">
        <v>45557</v>
      </c>
      <c r="C197" s="2">
        <v>45566</v>
      </c>
      <c r="D197" t="s">
        <v>648</v>
      </c>
      <c r="E197" t="s">
        <v>655</v>
      </c>
      <c r="F197" t="s">
        <v>670</v>
      </c>
      <c r="G197" t="s">
        <v>703</v>
      </c>
      <c r="H197" t="s">
        <v>708</v>
      </c>
      <c r="I197" t="s">
        <v>723</v>
      </c>
      <c r="J197" t="s">
        <v>732</v>
      </c>
      <c r="K197" t="s">
        <v>929</v>
      </c>
      <c r="L197">
        <v>1378.8</v>
      </c>
      <c r="M197">
        <v>1952.04</v>
      </c>
      <c r="N197">
        <v>0.159</v>
      </c>
      <c r="O197">
        <v>19</v>
      </c>
    </row>
    <row r="198" spans="1:15" x14ac:dyDescent="0.35">
      <c r="A198" t="s">
        <v>210</v>
      </c>
      <c r="B198" s="2">
        <v>45588</v>
      </c>
      <c r="C198" s="2">
        <v>45610</v>
      </c>
      <c r="D198" t="s">
        <v>647</v>
      </c>
      <c r="E198" t="s">
        <v>652</v>
      </c>
      <c r="F198" t="s">
        <v>666</v>
      </c>
      <c r="G198" t="s">
        <v>703</v>
      </c>
      <c r="H198" t="s">
        <v>711</v>
      </c>
      <c r="I198" t="s">
        <v>717</v>
      </c>
      <c r="J198" t="s">
        <v>730</v>
      </c>
      <c r="K198" t="s">
        <v>930</v>
      </c>
      <c r="L198">
        <v>1406.4</v>
      </c>
      <c r="M198">
        <v>1564.76</v>
      </c>
      <c r="N198">
        <v>0.185</v>
      </c>
      <c r="O198">
        <v>17</v>
      </c>
    </row>
    <row r="199" spans="1:15" x14ac:dyDescent="0.35">
      <c r="A199" t="s">
        <v>211</v>
      </c>
      <c r="B199" s="2">
        <v>45333</v>
      </c>
      <c r="C199" s="2">
        <v>45354</v>
      </c>
      <c r="D199" t="s">
        <v>646</v>
      </c>
      <c r="E199" t="s">
        <v>650</v>
      </c>
      <c r="F199" t="s">
        <v>662</v>
      </c>
      <c r="G199" t="s">
        <v>706</v>
      </c>
      <c r="H199" t="s">
        <v>708</v>
      </c>
      <c r="I199" t="s">
        <v>717</v>
      </c>
      <c r="J199" t="s">
        <v>730</v>
      </c>
      <c r="K199" t="s">
        <v>931</v>
      </c>
      <c r="L199">
        <v>516.86</v>
      </c>
      <c r="M199">
        <v>852.54</v>
      </c>
      <c r="N199">
        <v>5.0999999999999997E-2</v>
      </c>
      <c r="O199">
        <v>14</v>
      </c>
    </row>
    <row r="200" spans="1:15" x14ac:dyDescent="0.35">
      <c r="A200" t="s">
        <v>212</v>
      </c>
      <c r="B200" s="2">
        <v>44956</v>
      </c>
      <c r="C200" s="2">
        <v>44978</v>
      </c>
      <c r="D200" t="s">
        <v>649</v>
      </c>
      <c r="E200" t="s">
        <v>656</v>
      </c>
      <c r="F200" t="s">
        <v>684</v>
      </c>
      <c r="G200" t="s">
        <v>705</v>
      </c>
      <c r="H200" t="s">
        <v>709</v>
      </c>
      <c r="I200" t="s">
        <v>715</v>
      </c>
      <c r="J200" t="s">
        <v>729</v>
      </c>
      <c r="K200" t="s">
        <v>932</v>
      </c>
      <c r="L200">
        <v>1142.8800000000001</v>
      </c>
      <c r="M200">
        <v>1465.29</v>
      </c>
      <c r="N200">
        <v>0.186</v>
      </c>
      <c r="O200">
        <v>7</v>
      </c>
    </row>
    <row r="201" spans="1:15" x14ac:dyDescent="0.35">
      <c r="A201" t="s">
        <v>213</v>
      </c>
      <c r="B201" s="2">
        <v>45030</v>
      </c>
      <c r="C201" s="2">
        <v>45059</v>
      </c>
      <c r="D201" t="s">
        <v>649</v>
      </c>
      <c r="E201" t="s">
        <v>656</v>
      </c>
      <c r="F201" t="s">
        <v>698</v>
      </c>
      <c r="G201" t="s">
        <v>704</v>
      </c>
      <c r="H201" t="s">
        <v>711</v>
      </c>
      <c r="I201" t="s">
        <v>713</v>
      </c>
      <c r="J201" t="s">
        <v>728</v>
      </c>
      <c r="K201" t="s">
        <v>933</v>
      </c>
      <c r="L201">
        <v>1320.33</v>
      </c>
      <c r="M201">
        <v>2645.23</v>
      </c>
      <c r="N201">
        <v>0.155</v>
      </c>
      <c r="O201">
        <v>25</v>
      </c>
    </row>
    <row r="202" spans="1:15" x14ac:dyDescent="0.35">
      <c r="A202" t="s">
        <v>214</v>
      </c>
      <c r="B202" s="2">
        <v>44939</v>
      </c>
      <c r="C202" s="2">
        <v>44945</v>
      </c>
      <c r="D202" t="s">
        <v>648</v>
      </c>
      <c r="E202" t="s">
        <v>660</v>
      </c>
      <c r="F202" t="s">
        <v>677</v>
      </c>
      <c r="G202" t="s">
        <v>701</v>
      </c>
      <c r="H202" t="s">
        <v>711</v>
      </c>
      <c r="I202" t="s">
        <v>722</v>
      </c>
      <c r="J202" t="s">
        <v>730</v>
      </c>
      <c r="K202" t="s">
        <v>934</v>
      </c>
      <c r="L202">
        <v>833.57</v>
      </c>
      <c r="M202">
        <v>881.57</v>
      </c>
      <c r="N202">
        <v>5.7000000000000002E-2</v>
      </c>
      <c r="O202">
        <v>18</v>
      </c>
    </row>
    <row r="203" spans="1:15" x14ac:dyDescent="0.35">
      <c r="A203" t="s">
        <v>215</v>
      </c>
      <c r="B203" s="2">
        <v>45303</v>
      </c>
      <c r="C203" s="2">
        <v>45320</v>
      </c>
      <c r="D203" t="s">
        <v>648</v>
      </c>
      <c r="E203" t="s">
        <v>660</v>
      </c>
      <c r="F203" t="s">
        <v>677</v>
      </c>
      <c r="G203" t="s">
        <v>702</v>
      </c>
      <c r="H203" t="s">
        <v>710</v>
      </c>
      <c r="I203" t="s">
        <v>720</v>
      </c>
      <c r="J203" t="s">
        <v>728</v>
      </c>
      <c r="K203" t="s">
        <v>935</v>
      </c>
      <c r="L203">
        <v>493.76</v>
      </c>
      <c r="M203">
        <v>625.04</v>
      </c>
      <c r="N203">
        <v>0.25800000000000001</v>
      </c>
      <c r="O203">
        <v>10</v>
      </c>
    </row>
    <row r="204" spans="1:15" x14ac:dyDescent="0.35">
      <c r="A204" t="s">
        <v>216</v>
      </c>
      <c r="B204" s="2">
        <v>45153</v>
      </c>
      <c r="C204" s="2">
        <v>45176</v>
      </c>
      <c r="D204" t="s">
        <v>648</v>
      </c>
      <c r="E204" t="s">
        <v>660</v>
      </c>
      <c r="F204" t="s">
        <v>700</v>
      </c>
      <c r="G204" t="s">
        <v>706</v>
      </c>
      <c r="H204" t="s">
        <v>708</v>
      </c>
      <c r="I204" t="s">
        <v>723</v>
      </c>
      <c r="J204" t="s">
        <v>730</v>
      </c>
      <c r="K204" t="s">
        <v>936</v>
      </c>
      <c r="L204">
        <v>590.33000000000004</v>
      </c>
      <c r="M204">
        <v>973.04</v>
      </c>
      <c r="N204">
        <v>0</v>
      </c>
      <c r="O204">
        <v>26</v>
      </c>
    </row>
    <row r="205" spans="1:15" x14ac:dyDescent="0.35">
      <c r="A205" t="s">
        <v>217</v>
      </c>
      <c r="B205" s="2">
        <v>44946</v>
      </c>
      <c r="C205" s="2">
        <v>44960</v>
      </c>
      <c r="D205" t="s">
        <v>646</v>
      </c>
      <c r="E205" t="s">
        <v>650</v>
      </c>
      <c r="F205" t="s">
        <v>662</v>
      </c>
      <c r="G205" t="s">
        <v>701</v>
      </c>
      <c r="H205" t="s">
        <v>707</v>
      </c>
      <c r="I205" t="s">
        <v>724</v>
      </c>
      <c r="J205" t="s">
        <v>729</v>
      </c>
      <c r="K205" t="s">
        <v>937</v>
      </c>
      <c r="L205">
        <v>884.36</v>
      </c>
      <c r="M205">
        <v>1545.34</v>
      </c>
      <c r="N205">
        <v>0.24299999999999999</v>
      </c>
      <c r="O205">
        <v>41</v>
      </c>
    </row>
    <row r="206" spans="1:15" x14ac:dyDescent="0.35">
      <c r="A206" t="s">
        <v>218</v>
      </c>
      <c r="B206" s="2">
        <v>45692</v>
      </c>
      <c r="C206" s="2">
        <v>45713</v>
      </c>
      <c r="D206" t="s">
        <v>649</v>
      </c>
      <c r="E206" t="s">
        <v>658</v>
      </c>
      <c r="F206" t="s">
        <v>674</v>
      </c>
      <c r="G206" t="s">
        <v>701</v>
      </c>
      <c r="H206" t="s">
        <v>709</v>
      </c>
      <c r="I206" t="s">
        <v>726</v>
      </c>
      <c r="J206" t="s">
        <v>732</v>
      </c>
      <c r="K206" t="s">
        <v>938</v>
      </c>
      <c r="L206">
        <v>1016.32</v>
      </c>
      <c r="M206">
        <v>2253.42</v>
      </c>
      <c r="N206">
        <v>5.5E-2</v>
      </c>
      <c r="O206">
        <v>12</v>
      </c>
    </row>
    <row r="207" spans="1:15" x14ac:dyDescent="0.35">
      <c r="A207" t="s">
        <v>219</v>
      </c>
      <c r="B207" s="2">
        <v>45035</v>
      </c>
      <c r="C207" s="2">
        <v>45044</v>
      </c>
      <c r="D207" t="s">
        <v>649</v>
      </c>
      <c r="E207" t="s">
        <v>656</v>
      </c>
      <c r="F207" t="s">
        <v>671</v>
      </c>
      <c r="G207" t="s">
        <v>702</v>
      </c>
      <c r="H207" t="s">
        <v>708</v>
      </c>
      <c r="I207" t="s">
        <v>718</v>
      </c>
      <c r="J207" t="s">
        <v>732</v>
      </c>
      <c r="K207" t="s">
        <v>939</v>
      </c>
      <c r="L207">
        <v>1178.42</v>
      </c>
      <c r="M207">
        <v>2446.56</v>
      </c>
      <c r="N207">
        <v>2.9000000000000001E-2</v>
      </c>
      <c r="O207">
        <v>11</v>
      </c>
    </row>
    <row r="208" spans="1:15" x14ac:dyDescent="0.35">
      <c r="A208" t="s">
        <v>220</v>
      </c>
      <c r="B208" s="2">
        <v>45109</v>
      </c>
      <c r="C208" s="2">
        <v>45139</v>
      </c>
      <c r="D208" t="s">
        <v>649</v>
      </c>
      <c r="E208" t="s">
        <v>658</v>
      </c>
      <c r="F208" t="s">
        <v>674</v>
      </c>
      <c r="G208" t="s">
        <v>705</v>
      </c>
      <c r="H208" t="s">
        <v>707</v>
      </c>
      <c r="I208" t="s">
        <v>717</v>
      </c>
      <c r="J208" t="s">
        <v>727</v>
      </c>
      <c r="K208" t="s">
        <v>940</v>
      </c>
      <c r="L208">
        <v>137.46</v>
      </c>
      <c r="M208">
        <v>188.3</v>
      </c>
      <c r="N208">
        <v>3.7999999999999999E-2</v>
      </c>
      <c r="O208">
        <v>37</v>
      </c>
    </row>
    <row r="209" spans="1:15" x14ac:dyDescent="0.35">
      <c r="A209" t="s">
        <v>221</v>
      </c>
      <c r="B209" s="2">
        <v>45678</v>
      </c>
      <c r="C209" s="2">
        <v>45702</v>
      </c>
      <c r="D209" t="s">
        <v>646</v>
      </c>
      <c r="E209" t="s">
        <v>650</v>
      </c>
      <c r="F209" t="s">
        <v>664</v>
      </c>
      <c r="G209" t="s">
        <v>705</v>
      </c>
      <c r="H209" t="s">
        <v>707</v>
      </c>
      <c r="I209" t="s">
        <v>713</v>
      </c>
      <c r="J209" t="s">
        <v>733</v>
      </c>
      <c r="K209" t="s">
        <v>941</v>
      </c>
      <c r="L209">
        <v>1030.44</v>
      </c>
      <c r="M209">
        <v>2562.84</v>
      </c>
      <c r="N209">
        <v>0.14799999999999999</v>
      </c>
      <c r="O209">
        <v>13</v>
      </c>
    </row>
    <row r="210" spans="1:15" x14ac:dyDescent="0.35">
      <c r="A210" t="s">
        <v>222</v>
      </c>
      <c r="B210" s="2">
        <v>45545</v>
      </c>
      <c r="C210" s="2">
        <v>45572</v>
      </c>
      <c r="D210" t="s">
        <v>646</v>
      </c>
      <c r="E210" t="s">
        <v>650</v>
      </c>
      <c r="F210" t="s">
        <v>662</v>
      </c>
      <c r="G210" t="s">
        <v>704</v>
      </c>
      <c r="H210" t="s">
        <v>707</v>
      </c>
      <c r="I210" t="s">
        <v>716</v>
      </c>
      <c r="J210" t="s">
        <v>728</v>
      </c>
      <c r="K210" t="s">
        <v>942</v>
      </c>
      <c r="L210">
        <v>1248.3900000000001</v>
      </c>
      <c r="M210">
        <v>1805.11</v>
      </c>
      <c r="N210">
        <v>0.20300000000000001</v>
      </c>
      <c r="O210">
        <v>11</v>
      </c>
    </row>
    <row r="211" spans="1:15" x14ac:dyDescent="0.35">
      <c r="A211" t="s">
        <v>223</v>
      </c>
      <c r="B211" s="2">
        <v>45859</v>
      </c>
      <c r="C211" s="2">
        <v>45876</v>
      </c>
      <c r="D211" t="s">
        <v>646</v>
      </c>
      <c r="E211" t="s">
        <v>651</v>
      </c>
      <c r="F211" t="s">
        <v>665</v>
      </c>
      <c r="G211" t="s">
        <v>706</v>
      </c>
      <c r="H211" t="s">
        <v>711</v>
      </c>
      <c r="I211" t="s">
        <v>724</v>
      </c>
      <c r="J211" t="s">
        <v>733</v>
      </c>
      <c r="K211" t="s">
        <v>943</v>
      </c>
      <c r="L211">
        <v>1204.95</v>
      </c>
      <c r="M211">
        <v>2065.73</v>
      </c>
      <c r="N211">
        <v>0.13600000000000001</v>
      </c>
      <c r="O211">
        <v>10</v>
      </c>
    </row>
    <row r="212" spans="1:15" x14ac:dyDescent="0.35">
      <c r="A212" t="s">
        <v>224</v>
      </c>
      <c r="B212" s="2">
        <v>45567</v>
      </c>
      <c r="C212" s="2">
        <v>45588</v>
      </c>
      <c r="D212" t="s">
        <v>646</v>
      </c>
      <c r="E212" t="s">
        <v>661</v>
      </c>
      <c r="F212" t="s">
        <v>687</v>
      </c>
      <c r="G212" t="s">
        <v>701</v>
      </c>
      <c r="H212" t="s">
        <v>709</v>
      </c>
      <c r="I212" t="s">
        <v>720</v>
      </c>
      <c r="J212" t="s">
        <v>727</v>
      </c>
      <c r="K212" t="s">
        <v>944</v>
      </c>
      <c r="L212">
        <v>1095.6099999999999</v>
      </c>
      <c r="M212">
        <v>2366.5100000000002</v>
      </c>
      <c r="N212">
        <v>0.152</v>
      </c>
      <c r="O212">
        <v>9</v>
      </c>
    </row>
    <row r="213" spans="1:15" x14ac:dyDescent="0.35">
      <c r="A213" t="s">
        <v>225</v>
      </c>
      <c r="B213" s="2">
        <v>45852</v>
      </c>
      <c r="C213" s="2">
        <v>45873</v>
      </c>
      <c r="D213" t="s">
        <v>648</v>
      </c>
      <c r="E213" t="s">
        <v>653</v>
      </c>
      <c r="F213" t="s">
        <v>681</v>
      </c>
      <c r="G213" t="s">
        <v>704</v>
      </c>
      <c r="H213" t="s">
        <v>708</v>
      </c>
      <c r="I213" t="s">
        <v>722</v>
      </c>
      <c r="J213" t="s">
        <v>732</v>
      </c>
      <c r="K213" t="s">
        <v>945</v>
      </c>
      <c r="L213">
        <v>90.3</v>
      </c>
      <c r="M213">
        <v>131.76</v>
      </c>
      <c r="N213">
        <v>0.10199999999999999</v>
      </c>
      <c r="O213">
        <v>15</v>
      </c>
    </row>
    <row r="214" spans="1:15" x14ac:dyDescent="0.35">
      <c r="A214" t="s">
        <v>226</v>
      </c>
      <c r="B214" s="2">
        <v>45544</v>
      </c>
      <c r="C214" s="2">
        <v>45566</v>
      </c>
      <c r="D214" t="s">
        <v>647</v>
      </c>
      <c r="E214" t="s">
        <v>659</v>
      </c>
      <c r="F214" t="s">
        <v>676</v>
      </c>
      <c r="G214" t="s">
        <v>704</v>
      </c>
      <c r="H214" t="s">
        <v>711</v>
      </c>
      <c r="I214" t="s">
        <v>716</v>
      </c>
      <c r="J214" t="s">
        <v>728</v>
      </c>
      <c r="K214" t="s">
        <v>946</v>
      </c>
      <c r="L214">
        <v>1166.18</v>
      </c>
      <c r="M214">
        <v>1335.02</v>
      </c>
      <c r="N214">
        <v>0.128</v>
      </c>
      <c r="O214">
        <v>6</v>
      </c>
    </row>
    <row r="215" spans="1:15" x14ac:dyDescent="0.35">
      <c r="A215" t="s">
        <v>227</v>
      </c>
      <c r="B215" s="2">
        <v>45686</v>
      </c>
      <c r="C215" s="2">
        <v>45694</v>
      </c>
      <c r="D215" t="s">
        <v>646</v>
      </c>
      <c r="E215" t="s">
        <v>650</v>
      </c>
      <c r="F215" t="s">
        <v>662</v>
      </c>
      <c r="G215" t="s">
        <v>702</v>
      </c>
      <c r="H215" t="s">
        <v>707</v>
      </c>
      <c r="I215" t="s">
        <v>717</v>
      </c>
      <c r="J215" t="s">
        <v>730</v>
      </c>
      <c r="K215" t="s">
        <v>947</v>
      </c>
      <c r="L215">
        <v>1445.27</v>
      </c>
      <c r="M215">
        <v>2691.45</v>
      </c>
      <c r="N215">
        <v>0</v>
      </c>
      <c r="O215">
        <v>9</v>
      </c>
    </row>
    <row r="216" spans="1:15" x14ac:dyDescent="0.35">
      <c r="A216" t="s">
        <v>228</v>
      </c>
      <c r="B216" s="2">
        <v>45240</v>
      </c>
      <c r="C216" s="2">
        <v>45258</v>
      </c>
      <c r="D216" t="s">
        <v>648</v>
      </c>
      <c r="E216" t="s">
        <v>655</v>
      </c>
      <c r="F216" t="s">
        <v>672</v>
      </c>
      <c r="G216" t="s">
        <v>702</v>
      </c>
      <c r="H216" t="s">
        <v>709</v>
      </c>
      <c r="I216" t="s">
        <v>716</v>
      </c>
      <c r="J216" t="s">
        <v>733</v>
      </c>
      <c r="K216" t="s">
        <v>948</v>
      </c>
      <c r="L216">
        <v>388.51</v>
      </c>
      <c r="M216">
        <v>776.46</v>
      </c>
      <c r="N216">
        <v>0.157</v>
      </c>
      <c r="O216">
        <v>12</v>
      </c>
    </row>
    <row r="217" spans="1:15" x14ac:dyDescent="0.35">
      <c r="A217" t="s">
        <v>229</v>
      </c>
      <c r="B217" s="2">
        <v>45351</v>
      </c>
      <c r="C217" s="2">
        <v>45381</v>
      </c>
      <c r="D217" t="s">
        <v>647</v>
      </c>
      <c r="E217" t="s">
        <v>652</v>
      </c>
      <c r="F217" t="s">
        <v>694</v>
      </c>
      <c r="G217" t="s">
        <v>705</v>
      </c>
      <c r="H217" t="s">
        <v>711</v>
      </c>
      <c r="I217" t="s">
        <v>714</v>
      </c>
      <c r="J217" t="s">
        <v>729</v>
      </c>
      <c r="K217" t="s">
        <v>949</v>
      </c>
      <c r="L217">
        <v>231.11</v>
      </c>
      <c r="M217">
        <v>318.17</v>
      </c>
      <c r="N217">
        <v>0.20100000000000001</v>
      </c>
      <c r="O217">
        <v>60</v>
      </c>
    </row>
    <row r="218" spans="1:15" x14ac:dyDescent="0.35">
      <c r="A218" t="s">
        <v>230</v>
      </c>
      <c r="B218" s="2">
        <v>45280</v>
      </c>
      <c r="C218" s="2">
        <v>45305</v>
      </c>
      <c r="D218" t="s">
        <v>647</v>
      </c>
      <c r="E218" t="s">
        <v>654</v>
      </c>
      <c r="F218" t="s">
        <v>691</v>
      </c>
      <c r="G218" t="s">
        <v>703</v>
      </c>
      <c r="H218" t="s">
        <v>709</v>
      </c>
      <c r="I218" t="s">
        <v>716</v>
      </c>
      <c r="J218" t="s">
        <v>732</v>
      </c>
      <c r="K218" t="s">
        <v>950</v>
      </c>
      <c r="L218">
        <v>1085.6099999999999</v>
      </c>
      <c r="M218">
        <v>1246.4100000000001</v>
      </c>
      <c r="N218">
        <v>0.113</v>
      </c>
      <c r="O218">
        <v>7</v>
      </c>
    </row>
    <row r="219" spans="1:15" x14ac:dyDescent="0.35">
      <c r="A219" t="s">
        <v>231</v>
      </c>
      <c r="B219" s="2">
        <v>44948</v>
      </c>
      <c r="C219" s="2">
        <v>44947</v>
      </c>
      <c r="D219" t="s">
        <v>649</v>
      </c>
      <c r="E219" t="s">
        <v>656</v>
      </c>
      <c r="F219" t="s">
        <v>684</v>
      </c>
      <c r="G219" t="s">
        <v>701</v>
      </c>
      <c r="H219" t="s">
        <v>711</v>
      </c>
      <c r="I219" t="s">
        <v>721</v>
      </c>
      <c r="J219" t="s">
        <v>732</v>
      </c>
      <c r="K219" t="s">
        <v>951</v>
      </c>
      <c r="L219">
        <v>150.86000000000001</v>
      </c>
      <c r="M219">
        <v>346.96</v>
      </c>
      <c r="N219">
        <v>0.19600000000000001</v>
      </c>
      <c r="O219">
        <v>8</v>
      </c>
    </row>
    <row r="220" spans="1:15" x14ac:dyDescent="0.35">
      <c r="A220" t="s">
        <v>232</v>
      </c>
      <c r="B220" s="2">
        <v>45576</v>
      </c>
      <c r="C220" s="2">
        <v>45605</v>
      </c>
      <c r="D220" t="s">
        <v>647</v>
      </c>
      <c r="E220" t="s">
        <v>659</v>
      </c>
      <c r="F220" t="s">
        <v>685</v>
      </c>
      <c r="G220" t="s">
        <v>703</v>
      </c>
      <c r="H220" t="s">
        <v>708</v>
      </c>
      <c r="I220" t="s">
        <v>721</v>
      </c>
      <c r="J220" t="s">
        <v>728</v>
      </c>
      <c r="K220" t="s">
        <v>952</v>
      </c>
      <c r="L220">
        <v>391.64</v>
      </c>
      <c r="M220">
        <v>504.76</v>
      </c>
      <c r="N220">
        <v>4.0000000000000001E-3</v>
      </c>
      <c r="O220">
        <v>13</v>
      </c>
    </row>
    <row r="221" spans="1:15" x14ac:dyDescent="0.35">
      <c r="A221" t="s">
        <v>233</v>
      </c>
      <c r="B221" s="2">
        <v>45554</v>
      </c>
      <c r="C221" s="2">
        <v>45579</v>
      </c>
      <c r="D221" t="s">
        <v>648</v>
      </c>
      <c r="E221" t="s">
        <v>655</v>
      </c>
      <c r="F221" t="s">
        <v>692</v>
      </c>
      <c r="G221" t="s">
        <v>705</v>
      </c>
      <c r="H221" t="s">
        <v>707</v>
      </c>
      <c r="I221" t="s">
        <v>723</v>
      </c>
      <c r="J221" t="s">
        <v>728</v>
      </c>
      <c r="K221" t="s">
        <v>953</v>
      </c>
      <c r="L221">
        <v>386.96</v>
      </c>
      <c r="M221">
        <v>937.46</v>
      </c>
      <c r="N221">
        <v>0.26600000000000001</v>
      </c>
      <c r="O221">
        <v>41</v>
      </c>
    </row>
    <row r="222" spans="1:15" x14ac:dyDescent="0.35">
      <c r="A222" t="s">
        <v>234</v>
      </c>
      <c r="B222" s="2">
        <v>45894</v>
      </c>
      <c r="C222" s="2">
        <v>45924</v>
      </c>
      <c r="D222" t="s">
        <v>646</v>
      </c>
      <c r="E222" t="s">
        <v>650</v>
      </c>
      <c r="F222" t="s">
        <v>664</v>
      </c>
      <c r="G222" t="s">
        <v>704</v>
      </c>
      <c r="H222" t="s">
        <v>711</v>
      </c>
      <c r="I222" t="s">
        <v>717</v>
      </c>
      <c r="J222" t="s">
        <v>727</v>
      </c>
      <c r="K222" t="s">
        <v>954</v>
      </c>
      <c r="L222">
        <v>589.14</v>
      </c>
      <c r="M222">
        <v>1300.58</v>
      </c>
      <c r="N222">
        <v>5.5E-2</v>
      </c>
      <c r="O222">
        <v>11</v>
      </c>
    </row>
    <row r="223" spans="1:15" x14ac:dyDescent="0.35">
      <c r="A223" t="s">
        <v>235</v>
      </c>
      <c r="B223" s="2">
        <v>45194</v>
      </c>
      <c r="C223" s="2">
        <v>45201</v>
      </c>
      <c r="D223" t="s">
        <v>648</v>
      </c>
      <c r="E223" t="s">
        <v>660</v>
      </c>
      <c r="F223" t="s">
        <v>700</v>
      </c>
      <c r="G223" t="s">
        <v>702</v>
      </c>
      <c r="H223" t="s">
        <v>709</v>
      </c>
      <c r="I223" t="s">
        <v>714</v>
      </c>
      <c r="J223" t="s">
        <v>733</v>
      </c>
      <c r="K223" t="s">
        <v>955</v>
      </c>
      <c r="L223">
        <v>145.58000000000001</v>
      </c>
      <c r="M223">
        <v>228.15</v>
      </c>
      <c r="N223">
        <v>0.20399999999999999</v>
      </c>
      <c r="O223">
        <v>5</v>
      </c>
    </row>
    <row r="224" spans="1:15" x14ac:dyDescent="0.35">
      <c r="A224" t="s">
        <v>236</v>
      </c>
      <c r="B224" s="2">
        <v>45164</v>
      </c>
      <c r="C224" s="2">
        <v>45179</v>
      </c>
      <c r="D224" t="s">
        <v>646</v>
      </c>
      <c r="E224" t="s">
        <v>661</v>
      </c>
      <c r="F224" t="s">
        <v>695</v>
      </c>
      <c r="G224" t="s">
        <v>703</v>
      </c>
      <c r="H224" t="s">
        <v>711</v>
      </c>
      <c r="I224" t="s">
        <v>725</v>
      </c>
      <c r="J224" t="s">
        <v>727</v>
      </c>
      <c r="K224" t="s">
        <v>956</v>
      </c>
      <c r="L224">
        <v>241.14</v>
      </c>
      <c r="M224">
        <v>496.52</v>
      </c>
      <c r="N224">
        <v>9.2999999999999999E-2</v>
      </c>
      <c r="O224">
        <v>10</v>
      </c>
    </row>
    <row r="225" spans="1:15" x14ac:dyDescent="0.35">
      <c r="A225" t="s">
        <v>237</v>
      </c>
      <c r="B225" s="2">
        <v>45854</v>
      </c>
      <c r="C225" s="2">
        <v>45855</v>
      </c>
      <c r="D225" t="s">
        <v>646</v>
      </c>
      <c r="E225" t="s">
        <v>661</v>
      </c>
      <c r="F225" t="s">
        <v>687</v>
      </c>
      <c r="G225" t="s">
        <v>705</v>
      </c>
      <c r="H225" t="s">
        <v>710</v>
      </c>
      <c r="I225" t="s">
        <v>717</v>
      </c>
      <c r="J225" t="s">
        <v>729</v>
      </c>
      <c r="K225" t="s">
        <v>957</v>
      </c>
      <c r="L225">
        <v>1198.9000000000001</v>
      </c>
      <c r="M225">
        <v>2941.2</v>
      </c>
      <c r="N225">
        <v>5.0999999999999997E-2</v>
      </c>
      <c r="O225">
        <v>24</v>
      </c>
    </row>
    <row r="226" spans="1:15" x14ac:dyDescent="0.35">
      <c r="A226" t="s">
        <v>238</v>
      </c>
      <c r="B226" s="2">
        <v>45035</v>
      </c>
      <c r="C226" s="2">
        <v>45053</v>
      </c>
      <c r="D226" t="s">
        <v>649</v>
      </c>
      <c r="E226" t="s">
        <v>658</v>
      </c>
      <c r="F226" t="s">
        <v>674</v>
      </c>
      <c r="G226" t="s">
        <v>706</v>
      </c>
      <c r="H226" t="s">
        <v>707</v>
      </c>
      <c r="I226" t="s">
        <v>725</v>
      </c>
      <c r="J226" t="s">
        <v>731</v>
      </c>
      <c r="K226" t="s">
        <v>958</v>
      </c>
      <c r="L226">
        <v>1089.1500000000001</v>
      </c>
      <c r="M226">
        <v>1088.2</v>
      </c>
      <c r="N226">
        <v>5.0999999999999997E-2</v>
      </c>
      <c r="O226">
        <v>15</v>
      </c>
    </row>
    <row r="227" spans="1:15" x14ac:dyDescent="0.35">
      <c r="A227" t="s">
        <v>239</v>
      </c>
      <c r="B227" s="2">
        <v>45279</v>
      </c>
      <c r="C227" s="2">
        <v>45280</v>
      </c>
      <c r="D227" t="s">
        <v>648</v>
      </c>
      <c r="E227" t="s">
        <v>655</v>
      </c>
      <c r="F227" t="s">
        <v>692</v>
      </c>
      <c r="G227" t="s">
        <v>704</v>
      </c>
      <c r="H227" t="s">
        <v>710</v>
      </c>
      <c r="I227" t="s">
        <v>713</v>
      </c>
      <c r="J227" t="s">
        <v>730</v>
      </c>
      <c r="K227" t="s">
        <v>959</v>
      </c>
      <c r="L227">
        <v>1080.43</v>
      </c>
      <c r="M227">
        <v>2529.15</v>
      </c>
      <c r="N227">
        <v>0.14699999999999999</v>
      </c>
      <c r="O227">
        <v>10</v>
      </c>
    </row>
    <row r="228" spans="1:15" x14ac:dyDescent="0.35">
      <c r="A228" t="s">
        <v>240</v>
      </c>
      <c r="B228" s="2">
        <v>45137</v>
      </c>
      <c r="C228" s="2">
        <v>45145</v>
      </c>
      <c r="D228" t="s">
        <v>647</v>
      </c>
      <c r="E228" t="s">
        <v>652</v>
      </c>
      <c r="F228" t="s">
        <v>694</v>
      </c>
      <c r="G228" t="s">
        <v>702</v>
      </c>
      <c r="H228" t="s">
        <v>709</v>
      </c>
      <c r="I228" t="s">
        <v>720</v>
      </c>
      <c r="J228" t="s">
        <v>729</v>
      </c>
      <c r="K228" t="s">
        <v>960</v>
      </c>
      <c r="L228">
        <v>1352.44</v>
      </c>
      <c r="M228">
        <v>2698.01</v>
      </c>
      <c r="N228">
        <v>0.13100000000000001</v>
      </c>
      <c r="O228">
        <v>13</v>
      </c>
    </row>
    <row r="229" spans="1:15" x14ac:dyDescent="0.35">
      <c r="A229" t="s">
        <v>241</v>
      </c>
      <c r="B229" s="2">
        <v>45203</v>
      </c>
      <c r="C229" s="2">
        <v>45228</v>
      </c>
      <c r="D229" t="s">
        <v>648</v>
      </c>
      <c r="E229" t="s">
        <v>660</v>
      </c>
      <c r="F229" t="s">
        <v>686</v>
      </c>
      <c r="G229" t="s">
        <v>705</v>
      </c>
      <c r="H229" t="s">
        <v>710</v>
      </c>
      <c r="I229" t="s">
        <v>719</v>
      </c>
      <c r="J229" t="s">
        <v>733</v>
      </c>
      <c r="K229" t="s">
        <v>961</v>
      </c>
      <c r="L229">
        <v>1239.8399999999999</v>
      </c>
      <c r="M229">
        <v>1482.75</v>
      </c>
      <c r="N229">
        <v>6.7000000000000004E-2</v>
      </c>
      <c r="O229">
        <v>4</v>
      </c>
    </row>
    <row r="230" spans="1:15" x14ac:dyDescent="0.35">
      <c r="A230" t="s">
        <v>242</v>
      </c>
      <c r="B230" s="2">
        <v>45879</v>
      </c>
      <c r="C230" s="2">
        <v>45899</v>
      </c>
      <c r="D230" t="s">
        <v>648</v>
      </c>
      <c r="E230" t="s">
        <v>660</v>
      </c>
      <c r="F230" t="s">
        <v>686</v>
      </c>
      <c r="G230" t="s">
        <v>701</v>
      </c>
      <c r="H230" t="s">
        <v>709</v>
      </c>
      <c r="I230" t="s">
        <v>723</v>
      </c>
      <c r="J230" t="s">
        <v>728</v>
      </c>
      <c r="K230" t="s">
        <v>962</v>
      </c>
      <c r="L230">
        <v>933.29</v>
      </c>
      <c r="M230">
        <v>1456.81</v>
      </c>
      <c r="N230">
        <v>0.123</v>
      </c>
      <c r="O230">
        <v>13</v>
      </c>
    </row>
    <row r="231" spans="1:15" x14ac:dyDescent="0.35">
      <c r="A231" t="s">
        <v>243</v>
      </c>
      <c r="B231" s="2">
        <v>44992</v>
      </c>
      <c r="C231" s="2">
        <v>45017</v>
      </c>
      <c r="D231" t="s">
        <v>646</v>
      </c>
      <c r="E231" t="s">
        <v>650</v>
      </c>
      <c r="F231" t="s">
        <v>664</v>
      </c>
      <c r="G231" t="s">
        <v>704</v>
      </c>
      <c r="H231" t="s">
        <v>709</v>
      </c>
      <c r="I231" t="s">
        <v>726</v>
      </c>
      <c r="J231" t="s">
        <v>728</v>
      </c>
      <c r="K231" t="s">
        <v>963</v>
      </c>
      <c r="L231">
        <v>1024.0999999999999</v>
      </c>
      <c r="M231">
        <v>918.19</v>
      </c>
      <c r="N231">
        <v>0.189</v>
      </c>
      <c r="O231">
        <v>10</v>
      </c>
    </row>
    <row r="232" spans="1:15" x14ac:dyDescent="0.35">
      <c r="A232" t="s">
        <v>244</v>
      </c>
      <c r="B232" s="2">
        <v>45069</v>
      </c>
      <c r="C232" s="2">
        <v>45087</v>
      </c>
      <c r="D232" t="s">
        <v>647</v>
      </c>
      <c r="E232" t="s">
        <v>659</v>
      </c>
      <c r="F232" t="s">
        <v>685</v>
      </c>
      <c r="G232" t="s">
        <v>701</v>
      </c>
      <c r="H232" t="s">
        <v>710</v>
      </c>
      <c r="I232" t="s">
        <v>718</v>
      </c>
      <c r="J232" t="s">
        <v>727</v>
      </c>
      <c r="K232" t="s">
        <v>964</v>
      </c>
      <c r="L232">
        <v>54.62</v>
      </c>
      <c r="M232">
        <v>48.94</v>
      </c>
      <c r="N232">
        <v>0.14799999999999999</v>
      </c>
      <c r="O232">
        <v>16</v>
      </c>
    </row>
    <row r="233" spans="1:15" x14ac:dyDescent="0.35">
      <c r="A233" t="s">
        <v>245</v>
      </c>
      <c r="B233" s="2">
        <v>45771</v>
      </c>
      <c r="C233" s="2">
        <v>45783</v>
      </c>
      <c r="D233" t="s">
        <v>648</v>
      </c>
      <c r="E233" t="s">
        <v>655</v>
      </c>
      <c r="F233" t="s">
        <v>672</v>
      </c>
      <c r="G233" t="s">
        <v>704</v>
      </c>
      <c r="H233" t="s">
        <v>708</v>
      </c>
      <c r="I233" t="s">
        <v>712</v>
      </c>
      <c r="J233" t="s">
        <v>730</v>
      </c>
      <c r="K233" t="s">
        <v>965</v>
      </c>
      <c r="L233">
        <v>394.13</v>
      </c>
      <c r="M233">
        <v>932.29</v>
      </c>
      <c r="N233">
        <v>0.109</v>
      </c>
      <c r="O233">
        <v>7</v>
      </c>
    </row>
    <row r="234" spans="1:15" x14ac:dyDescent="0.35">
      <c r="A234" t="s">
        <v>246</v>
      </c>
      <c r="B234" s="2">
        <v>45538</v>
      </c>
      <c r="C234" s="2">
        <v>45543</v>
      </c>
      <c r="D234" t="s">
        <v>646</v>
      </c>
      <c r="E234" t="s">
        <v>651</v>
      </c>
      <c r="F234" t="s">
        <v>665</v>
      </c>
      <c r="G234" t="s">
        <v>705</v>
      </c>
      <c r="H234" t="s">
        <v>711</v>
      </c>
      <c r="I234" t="s">
        <v>723</v>
      </c>
      <c r="J234" t="s">
        <v>728</v>
      </c>
      <c r="K234" t="s">
        <v>966</v>
      </c>
      <c r="L234">
        <v>197.63</v>
      </c>
      <c r="M234">
        <v>325.79000000000002</v>
      </c>
      <c r="N234">
        <v>0.11600000000000001</v>
      </c>
      <c r="O234">
        <v>10</v>
      </c>
    </row>
    <row r="235" spans="1:15" x14ac:dyDescent="0.35">
      <c r="A235" t="s">
        <v>247</v>
      </c>
      <c r="B235" s="2">
        <v>45540</v>
      </c>
      <c r="C235" s="2">
        <v>45560</v>
      </c>
      <c r="D235" t="s">
        <v>647</v>
      </c>
      <c r="E235" t="s">
        <v>652</v>
      </c>
      <c r="F235" t="s">
        <v>666</v>
      </c>
      <c r="G235" t="s">
        <v>706</v>
      </c>
      <c r="H235" t="s">
        <v>710</v>
      </c>
      <c r="I235" t="s">
        <v>726</v>
      </c>
      <c r="J235" t="s">
        <v>732</v>
      </c>
      <c r="K235" t="s">
        <v>967</v>
      </c>
      <c r="L235">
        <v>195.54</v>
      </c>
      <c r="M235">
        <v>405.97</v>
      </c>
      <c r="N235">
        <v>0.187</v>
      </c>
      <c r="O235">
        <v>16</v>
      </c>
    </row>
    <row r="236" spans="1:15" x14ac:dyDescent="0.35">
      <c r="A236" t="s">
        <v>248</v>
      </c>
      <c r="B236" s="2">
        <v>44999</v>
      </c>
      <c r="C236" s="2">
        <v>45015</v>
      </c>
      <c r="D236" t="s">
        <v>646</v>
      </c>
      <c r="E236" t="s">
        <v>661</v>
      </c>
      <c r="F236" t="s">
        <v>695</v>
      </c>
      <c r="G236" t="s">
        <v>704</v>
      </c>
      <c r="H236" t="s">
        <v>710</v>
      </c>
      <c r="I236" t="s">
        <v>723</v>
      </c>
      <c r="J236" t="s">
        <v>727</v>
      </c>
      <c r="K236" t="s">
        <v>968</v>
      </c>
      <c r="L236">
        <v>1309.77</v>
      </c>
      <c r="M236">
        <v>1589.07</v>
      </c>
      <c r="N236">
        <v>0.10199999999999999</v>
      </c>
      <c r="O236">
        <v>10</v>
      </c>
    </row>
    <row r="237" spans="1:15" x14ac:dyDescent="0.35">
      <c r="A237" t="s">
        <v>249</v>
      </c>
      <c r="B237" s="2">
        <v>45302</v>
      </c>
      <c r="C237" s="2">
        <v>45324</v>
      </c>
      <c r="D237" t="s">
        <v>647</v>
      </c>
      <c r="E237" t="s">
        <v>652</v>
      </c>
      <c r="F237" t="s">
        <v>694</v>
      </c>
      <c r="G237" t="s">
        <v>705</v>
      </c>
      <c r="H237" t="s">
        <v>708</v>
      </c>
      <c r="J237" t="s">
        <v>728</v>
      </c>
      <c r="K237" t="s">
        <v>969</v>
      </c>
      <c r="L237">
        <v>1237.68</v>
      </c>
      <c r="M237">
        <v>1432.8</v>
      </c>
      <c r="N237">
        <v>6.8000000000000005E-2</v>
      </c>
      <c r="O237">
        <v>13</v>
      </c>
    </row>
    <row r="238" spans="1:15" x14ac:dyDescent="0.35">
      <c r="A238" t="s">
        <v>250</v>
      </c>
      <c r="B238" s="2">
        <v>45548</v>
      </c>
      <c r="C238" s="2">
        <v>45567</v>
      </c>
      <c r="D238" t="s">
        <v>646</v>
      </c>
      <c r="E238" t="s">
        <v>650</v>
      </c>
      <c r="F238" t="s">
        <v>675</v>
      </c>
      <c r="G238" t="s">
        <v>705</v>
      </c>
      <c r="H238" t="s">
        <v>707</v>
      </c>
      <c r="I238" t="s">
        <v>724</v>
      </c>
      <c r="J238" t="s">
        <v>730</v>
      </c>
      <c r="K238" t="s">
        <v>970</v>
      </c>
      <c r="L238">
        <v>1338.99</v>
      </c>
      <c r="M238">
        <v>1765.76</v>
      </c>
      <c r="N238">
        <v>0.126</v>
      </c>
      <c r="O238">
        <v>24</v>
      </c>
    </row>
    <row r="239" spans="1:15" x14ac:dyDescent="0.35">
      <c r="A239" t="s">
        <v>251</v>
      </c>
      <c r="B239" s="2">
        <v>45855</v>
      </c>
      <c r="C239" s="2">
        <v>45861</v>
      </c>
      <c r="D239" t="s">
        <v>648</v>
      </c>
      <c r="E239" t="s">
        <v>653</v>
      </c>
      <c r="F239" t="s">
        <v>688</v>
      </c>
      <c r="G239" t="s">
        <v>704</v>
      </c>
      <c r="H239" t="s">
        <v>708</v>
      </c>
      <c r="I239" t="s">
        <v>722</v>
      </c>
      <c r="J239" t="s">
        <v>727</v>
      </c>
      <c r="K239" t="s">
        <v>971</v>
      </c>
      <c r="L239">
        <v>1364.89</v>
      </c>
      <c r="M239">
        <v>2757.54</v>
      </c>
      <c r="N239">
        <v>0.17199999999999999</v>
      </c>
      <c r="O239">
        <v>61</v>
      </c>
    </row>
    <row r="240" spans="1:15" x14ac:dyDescent="0.35">
      <c r="A240" t="s">
        <v>252</v>
      </c>
      <c r="B240" s="2">
        <v>45258</v>
      </c>
      <c r="C240" s="2">
        <v>45267</v>
      </c>
      <c r="D240" t="s">
        <v>647</v>
      </c>
      <c r="E240" t="s">
        <v>654</v>
      </c>
      <c r="F240" t="s">
        <v>680</v>
      </c>
      <c r="G240" t="s">
        <v>706</v>
      </c>
      <c r="H240" t="s">
        <v>709</v>
      </c>
      <c r="I240" t="s">
        <v>716</v>
      </c>
      <c r="J240" t="s">
        <v>730</v>
      </c>
      <c r="K240" t="s">
        <v>972</v>
      </c>
      <c r="L240">
        <v>699.33</v>
      </c>
      <c r="M240">
        <v>873.75</v>
      </c>
      <c r="N240">
        <v>0.23499999999999999</v>
      </c>
      <c r="O240">
        <v>10</v>
      </c>
    </row>
    <row r="241" spans="1:15" x14ac:dyDescent="0.35">
      <c r="A241" t="s">
        <v>253</v>
      </c>
      <c r="B241" s="2">
        <v>45381</v>
      </c>
      <c r="C241" s="2">
        <v>45406</v>
      </c>
      <c r="D241" t="s">
        <v>648</v>
      </c>
      <c r="E241" t="s">
        <v>660</v>
      </c>
      <c r="F241" t="s">
        <v>697</v>
      </c>
      <c r="G241" t="s">
        <v>703</v>
      </c>
      <c r="H241" t="s">
        <v>708</v>
      </c>
      <c r="I241" t="s">
        <v>715</v>
      </c>
      <c r="J241" t="s">
        <v>731</v>
      </c>
      <c r="K241" t="s">
        <v>973</v>
      </c>
      <c r="L241">
        <v>160.82</v>
      </c>
      <c r="M241">
        <v>258.52</v>
      </c>
      <c r="N241">
        <v>0.13</v>
      </c>
      <c r="O241">
        <v>17</v>
      </c>
    </row>
    <row r="242" spans="1:15" x14ac:dyDescent="0.35">
      <c r="A242" t="s">
        <v>254</v>
      </c>
      <c r="B242" s="2">
        <v>45188</v>
      </c>
      <c r="C242" s="2">
        <v>45207</v>
      </c>
      <c r="D242" t="s">
        <v>647</v>
      </c>
      <c r="E242" t="s">
        <v>654</v>
      </c>
      <c r="F242" t="s">
        <v>668</v>
      </c>
      <c r="G242" t="s">
        <v>702</v>
      </c>
      <c r="H242" t="s">
        <v>711</v>
      </c>
      <c r="I242" t="s">
        <v>713</v>
      </c>
      <c r="J242" t="s">
        <v>728</v>
      </c>
      <c r="K242" t="s">
        <v>974</v>
      </c>
      <c r="L242">
        <v>385.32</v>
      </c>
      <c r="M242">
        <v>606.76</v>
      </c>
      <c r="N242">
        <v>8.5999999999999993E-2</v>
      </c>
      <c r="O242">
        <v>8</v>
      </c>
    </row>
    <row r="243" spans="1:15" x14ac:dyDescent="0.35">
      <c r="A243" t="s">
        <v>255</v>
      </c>
      <c r="B243" s="2">
        <v>45793</v>
      </c>
      <c r="C243" s="2">
        <v>45804</v>
      </c>
      <c r="D243" t="s">
        <v>647</v>
      </c>
      <c r="E243" t="s">
        <v>659</v>
      </c>
      <c r="F243" t="s">
        <v>699</v>
      </c>
      <c r="G243" t="s">
        <v>706</v>
      </c>
      <c r="H243" t="s">
        <v>708</v>
      </c>
      <c r="I243" t="s">
        <v>721</v>
      </c>
      <c r="J243" t="s">
        <v>730</v>
      </c>
      <c r="K243" t="s">
        <v>975</v>
      </c>
      <c r="L243">
        <v>918.12</v>
      </c>
      <c r="M243">
        <v>1337.69</v>
      </c>
      <c r="N243">
        <v>9.5000000000000001E-2</v>
      </c>
      <c r="O243">
        <v>8</v>
      </c>
    </row>
    <row r="244" spans="1:15" x14ac:dyDescent="0.35">
      <c r="A244" t="s">
        <v>256</v>
      </c>
      <c r="B244" s="2">
        <v>45871</v>
      </c>
      <c r="C244" s="2">
        <v>45877</v>
      </c>
      <c r="D244" t="s">
        <v>647</v>
      </c>
      <c r="E244" t="s">
        <v>652</v>
      </c>
      <c r="F244" t="s">
        <v>666</v>
      </c>
      <c r="G244" t="s">
        <v>704</v>
      </c>
      <c r="H244" t="s">
        <v>711</v>
      </c>
      <c r="I244" t="s">
        <v>725</v>
      </c>
      <c r="J244" t="s">
        <v>731</v>
      </c>
      <c r="K244" t="s">
        <v>976</v>
      </c>
      <c r="L244">
        <v>1225.94</v>
      </c>
      <c r="M244">
        <v>1793.08</v>
      </c>
      <c r="N244">
        <v>0.13600000000000001</v>
      </c>
      <c r="O244">
        <v>22</v>
      </c>
    </row>
    <row r="245" spans="1:15" x14ac:dyDescent="0.35">
      <c r="A245" t="s">
        <v>257</v>
      </c>
      <c r="B245" s="2">
        <v>45630</v>
      </c>
      <c r="C245" s="2">
        <v>45638</v>
      </c>
      <c r="D245" t="s">
        <v>649</v>
      </c>
      <c r="E245" t="s">
        <v>656</v>
      </c>
      <c r="F245" t="s">
        <v>698</v>
      </c>
      <c r="G245" t="s">
        <v>706</v>
      </c>
      <c r="H245" t="s">
        <v>709</v>
      </c>
      <c r="I245" t="s">
        <v>717</v>
      </c>
      <c r="J245" t="s">
        <v>728</v>
      </c>
      <c r="K245" t="s">
        <v>977</v>
      </c>
      <c r="L245">
        <v>72.06</v>
      </c>
      <c r="M245">
        <v>122.74</v>
      </c>
      <c r="N245">
        <v>0.23799999999999999</v>
      </c>
      <c r="O245">
        <v>8</v>
      </c>
    </row>
    <row r="246" spans="1:15" x14ac:dyDescent="0.35">
      <c r="A246" t="s">
        <v>258</v>
      </c>
      <c r="B246" s="2">
        <v>45035</v>
      </c>
      <c r="C246" s="2">
        <v>45044</v>
      </c>
      <c r="D246" t="s">
        <v>648</v>
      </c>
      <c r="E246" t="s">
        <v>655</v>
      </c>
      <c r="F246" t="s">
        <v>692</v>
      </c>
      <c r="G246" t="s">
        <v>701</v>
      </c>
      <c r="H246" t="s">
        <v>710</v>
      </c>
      <c r="I246" t="s">
        <v>724</v>
      </c>
      <c r="J246" t="s">
        <v>730</v>
      </c>
      <c r="K246" t="s">
        <v>978</v>
      </c>
      <c r="L246">
        <v>1013.54</v>
      </c>
      <c r="M246">
        <v>927.93</v>
      </c>
      <c r="N246">
        <v>0.17499999999999999</v>
      </c>
      <c r="O246">
        <v>16</v>
      </c>
    </row>
    <row r="247" spans="1:15" x14ac:dyDescent="0.35">
      <c r="A247" t="s">
        <v>259</v>
      </c>
      <c r="B247" s="2">
        <v>45357</v>
      </c>
      <c r="C247" s="2">
        <v>45377</v>
      </c>
      <c r="D247" t="s">
        <v>646</v>
      </c>
      <c r="E247" t="s">
        <v>651</v>
      </c>
      <c r="F247" t="s">
        <v>663</v>
      </c>
      <c r="G247" t="s">
        <v>704</v>
      </c>
      <c r="H247" t="s">
        <v>709</v>
      </c>
      <c r="I247" t="s">
        <v>714</v>
      </c>
      <c r="J247" t="s">
        <v>730</v>
      </c>
      <c r="K247" t="s">
        <v>979</v>
      </c>
      <c r="L247">
        <v>65.64</v>
      </c>
      <c r="M247">
        <v>151.88</v>
      </c>
      <c r="N247">
        <v>0.16700000000000001</v>
      </c>
      <c r="O247">
        <v>23</v>
      </c>
    </row>
    <row r="248" spans="1:15" x14ac:dyDescent="0.35">
      <c r="A248" t="s">
        <v>260</v>
      </c>
      <c r="B248" s="2">
        <v>45338</v>
      </c>
      <c r="C248" s="2">
        <v>45355</v>
      </c>
      <c r="D248" t="s">
        <v>648</v>
      </c>
      <c r="E248" t="s">
        <v>653</v>
      </c>
      <c r="F248" t="s">
        <v>681</v>
      </c>
      <c r="G248" t="s">
        <v>703</v>
      </c>
      <c r="H248" t="s">
        <v>707</v>
      </c>
      <c r="I248" t="s">
        <v>726</v>
      </c>
      <c r="J248" t="s">
        <v>731</v>
      </c>
      <c r="K248" t="s">
        <v>980</v>
      </c>
      <c r="L248">
        <v>1350.98</v>
      </c>
      <c r="M248">
        <v>2210.4</v>
      </c>
      <c r="N248">
        <v>0.26300000000000001</v>
      </c>
      <c r="O248">
        <v>6</v>
      </c>
    </row>
    <row r="249" spans="1:15" x14ac:dyDescent="0.35">
      <c r="A249" t="s">
        <v>261</v>
      </c>
      <c r="B249" s="2">
        <v>45769</v>
      </c>
      <c r="C249" s="2">
        <v>45779</v>
      </c>
      <c r="D249" t="s">
        <v>649</v>
      </c>
      <c r="E249" t="s">
        <v>656</v>
      </c>
      <c r="F249" t="s">
        <v>671</v>
      </c>
      <c r="G249" t="s">
        <v>701</v>
      </c>
      <c r="H249" t="s">
        <v>709</v>
      </c>
      <c r="I249" t="s">
        <v>712</v>
      </c>
      <c r="J249" t="s">
        <v>732</v>
      </c>
      <c r="K249" t="s">
        <v>981</v>
      </c>
      <c r="L249">
        <v>20.149999999999999</v>
      </c>
      <c r="M249">
        <v>39.74</v>
      </c>
      <c r="N249">
        <v>0.151</v>
      </c>
      <c r="O249">
        <v>18</v>
      </c>
    </row>
    <row r="250" spans="1:15" x14ac:dyDescent="0.35">
      <c r="A250" t="s">
        <v>262</v>
      </c>
      <c r="B250" s="2">
        <v>45604</v>
      </c>
      <c r="C250" s="2">
        <v>45604</v>
      </c>
      <c r="D250" t="s">
        <v>646</v>
      </c>
      <c r="E250" t="s">
        <v>650</v>
      </c>
      <c r="F250" t="s">
        <v>678</v>
      </c>
      <c r="G250" t="s">
        <v>706</v>
      </c>
      <c r="H250" t="s">
        <v>709</v>
      </c>
      <c r="I250" t="s">
        <v>724</v>
      </c>
      <c r="J250" t="s">
        <v>729</v>
      </c>
      <c r="K250" t="s">
        <v>982</v>
      </c>
      <c r="L250">
        <v>803.28</v>
      </c>
      <c r="M250">
        <v>1009</v>
      </c>
      <c r="N250">
        <v>0.11</v>
      </c>
      <c r="O250">
        <v>4</v>
      </c>
    </row>
    <row r="251" spans="1:15" x14ac:dyDescent="0.35">
      <c r="A251" t="s">
        <v>263</v>
      </c>
      <c r="B251" s="2">
        <v>45912</v>
      </c>
      <c r="C251" s="2">
        <v>45930</v>
      </c>
      <c r="D251" t="s">
        <v>647</v>
      </c>
      <c r="E251" t="s">
        <v>652</v>
      </c>
      <c r="F251" t="s">
        <v>694</v>
      </c>
      <c r="G251" t="s">
        <v>703</v>
      </c>
      <c r="H251" t="s">
        <v>709</v>
      </c>
      <c r="I251" t="s">
        <v>721</v>
      </c>
      <c r="J251" t="s">
        <v>732</v>
      </c>
      <c r="K251" t="s">
        <v>983</v>
      </c>
      <c r="L251">
        <v>1212.99</v>
      </c>
      <c r="M251">
        <v>1653.64</v>
      </c>
      <c r="N251">
        <v>0.107</v>
      </c>
      <c r="O251">
        <v>8</v>
      </c>
    </row>
    <row r="252" spans="1:15" x14ac:dyDescent="0.35">
      <c r="A252" t="s">
        <v>264</v>
      </c>
      <c r="B252" s="2">
        <v>45537</v>
      </c>
      <c r="C252" s="2">
        <v>45543</v>
      </c>
      <c r="D252" t="s">
        <v>648</v>
      </c>
      <c r="E252" t="s">
        <v>660</v>
      </c>
      <c r="F252" t="s">
        <v>697</v>
      </c>
      <c r="G252" t="s">
        <v>704</v>
      </c>
      <c r="H252" t="s">
        <v>711</v>
      </c>
      <c r="I252" t="s">
        <v>722</v>
      </c>
      <c r="J252" t="s">
        <v>727</v>
      </c>
      <c r="K252" t="s">
        <v>984</v>
      </c>
      <c r="L252">
        <v>462.94</v>
      </c>
      <c r="M252">
        <v>1015.7</v>
      </c>
      <c r="N252">
        <v>0.14299999999999999</v>
      </c>
      <c r="O252">
        <v>14</v>
      </c>
    </row>
    <row r="253" spans="1:15" x14ac:dyDescent="0.35">
      <c r="A253" t="s">
        <v>265</v>
      </c>
      <c r="B253" s="2">
        <v>44989</v>
      </c>
      <c r="C253" s="2">
        <v>45009</v>
      </c>
      <c r="D253" t="s">
        <v>648</v>
      </c>
      <c r="E253" t="s">
        <v>653</v>
      </c>
      <c r="F253" t="s">
        <v>681</v>
      </c>
      <c r="G253" t="s">
        <v>704</v>
      </c>
      <c r="H253" t="s">
        <v>710</v>
      </c>
      <c r="I253" t="s">
        <v>714</v>
      </c>
      <c r="J253" t="s">
        <v>731</v>
      </c>
      <c r="K253" t="s">
        <v>985</v>
      </c>
      <c r="L253">
        <v>481.71</v>
      </c>
      <c r="M253">
        <v>912.45</v>
      </c>
      <c r="N253">
        <v>0.20300000000000001</v>
      </c>
      <c r="O253">
        <v>24</v>
      </c>
    </row>
    <row r="254" spans="1:15" x14ac:dyDescent="0.35">
      <c r="A254" t="s">
        <v>266</v>
      </c>
      <c r="B254" s="2">
        <v>45366</v>
      </c>
      <c r="C254" s="2">
        <v>45391</v>
      </c>
      <c r="D254" t="s">
        <v>648</v>
      </c>
      <c r="E254" t="s">
        <v>653</v>
      </c>
      <c r="F254" t="s">
        <v>688</v>
      </c>
      <c r="G254" t="s">
        <v>704</v>
      </c>
      <c r="H254" t="s">
        <v>708</v>
      </c>
      <c r="I254" t="s">
        <v>721</v>
      </c>
      <c r="J254" t="s">
        <v>732</v>
      </c>
      <c r="K254" t="s">
        <v>986</v>
      </c>
      <c r="L254">
        <v>648.64</v>
      </c>
      <c r="M254">
        <v>815.19</v>
      </c>
      <c r="N254">
        <v>0.22500000000000001</v>
      </c>
      <c r="O254">
        <v>28</v>
      </c>
    </row>
    <row r="255" spans="1:15" x14ac:dyDescent="0.35">
      <c r="A255" t="s">
        <v>267</v>
      </c>
      <c r="B255" s="2">
        <v>45502</v>
      </c>
      <c r="C255" s="2">
        <v>45504</v>
      </c>
      <c r="D255" t="s">
        <v>648</v>
      </c>
      <c r="E255" t="s">
        <v>660</v>
      </c>
      <c r="F255" t="s">
        <v>700</v>
      </c>
      <c r="G255" t="s">
        <v>702</v>
      </c>
      <c r="H255" t="s">
        <v>709</v>
      </c>
      <c r="I255" t="s">
        <v>714</v>
      </c>
      <c r="J255" t="s">
        <v>728</v>
      </c>
      <c r="K255" t="s">
        <v>987</v>
      </c>
      <c r="L255">
        <v>798.97</v>
      </c>
      <c r="M255">
        <v>1814.06</v>
      </c>
      <c r="N255">
        <v>0.122</v>
      </c>
      <c r="O255">
        <v>16</v>
      </c>
    </row>
    <row r="256" spans="1:15" x14ac:dyDescent="0.35">
      <c r="A256" t="s">
        <v>268</v>
      </c>
      <c r="B256" s="2">
        <v>45592</v>
      </c>
      <c r="C256" s="2">
        <v>45616</v>
      </c>
      <c r="D256" t="s">
        <v>647</v>
      </c>
      <c r="E256" t="s">
        <v>652</v>
      </c>
      <c r="F256" t="s">
        <v>694</v>
      </c>
      <c r="G256" t="s">
        <v>703</v>
      </c>
      <c r="H256" t="s">
        <v>708</v>
      </c>
      <c r="I256" t="s">
        <v>722</v>
      </c>
      <c r="J256" t="s">
        <v>732</v>
      </c>
      <c r="K256" t="s">
        <v>988</v>
      </c>
      <c r="L256">
        <v>317.25</v>
      </c>
      <c r="M256">
        <v>758.92</v>
      </c>
      <c r="N256">
        <v>5.2999999999999999E-2</v>
      </c>
      <c r="O256">
        <v>9</v>
      </c>
    </row>
    <row r="257" spans="1:15" x14ac:dyDescent="0.35">
      <c r="A257" t="s">
        <v>269</v>
      </c>
      <c r="B257" s="2">
        <v>45411</v>
      </c>
      <c r="C257" s="2">
        <v>45431</v>
      </c>
      <c r="D257" t="s">
        <v>649</v>
      </c>
      <c r="E257" t="s">
        <v>656</v>
      </c>
      <c r="F257" t="s">
        <v>698</v>
      </c>
      <c r="G257" t="s">
        <v>706</v>
      </c>
      <c r="H257" t="s">
        <v>709</v>
      </c>
      <c r="I257" t="s">
        <v>712</v>
      </c>
      <c r="J257" t="s">
        <v>731</v>
      </c>
      <c r="K257" t="s">
        <v>989</v>
      </c>
      <c r="L257">
        <v>668.97</v>
      </c>
      <c r="M257">
        <v>1667.44</v>
      </c>
      <c r="N257">
        <v>3.4000000000000002E-2</v>
      </c>
      <c r="O257">
        <v>15</v>
      </c>
    </row>
    <row r="258" spans="1:15" x14ac:dyDescent="0.35">
      <c r="A258" t="s">
        <v>270</v>
      </c>
      <c r="B258" s="2">
        <v>45204</v>
      </c>
      <c r="C258" s="2">
        <v>45205</v>
      </c>
      <c r="D258" t="s">
        <v>647</v>
      </c>
      <c r="E258" t="s">
        <v>654</v>
      </c>
      <c r="F258" t="s">
        <v>668</v>
      </c>
      <c r="G258" t="s">
        <v>703</v>
      </c>
      <c r="H258" t="s">
        <v>708</v>
      </c>
      <c r="I258" t="s">
        <v>714</v>
      </c>
      <c r="J258" t="s">
        <v>727</v>
      </c>
      <c r="K258" t="s">
        <v>990</v>
      </c>
      <c r="L258">
        <v>1470.26</v>
      </c>
      <c r="M258">
        <v>2562.5500000000002</v>
      </c>
      <c r="N258">
        <v>0.17299999999999999</v>
      </c>
      <c r="O258">
        <v>9</v>
      </c>
    </row>
    <row r="259" spans="1:15" x14ac:dyDescent="0.35">
      <c r="A259" t="s">
        <v>271</v>
      </c>
      <c r="B259" s="2">
        <v>45035</v>
      </c>
      <c r="C259" s="2">
        <v>45053</v>
      </c>
      <c r="D259" t="s">
        <v>649</v>
      </c>
      <c r="E259" t="s">
        <v>658</v>
      </c>
      <c r="F259" t="s">
        <v>683</v>
      </c>
      <c r="G259" t="s">
        <v>703</v>
      </c>
      <c r="H259" t="s">
        <v>711</v>
      </c>
      <c r="I259" t="s">
        <v>722</v>
      </c>
      <c r="J259" t="s">
        <v>729</v>
      </c>
      <c r="K259" t="s">
        <v>991</v>
      </c>
      <c r="L259">
        <v>516.96</v>
      </c>
      <c r="M259">
        <v>745.38</v>
      </c>
      <c r="N259">
        <v>0.19700000000000001</v>
      </c>
      <c r="O259">
        <v>4</v>
      </c>
    </row>
    <row r="260" spans="1:15" x14ac:dyDescent="0.35">
      <c r="A260" t="s">
        <v>272</v>
      </c>
      <c r="B260" s="2">
        <v>45835</v>
      </c>
      <c r="C260" s="2">
        <v>45843</v>
      </c>
      <c r="D260" t="s">
        <v>649</v>
      </c>
      <c r="E260" t="s">
        <v>656</v>
      </c>
      <c r="F260" t="s">
        <v>684</v>
      </c>
      <c r="G260" t="s">
        <v>705</v>
      </c>
      <c r="H260" t="s">
        <v>711</v>
      </c>
      <c r="I260" t="s">
        <v>715</v>
      </c>
      <c r="J260" t="s">
        <v>732</v>
      </c>
      <c r="K260" t="s">
        <v>992</v>
      </c>
      <c r="L260">
        <v>314.93</v>
      </c>
      <c r="M260">
        <v>687.95</v>
      </c>
      <c r="N260">
        <v>0.20499999999999999</v>
      </c>
      <c r="O260">
        <v>8</v>
      </c>
    </row>
    <row r="261" spans="1:15" x14ac:dyDescent="0.35">
      <c r="A261" t="s">
        <v>273</v>
      </c>
      <c r="B261" s="2">
        <v>45210</v>
      </c>
      <c r="C261" s="2">
        <v>45212</v>
      </c>
      <c r="D261" t="s">
        <v>648</v>
      </c>
      <c r="E261" t="s">
        <v>655</v>
      </c>
      <c r="F261" t="s">
        <v>672</v>
      </c>
      <c r="G261" t="s">
        <v>704</v>
      </c>
      <c r="H261" t="s">
        <v>710</v>
      </c>
      <c r="J261" t="s">
        <v>733</v>
      </c>
      <c r="K261" t="s">
        <v>993</v>
      </c>
      <c r="L261">
        <v>715.94</v>
      </c>
      <c r="M261">
        <v>550.07000000000005</v>
      </c>
      <c r="N261">
        <v>0.14000000000000001</v>
      </c>
      <c r="O261">
        <v>16</v>
      </c>
    </row>
    <row r="262" spans="1:15" x14ac:dyDescent="0.35">
      <c r="A262" t="s">
        <v>274</v>
      </c>
      <c r="B262" s="2">
        <v>45066</v>
      </c>
      <c r="C262" s="2">
        <v>45084</v>
      </c>
      <c r="D262" t="s">
        <v>646</v>
      </c>
      <c r="E262" t="s">
        <v>651</v>
      </c>
      <c r="F262" t="s">
        <v>663</v>
      </c>
      <c r="G262" t="s">
        <v>706</v>
      </c>
      <c r="H262" t="s">
        <v>710</v>
      </c>
      <c r="I262" t="s">
        <v>718</v>
      </c>
      <c r="J262" t="s">
        <v>727</v>
      </c>
      <c r="K262" t="s">
        <v>994</v>
      </c>
      <c r="L262">
        <v>1120.06</v>
      </c>
      <c r="M262">
        <v>2068.21</v>
      </c>
      <c r="N262">
        <v>7.8E-2</v>
      </c>
      <c r="O262">
        <v>12</v>
      </c>
    </row>
    <row r="263" spans="1:15" x14ac:dyDescent="0.35">
      <c r="A263" t="s">
        <v>275</v>
      </c>
      <c r="B263" s="2">
        <v>45073</v>
      </c>
      <c r="C263" s="2">
        <v>45096</v>
      </c>
      <c r="D263" t="s">
        <v>649</v>
      </c>
      <c r="E263" t="s">
        <v>656</v>
      </c>
      <c r="F263" t="s">
        <v>671</v>
      </c>
      <c r="G263" t="s">
        <v>702</v>
      </c>
      <c r="H263" t="s">
        <v>707</v>
      </c>
      <c r="I263" t="s">
        <v>719</v>
      </c>
      <c r="J263" t="s">
        <v>733</v>
      </c>
      <c r="K263" t="s">
        <v>995</v>
      </c>
      <c r="L263">
        <v>1471.58</v>
      </c>
      <c r="M263">
        <v>2576.65</v>
      </c>
      <c r="N263">
        <v>4.0000000000000001E-3</v>
      </c>
      <c r="O263">
        <v>7</v>
      </c>
    </row>
    <row r="264" spans="1:15" x14ac:dyDescent="0.35">
      <c r="A264" t="s">
        <v>276</v>
      </c>
      <c r="B264" s="2">
        <v>45142</v>
      </c>
      <c r="C264" s="2">
        <v>45162</v>
      </c>
      <c r="D264" t="s">
        <v>648</v>
      </c>
      <c r="E264" t="s">
        <v>655</v>
      </c>
      <c r="F264" t="s">
        <v>672</v>
      </c>
      <c r="G264" t="s">
        <v>703</v>
      </c>
      <c r="H264" t="s">
        <v>711</v>
      </c>
      <c r="J264" t="s">
        <v>729</v>
      </c>
      <c r="K264" t="s">
        <v>996</v>
      </c>
      <c r="L264">
        <v>582.88</v>
      </c>
      <c r="M264">
        <v>1044.1400000000001</v>
      </c>
      <c r="N264">
        <v>0.216</v>
      </c>
      <c r="O264">
        <v>10</v>
      </c>
    </row>
    <row r="265" spans="1:15" x14ac:dyDescent="0.35">
      <c r="A265" t="s">
        <v>277</v>
      </c>
      <c r="B265" s="2">
        <v>45829</v>
      </c>
      <c r="C265" s="2">
        <v>45835</v>
      </c>
      <c r="D265" t="s">
        <v>646</v>
      </c>
      <c r="E265" t="s">
        <v>661</v>
      </c>
      <c r="F265" t="s">
        <v>687</v>
      </c>
      <c r="G265" t="s">
        <v>706</v>
      </c>
      <c r="H265" t="s">
        <v>710</v>
      </c>
      <c r="I265" t="s">
        <v>725</v>
      </c>
      <c r="J265" t="s">
        <v>730</v>
      </c>
      <c r="K265" t="s">
        <v>997</v>
      </c>
      <c r="L265">
        <v>93.91</v>
      </c>
      <c r="M265">
        <v>99.04</v>
      </c>
      <c r="N265">
        <v>5.7000000000000002E-2</v>
      </c>
      <c r="O265">
        <v>6</v>
      </c>
    </row>
    <row r="266" spans="1:15" x14ac:dyDescent="0.35">
      <c r="A266" t="s">
        <v>278</v>
      </c>
      <c r="B266" s="2">
        <v>45763</v>
      </c>
      <c r="C266" s="2">
        <v>45773</v>
      </c>
      <c r="D266" t="s">
        <v>646</v>
      </c>
      <c r="E266" t="s">
        <v>651</v>
      </c>
      <c r="F266" t="s">
        <v>663</v>
      </c>
      <c r="G266" t="s">
        <v>706</v>
      </c>
      <c r="H266" t="s">
        <v>709</v>
      </c>
      <c r="I266" t="s">
        <v>721</v>
      </c>
      <c r="J266" t="s">
        <v>731</v>
      </c>
      <c r="K266" t="s">
        <v>998</v>
      </c>
      <c r="L266">
        <v>1457.44</v>
      </c>
      <c r="M266">
        <v>1996.81</v>
      </c>
      <c r="N266">
        <v>0.126</v>
      </c>
      <c r="O266">
        <v>23</v>
      </c>
    </row>
    <row r="267" spans="1:15" x14ac:dyDescent="0.35">
      <c r="A267" t="s">
        <v>279</v>
      </c>
      <c r="B267" s="2">
        <v>45902</v>
      </c>
      <c r="C267" s="2">
        <v>45911</v>
      </c>
      <c r="D267" t="s">
        <v>648</v>
      </c>
      <c r="E267" t="s">
        <v>653</v>
      </c>
      <c r="F267" t="s">
        <v>667</v>
      </c>
      <c r="G267" t="s">
        <v>701</v>
      </c>
      <c r="H267" t="s">
        <v>710</v>
      </c>
      <c r="I267" t="s">
        <v>724</v>
      </c>
      <c r="J267" t="s">
        <v>728</v>
      </c>
      <c r="K267" t="s">
        <v>999</v>
      </c>
      <c r="L267">
        <v>1207.6300000000001</v>
      </c>
      <c r="M267">
        <v>921.68</v>
      </c>
      <c r="N267">
        <v>0.19600000000000001</v>
      </c>
      <c r="O267">
        <v>17</v>
      </c>
    </row>
    <row r="268" spans="1:15" x14ac:dyDescent="0.35">
      <c r="A268" t="s">
        <v>280</v>
      </c>
      <c r="B268" s="2">
        <v>45573</v>
      </c>
      <c r="C268" s="2">
        <v>45573</v>
      </c>
      <c r="D268" t="s">
        <v>649</v>
      </c>
      <c r="E268" t="s">
        <v>658</v>
      </c>
      <c r="F268" t="s">
        <v>683</v>
      </c>
      <c r="G268" t="s">
        <v>701</v>
      </c>
      <c r="H268" t="s">
        <v>708</v>
      </c>
      <c r="I268" t="s">
        <v>718</v>
      </c>
      <c r="J268" t="s">
        <v>732</v>
      </c>
      <c r="K268" t="s">
        <v>1000</v>
      </c>
      <c r="L268">
        <v>1108.1099999999999</v>
      </c>
      <c r="M268">
        <v>2503.79</v>
      </c>
      <c r="N268">
        <v>0.184</v>
      </c>
      <c r="O268">
        <v>19</v>
      </c>
    </row>
    <row r="269" spans="1:15" x14ac:dyDescent="0.35">
      <c r="A269" t="s">
        <v>281</v>
      </c>
      <c r="B269" s="2">
        <v>45053</v>
      </c>
      <c r="C269" s="2">
        <v>45051</v>
      </c>
      <c r="D269" t="s">
        <v>646</v>
      </c>
      <c r="E269" t="s">
        <v>651</v>
      </c>
      <c r="F269" t="s">
        <v>663</v>
      </c>
      <c r="G269" t="s">
        <v>703</v>
      </c>
      <c r="H269" t="s">
        <v>709</v>
      </c>
      <c r="I269" t="s">
        <v>720</v>
      </c>
      <c r="J269" t="s">
        <v>727</v>
      </c>
      <c r="K269" t="s">
        <v>1001</v>
      </c>
      <c r="L269">
        <v>1269.6500000000001</v>
      </c>
      <c r="M269">
        <v>2462.77</v>
      </c>
      <c r="N269">
        <v>0.107</v>
      </c>
      <c r="O269">
        <v>8</v>
      </c>
    </row>
    <row r="270" spans="1:15" x14ac:dyDescent="0.35">
      <c r="A270" t="s">
        <v>282</v>
      </c>
      <c r="B270" s="2">
        <v>45284</v>
      </c>
      <c r="C270" s="2">
        <v>45292</v>
      </c>
      <c r="D270" t="s">
        <v>648</v>
      </c>
      <c r="E270" t="s">
        <v>655</v>
      </c>
      <c r="F270" t="s">
        <v>670</v>
      </c>
      <c r="G270" t="s">
        <v>702</v>
      </c>
      <c r="H270" t="s">
        <v>711</v>
      </c>
      <c r="I270" t="s">
        <v>712</v>
      </c>
      <c r="J270" t="s">
        <v>730</v>
      </c>
      <c r="K270" t="s">
        <v>1002</v>
      </c>
      <c r="L270">
        <v>526.49</v>
      </c>
      <c r="M270">
        <v>496.2</v>
      </c>
      <c r="N270">
        <v>0</v>
      </c>
      <c r="O270">
        <v>14</v>
      </c>
    </row>
    <row r="271" spans="1:15" x14ac:dyDescent="0.35">
      <c r="A271" t="s">
        <v>283</v>
      </c>
      <c r="B271" s="2">
        <v>45301</v>
      </c>
      <c r="C271" s="2">
        <v>45314</v>
      </c>
      <c r="D271" t="s">
        <v>649</v>
      </c>
      <c r="E271" t="s">
        <v>657</v>
      </c>
      <c r="F271" t="s">
        <v>673</v>
      </c>
      <c r="G271" t="s">
        <v>701</v>
      </c>
      <c r="H271" t="s">
        <v>711</v>
      </c>
      <c r="I271" t="s">
        <v>720</v>
      </c>
      <c r="J271" t="s">
        <v>728</v>
      </c>
      <c r="K271" t="s">
        <v>1003</v>
      </c>
      <c r="L271">
        <v>720</v>
      </c>
      <c r="M271">
        <v>907.59</v>
      </c>
      <c r="N271">
        <v>0.154</v>
      </c>
      <c r="O271">
        <v>10</v>
      </c>
    </row>
    <row r="272" spans="1:15" x14ac:dyDescent="0.35">
      <c r="A272" t="s">
        <v>284</v>
      </c>
      <c r="B272" s="2">
        <v>45141</v>
      </c>
      <c r="C272" s="2">
        <v>45152</v>
      </c>
      <c r="D272" t="s">
        <v>648</v>
      </c>
      <c r="E272" t="s">
        <v>655</v>
      </c>
      <c r="F272" t="s">
        <v>672</v>
      </c>
      <c r="G272" t="s">
        <v>701</v>
      </c>
      <c r="H272" t="s">
        <v>711</v>
      </c>
      <c r="I272" t="s">
        <v>713</v>
      </c>
      <c r="J272" t="s">
        <v>733</v>
      </c>
      <c r="K272" t="s">
        <v>1004</v>
      </c>
      <c r="L272">
        <v>232.73</v>
      </c>
      <c r="M272">
        <v>334.19</v>
      </c>
      <c r="N272">
        <v>0.13400000000000001</v>
      </c>
      <c r="O272">
        <v>25</v>
      </c>
    </row>
    <row r="273" spans="1:15" x14ac:dyDescent="0.35">
      <c r="A273" t="s">
        <v>285</v>
      </c>
      <c r="B273" s="2">
        <v>45707</v>
      </c>
      <c r="C273" s="2">
        <v>45725</v>
      </c>
      <c r="D273" t="s">
        <v>647</v>
      </c>
      <c r="E273" t="s">
        <v>654</v>
      </c>
      <c r="F273" t="s">
        <v>680</v>
      </c>
      <c r="G273" t="s">
        <v>705</v>
      </c>
      <c r="H273" t="s">
        <v>711</v>
      </c>
      <c r="I273" t="s">
        <v>719</v>
      </c>
      <c r="J273" t="s">
        <v>732</v>
      </c>
      <c r="K273" t="s">
        <v>1005</v>
      </c>
      <c r="L273">
        <v>325.87</v>
      </c>
      <c r="M273">
        <v>538.79</v>
      </c>
      <c r="N273">
        <v>0.17399999999999999</v>
      </c>
      <c r="O273">
        <v>16</v>
      </c>
    </row>
    <row r="274" spans="1:15" x14ac:dyDescent="0.35">
      <c r="A274" t="s">
        <v>286</v>
      </c>
      <c r="B274" s="2">
        <v>45382</v>
      </c>
      <c r="C274" s="2">
        <v>45399</v>
      </c>
      <c r="D274" t="s">
        <v>649</v>
      </c>
      <c r="E274" t="s">
        <v>656</v>
      </c>
      <c r="F274" t="s">
        <v>698</v>
      </c>
      <c r="G274" t="s">
        <v>702</v>
      </c>
      <c r="H274" t="s">
        <v>711</v>
      </c>
      <c r="I274" t="s">
        <v>722</v>
      </c>
      <c r="J274" t="s">
        <v>732</v>
      </c>
      <c r="K274" t="s">
        <v>1006</v>
      </c>
      <c r="L274">
        <v>1025.51</v>
      </c>
      <c r="M274">
        <v>1436.54</v>
      </c>
      <c r="N274">
        <v>0.13900000000000001</v>
      </c>
      <c r="O274">
        <v>28</v>
      </c>
    </row>
    <row r="275" spans="1:15" x14ac:dyDescent="0.35">
      <c r="A275" t="s">
        <v>287</v>
      </c>
      <c r="B275" s="2">
        <v>45131</v>
      </c>
      <c r="C275" s="2">
        <v>45151</v>
      </c>
      <c r="D275" t="s">
        <v>648</v>
      </c>
      <c r="E275" t="s">
        <v>653</v>
      </c>
      <c r="F275" t="s">
        <v>681</v>
      </c>
      <c r="G275" t="s">
        <v>702</v>
      </c>
      <c r="H275" t="s">
        <v>711</v>
      </c>
      <c r="I275" t="s">
        <v>712</v>
      </c>
      <c r="J275" t="s">
        <v>732</v>
      </c>
      <c r="K275" t="s">
        <v>1007</v>
      </c>
      <c r="L275">
        <v>1082.3800000000001</v>
      </c>
      <c r="M275">
        <v>1766.55</v>
      </c>
      <c r="N275">
        <v>0.16400000000000001</v>
      </c>
      <c r="O275">
        <v>20</v>
      </c>
    </row>
    <row r="276" spans="1:15" x14ac:dyDescent="0.35">
      <c r="A276" t="s">
        <v>288</v>
      </c>
      <c r="B276" s="2">
        <v>45367</v>
      </c>
      <c r="C276" s="2">
        <v>45395</v>
      </c>
      <c r="D276" t="s">
        <v>649</v>
      </c>
      <c r="E276" t="s">
        <v>657</v>
      </c>
      <c r="F276" t="s">
        <v>690</v>
      </c>
      <c r="G276" t="s">
        <v>705</v>
      </c>
      <c r="H276" t="s">
        <v>708</v>
      </c>
      <c r="I276" t="s">
        <v>723</v>
      </c>
      <c r="J276" t="s">
        <v>728</v>
      </c>
      <c r="K276" t="s">
        <v>1008</v>
      </c>
      <c r="L276">
        <v>287.61</v>
      </c>
      <c r="M276">
        <v>628.54</v>
      </c>
      <c r="N276">
        <v>0.13500000000000001</v>
      </c>
      <c r="O276">
        <v>21</v>
      </c>
    </row>
    <row r="277" spans="1:15" x14ac:dyDescent="0.35">
      <c r="A277" t="s">
        <v>289</v>
      </c>
      <c r="B277" s="2">
        <v>45316</v>
      </c>
      <c r="C277" s="2">
        <v>45318</v>
      </c>
      <c r="D277" t="s">
        <v>648</v>
      </c>
      <c r="E277" t="s">
        <v>655</v>
      </c>
      <c r="F277" t="s">
        <v>670</v>
      </c>
      <c r="G277" t="s">
        <v>703</v>
      </c>
      <c r="H277" t="s">
        <v>709</v>
      </c>
      <c r="I277" t="s">
        <v>725</v>
      </c>
      <c r="J277" t="s">
        <v>731</v>
      </c>
      <c r="K277" t="s">
        <v>1009</v>
      </c>
      <c r="L277">
        <v>1410.97</v>
      </c>
      <c r="M277">
        <v>1650.75</v>
      </c>
      <c r="N277">
        <v>0.13500000000000001</v>
      </c>
      <c r="O277">
        <v>6</v>
      </c>
    </row>
    <row r="278" spans="1:15" x14ac:dyDescent="0.35">
      <c r="A278" t="s">
        <v>290</v>
      </c>
      <c r="B278" s="2">
        <v>45378</v>
      </c>
      <c r="C278" s="2">
        <v>45393</v>
      </c>
      <c r="D278" t="s">
        <v>648</v>
      </c>
      <c r="E278" t="s">
        <v>660</v>
      </c>
      <c r="F278" t="s">
        <v>686</v>
      </c>
      <c r="G278" t="s">
        <v>705</v>
      </c>
      <c r="H278" t="s">
        <v>711</v>
      </c>
      <c r="I278" t="s">
        <v>719</v>
      </c>
      <c r="J278" t="s">
        <v>729</v>
      </c>
      <c r="K278" t="s">
        <v>1010</v>
      </c>
      <c r="L278">
        <v>1338.35</v>
      </c>
      <c r="M278">
        <v>2247.14</v>
      </c>
      <c r="N278">
        <v>0.115</v>
      </c>
      <c r="O278">
        <v>40</v>
      </c>
    </row>
    <row r="279" spans="1:15" x14ac:dyDescent="0.35">
      <c r="A279" t="s">
        <v>291</v>
      </c>
      <c r="B279" s="2">
        <v>45832</v>
      </c>
      <c r="C279" s="2">
        <v>45852</v>
      </c>
      <c r="D279" t="s">
        <v>649</v>
      </c>
      <c r="E279" t="s">
        <v>656</v>
      </c>
      <c r="F279" t="s">
        <v>671</v>
      </c>
      <c r="G279" t="s">
        <v>701</v>
      </c>
      <c r="H279" t="s">
        <v>711</v>
      </c>
      <c r="I279" t="s">
        <v>719</v>
      </c>
      <c r="J279" t="s">
        <v>733</v>
      </c>
      <c r="K279" t="s">
        <v>1011</v>
      </c>
      <c r="L279">
        <v>385.08</v>
      </c>
      <c r="M279">
        <v>893.19</v>
      </c>
      <c r="N279">
        <v>0.151</v>
      </c>
      <c r="O279">
        <v>8</v>
      </c>
    </row>
    <row r="280" spans="1:15" x14ac:dyDescent="0.35">
      <c r="A280" t="s">
        <v>292</v>
      </c>
      <c r="B280" s="2">
        <v>45459</v>
      </c>
      <c r="C280" s="2">
        <v>45476</v>
      </c>
      <c r="D280" t="s">
        <v>646</v>
      </c>
      <c r="E280" t="s">
        <v>661</v>
      </c>
      <c r="F280" t="s">
        <v>682</v>
      </c>
      <c r="G280" t="s">
        <v>706</v>
      </c>
      <c r="H280" t="s">
        <v>709</v>
      </c>
      <c r="I280" t="s">
        <v>721</v>
      </c>
      <c r="J280" t="s">
        <v>730</v>
      </c>
      <c r="K280" t="s">
        <v>1012</v>
      </c>
      <c r="L280">
        <v>1173.83</v>
      </c>
      <c r="M280">
        <v>2328.9</v>
      </c>
      <c r="N280">
        <v>0.12</v>
      </c>
      <c r="O280">
        <v>17</v>
      </c>
    </row>
    <row r="281" spans="1:15" x14ac:dyDescent="0.35">
      <c r="A281" t="s">
        <v>293</v>
      </c>
      <c r="B281" s="2">
        <v>45229</v>
      </c>
      <c r="C281" s="2">
        <v>45244</v>
      </c>
      <c r="D281" t="s">
        <v>647</v>
      </c>
      <c r="E281" t="s">
        <v>654</v>
      </c>
      <c r="F281" t="s">
        <v>668</v>
      </c>
      <c r="G281" t="s">
        <v>701</v>
      </c>
      <c r="H281" t="s">
        <v>708</v>
      </c>
      <c r="I281" t="s">
        <v>721</v>
      </c>
      <c r="J281" t="s">
        <v>731</v>
      </c>
      <c r="K281" t="s">
        <v>1013</v>
      </c>
      <c r="L281">
        <v>953.46</v>
      </c>
      <c r="M281">
        <v>2066.75</v>
      </c>
      <c r="N281">
        <v>0.13800000000000001</v>
      </c>
      <c r="O281">
        <v>5</v>
      </c>
    </row>
    <row r="282" spans="1:15" x14ac:dyDescent="0.35">
      <c r="A282" t="s">
        <v>294</v>
      </c>
      <c r="B282" s="2">
        <v>45092</v>
      </c>
      <c r="C282" s="2">
        <v>45100</v>
      </c>
      <c r="D282" t="s">
        <v>648</v>
      </c>
      <c r="E282" t="s">
        <v>660</v>
      </c>
      <c r="F282" t="s">
        <v>686</v>
      </c>
      <c r="G282" t="s">
        <v>704</v>
      </c>
      <c r="H282" t="s">
        <v>710</v>
      </c>
      <c r="I282" t="s">
        <v>719</v>
      </c>
      <c r="J282" t="s">
        <v>732</v>
      </c>
      <c r="K282" t="s">
        <v>1014</v>
      </c>
      <c r="L282">
        <v>1097.0899999999999</v>
      </c>
      <c r="M282">
        <v>2182.31</v>
      </c>
      <c r="N282">
        <v>0.112</v>
      </c>
      <c r="O282">
        <v>9</v>
      </c>
    </row>
    <row r="283" spans="1:15" x14ac:dyDescent="0.35">
      <c r="A283" t="s">
        <v>295</v>
      </c>
      <c r="B283" s="2">
        <v>45730</v>
      </c>
      <c r="C283" s="2">
        <v>45745</v>
      </c>
      <c r="D283" t="s">
        <v>647</v>
      </c>
      <c r="E283" t="s">
        <v>652</v>
      </c>
      <c r="F283" t="s">
        <v>689</v>
      </c>
      <c r="G283" t="s">
        <v>703</v>
      </c>
      <c r="H283" t="s">
        <v>711</v>
      </c>
      <c r="I283" t="s">
        <v>722</v>
      </c>
      <c r="J283" t="s">
        <v>729</v>
      </c>
      <c r="K283" t="s">
        <v>1015</v>
      </c>
      <c r="L283">
        <v>1106.96</v>
      </c>
      <c r="M283">
        <v>2726.62</v>
      </c>
      <c r="N283">
        <v>0.317</v>
      </c>
      <c r="O283">
        <v>7</v>
      </c>
    </row>
    <row r="284" spans="1:15" x14ac:dyDescent="0.35">
      <c r="A284" t="s">
        <v>296</v>
      </c>
      <c r="B284" s="2">
        <v>45153</v>
      </c>
      <c r="C284" s="2">
        <v>45163</v>
      </c>
      <c r="D284" t="s">
        <v>646</v>
      </c>
      <c r="E284" t="s">
        <v>650</v>
      </c>
      <c r="F284" t="s">
        <v>664</v>
      </c>
      <c r="G284" t="s">
        <v>705</v>
      </c>
      <c r="H284" t="s">
        <v>707</v>
      </c>
      <c r="I284" t="s">
        <v>725</v>
      </c>
      <c r="J284" t="s">
        <v>730</v>
      </c>
      <c r="K284" t="s">
        <v>1016</v>
      </c>
      <c r="L284">
        <v>91.85</v>
      </c>
      <c r="M284">
        <v>111.29</v>
      </c>
      <c r="N284">
        <v>0</v>
      </c>
      <c r="O284">
        <v>6</v>
      </c>
    </row>
    <row r="285" spans="1:15" x14ac:dyDescent="0.35">
      <c r="A285" t="s">
        <v>297</v>
      </c>
      <c r="B285" s="2">
        <v>45794</v>
      </c>
      <c r="C285" s="2">
        <v>45805</v>
      </c>
      <c r="D285" t="s">
        <v>647</v>
      </c>
      <c r="E285" t="s">
        <v>654</v>
      </c>
      <c r="F285" t="s">
        <v>668</v>
      </c>
      <c r="G285" t="s">
        <v>701</v>
      </c>
      <c r="H285" t="s">
        <v>710</v>
      </c>
      <c r="I285" t="s">
        <v>717</v>
      </c>
      <c r="J285" t="s">
        <v>731</v>
      </c>
      <c r="K285" t="s">
        <v>1017</v>
      </c>
      <c r="L285">
        <v>623.4</v>
      </c>
      <c r="M285">
        <v>1100.0899999999999</v>
      </c>
      <c r="N285">
        <v>0.114</v>
      </c>
      <c r="O285">
        <v>12</v>
      </c>
    </row>
    <row r="286" spans="1:15" x14ac:dyDescent="0.35">
      <c r="A286" t="s">
        <v>298</v>
      </c>
      <c r="B286" s="2">
        <v>45304</v>
      </c>
      <c r="C286" s="2">
        <v>45327</v>
      </c>
      <c r="D286" t="s">
        <v>649</v>
      </c>
      <c r="E286" t="s">
        <v>656</v>
      </c>
      <c r="F286" t="s">
        <v>698</v>
      </c>
      <c r="G286" t="s">
        <v>702</v>
      </c>
      <c r="H286" t="s">
        <v>711</v>
      </c>
      <c r="I286" t="s">
        <v>717</v>
      </c>
      <c r="J286" t="s">
        <v>731</v>
      </c>
      <c r="K286" t="s">
        <v>1018</v>
      </c>
      <c r="L286">
        <v>1017.93</v>
      </c>
      <c r="M286">
        <v>1529.14</v>
      </c>
      <c r="N286">
        <v>0.155</v>
      </c>
      <c r="O286">
        <v>12</v>
      </c>
    </row>
    <row r="287" spans="1:15" x14ac:dyDescent="0.35">
      <c r="A287" t="s">
        <v>299</v>
      </c>
      <c r="B287" s="2">
        <v>45101</v>
      </c>
      <c r="C287" s="2">
        <v>45128</v>
      </c>
      <c r="D287" t="s">
        <v>647</v>
      </c>
      <c r="E287" t="s">
        <v>652</v>
      </c>
      <c r="F287" t="s">
        <v>694</v>
      </c>
      <c r="G287" t="s">
        <v>704</v>
      </c>
      <c r="H287" t="s">
        <v>709</v>
      </c>
      <c r="I287" t="s">
        <v>713</v>
      </c>
      <c r="J287" t="s">
        <v>730</v>
      </c>
      <c r="K287" t="s">
        <v>1019</v>
      </c>
      <c r="L287">
        <v>554.76</v>
      </c>
      <c r="M287">
        <v>728.69</v>
      </c>
      <c r="N287">
        <v>0.22</v>
      </c>
      <c r="O287">
        <v>7</v>
      </c>
    </row>
    <row r="288" spans="1:15" x14ac:dyDescent="0.35">
      <c r="A288" t="s">
        <v>300</v>
      </c>
      <c r="B288" s="2">
        <v>45751</v>
      </c>
      <c r="C288" s="2">
        <v>45760</v>
      </c>
      <c r="D288" t="s">
        <v>649</v>
      </c>
      <c r="E288" t="s">
        <v>656</v>
      </c>
      <c r="F288" t="s">
        <v>684</v>
      </c>
      <c r="G288" t="s">
        <v>704</v>
      </c>
      <c r="H288" t="s">
        <v>709</v>
      </c>
      <c r="I288" t="s">
        <v>721</v>
      </c>
      <c r="J288" t="s">
        <v>730</v>
      </c>
      <c r="K288" t="s">
        <v>1020</v>
      </c>
      <c r="L288">
        <v>7.02</v>
      </c>
      <c r="M288">
        <v>6.28</v>
      </c>
      <c r="N288">
        <v>0.13400000000000001</v>
      </c>
      <c r="O288">
        <v>14</v>
      </c>
    </row>
    <row r="289" spans="1:15" x14ac:dyDescent="0.35">
      <c r="A289" t="s">
        <v>301</v>
      </c>
      <c r="B289" s="2">
        <v>45542</v>
      </c>
      <c r="C289" s="2">
        <v>45542</v>
      </c>
      <c r="D289" t="s">
        <v>647</v>
      </c>
      <c r="E289" t="s">
        <v>654</v>
      </c>
      <c r="F289" t="s">
        <v>691</v>
      </c>
      <c r="G289" t="s">
        <v>702</v>
      </c>
      <c r="H289" t="s">
        <v>710</v>
      </c>
      <c r="I289" t="s">
        <v>717</v>
      </c>
      <c r="J289" t="s">
        <v>729</v>
      </c>
      <c r="K289" t="s">
        <v>1021</v>
      </c>
      <c r="L289">
        <v>1066.6500000000001</v>
      </c>
      <c r="M289">
        <v>2569.77</v>
      </c>
      <c r="N289">
        <v>0.13400000000000001</v>
      </c>
      <c r="O289">
        <v>9</v>
      </c>
    </row>
    <row r="290" spans="1:15" x14ac:dyDescent="0.35">
      <c r="A290" t="s">
        <v>302</v>
      </c>
      <c r="B290" s="2">
        <v>45319</v>
      </c>
      <c r="C290" s="2">
        <v>45321</v>
      </c>
      <c r="D290" t="s">
        <v>646</v>
      </c>
      <c r="E290" t="s">
        <v>661</v>
      </c>
      <c r="F290" t="s">
        <v>695</v>
      </c>
      <c r="G290" t="s">
        <v>704</v>
      </c>
      <c r="H290" t="s">
        <v>711</v>
      </c>
      <c r="I290" t="s">
        <v>721</v>
      </c>
      <c r="J290" t="s">
        <v>733</v>
      </c>
      <c r="K290" t="s">
        <v>1022</v>
      </c>
      <c r="L290">
        <v>798.45</v>
      </c>
      <c r="M290">
        <v>1592.02</v>
      </c>
      <c r="N290">
        <v>6.6000000000000003E-2</v>
      </c>
      <c r="O290">
        <v>18</v>
      </c>
    </row>
    <row r="291" spans="1:15" x14ac:dyDescent="0.35">
      <c r="A291" t="s">
        <v>303</v>
      </c>
      <c r="B291" s="2">
        <v>45125</v>
      </c>
      <c r="C291" s="2">
        <v>45148</v>
      </c>
      <c r="D291" t="s">
        <v>646</v>
      </c>
      <c r="E291" t="s">
        <v>661</v>
      </c>
      <c r="F291" t="s">
        <v>682</v>
      </c>
      <c r="G291" t="s">
        <v>705</v>
      </c>
      <c r="H291" t="s">
        <v>707</v>
      </c>
      <c r="I291" t="s">
        <v>716</v>
      </c>
      <c r="J291" t="s">
        <v>727</v>
      </c>
      <c r="K291" t="s">
        <v>1023</v>
      </c>
      <c r="L291">
        <v>1271.56</v>
      </c>
      <c r="M291">
        <v>995.47</v>
      </c>
      <c r="N291">
        <v>0.192</v>
      </c>
      <c r="O291">
        <v>13</v>
      </c>
    </row>
    <row r="292" spans="1:15" x14ac:dyDescent="0.35">
      <c r="A292" t="s">
        <v>304</v>
      </c>
      <c r="B292" s="2">
        <v>45897</v>
      </c>
      <c r="C292" s="2">
        <v>45895</v>
      </c>
      <c r="D292" t="s">
        <v>646</v>
      </c>
      <c r="E292" t="s">
        <v>651</v>
      </c>
      <c r="F292" t="s">
        <v>663</v>
      </c>
      <c r="G292" t="s">
        <v>705</v>
      </c>
      <c r="H292" t="s">
        <v>707</v>
      </c>
      <c r="I292" t="s">
        <v>720</v>
      </c>
      <c r="J292" t="s">
        <v>733</v>
      </c>
      <c r="K292" t="s">
        <v>1024</v>
      </c>
      <c r="L292">
        <v>521.05999999999995</v>
      </c>
      <c r="M292">
        <v>1240.31</v>
      </c>
      <c r="N292">
        <v>0.14599999999999999</v>
      </c>
      <c r="O292">
        <v>18</v>
      </c>
    </row>
    <row r="293" spans="1:15" x14ac:dyDescent="0.35">
      <c r="A293" t="s">
        <v>305</v>
      </c>
      <c r="B293" s="2">
        <v>45746</v>
      </c>
      <c r="C293" s="2">
        <v>45754</v>
      </c>
      <c r="D293" t="s">
        <v>648</v>
      </c>
      <c r="E293" t="s">
        <v>655</v>
      </c>
      <c r="F293" t="s">
        <v>670</v>
      </c>
      <c r="G293" t="s">
        <v>703</v>
      </c>
      <c r="H293" t="s">
        <v>711</v>
      </c>
      <c r="I293" t="s">
        <v>716</v>
      </c>
      <c r="J293" t="s">
        <v>728</v>
      </c>
      <c r="K293" t="s">
        <v>1025</v>
      </c>
      <c r="L293">
        <v>71.62</v>
      </c>
      <c r="M293">
        <v>118.37</v>
      </c>
      <c r="N293">
        <v>0.156</v>
      </c>
      <c r="O293">
        <v>11</v>
      </c>
    </row>
    <row r="294" spans="1:15" x14ac:dyDescent="0.35">
      <c r="A294" t="s">
        <v>306</v>
      </c>
      <c r="B294" s="2">
        <v>45220</v>
      </c>
      <c r="C294" s="2">
        <v>45239</v>
      </c>
      <c r="D294" t="s">
        <v>649</v>
      </c>
      <c r="E294" t="s">
        <v>658</v>
      </c>
      <c r="F294" t="s">
        <v>683</v>
      </c>
      <c r="G294" t="s">
        <v>703</v>
      </c>
      <c r="H294" t="s">
        <v>711</v>
      </c>
      <c r="I294" t="s">
        <v>720</v>
      </c>
      <c r="J294" t="s">
        <v>733</v>
      </c>
      <c r="K294" t="s">
        <v>1026</v>
      </c>
      <c r="L294">
        <v>1142.48</v>
      </c>
      <c r="M294">
        <v>2105.5300000000002</v>
      </c>
      <c r="N294">
        <v>0.20699999999999999</v>
      </c>
      <c r="O294">
        <v>14</v>
      </c>
    </row>
    <row r="295" spans="1:15" x14ac:dyDescent="0.35">
      <c r="A295" t="s">
        <v>307</v>
      </c>
      <c r="B295" s="2">
        <v>45161</v>
      </c>
      <c r="C295" s="2">
        <v>45191</v>
      </c>
      <c r="D295" t="s">
        <v>649</v>
      </c>
      <c r="E295" t="s">
        <v>658</v>
      </c>
      <c r="F295" t="s">
        <v>683</v>
      </c>
      <c r="G295" t="s">
        <v>704</v>
      </c>
      <c r="H295" t="s">
        <v>710</v>
      </c>
      <c r="I295" t="s">
        <v>719</v>
      </c>
      <c r="J295" t="s">
        <v>733</v>
      </c>
      <c r="K295" t="s">
        <v>1027</v>
      </c>
      <c r="L295">
        <v>209.81</v>
      </c>
      <c r="M295">
        <v>523</v>
      </c>
      <c r="N295">
        <v>5.8999999999999997E-2</v>
      </c>
      <c r="O295">
        <v>15</v>
      </c>
    </row>
    <row r="296" spans="1:15" x14ac:dyDescent="0.35">
      <c r="A296" t="s">
        <v>308</v>
      </c>
      <c r="B296" s="2">
        <v>45758</v>
      </c>
      <c r="C296" s="2">
        <v>45781</v>
      </c>
      <c r="D296" t="s">
        <v>647</v>
      </c>
      <c r="E296" t="s">
        <v>652</v>
      </c>
      <c r="F296" t="s">
        <v>666</v>
      </c>
      <c r="G296" t="s">
        <v>705</v>
      </c>
      <c r="H296" t="s">
        <v>708</v>
      </c>
      <c r="I296" t="s">
        <v>724</v>
      </c>
      <c r="J296" t="s">
        <v>727</v>
      </c>
      <c r="K296" t="s">
        <v>1028</v>
      </c>
      <c r="L296">
        <v>786.2</v>
      </c>
      <c r="M296">
        <v>1075.3</v>
      </c>
      <c r="N296">
        <v>0.08</v>
      </c>
      <c r="O296">
        <v>9</v>
      </c>
    </row>
    <row r="297" spans="1:15" x14ac:dyDescent="0.35">
      <c r="A297" t="s">
        <v>309</v>
      </c>
      <c r="B297" s="2">
        <v>45809</v>
      </c>
      <c r="C297" s="2">
        <v>45835</v>
      </c>
      <c r="D297" t="s">
        <v>649</v>
      </c>
      <c r="E297" t="s">
        <v>656</v>
      </c>
      <c r="F297" t="s">
        <v>684</v>
      </c>
      <c r="G297" t="s">
        <v>704</v>
      </c>
      <c r="H297" t="s">
        <v>710</v>
      </c>
      <c r="I297" t="s">
        <v>718</v>
      </c>
      <c r="J297" t="s">
        <v>731</v>
      </c>
      <c r="K297" t="s">
        <v>1029</v>
      </c>
      <c r="L297">
        <v>1362.31</v>
      </c>
      <c r="M297">
        <v>3294.57</v>
      </c>
      <c r="N297">
        <v>0.113</v>
      </c>
      <c r="O297">
        <v>7</v>
      </c>
    </row>
    <row r="298" spans="1:15" x14ac:dyDescent="0.35">
      <c r="A298" t="s">
        <v>310</v>
      </c>
      <c r="B298" s="2">
        <v>45353</v>
      </c>
      <c r="C298" s="2">
        <v>45367</v>
      </c>
      <c r="D298" t="s">
        <v>648</v>
      </c>
      <c r="E298" t="s">
        <v>653</v>
      </c>
      <c r="F298" t="s">
        <v>688</v>
      </c>
      <c r="G298" t="s">
        <v>703</v>
      </c>
      <c r="H298" t="s">
        <v>711</v>
      </c>
      <c r="I298" t="s">
        <v>719</v>
      </c>
      <c r="J298" t="s">
        <v>728</v>
      </c>
      <c r="K298" t="s">
        <v>1030</v>
      </c>
      <c r="L298">
        <v>248.24</v>
      </c>
      <c r="M298">
        <v>464.05</v>
      </c>
      <c r="N298">
        <v>0.16900000000000001</v>
      </c>
      <c r="O298">
        <v>11</v>
      </c>
    </row>
    <row r="299" spans="1:15" x14ac:dyDescent="0.35">
      <c r="A299" t="s">
        <v>311</v>
      </c>
      <c r="B299" s="2">
        <v>45097</v>
      </c>
      <c r="C299" s="2">
        <v>45115</v>
      </c>
      <c r="D299" t="s">
        <v>648</v>
      </c>
      <c r="E299" t="s">
        <v>660</v>
      </c>
      <c r="F299" t="s">
        <v>697</v>
      </c>
      <c r="G299" t="s">
        <v>703</v>
      </c>
      <c r="H299" t="s">
        <v>711</v>
      </c>
      <c r="I299" t="s">
        <v>721</v>
      </c>
      <c r="J299" t="s">
        <v>732</v>
      </c>
      <c r="K299" t="s">
        <v>1031</v>
      </c>
      <c r="L299">
        <v>337</v>
      </c>
      <c r="M299">
        <v>511.03</v>
      </c>
      <c r="N299">
        <v>0.108</v>
      </c>
      <c r="O299">
        <v>7</v>
      </c>
    </row>
    <row r="300" spans="1:15" x14ac:dyDescent="0.35">
      <c r="A300" t="s">
        <v>312</v>
      </c>
      <c r="B300" s="2">
        <v>45377</v>
      </c>
      <c r="C300" s="2">
        <v>45387</v>
      </c>
      <c r="D300" t="s">
        <v>648</v>
      </c>
      <c r="E300" t="s">
        <v>660</v>
      </c>
      <c r="F300" t="s">
        <v>697</v>
      </c>
      <c r="G300" t="s">
        <v>704</v>
      </c>
      <c r="H300" t="s">
        <v>711</v>
      </c>
      <c r="I300" t="s">
        <v>713</v>
      </c>
      <c r="J300" t="s">
        <v>732</v>
      </c>
      <c r="K300" t="s">
        <v>1032</v>
      </c>
      <c r="L300">
        <v>5.66</v>
      </c>
      <c r="M300">
        <v>4.22</v>
      </c>
      <c r="N300">
        <v>0.11899999999999999</v>
      </c>
      <c r="O300">
        <v>18</v>
      </c>
    </row>
    <row r="301" spans="1:15" x14ac:dyDescent="0.35">
      <c r="A301" t="s">
        <v>313</v>
      </c>
      <c r="B301" s="2">
        <v>45679</v>
      </c>
      <c r="C301" s="2">
        <v>45679</v>
      </c>
      <c r="D301" t="s">
        <v>649</v>
      </c>
      <c r="E301" t="s">
        <v>657</v>
      </c>
      <c r="F301" t="s">
        <v>679</v>
      </c>
      <c r="G301" t="s">
        <v>705</v>
      </c>
      <c r="H301" t="s">
        <v>708</v>
      </c>
      <c r="I301" t="s">
        <v>717</v>
      </c>
      <c r="J301" t="s">
        <v>733</v>
      </c>
      <c r="K301" t="s">
        <v>1033</v>
      </c>
      <c r="L301">
        <v>591.72</v>
      </c>
      <c r="M301">
        <v>577.24</v>
      </c>
      <c r="N301">
        <v>0</v>
      </c>
      <c r="O301">
        <v>22</v>
      </c>
    </row>
    <row r="302" spans="1:15" x14ac:dyDescent="0.35">
      <c r="A302" t="s">
        <v>314</v>
      </c>
      <c r="B302" s="2">
        <v>45787</v>
      </c>
      <c r="C302" s="2">
        <v>45804</v>
      </c>
      <c r="D302" t="s">
        <v>648</v>
      </c>
      <c r="E302" t="s">
        <v>653</v>
      </c>
      <c r="F302" t="s">
        <v>688</v>
      </c>
      <c r="G302" t="s">
        <v>702</v>
      </c>
      <c r="H302" t="s">
        <v>711</v>
      </c>
      <c r="I302" t="s">
        <v>712</v>
      </c>
      <c r="J302" t="s">
        <v>727</v>
      </c>
      <c r="K302" t="s">
        <v>1034</v>
      </c>
      <c r="L302">
        <v>862.89</v>
      </c>
      <c r="M302">
        <v>1426.03</v>
      </c>
      <c r="N302">
        <v>5.6000000000000001E-2</v>
      </c>
      <c r="O302">
        <v>19</v>
      </c>
    </row>
    <row r="303" spans="1:15" x14ac:dyDescent="0.35">
      <c r="A303" t="s">
        <v>315</v>
      </c>
      <c r="B303" s="2">
        <v>45204</v>
      </c>
      <c r="C303" s="2">
        <v>45230</v>
      </c>
      <c r="D303" t="s">
        <v>647</v>
      </c>
      <c r="E303" t="s">
        <v>659</v>
      </c>
      <c r="F303" t="s">
        <v>685</v>
      </c>
      <c r="G303" t="s">
        <v>704</v>
      </c>
      <c r="I303" t="s">
        <v>713</v>
      </c>
      <c r="J303" t="s">
        <v>728</v>
      </c>
      <c r="K303" t="s">
        <v>1035</v>
      </c>
      <c r="L303">
        <v>649.91</v>
      </c>
      <c r="M303">
        <v>1360.12</v>
      </c>
      <c r="N303">
        <v>0.19400000000000001</v>
      </c>
      <c r="O303">
        <v>9</v>
      </c>
    </row>
    <row r="304" spans="1:15" x14ac:dyDescent="0.35">
      <c r="A304" t="s">
        <v>316</v>
      </c>
      <c r="B304" s="2">
        <v>45125</v>
      </c>
      <c r="C304" s="2">
        <v>45129</v>
      </c>
      <c r="D304" t="s">
        <v>648</v>
      </c>
      <c r="E304" t="s">
        <v>655</v>
      </c>
      <c r="F304" t="s">
        <v>670</v>
      </c>
      <c r="G304" t="s">
        <v>704</v>
      </c>
      <c r="H304" t="s">
        <v>711</v>
      </c>
      <c r="I304" t="s">
        <v>721</v>
      </c>
      <c r="J304" t="s">
        <v>729</v>
      </c>
      <c r="K304" t="s">
        <v>1036</v>
      </c>
      <c r="L304">
        <v>1269.55</v>
      </c>
      <c r="M304">
        <v>2071.1</v>
      </c>
      <c r="N304">
        <v>0.129</v>
      </c>
      <c r="O304">
        <v>22</v>
      </c>
    </row>
    <row r="305" spans="1:15" x14ac:dyDescent="0.35">
      <c r="A305" t="s">
        <v>317</v>
      </c>
      <c r="B305" s="2">
        <v>45830</v>
      </c>
      <c r="C305" s="2">
        <v>45846</v>
      </c>
      <c r="D305" t="s">
        <v>649</v>
      </c>
      <c r="E305" t="s">
        <v>658</v>
      </c>
      <c r="F305" t="s">
        <v>683</v>
      </c>
      <c r="G305" t="s">
        <v>702</v>
      </c>
      <c r="H305" t="s">
        <v>711</v>
      </c>
      <c r="I305" t="s">
        <v>720</v>
      </c>
      <c r="J305" t="s">
        <v>730</v>
      </c>
      <c r="K305" t="s">
        <v>1037</v>
      </c>
      <c r="L305">
        <v>892.73</v>
      </c>
      <c r="M305">
        <v>979.84</v>
      </c>
      <c r="N305">
        <v>0.17399999999999999</v>
      </c>
      <c r="O305">
        <v>10</v>
      </c>
    </row>
    <row r="306" spans="1:15" x14ac:dyDescent="0.35">
      <c r="A306" t="s">
        <v>318</v>
      </c>
      <c r="B306" s="2">
        <v>45462</v>
      </c>
      <c r="C306" s="2">
        <v>45463</v>
      </c>
      <c r="D306" t="s">
        <v>646</v>
      </c>
      <c r="E306" t="s">
        <v>650</v>
      </c>
      <c r="F306" t="s">
        <v>662</v>
      </c>
      <c r="G306" t="s">
        <v>705</v>
      </c>
      <c r="H306" t="s">
        <v>711</v>
      </c>
      <c r="I306" t="s">
        <v>713</v>
      </c>
      <c r="J306" t="s">
        <v>731</v>
      </c>
      <c r="K306" t="s">
        <v>1038</v>
      </c>
      <c r="L306">
        <v>231.63</v>
      </c>
      <c r="M306">
        <v>537.39</v>
      </c>
      <c r="N306">
        <v>0.08</v>
      </c>
      <c r="O306">
        <v>12</v>
      </c>
    </row>
    <row r="307" spans="1:15" x14ac:dyDescent="0.35">
      <c r="A307" t="s">
        <v>319</v>
      </c>
      <c r="B307" s="2">
        <v>45756</v>
      </c>
      <c r="C307" s="2">
        <v>45759</v>
      </c>
      <c r="D307" t="s">
        <v>649</v>
      </c>
      <c r="E307" t="s">
        <v>657</v>
      </c>
      <c r="F307" t="s">
        <v>679</v>
      </c>
      <c r="G307" t="s">
        <v>705</v>
      </c>
      <c r="H307" t="s">
        <v>710</v>
      </c>
      <c r="I307" t="s">
        <v>722</v>
      </c>
      <c r="J307" t="s">
        <v>732</v>
      </c>
      <c r="K307" t="s">
        <v>1039</v>
      </c>
      <c r="L307">
        <v>86.68</v>
      </c>
      <c r="M307">
        <v>213.32</v>
      </c>
      <c r="N307">
        <v>3.7999999999999999E-2</v>
      </c>
      <c r="O307">
        <v>8</v>
      </c>
    </row>
    <row r="308" spans="1:15" x14ac:dyDescent="0.35">
      <c r="A308" t="s">
        <v>320</v>
      </c>
      <c r="B308" s="2">
        <v>45741</v>
      </c>
      <c r="C308" s="2">
        <v>45742</v>
      </c>
      <c r="D308" t="s">
        <v>646</v>
      </c>
      <c r="E308" t="s">
        <v>651</v>
      </c>
      <c r="F308" t="s">
        <v>665</v>
      </c>
      <c r="G308" t="s">
        <v>702</v>
      </c>
      <c r="H308" t="s">
        <v>710</v>
      </c>
      <c r="I308" t="s">
        <v>715</v>
      </c>
      <c r="J308" t="s">
        <v>733</v>
      </c>
      <c r="K308" t="s">
        <v>1040</v>
      </c>
      <c r="L308">
        <v>1450.43</v>
      </c>
      <c r="M308">
        <v>1994.67</v>
      </c>
      <c r="N308">
        <v>0.1</v>
      </c>
      <c r="O308">
        <v>24</v>
      </c>
    </row>
    <row r="309" spans="1:15" x14ac:dyDescent="0.35">
      <c r="A309" t="s">
        <v>321</v>
      </c>
      <c r="B309" s="2">
        <v>45795</v>
      </c>
      <c r="C309" s="2">
        <v>45817</v>
      </c>
      <c r="D309" t="s">
        <v>648</v>
      </c>
      <c r="E309" t="s">
        <v>660</v>
      </c>
      <c r="F309" t="s">
        <v>700</v>
      </c>
      <c r="G309" t="s">
        <v>704</v>
      </c>
      <c r="H309" t="s">
        <v>707</v>
      </c>
      <c r="I309" t="s">
        <v>722</v>
      </c>
      <c r="J309" t="s">
        <v>729</v>
      </c>
      <c r="K309" t="s">
        <v>1041</v>
      </c>
      <c r="L309">
        <v>382.96</v>
      </c>
      <c r="M309">
        <v>552.84</v>
      </c>
      <c r="N309">
        <v>0.17599999999999999</v>
      </c>
      <c r="O309">
        <v>8</v>
      </c>
    </row>
    <row r="310" spans="1:15" x14ac:dyDescent="0.35">
      <c r="A310" t="s">
        <v>322</v>
      </c>
      <c r="B310" s="2">
        <v>45679</v>
      </c>
      <c r="C310" s="2">
        <v>45692</v>
      </c>
      <c r="D310" t="s">
        <v>647</v>
      </c>
      <c r="E310" t="s">
        <v>652</v>
      </c>
      <c r="F310" t="s">
        <v>689</v>
      </c>
      <c r="G310" t="s">
        <v>705</v>
      </c>
      <c r="H310" t="s">
        <v>710</v>
      </c>
      <c r="I310" t="s">
        <v>716</v>
      </c>
      <c r="J310" t="s">
        <v>728</v>
      </c>
      <c r="K310" t="s">
        <v>1042</v>
      </c>
      <c r="L310">
        <v>122.29</v>
      </c>
      <c r="M310">
        <v>224.95</v>
      </c>
      <c r="N310">
        <v>0.153</v>
      </c>
      <c r="O310">
        <v>28</v>
      </c>
    </row>
    <row r="311" spans="1:15" x14ac:dyDescent="0.35">
      <c r="A311" t="s">
        <v>323</v>
      </c>
      <c r="B311" s="2">
        <v>44936</v>
      </c>
      <c r="C311" s="2">
        <v>44955</v>
      </c>
      <c r="D311" t="s">
        <v>649</v>
      </c>
      <c r="E311" t="s">
        <v>657</v>
      </c>
      <c r="F311" t="s">
        <v>679</v>
      </c>
      <c r="G311" t="s">
        <v>703</v>
      </c>
      <c r="H311" t="s">
        <v>711</v>
      </c>
      <c r="I311" t="s">
        <v>726</v>
      </c>
      <c r="J311" t="s">
        <v>731</v>
      </c>
      <c r="K311" t="s">
        <v>1043</v>
      </c>
      <c r="L311">
        <v>401.66</v>
      </c>
      <c r="M311">
        <v>772.09</v>
      </c>
      <c r="N311">
        <v>8.8999999999999996E-2</v>
      </c>
      <c r="O311">
        <v>14</v>
      </c>
    </row>
    <row r="312" spans="1:15" x14ac:dyDescent="0.35">
      <c r="A312" t="s">
        <v>324</v>
      </c>
      <c r="B312" s="2">
        <v>45655</v>
      </c>
      <c r="C312" s="2">
        <v>45669</v>
      </c>
      <c r="D312" t="s">
        <v>649</v>
      </c>
      <c r="E312" t="s">
        <v>658</v>
      </c>
      <c r="F312" t="s">
        <v>693</v>
      </c>
      <c r="G312" t="s">
        <v>701</v>
      </c>
      <c r="H312" t="s">
        <v>711</v>
      </c>
      <c r="I312" t="s">
        <v>717</v>
      </c>
      <c r="J312" t="s">
        <v>732</v>
      </c>
      <c r="K312" t="s">
        <v>1044</v>
      </c>
      <c r="L312">
        <v>1399.72</v>
      </c>
      <c r="M312">
        <v>3149.21</v>
      </c>
      <c r="N312">
        <v>0.185</v>
      </c>
      <c r="O312">
        <v>12</v>
      </c>
    </row>
    <row r="313" spans="1:15" x14ac:dyDescent="0.35">
      <c r="A313" t="s">
        <v>325</v>
      </c>
      <c r="B313" s="2">
        <v>45435</v>
      </c>
      <c r="C313" s="2">
        <v>45449</v>
      </c>
      <c r="D313" t="s">
        <v>648</v>
      </c>
      <c r="E313" t="s">
        <v>655</v>
      </c>
      <c r="F313" t="s">
        <v>692</v>
      </c>
      <c r="G313" t="s">
        <v>703</v>
      </c>
      <c r="H313" t="s">
        <v>708</v>
      </c>
      <c r="I313" t="s">
        <v>714</v>
      </c>
      <c r="J313" t="s">
        <v>729</v>
      </c>
      <c r="K313" t="s">
        <v>1045</v>
      </c>
      <c r="L313">
        <v>51.13</v>
      </c>
      <c r="M313">
        <v>57.53</v>
      </c>
      <c r="N313">
        <v>4.4999999999999998E-2</v>
      </c>
      <c r="O313">
        <v>16</v>
      </c>
    </row>
    <row r="314" spans="1:15" x14ac:dyDescent="0.35">
      <c r="A314" t="s">
        <v>326</v>
      </c>
      <c r="B314" s="2">
        <v>45101</v>
      </c>
      <c r="C314" s="2">
        <v>45099</v>
      </c>
      <c r="D314" t="s">
        <v>648</v>
      </c>
      <c r="E314" t="s">
        <v>653</v>
      </c>
      <c r="F314" t="s">
        <v>667</v>
      </c>
      <c r="G314" t="s">
        <v>703</v>
      </c>
      <c r="H314" t="s">
        <v>707</v>
      </c>
      <c r="I314" t="s">
        <v>724</v>
      </c>
      <c r="J314" t="s">
        <v>733</v>
      </c>
      <c r="K314" t="s">
        <v>1046</v>
      </c>
      <c r="L314">
        <v>471.42</v>
      </c>
      <c r="M314">
        <v>824.81</v>
      </c>
      <c r="N314">
        <v>8.7999999999999995E-2</v>
      </c>
      <c r="O314">
        <v>15</v>
      </c>
    </row>
    <row r="315" spans="1:15" x14ac:dyDescent="0.35">
      <c r="A315" t="s">
        <v>327</v>
      </c>
      <c r="B315" s="2">
        <v>45600</v>
      </c>
      <c r="C315" s="2">
        <v>45601</v>
      </c>
      <c r="D315" t="s">
        <v>649</v>
      </c>
      <c r="E315" t="s">
        <v>658</v>
      </c>
      <c r="F315" t="s">
        <v>683</v>
      </c>
      <c r="G315" t="s">
        <v>701</v>
      </c>
      <c r="H315" t="s">
        <v>707</v>
      </c>
      <c r="I315" t="s">
        <v>724</v>
      </c>
      <c r="J315" t="s">
        <v>728</v>
      </c>
      <c r="K315" t="s">
        <v>1047</v>
      </c>
      <c r="L315">
        <v>840.68</v>
      </c>
      <c r="M315">
        <v>1493.53</v>
      </c>
      <c r="N315">
        <v>0</v>
      </c>
      <c r="O315">
        <v>27</v>
      </c>
    </row>
    <row r="316" spans="1:15" x14ac:dyDescent="0.35">
      <c r="A316" t="s">
        <v>328</v>
      </c>
      <c r="B316" s="2">
        <v>45451</v>
      </c>
      <c r="C316" s="2">
        <v>45467</v>
      </c>
      <c r="D316" t="s">
        <v>646</v>
      </c>
      <c r="E316" t="s">
        <v>661</v>
      </c>
      <c r="F316" t="s">
        <v>687</v>
      </c>
      <c r="G316" t="s">
        <v>702</v>
      </c>
      <c r="H316" t="s">
        <v>710</v>
      </c>
      <c r="I316" t="s">
        <v>722</v>
      </c>
      <c r="J316" t="s">
        <v>732</v>
      </c>
      <c r="K316" t="s">
        <v>1048</v>
      </c>
      <c r="L316">
        <v>597.85</v>
      </c>
      <c r="M316">
        <v>741.92</v>
      </c>
      <c r="N316">
        <v>3.1E-2</v>
      </c>
      <c r="O316">
        <v>7</v>
      </c>
    </row>
    <row r="317" spans="1:15" x14ac:dyDescent="0.35">
      <c r="A317" t="s">
        <v>329</v>
      </c>
      <c r="B317" s="2">
        <v>45809</v>
      </c>
      <c r="C317" s="2">
        <v>45814</v>
      </c>
      <c r="D317" t="s">
        <v>649</v>
      </c>
      <c r="E317" t="s">
        <v>657</v>
      </c>
      <c r="F317" t="s">
        <v>690</v>
      </c>
      <c r="G317" t="s">
        <v>704</v>
      </c>
      <c r="H317" t="s">
        <v>710</v>
      </c>
      <c r="I317" t="s">
        <v>715</v>
      </c>
      <c r="J317" t="s">
        <v>727</v>
      </c>
      <c r="K317" t="s">
        <v>1049</v>
      </c>
      <c r="L317">
        <v>379.45</v>
      </c>
      <c r="M317">
        <v>742.23</v>
      </c>
      <c r="N317">
        <v>0.09</v>
      </c>
      <c r="O317">
        <v>13</v>
      </c>
    </row>
    <row r="318" spans="1:15" x14ac:dyDescent="0.35">
      <c r="A318" t="s">
        <v>330</v>
      </c>
      <c r="B318" s="2">
        <v>45052</v>
      </c>
      <c r="C318" s="2">
        <v>45060</v>
      </c>
      <c r="D318" t="s">
        <v>647</v>
      </c>
      <c r="E318" t="s">
        <v>652</v>
      </c>
      <c r="F318" t="s">
        <v>666</v>
      </c>
      <c r="G318" t="s">
        <v>706</v>
      </c>
      <c r="H318" t="s">
        <v>709</v>
      </c>
      <c r="I318" t="s">
        <v>717</v>
      </c>
      <c r="J318" t="s">
        <v>730</v>
      </c>
      <c r="K318" t="s">
        <v>1050</v>
      </c>
      <c r="L318">
        <v>291.18</v>
      </c>
      <c r="M318">
        <v>479.54</v>
      </c>
      <c r="N318">
        <v>0.14099999999999999</v>
      </c>
      <c r="O318">
        <v>22</v>
      </c>
    </row>
    <row r="319" spans="1:15" x14ac:dyDescent="0.35">
      <c r="A319" t="s">
        <v>331</v>
      </c>
      <c r="B319" s="2">
        <v>45244</v>
      </c>
      <c r="C319" s="2">
        <v>45260</v>
      </c>
      <c r="D319" t="s">
        <v>648</v>
      </c>
      <c r="E319" t="s">
        <v>655</v>
      </c>
      <c r="F319" t="s">
        <v>670</v>
      </c>
      <c r="G319" t="s">
        <v>706</v>
      </c>
      <c r="H319" t="s">
        <v>711</v>
      </c>
      <c r="I319" t="s">
        <v>723</v>
      </c>
      <c r="J319" t="s">
        <v>729</v>
      </c>
      <c r="K319" t="s">
        <v>1051</v>
      </c>
      <c r="L319">
        <v>1017.92</v>
      </c>
      <c r="M319">
        <v>1175.25</v>
      </c>
      <c r="N319">
        <v>7.4999999999999997E-2</v>
      </c>
      <c r="O319">
        <v>15</v>
      </c>
    </row>
    <row r="320" spans="1:15" x14ac:dyDescent="0.35">
      <c r="A320" t="s">
        <v>332</v>
      </c>
      <c r="B320" s="2">
        <v>45748</v>
      </c>
      <c r="C320" s="2">
        <v>45774</v>
      </c>
      <c r="D320" t="s">
        <v>648</v>
      </c>
      <c r="E320" t="s">
        <v>660</v>
      </c>
      <c r="F320" t="s">
        <v>686</v>
      </c>
      <c r="G320" t="s">
        <v>701</v>
      </c>
      <c r="H320" t="s">
        <v>711</v>
      </c>
      <c r="I320" t="s">
        <v>714</v>
      </c>
      <c r="J320" t="s">
        <v>732</v>
      </c>
      <c r="K320" t="s">
        <v>1052</v>
      </c>
      <c r="L320">
        <v>156.55000000000001</v>
      </c>
      <c r="M320">
        <v>227.45</v>
      </c>
      <c r="N320">
        <v>1.4E-2</v>
      </c>
      <c r="O320">
        <v>13</v>
      </c>
    </row>
    <row r="321" spans="1:15" x14ac:dyDescent="0.35">
      <c r="A321" t="s">
        <v>333</v>
      </c>
      <c r="B321" s="2">
        <v>45008</v>
      </c>
      <c r="C321" s="2">
        <v>45031</v>
      </c>
      <c r="D321" t="s">
        <v>646</v>
      </c>
      <c r="E321" t="s">
        <v>650</v>
      </c>
      <c r="F321" t="s">
        <v>675</v>
      </c>
      <c r="G321" t="s">
        <v>705</v>
      </c>
      <c r="H321" t="s">
        <v>707</v>
      </c>
      <c r="I321" t="s">
        <v>712</v>
      </c>
      <c r="J321" t="s">
        <v>733</v>
      </c>
      <c r="K321" t="s">
        <v>1053</v>
      </c>
      <c r="L321">
        <v>875.36</v>
      </c>
      <c r="M321">
        <v>1178.6199999999999</v>
      </c>
      <c r="N321">
        <v>0.151</v>
      </c>
      <c r="O321">
        <v>53</v>
      </c>
    </row>
    <row r="322" spans="1:15" x14ac:dyDescent="0.35">
      <c r="A322" t="s">
        <v>334</v>
      </c>
      <c r="B322" s="2">
        <v>45440</v>
      </c>
      <c r="C322" s="2">
        <v>45461</v>
      </c>
      <c r="D322" t="s">
        <v>649</v>
      </c>
      <c r="E322" t="s">
        <v>656</v>
      </c>
      <c r="F322" t="s">
        <v>698</v>
      </c>
      <c r="G322" t="s">
        <v>705</v>
      </c>
      <c r="H322" t="s">
        <v>708</v>
      </c>
      <c r="I322" t="s">
        <v>718</v>
      </c>
      <c r="J322" t="s">
        <v>730</v>
      </c>
      <c r="K322" t="s">
        <v>1054</v>
      </c>
      <c r="L322">
        <v>986.85</v>
      </c>
      <c r="M322">
        <v>2422.1</v>
      </c>
      <c r="N322">
        <v>7.5999999999999998E-2</v>
      </c>
      <c r="O322">
        <v>10</v>
      </c>
    </row>
    <row r="323" spans="1:15" x14ac:dyDescent="0.35">
      <c r="A323" t="s">
        <v>335</v>
      </c>
      <c r="B323" s="2">
        <v>45293</v>
      </c>
      <c r="C323" s="2">
        <v>45292</v>
      </c>
      <c r="D323" t="s">
        <v>648</v>
      </c>
      <c r="E323" t="s">
        <v>660</v>
      </c>
      <c r="F323" t="s">
        <v>677</v>
      </c>
      <c r="G323" t="s">
        <v>702</v>
      </c>
      <c r="H323" t="s">
        <v>709</v>
      </c>
      <c r="I323" t="s">
        <v>717</v>
      </c>
      <c r="J323" t="s">
        <v>729</v>
      </c>
      <c r="K323" t="s">
        <v>1055</v>
      </c>
      <c r="L323">
        <v>404.77</v>
      </c>
      <c r="M323">
        <v>433.88</v>
      </c>
      <c r="N323">
        <v>0.215</v>
      </c>
      <c r="O323">
        <v>22</v>
      </c>
    </row>
    <row r="324" spans="1:15" x14ac:dyDescent="0.35">
      <c r="A324" t="s">
        <v>336</v>
      </c>
      <c r="B324" s="2">
        <v>44985</v>
      </c>
      <c r="C324" s="2">
        <v>44984</v>
      </c>
      <c r="D324" t="s">
        <v>649</v>
      </c>
      <c r="E324" t="s">
        <v>657</v>
      </c>
      <c r="F324" t="s">
        <v>673</v>
      </c>
      <c r="G324" t="s">
        <v>701</v>
      </c>
      <c r="H324" t="s">
        <v>707</v>
      </c>
      <c r="I324" t="s">
        <v>723</v>
      </c>
      <c r="J324" t="s">
        <v>729</v>
      </c>
      <c r="K324" t="s">
        <v>1056</v>
      </c>
      <c r="L324">
        <v>1299.81</v>
      </c>
      <c r="M324">
        <v>3149.13</v>
      </c>
      <c r="N324">
        <v>0.10299999999999999</v>
      </c>
      <c r="O324">
        <v>14</v>
      </c>
    </row>
    <row r="325" spans="1:15" x14ac:dyDescent="0.35">
      <c r="A325" t="s">
        <v>337</v>
      </c>
      <c r="B325" s="2">
        <v>45340</v>
      </c>
      <c r="C325" s="2">
        <v>45362</v>
      </c>
      <c r="D325" t="s">
        <v>648</v>
      </c>
      <c r="E325" t="s">
        <v>655</v>
      </c>
      <c r="F325" t="s">
        <v>670</v>
      </c>
      <c r="G325" t="s">
        <v>704</v>
      </c>
      <c r="H325" t="s">
        <v>708</v>
      </c>
      <c r="I325" t="s">
        <v>720</v>
      </c>
      <c r="J325" t="s">
        <v>727</v>
      </c>
      <c r="K325" t="s">
        <v>1057</v>
      </c>
      <c r="L325">
        <v>80.48</v>
      </c>
      <c r="M325">
        <v>65.650000000000006</v>
      </c>
      <c r="N325">
        <v>0.17599999999999999</v>
      </c>
      <c r="O325">
        <v>13</v>
      </c>
    </row>
    <row r="326" spans="1:15" x14ac:dyDescent="0.35">
      <c r="A326" t="s">
        <v>338</v>
      </c>
      <c r="B326" s="2">
        <v>45544</v>
      </c>
      <c r="C326" s="2">
        <v>45573</v>
      </c>
      <c r="D326" t="s">
        <v>648</v>
      </c>
      <c r="E326" t="s">
        <v>655</v>
      </c>
      <c r="F326" t="s">
        <v>670</v>
      </c>
      <c r="G326" t="s">
        <v>702</v>
      </c>
      <c r="H326" t="s">
        <v>711</v>
      </c>
      <c r="I326" t="s">
        <v>713</v>
      </c>
      <c r="J326" t="s">
        <v>727</v>
      </c>
      <c r="K326" t="s">
        <v>1058</v>
      </c>
      <c r="L326">
        <v>1010.33</v>
      </c>
      <c r="M326">
        <v>2492.14</v>
      </c>
      <c r="N326">
        <v>5.0999999999999997E-2</v>
      </c>
      <c r="O326">
        <v>11</v>
      </c>
    </row>
    <row r="327" spans="1:15" x14ac:dyDescent="0.35">
      <c r="A327" t="s">
        <v>339</v>
      </c>
      <c r="B327" s="2">
        <v>45053</v>
      </c>
      <c r="C327" s="2">
        <v>45075</v>
      </c>
      <c r="D327" t="s">
        <v>646</v>
      </c>
      <c r="E327" t="s">
        <v>661</v>
      </c>
      <c r="F327" t="s">
        <v>687</v>
      </c>
      <c r="G327" t="s">
        <v>702</v>
      </c>
      <c r="H327" t="s">
        <v>710</v>
      </c>
      <c r="I327" t="s">
        <v>723</v>
      </c>
      <c r="J327" t="s">
        <v>733</v>
      </c>
      <c r="K327" t="s">
        <v>1059</v>
      </c>
      <c r="L327">
        <v>653.86</v>
      </c>
      <c r="M327">
        <v>931.84</v>
      </c>
      <c r="N327">
        <v>0.121</v>
      </c>
      <c r="O327">
        <v>12</v>
      </c>
    </row>
    <row r="328" spans="1:15" x14ac:dyDescent="0.35">
      <c r="A328" t="s">
        <v>340</v>
      </c>
      <c r="B328" s="2">
        <v>45303</v>
      </c>
      <c r="C328" s="2">
        <v>45320</v>
      </c>
      <c r="D328" t="s">
        <v>647</v>
      </c>
      <c r="E328" t="s">
        <v>654</v>
      </c>
      <c r="F328" t="s">
        <v>696</v>
      </c>
      <c r="G328" t="s">
        <v>705</v>
      </c>
      <c r="H328" t="s">
        <v>711</v>
      </c>
      <c r="I328" t="s">
        <v>717</v>
      </c>
      <c r="J328" t="s">
        <v>727</v>
      </c>
      <c r="K328" t="s">
        <v>1060</v>
      </c>
      <c r="L328">
        <v>310.02</v>
      </c>
      <c r="M328">
        <v>619.51</v>
      </c>
      <c r="N328">
        <v>4.2000000000000003E-2</v>
      </c>
      <c r="O328">
        <v>4</v>
      </c>
    </row>
    <row r="329" spans="1:15" x14ac:dyDescent="0.35">
      <c r="A329" t="s">
        <v>341</v>
      </c>
      <c r="B329" s="2">
        <v>45087</v>
      </c>
      <c r="C329" s="2">
        <v>45095</v>
      </c>
      <c r="D329" t="s">
        <v>646</v>
      </c>
      <c r="E329" t="s">
        <v>650</v>
      </c>
      <c r="F329" t="s">
        <v>678</v>
      </c>
      <c r="G329" t="s">
        <v>706</v>
      </c>
      <c r="H329" t="s">
        <v>711</v>
      </c>
      <c r="I329" t="s">
        <v>722</v>
      </c>
      <c r="J329" t="s">
        <v>730</v>
      </c>
      <c r="K329" t="s">
        <v>1061</v>
      </c>
      <c r="L329">
        <v>894.23</v>
      </c>
      <c r="M329">
        <v>1421.55</v>
      </c>
      <c r="N329">
        <v>0.109</v>
      </c>
      <c r="O329">
        <v>3</v>
      </c>
    </row>
    <row r="330" spans="1:15" x14ac:dyDescent="0.35">
      <c r="A330" t="s">
        <v>342</v>
      </c>
      <c r="B330" s="2">
        <v>45796</v>
      </c>
      <c r="C330" s="2">
        <v>45794</v>
      </c>
      <c r="D330" t="s">
        <v>648</v>
      </c>
      <c r="E330" t="s">
        <v>655</v>
      </c>
      <c r="F330" t="s">
        <v>670</v>
      </c>
      <c r="G330" t="s">
        <v>705</v>
      </c>
      <c r="H330" t="s">
        <v>710</v>
      </c>
      <c r="I330" t="s">
        <v>716</v>
      </c>
      <c r="J330" t="s">
        <v>732</v>
      </c>
      <c r="K330" t="s">
        <v>1062</v>
      </c>
      <c r="L330">
        <v>383.77</v>
      </c>
      <c r="M330">
        <v>952.56</v>
      </c>
      <c r="N330">
        <v>0.34599999999999997</v>
      </c>
      <c r="O330">
        <v>10</v>
      </c>
    </row>
    <row r="331" spans="1:15" x14ac:dyDescent="0.35">
      <c r="A331" t="s">
        <v>343</v>
      </c>
      <c r="B331" s="2">
        <v>45221</v>
      </c>
      <c r="C331" s="2">
        <v>45246</v>
      </c>
      <c r="D331" t="s">
        <v>648</v>
      </c>
      <c r="E331" t="s">
        <v>653</v>
      </c>
      <c r="F331" t="s">
        <v>667</v>
      </c>
      <c r="G331" t="s">
        <v>705</v>
      </c>
      <c r="H331" t="s">
        <v>709</v>
      </c>
      <c r="I331" t="s">
        <v>714</v>
      </c>
      <c r="J331" t="s">
        <v>731</v>
      </c>
      <c r="K331" t="s">
        <v>1063</v>
      </c>
      <c r="L331">
        <v>1373.31</v>
      </c>
      <c r="M331">
        <v>3154.14</v>
      </c>
      <c r="N331">
        <v>0.2</v>
      </c>
      <c r="O331">
        <v>11</v>
      </c>
    </row>
    <row r="332" spans="1:15" x14ac:dyDescent="0.35">
      <c r="A332" t="s">
        <v>344</v>
      </c>
      <c r="B332" s="2">
        <v>45668</v>
      </c>
      <c r="C332" s="2">
        <v>45680</v>
      </c>
      <c r="D332" t="s">
        <v>648</v>
      </c>
      <c r="E332" t="s">
        <v>660</v>
      </c>
      <c r="F332" t="s">
        <v>697</v>
      </c>
      <c r="G332" t="s">
        <v>704</v>
      </c>
      <c r="H332" t="s">
        <v>710</v>
      </c>
      <c r="I332" t="s">
        <v>722</v>
      </c>
      <c r="J332" t="s">
        <v>730</v>
      </c>
      <c r="K332" t="s">
        <v>1064</v>
      </c>
      <c r="L332">
        <v>100.69</v>
      </c>
      <c r="M332">
        <v>226.14</v>
      </c>
      <c r="N332">
        <v>6.5000000000000002E-2</v>
      </c>
      <c r="O332">
        <v>12</v>
      </c>
    </row>
    <row r="333" spans="1:15" x14ac:dyDescent="0.35">
      <c r="A333" t="s">
        <v>345</v>
      </c>
      <c r="B333" s="2">
        <v>45914</v>
      </c>
      <c r="C333" s="2">
        <v>45926</v>
      </c>
      <c r="D333" t="s">
        <v>649</v>
      </c>
      <c r="E333" t="s">
        <v>658</v>
      </c>
      <c r="F333" t="s">
        <v>683</v>
      </c>
      <c r="G333" t="s">
        <v>705</v>
      </c>
      <c r="H333" t="s">
        <v>711</v>
      </c>
      <c r="I333" t="s">
        <v>725</v>
      </c>
      <c r="J333" t="s">
        <v>729</v>
      </c>
      <c r="K333" t="s">
        <v>1065</v>
      </c>
      <c r="L333">
        <v>425.15</v>
      </c>
      <c r="M333">
        <v>885.92</v>
      </c>
      <c r="N333">
        <v>0.23899999999999999</v>
      </c>
      <c r="O333">
        <v>13</v>
      </c>
    </row>
    <row r="334" spans="1:15" x14ac:dyDescent="0.35">
      <c r="A334" t="s">
        <v>346</v>
      </c>
      <c r="B334" s="2">
        <v>45168</v>
      </c>
      <c r="C334" s="2">
        <v>45172</v>
      </c>
      <c r="D334" t="s">
        <v>647</v>
      </c>
      <c r="E334" t="s">
        <v>654</v>
      </c>
      <c r="F334" t="s">
        <v>680</v>
      </c>
      <c r="G334" t="s">
        <v>705</v>
      </c>
      <c r="H334" t="s">
        <v>709</v>
      </c>
      <c r="I334" t="s">
        <v>716</v>
      </c>
      <c r="J334" t="s">
        <v>733</v>
      </c>
      <c r="K334" t="s">
        <v>1066</v>
      </c>
      <c r="L334">
        <v>1082.25</v>
      </c>
      <c r="M334">
        <v>2433.34</v>
      </c>
      <c r="N334">
        <v>0.27</v>
      </c>
      <c r="O334">
        <v>4</v>
      </c>
    </row>
    <row r="335" spans="1:15" x14ac:dyDescent="0.35">
      <c r="A335" t="s">
        <v>347</v>
      </c>
      <c r="B335" s="2">
        <v>45245</v>
      </c>
      <c r="C335" s="2">
        <v>45266</v>
      </c>
      <c r="D335" t="s">
        <v>649</v>
      </c>
      <c r="E335" t="s">
        <v>658</v>
      </c>
      <c r="F335" t="s">
        <v>693</v>
      </c>
      <c r="G335" t="s">
        <v>702</v>
      </c>
      <c r="H335" t="s">
        <v>711</v>
      </c>
      <c r="I335" t="s">
        <v>722</v>
      </c>
      <c r="J335" t="s">
        <v>733</v>
      </c>
      <c r="K335" t="s">
        <v>1067</v>
      </c>
      <c r="L335">
        <v>1184.99</v>
      </c>
      <c r="M335">
        <v>1154.3399999999999</v>
      </c>
      <c r="N335">
        <v>2.8000000000000001E-2</v>
      </c>
      <c r="O335">
        <v>5</v>
      </c>
    </row>
    <row r="336" spans="1:15" x14ac:dyDescent="0.35">
      <c r="A336" t="s">
        <v>348</v>
      </c>
      <c r="B336" s="2">
        <v>45774</v>
      </c>
      <c r="C336" s="2">
        <v>45804</v>
      </c>
      <c r="D336" t="s">
        <v>647</v>
      </c>
      <c r="E336" t="s">
        <v>654</v>
      </c>
      <c r="G336" t="s">
        <v>706</v>
      </c>
      <c r="H336" t="s">
        <v>709</v>
      </c>
      <c r="I336" t="s">
        <v>722</v>
      </c>
      <c r="J336" t="s">
        <v>730</v>
      </c>
      <c r="K336" t="s">
        <v>1068</v>
      </c>
      <c r="L336">
        <v>481.32</v>
      </c>
      <c r="M336">
        <v>1135.99</v>
      </c>
      <c r="N336">
        <v>0.14499999999999999</v>
      </c>
      <c r="O336">
        <v>5</v>
      </c>
    </row>
    <row r="337" spans="1:15" x14ac:dyDescent="0.35">
      <c r="A337" t="s">
        <v>349</v>
      </c>
      <c r="B337" s="2">
        <v>45391</v>
      </c>
      <c r="C337" s="2">
        <v>45400</v>
      </c>
      <c r="D337" t="s">
        <v>649</v>
      </c>
      <c r="E337" t="s">
        <v>657</v>
      </c>
      <c r="F337" t="s">
        <v>679</v>
      </c>
      <c r="G337" t="s">
        <v>704</v>
      </c>
      <c r="H337" t="s">
        <v>708</v>
      </c>
      <c r="I337" t="s">
        <v>718</v>
      </c>
      <c r="J337" t="s">
        <v>728</v>
      </c>
      <c r="K337" t="s">
        <v>1069</v>
      </c>
      <c r="L337">
        <v>1288.8499999999999</v>
      </c>
      <c r="M337">
        <v>2751.84</v>
      </c>
      <c r="N337">
        <v>0.158</v>
      </c>
      <c r="O337">
        <v>7</v>
      </c>
    </row>
    <row r="338" spans="1:15" x14ac:dyDescent="0.35">
      <c r="A338" t="s">
        <v>350</v>
      </c>
      <c r="B338" s="2">
        <v>45484</v>
      </c>
      <c r="C338" s="2">
        <v>45504</v>
      </c>
      <c r="D338" t="s">
        <v>647</v>
      </c>
      <c r="E338" t="s">
        <v>659</v>
      </c>
      <c r="F338" t="s">
        <v>676</v>
      </c>
      <c r="G338" t="s">
        <v>704</v>
      </c>
      <c r="H338" t="s">
        <v>708</v>
      </c>
      <c r="I338" t="s">
        <v>715</v>
      </c>
      <c r="J338" t="s">
        <v>730</v>
      </c>
      <c r="K338" t="s">
        <v>1070</v>
      </c>
      <c r="L338">
        <v>647.26</v>
      </c>
      <c r="M338">
        <v>1374.72</v>
      </c>
      <c r="N338">
        <v>6.6000000000000003E-2</v>
      </c>
      <c r="O338">
        <v>22</v>
      </c>
    </row>
    <row r="339" spans="1:15" x14ac:dyDescent="0.35">
      <c r="A339" t="s">
        <v>351</v>
      </c>
      <c r="B339" s="2">
        <v>45340</v>
      </c>
      <c r="C339" s="2">
        <v>45354</v>
      </c>
      <c r="D339" t="s">
        <v>648</v>
      </c>
      <c r="E339" t="s">
        <v>655</v>
      </c>
      <c r="G339" t="s">
        <v>706</v>
      </c>
      <c r="H339" t="s">
        <v>710</v>
      </c>
      <c r="I339" t="s">
        <v>720</v>
      </c>
      <c r="J339" t="s">
        <v>728</v>
      </c>
      <c r="K339" t="s">
        <v>1071</v>
      </c>
      <c r="L339">
        <v>624.23</v>
      </c>
      <c r="M339">
        <v>1318.37</v>
      </c>
      <c r="N339">
        <v>0.21</v>
      </c>
      <c r="O339">
        <v>37</v>
      </c>
    </row>
    <row r="340" spans="1:15" x14ac:dyDescent="0.35">
      <c r="A340" t="s">
        <v>352</v>
      </c>
      <c r="B340" s="2">
        <v>45132</v>
      </c>
      <c r="C340" s="2">
        <v>45148</v>
      </c>
      <c r="D340" t="s">
        <v>646</v>
      </c>
      <c r="E340" t="s">
        <v>651</v>
      </c>
      <c r="F340" t="s">
        <v>663</v>
      </c>
      <c r="G340" t="s">
        <v>701</v>
      </c>
      <c r="H340" t="s">
        <v>710</v>
      </c>
      <c r="I340" t="s">
        <v>714</v>
      </c>
      <c r="J340" t="s">
        <v>733</v>
      </c>
      <c r="K340" t="s">
        <v>1072</v>
      </c>
      <c r="L340">
        <v>506.83</v>
      </c>
      <c r="M340">
        <v>441.74</v>
      </c>
      <c r="N340">
        <v>0.24</v>
      </c>
      <c r="O340">
        <v>9</v>
      </c>
    </row>
    <row r="341" spans="1:15" x14ac:dyDescent="0.35">
      <c r="A341" t="s">
        <v>353</v>
      </c>
      <c r="B341" s="2">
        <v>45121</v>
      </c>
      <c r="C341" s="2">
        <v>45128</v>
      </c>
      <c r="D341" t="s">
        <v>646</v>
      </c>
      <c r="E341" t="s">
        <v>661</v>
      </c>
      <c r="F341" t="s">
        <v>687</v>
      </c>
      <c r="G341" t="s">
        <v>706</v>
      </c>
      <c r="H341" t="s">
        <v>709</v>
      </c>
      <c r="J341" t="s">
        <v>732</v>
      </c>
      <c r="K341" t="s">
        <v>1073</v>
      </c>
      <c r="L341">
        <v>620.74</v>
      </c>
      <c r="M341">
        <v>1330.07</v>
      </c>
      <c r="N341">
        <v>0.29899999999999999</v>
      </c>
      <c r="O341">
        <v>28</v>
      </c>
    </row>
    <row r="342" spans="1:15" x14ac:dyDescent="0.35">
      <c r="A342" t="s">
        <v>354</v>
      </c>
      <c r="B342" s="2">
        <v>45131</v>
      </c>
      <c r="C342" s="2">
        <v>45157</v>
      </c>
      <c r="D342" t="s">
        <v>646</v>
      </c>
      <c r="E342" t="s">
        <v>650</v>
      </c>
      <c r="F342" t="s">
        <v>664</v>
      </c>
      <c r="G342" t="s">
        <v>706</v>
      </c>
      <c r="H342" t="s">
        <v>710</v>
      </c>
      <c r="I342" t="s">
        <v>724</v>
      </c>
      <c r="J342" t="s">
        <v>733</v>
      </c>
      <c r="K342" t="s">
        <v>1074</v>
      </c>
      <c r="L342">
        <v>661.45</v>
      </c>
      <c r="M342">
        <v>1634.86</v>
      </c>
      <c r="N342">
        <v>0.56499999999999995</v>
      </c>
      <c r="O342">
        <v>24</v>
      </c>
    </row>
    <row r="343" spans="1:15" x14ac:dyDescent="0.35">
      <c r="A343" t="s">
        <v>355</v>
      </c>
      <c r="B343" s="2">
        <v>45029</v>
      </c>
      <c r="C343" s="2">
        <v>45027</v>
      </c>
      <c r="D343" t="s">
        <v>648</v>
      </c>
      <c r="E343" t="s">
        <v>660</v>
      </c>
      <c r="F343" t="s">
        <v>686</v>
      </c>
      <c r="G343" t="s">
        <v>702</v>
      </c>
      <c r="H343" t="s">
        <v>709</v>
      </c>
      <c r="I343" t="s">
        <v>715</v>
      </c>
      <c r="J343" t="s">
        <v>729</v>
      </c>
      <c r="K343" t="s">
        <v>1075</v>
      </c>
      <c r="L343">
        <v>32.1</v>
      </c>
      <c r="M343">
        <v>70.599999999999994</v>
      </c>
      <c r="N343">
        <v>0.28199999999999997</v>
      </c>
      <c r="O343">
        <v>22</v>
      </c>
    </row>
    <row r="344" spans="1:15" x14ac:dyDescent="0.35">
      <c r="A344" t="s">
        <v>356</v>
      </c>
      <c r="B344" s="2">
        <v>45594</v>
      </c>
      <c r="C344" s="2">
        <v>45600</v>
      </c>
      <c r="D344" t="s">
        <v>646</v>
      </c>
      <c r="E344" t="s">
        <v>650</v>
      </c>
      <c r="F344" t="s">
        <v>664</v>
      </c>
      <c r="G344" t="s">
        <v>701</v>
      </c>
      <c r="H344" t="s">
        <v>710</v>
      </c>
      <c r="I344" t="s">
        <v>724</v>
      </c>
      <c r="J344" t="s">
        <v>728</v>
      </c>
      <c r="K344" t="s">
        <v>1076</v>
      </c>
      <c r="L344">
        <v>805.81</v>
      </c>
      <c r="M344">
        <v>1823.04</v>
      </c>
      <c r="N344">
        <v>0</v>
      </c>
      <c r="O344">
        <v>11</v>
      </c>
    </row>
    <row r="345" spans="1:15" x14ac:dyDescent="0.35">
      <c r="A345" t="s">
        <v>357</v>
      </c>
      <c r="B345" s="2">
        <v>45339</v>
      </c>
      <c r="C345" s="2">
        <v>45355</v>
      </c>
      <c r="D345" t="s">
        <v>647</v>
      </c>
      <c r="E345" t="s">
        <v>654</v>
      </c>
      <c r="F345" t="s">
        <v>680</v>
      </c>
      <c r="G345" t="s">
        <v>705</v>
      </c>
      <c r="H345" t="s">
        <v>709</v>
      </c>
      <c r="I345" t="s">
        <v>721</v>
      </c>
      <c r="J345" t="s">
        <v>730</v>
      </c>
      <c r="K345" t="s">
        <v>1077</v>
      </c>
      <c r="L345">
        <v>1231.8</v>
      </c>
      <c r="M345">
        <v>2015.99</v>
      </c>
      <c r="N345">
        <v>0.26100000000000001</v>
      </c>
      <c r="O345">
        <v>6</v>
      </c>
    </row>
    <row r="346" spans="1:15" x14ac:dyDescent="0.35">
      <c r="A346" t="s">
        <v>358</v>
      </c>
      <c r="B346" s="2">
        <v>45486</v>
      </c>
      <c r="C346" s="2">
        <v>45485</v>
      </c>
      <c r="D346" t="s">
        <v>647</v>
      </c>
      <c r="E346" t="s">
        <v>652</v>
      </c>
      <c r="F346" t="s">
        <v>694</v>
      </c>
      <c r="G346" t="s">
        <v>705</v>
      </c>
      <c r="H346" t="s">
        <v>709</v>
      </c>
      <c r="I346" t="s">
        <v>721</v>
      </c>
      <c r="J346" t="s">
        <v>729</v>
      </c>
      <c r="K346" t="s">
        <v>1078</v>
      </c>
      <c r="L346">
        <v>105.13</v>
      </c>
      <c r="M346">
        <v>244.13</v>
      </c>
      <c r="N346">
        <v>7.0999999999999994E-2</v>
      </c>
      <c r="O346">
        <v>14</v>
      </c>
    </row>
    <row r="347" spans="1:15" x14ac:dyDescent="0.35">
      <c r="A347" t="s">
        <v>359</v>
      </c>
      <c r="B347" s="2">
        <v>45261</v>
      </c>
      <c r="C347" s="2">
        <v>45278</v>
      </c>
      <c r="D347" t="s">
        <v>647</v>
      </c>
      <c r="E347" t="s">
        <v>652</v>
      </c>
      <c r="F347" t="s">
        <v>694</v>
      </c>
      <c r="G347" t="s">
        <v>705</v>
      </c>
      <c r="H347" t="s">
        <v>711</v>
      </c>
      <c r="I347" t="s">
        <v>725</v>
      </c>
      <c r="J347" t="s">
        <v>731</v>
      </c>
      <c r="K347" t="s">
        <v>1079</v>
      </c>
      <c r="L347">
        <v>1495.79</v>
      </c>
      <c r="M347">
        <v>2783.12</v>
      </c>
      <c r="N347">
        <v>0.02</v>
      </c>
      <c r="O347">
        <v>5</v>
      </c>
    </row>
    <row r="348" spans="1:15" x14ac:dyDescent="0.35">
      <c r="A348" t="s">
        <v>360</v>
      </c>
      <c r="B348" s="2">
        <v>45498</v>
      </c>
      <c r="C348" s="2">
        <v>45506</v>
      </c>
      <c r="D348" t="s">
        <v>648</v>
      </c>
      <c r="E348" t="s">
        <v>653</v>
      </c>
      <c r="F348" t="s">
        <v>681</v>
      </c>
      <c r="G348" t="s">
        <v>704</v>
      </c>
      <c r="H348" t="s">
        <v>711</v>
      </c>
      <c r="I348" t="s">
        <v>713</v>
      </c>
      <c r="J348" t="s">
        <v>733</v>
      </c>
      <c r="K348" t="s">
        <v>1080</v>
      </c>
      <c r="L348">
        <v>986.81</v>
      </c>
      <c r="M348">
        <v>2050.31</v>
      </c>
      <c r="N348">
        <v>0.10299999999999999</v>
      </c>
      <c r="O348">
        <v>43</v>
      </c>
    </row>
    <row r="349" spans="1:15" x14ac:dyDescent="0.35">
      <c r="A349" t="s">
        <v>361</v>
      </c>
      <c r="B349" s="2">
        <v>45050</v>
      </c>
      <c r="C349" s="2">
        <v>45062</v>
      </c>
      <c r="D349" t="s">
        <v>646</v>
      </c>
      <c r="E349" t="s">
        <v>651</v>
      </c>
      <c r="F349" t="s">
        <v>669</v>
      </c>
      <c r="G349" t="s">
        <v>705</v>
      </c>
      <c r="H349" t="s">
        <v>709</v>
      </c>
      <c r="I349" t="s">
        <v>713</v>
      </c>
      <c r="J349" t="s">
        <v>730</v>
      </c>
      <c r="K349" t="s">
        <v>1081</v>
      </c>
      <c r="L349">
        <v>77.739999999999995</v>
      </c>
      <c r="M349">
        <v>147.12</v>
      </c>
      <c r="N349">
        <v>0</v>
      </c>
      <c r="O349">
        <v>15</v>
      </c>
    </row>
    <row r="350" spans="1:15" x14ac:dyDescent="0.35">
      <c r="A350" t="s">
        <v>362</v>
      </c>
      <c r="B350" s="2">
        <v>45281</v>
      </c>
      <c r="C350" s="2">
        <v>45297</v>
      </c>
      <c r="D350" t="s">
        <v>646</v>
      </c>
      <c r="E350" t="s">
        <v>651</v>
      </c>
      <c r="G350" t="s">
        <v>701</v>
      </c>
      <c r="H350" t="s">
        <v>709</v>
      </c>
      <c r="I350" t="s">
        <v>723</v>
      </c>
      <c r="J350" t="s">
        <v>727</v>
      </c>
      <c r="K350" t="s">
        <v>1082</v>
      </c>
      <c r="L350">
        <v>932.61</v>
      </c>
      <c r="M350">
        <v>1982.98</v>
      </c>
      <c r="N350">
        <v>0.14399999999999999</v>
      </c>
      <c r="O350">
        <v>16</v>
      </c>
    </row>
    <row r="351" spans="1:15" x14ac:dyDescent="0.35">
      <c r="A351" t="s">
        <v>363</v>
      </c>
      <c r="B351" s="2">
        <v>45825</v>
      </c>
      <c r="C351" s="2">
        <v>45843</v>
      </c>
      <c r="D351" t="s">
        <v>647</v>
      </c>
      <c r="E351" t="s">
        <v>654</v>
      </c>
      <c r="F351" t="s">
        <v>680</v>
      </c>
      <c r="G351" t="s">
        <v>704</v>
      </c>
      <c r="H351" t="s">
        <v>709</v>
      </c>
      <c r="I351" t="s">
        <v>716</v>
      </c>
      <c r="J351" t="s">
        <v>731</v>
      </c>
      <c r="K351" t="s">
        <v>1083</v>
      </c>
      <c r="L351">
        <v>982.93</v>
      </c>
      <c r="M351">
        <v>2299.3000000000002</v>
      </c>
      <c r="N351">
        <v>0.113</v>
      </c>
      <c r="O351">
        <v>6</v>
      </c>
    </row>
    <row r="352" spans="1:15" x14ac:dyDescent="0.35">
      <c r="A352" t="s">
        <v>364</v>
      </c>
      <c r="B352" s="2">
        <v>44980</v>
      </c>
      <c r="C352" s="2">
        <v>44993</v>
      </c>
      <c r="D352" t="s">
        <v>649</v>
      </c>
      <c r="E352" t="s">
        <v>658</v>
      </c>
      <c r="F352" t="s">
        <v>693</v>
      </c>
      <c r="G352" t="s">
        <v>705</v>
      </c>
      <c r="H352" t="s">
        <v>711</v>
      </c>
      <c r="I352" t="s">
        <v>712</v>
      </c>
      <c r="J352" t="s">
        <v>728</v>
      </c>
      <c r="K352" t="s">
        <v>1084</v>
      </c>
      <c r="L352">
        <v>307.37</v>
      </c>
      <c r="M352">
        <v>462.61</v>
      </c>
      <c r="N352">
        <v>0.188</v>
      </c>
      <c r="O352">
        <v>11</v>
      </c>
    </row>
    <row r="353" spans="1:15" x14ac:dyDescent="0.35">
      <c r="A353" t="s">
        <v>365</v>
      </c>
      <c r="B353" s="2">
        <v>45262</v>
      </c>
      <c r="C353" s="2">
        <v>45276</v>
      </c>
      <c r="D353" t="s">
        <v>649</v>
      </c>
      <c r="E353" t="s">
        <v>656</v>
      </c>
      <c r="F353" t="s">
        <v>698</v>
      </c>
      <c r="G353" t="s">
        <v>702</v>
      </c>
      <c r="H353" t="s">
        <v>711</v>
      </c>
      <c r="I353" t="s">
        <v>725</v>
      </c>
      <c r="J353" t="s">
        <v>732</v>
      </c>
      <c r="K353" t="s">
        <v>1085</v>
      </c>
      <c r="L353">
        <v>879.08</v>
      </c>
      <c r="M353">
        <v>1093.3900000000001</v>
      </c>
      <c r="N353">
        <v>0.113</v>
      </c>
      <c r="O353">
        <v>17</v>
      </c>
    </row>
    <row r="354" spans="1:15" x14ac:dyDescent="0.35">
      <c r="A354" t="s">
        <v>366</v>
      </c>
      <c r="B354" s="2">
        <v>45121</v>
      </c>
      <c r="C354" s="2">
        <v>45121</v>
      </c>
      <c r="D354" t="s">
        <v>646</v>
      </c>
      <c r="E354" t="s">
        <v>651</v>
      </c>
      <c r="F354" t="s">
        <v>665</v>
      </c>
      <c r="G354" t="s">
        <v>702</v>
      </c>
      <c r="H354" t="s">
        <v>707</v>
      </c>
      <c r="I354" t="s">
        <v>714</v>
      </c>
      <c r="J354" t="s">
        <v>733</v>
      </c>
      <c r="K354" t="s">
        <v>1086</v>
      </c>
      <c r="L354">
        <v>956.38</v>
      </c>
      <c r="M354">
        <v>1454.22</v>
      </c>
      <c r="N354">
        <v>3.9E-2</v>
      </c>
      <c r="O354">
        <v>19</v>
      </c>
    </row>
    <row r="355" spans="1:15" x14ac:dyDescent="0.35">
      <c r="A355" t="s">
        <v>367</v>
      </c>
      <c r="B355" s="2">
        <v>45512</v>
      </c>
      <c r="C355" s="2">
        <v>45524</v>
      </c>
      <c r="D355" t="s">
        <v>647</v>
      </c>
      <c r="E355" t="s">
        <v>652</v>
      </c>
      <c r="F355" t="s">
        <v>666</v>
      </c>
      <c r="G355" t="s">
        <v>705</v>
      </c>
      <c r="H355" t="s">
        <v>707</v>
      </c>
      <c r="I355" t="s">
        <v>722</v>
      </c>
      <c r="J355" t="s">
        <v>729</v>
      </c>
      <c r="K355" t="s">
        <v>1087</v>
      </c>
      <c r="L355">
        <v>1233.3599999999999</v>
      </c>
      <c r="M355">
        <v>2120.4</v>
      </c>
      <c r="N355">
        <v>0.17899999999999999</v>
      </c>
      <c r="O355">
        <v>20</v>
      </c>
    </row>
    <row r="356" spans="1:15" x14ac:dyDescent="0.35">
      <c r="A356" t="s">
        <v>368</v>
      </c>
      <c r="B356" s="2">
        <v>45603</v>
      </c>
      <c r="C356" s="2">
        <v>45622</v>
      </c>
      <c r="D356" t="s">
        <v>648</v>
      </c>
      <c r="E356" t="s">
        <v>655</v>
      </c>
      <c r="F356" t="s">
        <v>692</v>
      </c>
      <c r="G356" t="s">
        <v>703</v>
      </c>
      <c r="H356" t="s">
        <v>710</v>
      </c>
      <c r="I356" t="s">
        <v>713</v>
      </c>
      <c r="J356" t="s">
        <v>728</v>
      </c>
      <c r="K356" t="s">
        <v>1088</v>
      </c>
      <c r="L356">
        <v>55.35</v>
      </c>
      <c r="M356">
        <v>128.68</v>
      </c>
      <c r="N356">
        <v>0.128</v>
      </c>
      <c r="O356">
        <v>10</v>
      </c>
    </row>
    <row r="357" spans="1:15" x14ac:dyDescent="0.35">
      <c r="A357" t="s">
        <v>369</v>
      </c>
      <c r="B357" s="2">
        <v>45292</v>
      </c>
      <c r="C357" s="2">
        <v>45318</v>
      </c>
      <c r="D357" t="s">
        <v>649</v>
      </c>
      <c r="E357" t="s">
        <v>658</v>
      </c>
      <c r="F357" t="s">
        <v>693</v>
      </c>
      <c r="G357" t="s">
        <v>702</v>
      </c>
      <c r="H357" t="s">
        <v>710</v>
      </c>
      <c r="I357" t="s">
        <v>726</v>
      </c>
      <c r="J357" t="s">
        <v>733</v>
      </c>
      <c r="K357" t="s">
        <v>1089</v>
      </c>
      <c r="L357">
        <v>657.45</v>
      </c>
      <c r="M357">
        <v>1325.96</v>
      </c>
      <c r="N357">
        <v>0.16700000000000001</v>
      </c>
      <c r="O357">
        <v>21</v>
      </c>
    </row>
    <row r="358" spans="1:15" x14ac:dyDescent="0.35">
      <c r="A358" t="s">
        <v>370</v>
      </c>
      <c r="B358" s="2">
        <v>45883</v>
      </c>
      <c r="C358" s="2">
        <v>45911</v>
      </c>
      <c r="D358" t="s">
        <v>648</v>
      </c>
      <c r="E358" t="s">
        <v>655</v>
      </c>
      <c r="F358" t="s">
        <v>670</v>
      </c>
      <c r="G358" t="s">
        <v>703</v>
      </c>
      <c r="H358" t="s">
        <v>711</v>
      </c>
      <c r="I358" t="s">
        <v>721</v>
      </c>
      <c r="J358" t="s">
        <v>728</v>
      </c>
      <c r="K358" t="s">
        <v>1090</v>
      </c>
      <c r="L358">
        <v>1203.02</v>
      </c>
      <c r="M358">
        <v>2439.33</v>
      </c>
      <c r="N358">
        <v>0</v>
      </c>
      <c r="O358">
        <v>18</v>
      </c>
    </row>
    <row r="359" spans="1:15" x14ac:dyDescent="0.35">
      <c r="A359" t="s">
        <v>371</v>
      </c>
      <c r="B359" s="2">
        <v>45385</v>
      </c>
      <c r="C359" s="2">
        <v>45403</v>
      </c>
      <c r="D359" t="s">
        <v>648</v>
      </c>
      <c r="E359" t="s">
        <v>655</v>
      </c>
      <c r="F359" t="s">
        <v>672</v>
      </c>
      <c r="G359" t="s">
        <v>705</v>
      </c>
      <c r="H359" t="s">
        <v>710</v>
      </c>
      <c r="I359" t="s">
        <v>717</v>
      </c>
      <c r="J359" t="s">
        <v>729</v>
      </c>
      <c r="K359" t="s">
        <v>1091</v>
      </c>
      <c r="L359">
        <v>1176.69</v>
      </c>
      <c r="M359">
        <v>2201.54</v>
      </c>
      <c r="N359">
        <v>0.17</v>
      </c>
      <c r="O359">
        <v>27</v>
      </c>
    </row>
    <row r="360" spans="1:15" x14ac:dyDescent="0.35">
      <c r="A360" t="s">
        <v>372</v>
      </c>
      <c r="B360" s="2">
        <v>45621</v>
      </c>
      <c r="C360" s="2">
        <v>45633</v>
      </c>
      <c r="D360" t="s">
        <v>647</v>
      </c>
      <c r="E360" t="s">
        <v>659</v>
      </c>
      <c r="F360" t="s">
        <v>685</v>
      </c>
      <c r="G360" t="s">
        <v>701</v>
      </c>
      <c r="H360" t="s">
        <v>710</v>
      </c>
      <c r="I360" t="s">
        <v>720</v>
      </c>
      <c r="J360" t="s">
        <v>733</v>
      </c>
      <c r="K360" t="s">
        <v>1092</v>
      </c>
      <c r="L360">
        <v>769.9</v>
      </c>
      <c r="M360">
        <v>814.36</v>
      </c>
      <c r="N360">
        <v>0</v>
      </c>
      <c r="O360">
        <v>5</v>
      </c>
    </row>
    <row r="361" spans="1:15" x14ac:dyDescent="0.35">
      <c r="A361" t="s">
        <v>373</v>
      </c>
      <c r="B361" s="2">
        <v>45309</v>
      </c>
      <c r="C361" s="2">
        <v>45325</v>
      </c>
      <c r="D361" t="s">
        <v>646</v>
      </c>
      <c r="E361" t="s">
        <v>661</v>
      </c>
      <c r="F361" t="s">
        <v>695</v>
      </c>
      <c r="G361" t="s">
        <v>703</v>
      </c>
      <c r="H361" t="s">
        <v>710</v>
      </c>
      <c r="I361" t="s">
        <v>716</v>
      </c>
      <c r="J361" t="s">
        <v>728</v>
      </c>
      <c r="K361" t="s">
        <v>1093</v>
      </c>
      <c r="L361">
        <v>666.23</v>
      </c>
      <c r="M361">
        <v>1382.91</v>
      </c>
      <c r="N361">
        <v>0.17599999999999999</v>
      </c>
      <c r="O361">
        <v>13</v>
      </c>
    </row>
    <row r="362" spans="1:15" x14ac:dyDescent="0.35">
      <c r="A362" t="s">
        <v>374</v>
      </c>
      <c r="B362" s="2">
        <v>45466</v>
      </c>
      <c r="C362" s="2">
        <v>45468</v>
      </c>
      <c r="D362" t="s">
        <v>649</v>
      </c>
      <c r="E362" t="s">
        <v>658</v>
      </c>
      <c r="F362" t="s">
        <v>674</v>
      </c>
      <c r="G362" t="s">
        <v>705</v>
      </c>
      <c r="H362" t="s">
        <v>709</v>
      </c>
      <c r="I362" t="s">
        <v>716</v>
      </c>
      <c r="J362" t="s">
        <v>733</v>
      </c>
      <c r="K362" t="s">
        <v>1094</v>
      </c>
      <c r="L362">
        <v>951.44</v>
      </c>
      <c r="M362">
        <v>1646.43</v>
      </c>
      <c r="N362">
        <v>0.11</v>
      </c>
      <c r="O362">
        <v>24</v>
      </c>
    </row>
    <row r="363" spans="1:15" x14ac:dyDescent="0.35">
      <c r="A363" t="s">
        <v>375</v>
      </c>
      <c r="B363" s="2">
        <v>45833</v>
      </c>
      <c r="C363" s="2">
        <v>45848</v>
      </c>
      <c r="D363" t="s">
        <v>649</v>
      </c>
      <c r="E363" t="s">
        <v>658</v>
      </c>
      <c r="F363" t="s">
        <v>674</v>
      </c>
      <c r="G363" t="s">
        <v>703</v>
      </c>
      <c r="H363" t="s">
        <v>709</v>
      </c>
      <c r="I363" t="s">
        <v>726</v>
      </c>
      <c r="J363" t="s">
        <v>730</v>
      </c>
      <c r="K363" t="s">
        <v>1095</v>
      </c>
      <c r="L363">
        <v>546.83000000000004</v>
      </c>
      <c r="M363">
        <v>400.84</v>
      </c>
      <c r="N363">
        <v>7.8E-2</v>
      </c>
      <c r="O363">
        <v>13</v>
      </c>
    </row>
    <row r="364" spans="1:15" x14ac:dyDescent="0.35">
      <c r="A364" t="s">
        <v>376</v>
      </c>
      <c r="B364" s="2">
        <v>45108</v>
      </c>
      <c r="C364" s="2">
        <v>45115</v>
      </c>
      <c r="D364" t="s">
        <v>646</v>
      </c>
      <c r="E364" t="s">
        <v>651</v>
      </c>
      <c r="F364" t="s">
        <v>663</v>
      </c>
      <c r="G364" t="s">
        <v>701</v>
      </c>
      <c r="H364" t="s">
        <v>707</v>
      </c>
      <c r="I364" t="s">
        <v>720</v>
      </c>
      <c r="J364" t="s">
        <v>731</v>
      </c>
      <c r="K364" t="s">
        <v>1096</v>
      </c>
      <c r="L364">
        <v>834.26</v>
      </c>
      <c r="M364">
        <v>1780.56</v>
      </c>
      <c r="N364">
        <v>1.4E-2</v>
      </c>
      <c r="O364">
        <v>47</v>
      </c>
    </row>
    <row r="365" spans="1:15" x14ac:dyDescent="0.35">
      <c r="A365" t="s">
        <v>377</v>
      </c>
      <c r="B365" s="2">
        <v>45360</v>
      </c>
      <c r="C365" s="2">
        <v>45377</v>
      </c>
      <c r="D365" t="s">
        <v>647</v>
      </c>
      <c r="E365" t="s">
        <v>659</v>
      </c>
      <c r="F365" t="s">
        <v>676</v>
      </c>
      <c r="G365" t="s">
        <v>706</v>
      </c>
      <c r="H365" t="s">
        <v>708</v>
      </c>
      <c r="I365" t="s">
        <v>723</v>
      </c>
      <c r="J365" t="s">
        <v>732</v>
      </c>
      <c r="K365" t="s">
        <v>1097</v>
      </c>
      <c r="L365">
        <v>1029.67</v>
      </c>
      <c r="M365">
        <v>1118.43</v>
      </c>
      <c r="N365">
        <v>0.27200000000000002</v>
      </c>
      <c r="O365">
        <v>9</v>
      </c>
    </row>
    <row r="366" spans="1:15" x14ac:dyDescent="0.35">
      <c r="A366" t="s">
        <v>378</v>
      </c>
      <c r="B366" s="2">
        <v>45082</v>
      </c>
      <c r="C366" s="2">
        <v>45105</v>
      </c>
      <c r="D366" t="s">
        <v>649</v>
      </c>
      <c r="E366" t="s">
        <v>658</v>
      </c>
      <c r="F366" t="s">
        <v>674</v>
      </c>
      <c r="G366" t="s">
        <v>701</v>
      </c>
      <c r="H366" t="s">
        <v>711</v>
      </c>
      <c r="I366" t="s">
        <v>723</v>
      </c>
      <c r="J366" t="s">
        <v>728</v>
      </c>
      <c r="K366" t="s">
        <v>1098</v>
      </c>
      <c r="L366">
        <v>605.82000000000005</v>
      </c>
      <c r="M366">
        <v>771.12</v>
      </c>
      <c r="N366">
        <v>0.13200000000000001</v>
      </c>
      <c r="O366">
        <v>19</v>
      </c>
    </row>
    <row r="367" spans="1:15" x14ac:dyDescent="0.35">
      <c r="A367" t="s">
        <v>379</v>
      </c>
      <c r="B367" s="2">
        <v>45737</v>
      </c>
      <c r="C367" s="2">
        <v>45756</v>
      </c>
      <c r="D367" t="s">
        <v>647</v>
      </c>
      <c r="E367" t="s">
        <v>652</v>
      </c>
      <c r="F367" t="s">
        <v>689</v>
      </c>
      <c r="G367" t="s">
        <v>705</v>
      </c>
      <c r="H367" t="s">
        <v>710</v>
      </c>
      <c r="I367" t="s">
        <v>718</v>
      </c>
      <c r="J367" t="s">
        <v>727</v>
      </c>
      <c r="K367" t="s">
        <v>1099</v>
      </c>
      <c r="L367">
        <v>1055.45</v>
      </c>
      <c r="M367">
        <v>1210.04</v>
      </c>
      <c r="N367">
        <v>8.9999999999999993E-3</v>
      </c>
      <c r="O367">
        <v>18</v>
      </c>
    </row>
    <row r="368" spans="1:15" x14ac:dyDescent="0.35">
      <c r="A368" t="s">
        <v>380</v>
      </c>
      <c r="B368" s="2">
        <v>45445</v>
      </c>
      <c r="C368" s="2">
        <v>45458</v>
      </c>
      <c r="D368" t="s">
        <v>646</v>
      </c>
      <c r="E368" t="s">
        <v>650</v>
      </c>
      <c r="F368" t="s">
        <v>675</v>
      </c>
      <c r="G368" t="s">
        <v>702</v>
      </c>
      <c r="H368" t="s">
        <v>708</v>
      </c>
      <c r="I368" t="s">
        <v>719</v>
      </c>
      <c r="J368" t="s">
        <v>730</v>
      </c>
      <c r="K368" t="s">
        <v>1100</v>
      </c>
      <c r="L368">
        <v>1295.18</v>
      </c>
      <c r="M368">
        <v>3024.03</v>
      </c>
      <c r="N368">
        <v>0.192</v>
      </c>
      <c r="O368">
        <v>8</v>
      </c>
    </row>
    <row r="369" spans="1:15" x14ac:dyDescent="0.35">
      <c r="A369" t="s">
        <v>381</v>
      </c>
      <c r="B369" s="2">
        <v>45731</v>
      </c>
      <c r="C369" s="2">
        <v>45745</v>
      </c>
      <c r="D369" t="s">
        <v>647</v>
      </c>
      <c r="E369" t="s">
        <v>654</v>
      </c>
      <c r="F369" t="s">
        <v>691</v>
      </c>
      <c r="G369" t="s">
        <v>706</v>
      </c>
      <c r="H369" t="s">
        <v>711</v>
      </c>
      <c r="I369" t="s">
        <v>712</v>
      </c>
      <c r="J369" t="s">
        <v>727</v>
      </c>
      <c r="K369" t="s">
        <v>1101</v>
      </c>
      <c r="L369">
        <v>935.83</v>
      </c>
      <c r="M369">
        <v>2303.46</v>
      </c>
      <c r="N369">
        <v>0.105</v>
      </c>
      <c r="O369">
        <v>9</v>
      </c>
    </row>
    <row r="370" spans="1:15" x14ac:dyDescent="0.35">
      <c r="A370" t="s">
        <v>382</v>
      </c>
      <c r="B370" s="2">
        <v>45194</v>
      </c>
      <c r="C370" s="2">
        <v>45208</v>
      </c>
      <c r="D370" t="s">
        <v>648</v>
      </c>
      <c r="E370" t="s">
        <v>660</v>
      </c>
      <c r="F370" t="s">
        <v>700</v>
      </c>
      <c r="G370" t="s">
        <v>705</v>
      </c>
      <c r="H370" t="s">
        <v>709</v>
      </c>
      <c r="I370" t="s">
        <v>713</v>
      </c>
      <c r="J370" t="s">
        <v>731</v>
      </c>
      <c r="K370" t="s">
        <v>1102</v>
      </c>
      <c r="L370">
        <v>1279.56</v>
      </c>
      <c r="M370">
        <v>3083.8</v>
      </c>
      <c r="N370">
        <v>0.106</v>
      </c>
      <c r="O370">
        <v>5</v>
      </c>
    </row>
    <row r="371" spans="1:15" x14ac:dyDescent="0.35">
      <c r="A371" t="s">
        <v>383</v>
      </c>
      <c r="B371" s="2">
        <v>45832</v>
      </c>
      <c r="C371" s="2">
        <v>45861</v>
      </c>
      <c r="D371" t="s">
        <v>648</v>
      </c>
      <c r="E371" t="s">
        <v>653</v>
      </c>
      <c r="F371" t="s">
        <v>688</v>
      </c>
      <c r="G371" t="s">
        <v>703</v>
      </c>
      <c r="H371" t="s">
        <v>709</v>
      </c>
      <c r="I371" t="s">
        <v>714</v>
      </c>
      <c r="J371" t="s">
        <v>728</v>
      </c>
      <c r="K371" t="s">
        <v>1103</v>
      </c>
      <c r="L371">
        <v>255.4</v>
      </c>
      <c r="M371">
        <v>322.70999999999998</v>
      </c>
      <c r="N371">
        <v>0.115</v>
      </c>
      <c r="O371">
        <v>16</v>
      </c>
    </row>
    <row r="372" spans="1:15" x14ac:dyDescent="0.35">
      <c r="A372" t="s">
        <v>384</v>
      </c>
      <c r="B372" s="2">
        <v>45286</v>
      </c>
      <c r="C372" s="2">
        <v>45294</v>
      </c>
      <c r="D372" t="s">
        <v>649</v>
      </c>
      <c r="E372" t="s">
        <v>657</v>
      </c>
      <c r="F372" t="s">
        <v>679</v>
      </c>
      <c r="G372" t="s">
        <v>705</v>
      </c>
      <c r="H372" t="s">
        <v>707</v>
      </c>
      <c r="I372" t="s">
        <v>724</v>
      </c>
      <c r="J372" t="s">
        <v>731</v>
      </c>
      <c r="K372" t="s">
        <v>1104</v>
      </c>
      <c r="L372">
        <v>492.75</v>
      </c>
      <c r="M372">
        <v>731.29</v>
      </c>
      <c r="N372">
        <v>5.8000000000000003E-2</v>
      </c>
      <c r="O372">
        <v>6</v>
      </c>
    </row>
    <row r="373" spans="1:15" x14ac:dyDescent="0.35">
      <c r="A373" t="s">
        <v>385</v>
      </c>
      <c r="B373" s="2">
        <v>44962</v>
      </c>
      <c r="C373" s="2">
        <v>44985</v>
      </c>
      <c r="D373" t="s">
        <v>648</v>
      </c>
      <c r="E373" t="s">
        <v>660</v>
      </c>
      <c r="F373" t="s">
        <v>697</v>
      </c>
      <c r="G373" t="s">
        <v>703</v>
      </c>
      <c r="H373" t="s">
        <v>710</v>
      </c>
      <c r="I373" t="s">
        <v>716</v>
      </c>
      <c r="J373" t="s">
        <v>730</v>
      </c>
      <c r="K373" t="s">
        <v>1105</v>
      </c>
      <c r="L373">
        <v>1214.49</v>
      </c>
      <c r="M373">
        <v>1533.95</v>
      </c>
      <c r="N373">
        <v>0</v>
      </c>
      <c r="O373">
        <v>11</v>
      </c>
    </row>
    <row r="374" spans="1:15" x14ac:dyDescent="0.35">
      <c r="A374" t="s">
        <v>386</v>
      </c>
      <c r="B374" s="2">
        <v>45022</v>
      </c>
      <c r="C374" s="2">
        <v>45024</v>
      </c>
      <c r="D374" t="s">
        <v>646</v>
      </c>
      <c r="E374" t="s">
        <v>651</v>
      </c>
      <c r="F374" t="s">
        <v>669</v>
      </c>
      <c r="G374" t="s">
        <v>705</v>
      </c>
      <c r="H374" t="s">
        <v>709</v>
      </c>
      <c r="I374" t="s">
        <v>723</v>
      </c>
      <c r="J374" t="s">
        <v>732</v>
      </c>
      <c r="K374" t="s">
        <v>1106</v>
      </c>
      <c r="L374">
        <v>720.35</v>
      </c>
      <c r="M374">
        <v>1571.66</v>
      </c>
      <c r="N374">
        <v>0.107</v>
      </c>
      <c r="O374">
        <v>23</v>
      </c>
    </row>
    <row r="375" spans="1:15" x14ac:dyDescent="0.35">
      <c r="A375" t="s">
        <v>387</v>
      </c>
      <c r="B375" s="2">
        <v>45751</v>
      </c>
      <c r="C375" s="2">
        <v>45757</v>
      </c>
      <c r="D375" t="s">
        <v>649</v>
      </c>
      <c r="E375" t="s">
        <v>658</v>
      </c>
      <c r="F375" t="s">
        <v>674</v>
      </c>
      <c r="G375" t="s">
        <v>703</v>
      </c>
      <c r="H375" t="s">
        <v>711</v>
      </c>
      <c r="I375" t="s">
        <v>725</v>
      </c>
      <c r="J375" t="s">
        <v>728</v>
      </c>
      <c r="K375" t="s">
        <v>1107</v>
      </c>
      <c r="L375">
        <v>290.14</v>
      </c>
      <c r="M375">
        <v>250.73</v>
      </c>
      <c r="N375">
        <v>3.4000000000000002E-2</v>
      </c>
      <c r="O375">
        <v>17</v>
      </c>
    </row>
    <row r="376" spans="1:15" x14ac:dyDescent="0.35">
      <c r="A376" t="s">
        <v>388</v>
      </c>
      <c r="B376" s="2">
        <v>45429</v>
      </c>
      <c r="C376" s="2">
        <v>45439</v>
      </c>
      <c r="D376" t="s">
        <v>648</v>
      </c>
      <c r="E376" t="s">
        <v>660</v>
      </c>
      <c r="F376" t="s">
        <v>697</v>
      </c>
      <c r="G376" t="s">
        <v>703</v>
      </c>
      <c r="H376" t="s">
        <v>708</v>
      </c>
      <c r="I376" t="s">
        <v>712</v>
      </c>
      <c r="J376" t="s">
        <v>730</v>
      </c>
      <c r="K376" t="s">
        <v>1108</v>
      </c>
      <c r="L376">
        <v>1484.23</v>
      </c>
      <c r="M376">
        <v>3472.81</v>
      </c>
      <c r="N376">
        <v>0.25600000000000001</v>
      </c>
      <c r="O376">
        <v>12</v>
      </c>
    </row>
    <row r="377" spans="1:15" x14ac:dyDescent="0.35">
      <c r="A377" t="s">
        <v>389</v>
      </c>
      <c r="B377" s="2">
        <v>45354</v>
      </c>
      <c r="C377" s="2">
        <v>45370</v>
      </c>
      <c r="D377" t="s">
        <v>647</v>
      </c>
      <c r="E377" t="s">
        <v>659</v>
      </c>
      <c r="F377" t="s">
        <v>699</v>
      </c>
      <c r="G377" t="s">
        <v>704</v>
      </c>
      <c r="H377" t="s">
        <v>710</v>
      </c>
      <c r="I377" t="s">
        <v>715</v>
      </c>
      <c r="J377" t="s">
        <v>730</v>
      </c>
      <c r="K377" t="s">
        <v>1109</v>
      </c>
      <c r="L377">
        <v>988.83</v>
      </c>
      <c r="M377">
        <v>1206.04</v>
      </c>
      <c r="N377">
        <v>6.3E-2</v>
      </c>
      <c r="O377">
        <v>34</v>
      </c>
    </row>
    <row r="378" spans="1:15" x14ac:dyDescent="0.35">
      <c r="A378" t="s">
        <v>390</v>
      </c>
      <c r="B378" s="2">
        <v>45835</v>
      </c>
      <c r="C378" s="2">
        <v>45849</v>
      </c>
      <c r="D378" t="s">
        <v>647</v>
      </c>
      <c r="E378" t="s">
        <v>659</v>
      </c>
      <c r="F378" t="s">
        <v>685</v>
      </c>
      <c r="G378" t="s">
        <v>705</v>
      </c>
      <c r="H378" t="s">
        <v>709</v>
      </c>
      <c r="I378" t="s">
        <v>716</v>
      </c>
      <c r="J378" t="s">
        <v>729</v>
      </c>
      <c r="K378" t="s">
        <v>1110</v>
      </c>
      <c r="L378">
        <v>1227.7</v>
      </c>
      <c r="M378">
        <v>2197.23</v>
      </c>
      <c r="N378">
        <v>9.9000000000000005E-2</v>
      </c>
      <c r="O378">
        <v>22</v>
      </c>
    </row>
    <row r="379" spans="1:15" x14ac:dyDescent="0.35">
      <c r="A379" t="s">
        <v>391</v>
      </c>
      <c r="B379" s="2">
        <v>44998</v>
      </c>
      <c r="C379" s="2">
        <v>45020</v>
      </c>
      <c r="D379" t="s">
        <v>646</v>
      </c>
      <c r="E379" t="s">
        <v>661</v>
      </c>
      <c r="F379" t="s">
        <v>687</v>
      </c>
      <c r="G379" t="s">
        <v>705</v>
      </c>
      <c r="H379" t="s">
        <v>707</v>
      </c>
      <c r="I379" t="s">
        <v>720</v>
      </c>
      <c r="J379" t="s">
        <v>727</v>
      </c>
      <c r="K379" t="s">
        <v>1111</v>
      </c>
      <c r="L379">
        <v>1113.7</v>
      </c>
      <c r="M379">
        <v>1620.6</v>
      </c>
      <c r="N379">
        <v>0.13900000000000001</v>
      </c>
      <c r="O379">
        <v>11</v>
      </c>
    </row>
    <row r="380" spans="1:15" x14ac:dyDescent="0.35">
      <c r="A380" t="s">
        <v>392</v>
      </c>
      <c r="B380" s="2">
        <v>45664</v>
      </c>
      <c r="C380" s="2">
        <v>45677</v>
      </c>
      <c r="D380" t="s">
        <v>646</v>
      </c>
      <c r="E380" t="s">
        <v>661</v>
      </c>
      <c r="F380" t="s">
        <v>695</v>
      </c>
      <c r="G380" t="s">
        <v>701</v>
      </c>
      <c r="H380" t="s">
        <v>711</v>
      </c>
      <c r="I380" t="s">
        <v>723</v>
      </c>
      <c r="J380" t="s">
        <v>729</v>
      </c>
      <c r="K380" t="s">
        <v>1112</v>
      </c>
      <c r="L380">
        <v>432.13</v>
      </c>
      <c r="M380">
        <v>1034.6600000000001</v>
      </c>
      <c r="N380">
        <v>9.1999999999999998E-2</v>
      </c>
      <c r="O380">
        <v>7</v>
      </c>
    </row>
    <row r="381" spans="1:15" x14ac:dyDescent="0.35">
      <c r="A381" t="s">
        <v>393</v>
      </c>
      <c r="B381" s="2">
        <v>45694</v>
      </c>
      <c r="C381" s="2">
        <v>45703</v>
      </c>
      <c r="D381" t="s">
        <v>648</v>
      </c>
      <c r="E381" t="s">
        <v>655</v>
      </c>
      <c r="F381" t="s">
        <v>670</v>
      </c>
      <c r="G381" t="s">
        <v>703</v>
      </c>
      <c r="H381" t="s">
        <v>710</v>
      </c>
      <c r="I381" t="s">
        <v>721</v>
      </c>
      <c r="J381" t="s">
        <v>729</v>
      </c>
      <c r="K381" t="s">
        <v>1113</v>
      </c>
      <c r="L381">
        <v>837.39</v>
      </c>
      <c r="M381">
        <v>1905.42</v>
      </c>
      <c r="N381">
        <v>3.2000000000000001E-2</v>
      </c>
      <c r="O381">
        <v>18</v>
      </c>
    </row>
    <row r="382" spans="1:15" x14ac:dyDescent="0.35">
      <c r="A382" t="s">
        <v>394</v>
      </c>
      <c r="B382" s="2">
        <v>45688</v>
      </c>
      <c r="C382" s="2">
        <v>45705</v>
      </c>
      <c r="D382" t="s">
        <v>649</v>
      </c>
      <c r="E382" t="s">
        <v>658</v>
      </c>
      <c r="F382" t="s">
        <v>683</v>
      </c>
      <c r="G382" t="s">
        <v>706</v>
      </c>
      <c r="H382" t="s">
        <v>707</v>
      </c>
      <c r="I382" t="s">
        <v>722</v>
      </c>
      <c r="J382" t="s">
        <v>727</v>
      </c>
      <c r="K382" t="s">
        <v>812</v>
      </c>
      <c r="L382">
        <v>378.26</v>
      </c>
      <c r="M382">
        <v>541.55999999999995</v>
      </c>
      <c r="N382">
        <v>0.16300000000000001</v>
      </c>
      <c r="O382">
        <v>25</v>
      </c>
    </row>
    <row r="383" spans="1:15" x14ac:dyDescent="0.35">
      <c r="A383" t="s">
        <v>395</v>
      </c>
      <c r="B383" s="2">
        <v>45876</v>
      </c>
      <c r="C383" s="2">
        <v>45906</v>
      </c>
      <c r="D383" t="s">
        <v>648</v>
      </c>
      <c r="E383" t="s">
        <v>653</v>
      </c>
      <c r="F383" t="s">
        <v>681</v>
      </c>
      <c r="G383" t="s">
        <v>702</v>
      </c>
      <c r="H383" t="s">
        <v>711</v>
      </c>
      <c r="I383" t="s">
        <v>724</v>
      </c>
      <c r="J383" t="s">
        <v>729</v>
      </c>
      <c r="K383" t="s">
        <v>1114</v>
      </c>
      <c r="L383">
        <v>833.73</v>
      </c>
      <c r="M383">
        <v>1116.5999999999999</v>
      </c>
      <c r="N383">
        <v>0.17599999999999999</v>
      </c>
      <c r="O383">
        <v>14</v>
      </c>
    </row>
    <row r="384" spans="1:15" x14ac:dyDescent="0.35">
      <c r="A384" t="s">
        <v>396</v>
      </c>
      <c r="B384" s="2">
        <v>45861</v>
      </c>
      <c r="C384" s="2">
        <v>45886</v>
      </c>
      <c r="D384" t="s">
        <v>649</v>
      </c>
      <c r="E384" t="s">
        <v>658</v>
      </c>
      <c r="F384" t="s">
        <v>674</v>
      </c>
      <c r="G384" t="s">
        <v>702</v>
      </c>
      <c r="H384" t="s">
        <v>708</v>
      </c>
      <c r="I384" t="s">
        <v>714</v>
      </c>
      <c r="J384" t="s">
        <v>728</v>
      </c>
      <c r="K384" t="s">
        <v>1115</v>
      </c>
      <c r="L384">
        <v>1142.06</v>
      </c>
      <c r="M384">
        <v>1455</v>
      </c>
      <c r="N384">
        <v>7.8E-2</v>
      </c>
      <c r="O384">
        <v>28</v>
      </c>
    </row>
    <row r="385" spans="1:15" x14ac:dyDescent="0.35">
      <c r="A385" t="s">
        <v>397</v>
      </c>
      <c r="B385" s="2">
        <v>45097</v>
      </c>
      <c r="C385" s="2">
        <v>45115</v>
      </c>
      <c r="D385" t="s">
        <v>648</v>
      </c>
      <c r="E385" t="s">
        <v>660</v>
      </c>
      <c r="F385" t="s">
        <v>700</v>
      </c>
      <c r="G385" t="s">
        <v>704</v>
      </c>
      <c r="H385" t="s">
        <v>709</v>
      </c>
      <c r="I385" t="s">
        <v>719</v>
      </c>
      <c r="J385" t="s">
        <v>729</v>
      </c>
      <c r="K385" t="s">
        <v>1116</v>
      </c>
      <c r="L385">
        <v>1145.53</v>
      </c>
      <c r="M385">
        <v>1278.3</v>
      </c>
      <c r="N385">
        <v>0.09</v>
      </c>
      <c r="O385">
        <v>41</v>
      </c>
    </row>
    <row r="386" spans="1:15" x14ac:dyDescent="0.35">
      <c r="A386" t="s">
        <v>398</v>
      </c>
      <c r="B386" s="2">
        <v>45491</v>
      </c>
      <c r="C386" s="2">
        <v>45511</v>
      </c>
      <c r="D386" t="s">
        <v>649</v>
      </c>
      <c r="E386" t="s">
        <v>657</v>
      </c>
      <c r="F386" t="s">
        <v>673</v>
      </c>
      <c r="G386" t="s">
        <v>701</v>
      </c>
      <c r="H386" t="s">
        <v>707</v>
      </c>
      <c r="I386" t="s">
        <v>721</v>
      </c>
      <c r="J386" t="s">
        <v>732</v>
      </c>
      <c r="K386" t="s">
        <v>1117</v>
      </c>
      <c r="L386">
        <v>941.35</v>
      </c>
      <c r="M386">
        <v>899.83</v>
      </c>
      <c r="N386">
        <v>5.8000000000000003E-2</v>
      </c>
      <c r="O386">
        <v>18</v>
      </c>
    </row>
    <row r="387" spans="1:15" x14ac:dyDescent="0.35">
      <c r="A387" t="s">
        <v>399</v>
      </c>
      <c r="B387" s="2">
        <v>45066</v>
      </c>
      <c r="C387" s="2">
        <v>45096</v>
      </c>
      <c r="D387" t="s">
        <v>647</v>
      </c>
      <c r="E387" t="s">
        <v>654</v>
      </c>
      <c r="F387" t="s">
        <v>680</v>
      </c>
      <c r="G387" t="s">
        <v>703</v>
      </c>
      <c r="H387" t="s">
        <v>709</v>
      </c>
      <c r="I387" t="s">
        <v>722</v>
      </c>
      <c r="J387" t="s">
        <v>731</v>
      </c>
      <c r="K387" t="s">
        <v>1118</v>
      </c>
      <c r="L387">
        <v>1161.2</v>
      </c>
      <c r="M387">
        <v>878.73</v>
      </c>
      <c r="N387">
        <v>0.19</v>
      </c>
      <c r="O387">
        <v>31</v>
      </c>
    </row>
    <row r="388" spans="1:15" x14ac:dyDescent="0.35">
      <c r="A388" t="s">
        <v>400</v>
      </c>
      <c r="B388" s="2">
        <v>45789</v>
      </c>
      <c r="C388" s="2">
        <v>45803</v>
      </c>
      <c r="D388" t="s">
        <v>647</v>
      </c>
      <c r="E388" t="s">
        <v>654</v>
      </c>
      <c r="F388" t="s">
        <v>696</v>
      </c>
      <c r="G388" t="s">
        <v>701</v>
      </c>
      <c r="H388" t="s">
        <v>709</v>
      </c>
      <c r="I388" t="s">
        <v>715</v>
      </c>
      <c r="J388" t="s">
        <v>728</v>
      </c>
      <c r="K388" t="s">
        <v>1119</v>
      </c>
      <c r="L388">
        <v>320.12</v>
      </c>
      <c r="M388">
        <v>594.41999999999996</v>
      </c>
      <c r="N388">
        <v>0.104</v>
      </c>
      <c r="O388">
        <v>18</v>
      </c>
    </row>
    <row r="389" spans="1:15" x14ac:dyDescent="0.35">
      <c r="A389" t="s">
        <v>401</v>
      </c>
      <c r="B389" s="2">
        <v>45419</v>
      </c>
      <c r="C389" s="2">
        <v>45424</v>
      </c>
      <c r="D389" t="s">
        <v>646</v>
      </c>
      <c r="E389" t="s">
        <v>651</v>
      </c>
      <c r="F389" t="s">
        <v>669</v>
      </c>
      <c r="G389" t="s">
        <v>703</v>
      </c>
      <c r="H389" t="s">
        <v>710</v>
      </c>
      <c r="I389" t="s">
        <v>716</v>
      </c>
      <c r="J389" t="s">
        <v>731</v>
      </c>
      <c r="K389" t="s">
        <v>1120</v>
      </c>
      <c r="L389">
        <v>1163.99</v>
      </c>
      <c r="M389">
        <v>1617.85</v>
      </c>
      <c r="N389">
        <v>0.127</v>
      </c>
      <c r="O389">
        <v>14</v>
      </c>
    </row>
    <row r="390" spans="1:15" x14ac:dyDescent="0.35">
      <c r="A390" t="s">
        <v>402</v>
      </c>
      <c r="B390" s="2">
        <v>45199</v>
      </c>
      <c r="C390" s="2">
        <v>45202</v>
      </c>
      <c r="D390" t="s">
        <v>647</v>
      </c>
      <c r="E390" t="s">
        <v>659</v>
      </c>
      <c r="F390" t="s">
        <v>699</v>
      </c>
      <c r="G390" t="s">
        <v>703</v>
      </c>
      <c r="H390" t="s">
        <v>707</v>
      </c>
      <c r="I390" t="s">
        <v>713</v>
      </c>
      <c r="J390" t="s">
        <v>731</v>
      </c>
      <c r="K390" t="s">
        <v>1121</v>
      </c>
      <c r="L390">
        <v>1019.36</v>
      </c>
      <c r="M390">
        <v>972.91</v>
      </c>
      <c r="N390">
        <v>0.14699999999999999</v>
      </c>
      <c r="O390">
        <v>17</v>
      </c>
    </row>
    <row r="391" spans="1:15" x14ac:dyDescent="0.35">
      <c r="A391" t="s">
        <v>403</v>
      </c>
      <c r="B391" s="2">
        <v>45225</v>
      </c>
      <c r="C391" s="2">
        <v>45235</v>
      </c>
      <c r="D391" t="s">
        <v>646</v>
      </c>
      <c r="E391" t="s">
        <v>661</v>
      </c>
      <c r="F391" t="s">
        <v>695</v>
      </c>
      <c r="G391" t="s">
        <v>703</v>
      </c>
      <c r="H391" t="s">
        <v>708</v>
      </c>
      <c r="I391" t="s">
        <v>714</v>
      </c>
      <c r="J391" t="s">
        <v>731</v>
      </c>
      <c r="K391" t="s">
        <v>1122</v>
      </c>
      <c r="L391">
        <v>20.38</v>
      </c>
      <c r="M391">
        <v>42.56</v>
      </c>
      <c r="N391">
        <v>7.1999999999999995E-2</v>
      </c>
      <c r="O391">
        <v>11</v>
      </c>
    </row>
    <row r="392" spans="1:15" x14ac:dyDescent="0.35">
      <c r="A392" t="s">
        <v>404</v>
      </c>
      <c r="B392" s="2">
        <v>45823</v>
      </c>
      <c r="C392" s="2">
        <v>45838</v>
      </c>
      <c r="D392" t="s">
        <v>646</v>
      </c>
      <c r="E392" t="s">
        <v>661</v>
      </c>
      <c r="F392" t="s">
        <v>682</v>
      </c>
      <c r="G392" t="s">
        <v>705</v>
      </c>
      <c r="H392" t="s">
        <v>711</v>
      </c>
      <c r="I392" t="s">
        <v>712</v>
      </c>
      <c r="J392" t="s">
        <v>732</v>
      </c>
      <c r="K392" t="s">
        <v>1123</v>
      </c>
      <c r="L392">
        <v>1487.59</v>
      </c>
      <c r="M392">
        <v>1480.83</v>
      </c>
      <c r="N392">
        <v>8.9999999999999993E-3</v>
      </c>
      <c r="O392">
        <v>11</v>
      </c>
    </row>
    <row r="393" spans="1:15" x14ac:dyDescent="0.35">
      <c r="A393" t="s">
        <v>405</v>
      </c>
      <c r="B393" s="2">
        <v>45514</v>
      </c>
      <c r="C393" s="2">
        <v>45542</v>
      </c>
      <c r="D393" t="s">
        <v>649</v>
      </c>
      <c r="E393" t="s">
        <v>657</v>
      </c>
      <c r="F393" t="s">
        <v>673</v>
      </c>
      <c r="G393" t="s">
        <v>703</v>
      </c>
      <c r="H393" t="s">
        <v>711</v>
      </c>
      <c r="I393" t="s">
        <v>721</v>
      </c>
      <c r="J393" t="s">
        <v>728</v>
      </c>
      <c r="K393" t="s">
        <v>1124</v>
      </c>
      <c r="L393">
        <v>229.96</v>
      </c>
      <c r="M393">
        <v>564.26</v>
      </c>
      <c r="N393">
        <v>0.105</v>
      </c>
      <c r="O393">
        <v>5</v>
      </c>
    </row>
    <row r="394" spans="1:15" x14ac:dyDescent="0.35">
      <c r="A394" t="s">
        <v>406</v>
      </c>
      <c r="B394" s="2">
        <v>45208</v>
      </c>
      <c r="C394" s="2">
        <v>45225</v>
      </c>
      <c r="D394" t="s">
        <v>647</v>
      </c>
      <c r="E394" t="s">
        <v>659</v>
      </c>
      <c r="F394" t="s">
        <v>685</v>
      </c>
      <c r="G394" t="s">
        <v>704</v>
      </c>
      <c r="H394" t="s">
        <v>709</v>
      </c>
      <c r="I394" t="s">
        <v>712</v>
      </c>
      <c r="J394" t="s">
        <v>727</v>
      </c>
      <c r="K394" t="s">
        <v>1125</v>
      </c>
      <c r="L394">
        <v>1132.03</v>
      </c>
      <c r="M394">
        <v>2137.21</v>
      </c>
      <c r="N394">
        <v>0.35699999999999998</v>
      </c>
      <c r="O394">
        <v>35</v>
      </c>
    </row>
    <row r="395" spans="1:15" x14ac:dyDescent="0.35">
      <c r="A395" t="s">
        <v>407</v>
      </c>
      <c r="B395" s="2">
        <v>45360</v>
      </c>
      <c r="C395" s="2">
        <v>45377</v>
      </c>
      <c r="D395" t="s">
        <v>648</v>
      </c>
      <c r="E395" t="s">
        <v>660</v>
      </c>
      <c r="F395" t="s">
        <v>686</v>
      </c>
      <c r="G395" t="s">
        <v>702</v>
      </c>
      <c r="H395" t="s">
        <v>711</v>
      </c>
      <c r="I395" t="s">
        <v>714</v>
      </c>
      <c r="J395" t="s">
        <v>730</v>
      </c>
      <c r="K395" t="s">
        <v>1126</v>
      </c>
      <c r="L395">
        <v>1137.4100000000001</v>
      </c>
      <c r="M395">
        <v>1680.93</v>
      </c>
      <c r="N395">
        <v>0.254</v>
      </c>
      <c r="O395">
        <v>9</v>
      </c>
    </row>
    <row r="396" spans="1:15" x14ac:dyDescent="0.35">
      <c r="A396" t="s">
        <v>408</v>
      </c>
      <c r="B396" s="2">
        <v>45075</v>
      </c>
      <c r="C396" s="2">
        <v>45097</v>
      </c>
      <c r="D396" t="s">
        <v>649</v>
      </c>
      <c r="E396" t="s">
        <v>658</v>
      </c>
      <c r="F396" t="s">
        <v>683</v>
      </c>
      <c r="G396" t="s">
        <v>705</v>
      </c>
      <c r="H396" t="s">
        <v>711</v>
      </c>
      <c r="I396" t="s">
        <v>723</v>
      </c>
      <c r="J396" t="s">
        <v>727</v>
      </c>
      <c r="K396" t="s">
        <v>1127</v>
      </c>
      <c r="L396">
        <v>1295.3900000000001</v>
      </c>
      <c r="M396">
        <v>2905.06</v>
      </c>
      <c r="N396">
        <v>0.14799999999999999</v>
      </c>
      <c r="O396">
        <v>8</v>
      </c>
    </row>
    <row r="397" spans="1:15" x14ac:dyDescent="0.35">
      <c r="A397" t="s">
        <v>409</v>
      </c>
      <c r="B397" s="2">
        <v>45804</v>
      </c>
      <c r="C397" s="2">
        <v>45816</v>
      </c>
      <c r="D397" t="s">
        <v>647</v>
      </c>
      <c r="E397" t="s">
        <v>652</v>
      </c>
      <c r="F397" t="s">
        <v>666</v>
      </c>
      <c r="G397" t="s">
        <v>701</v>
      </c>
      <c r="H397" t="s">
        <v>707</v>
      </c>
      <c r="I397" t="s">
        <v>722</v>
      </c>
      <c r="J397" t="s">
        <v>733</v>
      </c>
      <c r="K397" t="s">
        <v>1128</v>
      </c>
      <c r="L397">
        <v>653.6</v>
      </c>
      <c r="M397">
        <v>842.09</v>
      </c>
      <c r="N397">
        <v>9.8000000000000004E-2</v>
      </c>
      <c r="O397">
        <v>19</v>
      </c>
    </row>
    <row r="398" spans="1:15" x14ac:dyDescent="0.35">
      <c r="A398" t="s">
        <v>410</v>
      </c>
      <c r="B398" s="2">
        <v>45890</v>
      </c>
      <c r="C398" s="2">
        <v>45914</v>
      </c>
      <c r="D398" t="s">
        <v>649</v>
      </c>
      <c r="E398" t="s">
        <v>656</v>
      </c>
      <c r="F398" t="s">
        <v>671</v>
      </c>
      <c r="G398" t="s">
        <v>703</v>
      </c>
      <c r="H398" t="s">
        <v>708</v>
      </c>
      <c r="I398" t="s">
        <v>720</v>
      </c>
      <c r="J398" t="s">
        <v>732</v>
      </c>
      <c r="K398" t="s">
        <v>1129</v>
      </c>
      <c r="L398">
        <v>1397.67</v>
      </c>
      <c r="M398">
        <v>3131.37</v>
      </c>
      <c r="N398">
        <v>0.10299999999999999</v>
      </c>
      <c r="O398">
        <v>20</v>
      </c>
    </row>
    <row r="399" spans="1:15" x14ac:dyDescent="0.35">
      <c r="A399" t="s">
        <v>411</v>
      </c>
      <c r="B399" s="2">
        <v>45638</v>
      </c>
      <c r="C399" s="2">
        <v>45646</v>
      </c>
      <c r="D399" t="s">
        <v>647</v>
      </c>
      <c r="E399" t="s">
        <v>652</v>
      </c>
      <c r="F399" t="s">
        <v>689</v>
      </c>
      <c r="G399" t="s">
        <v>701</v>
      </c>
      <c r="H399" t="s">
        <v>707</v>
      </c>
      <c r="I399" t="s">
        <v>717</v>
      </c>
      <c r="J399" t="s">
        <v>731</v>
      </c>
      <c r="K399" t="s">
        <v>1130</v>
      </c>
      <c r="L399">
        <v>1202.47</v>
      </c>
      <c r="M399">
        <v>1444.72</v>
      </c>
      <c r="N399">
        <v>0.24099999999999999</v>
      </c>
      <c r="O399">
        <v>17</v>
      </c>
    </row>
    <row r="400" spans="1:15" x14ac:dyDescent="0.35">
      <c r="A400" t="s">
        <v>412</v>
      </c>
      <c r="B400" s="2">
        <v>45914</v>
      </c>
      <c r="C400" s="2">
        <v>45923</v>
      </c>
      <c r="D400" t="s">
        <v>646</v>
      </c>
      <c r="E400" t="s">
        <v>661</v>
      </c>
      <c r="F400" t="s">
        <v>687</v>
      </c>
      <c r="G400" t="s">
        <v>703</v>
      </c>
      <c r="H400" t="s">
        <v>708</v>
      </c>
      <c r="I400" t="s">
        <v>726</v>
      </c>
      <c r="J400" t="s">
        <v>727</v>
      </c>
      <c r="K400" t="s">
        <v>1131</v>
      </c>
      <c r="L400">
        <v>1310.3</v>
      </c>
      <c r="M400">
        <v>2875.8</v>
      </c>
      <c r="N400">
        <v>8.3000000000000004E-2</v>
      </c>
      <c r="O400">
        <v>5</v>
      </c>
    </row>
    <row r="401" spans="1:15" x14ac:dyDescent="0.35">
      <c r="A401" t="s">
        <v>413</v>
      </c>
      <c r="B401" s="2">
        <v>45541</v>
      </c>
      <c r="C401" s="2">
        <v>45569</v>
      </c>
      <c r="D401" t="s">
        <v>646</v>
      </c>
      <c r="E401" t="s">
        <v>661</v>
      </c>
      <c r="F401" t="s">
        <v>695</v>
      </c>
      <c r="G401" t="s">
        <v>701</v>
      </c>
      <c r="H401" t="s">
        <v>709</v>
      </c>
      <c r="I401" t="s">
        <v>726</v>
      </c>
      <c r="J401" t="s">
        <v>732</v>
      </c>
      <c r="K401" t="s">
        <v>1132</v>
      </c>
      <c r="L401">
        <v>1174.17</v>
      </c>
      <c r="M401">
        <v>1641.61</v>
      </c>
      <c r="N401">
        <v>0.122</v>
      </c>
      <c r="O401">
        <v>9</v>
      </c>
    </row>
    <row r="402" spans="1:15" x14ac:dyDescent="0.35">
      <c r="A402" t="s">
        <v>414</v>
      </c>
      <c r="B402" s="2">
        <v>45759</v>
      </c>
      <c r="C402" s="2">
        <v>45777</v>
      </c>
      <c r="D402" t="s">
        <v>646</v>
      </c>
      <c r="E402" t="s">
        <v>650</v>
      </c>
      <c r="F402" t="s">
        <v>662</v>
      </c>
      <c r="G402" t="s">
        <v>701</v>
      </c>
      <c r="H402" t="s">
        <v>709</v>
      </c>
      <c r="I402" t="s">
        <v>721</v>
      </c>
      <c r="J402" t="s">
        <v>729</v>
      </c>
      <c r="K402" t="s">
        <v>1133</v>
      </c>
      <c r="L402">
        <v>1119.04</v>
      </c>
      <c r="M402">
        <v>1299.02</v>
      </c>
      <c r="N402">
        <v>2.5000000000000001E-2</v>
      </c>
      <c r="O402">
        <v>14</v>
      </c>
    </row>
    <row r="403" spans="1:15" x14ac:dyDescent="0.35">
      <c r="A403" t="s">
        <v>415</v>
      </c>
      <c r="B403" s="2">
        <v>45516</v>
      </c>
      <c r="C403" s="2">
        <v>45519</v>
      </c>
      <c r="D403" t="s">
        <v>648</v>
      </c>
      <c r="E403" t="s">
        <v>660</v>
      </c>
      <c r="F403" t="s">
        <v>677</v>
      </c>
      <c r="G403" t="s">
        <v>701</v>
      </c>
      <c r="H403" t="s">
        <v>709</v>
      </c>
      <c r="I403" t="s">
        <v>726</v>
      </c>
      <c r="J403" t="s">
        <v>728</v>
      </c>
      <c r="K403" t="s">
        <v>1134</v>
      </c>
      <c r="L403">
        <v>850.7</v>
      </c>
      <c r="M403">
        <v>1118.56</v>
      </c>
      <c r="N403">
        <v>0.18</v>
      </c>
      <c r="O403">
        <v>19</v>
      </c>
    </row>
    <row r="404" spans="1:15" x14ac:dyDescent="0.35">
      <c r="A404" t="s">
        <v>416</v>
      </c>
      <c r="B404" s="2">
        <v>45601</v>
      </c>
      <c r="C404" s="2">
        <v>45604</v>
      </c>
      <c r="D404" t="s">
        <v>648</v>
      </c>
      <c r="E404" t="s">
        <v>653</v>
      </c>
      <c r="F404" t="s">
        <v>667</v>
      </c>
      <c r="G404" t="s">
        <v>702</v>
      </c>
      <c r="H404" t="s">
        <v>709</v>
      </c>
      <c r="I404" t="s">
        <v>719</v>
      </c>
      <c r="J404" t="s">
        <v>727</v>
      </c>
      <c r="K404" t="s">
        <v>1135</v>
      </c>
      <c r="L404">
        <v>1020.4</v>
      </c>
      <c r="M404">
        <v>1184.71</v>
      </c>
      <c r="N404">
        <v>0.106</v>
      </c>
      <c r="O404">
        <v>16</v>
      </c>
    </row>
    <row r="405" spans="1:15" x14ac:dyDescent="0.35">
      <c r="A405" t="s">
        <v>417</v>
      </c>
      <c r="B405" s="2">
        <v>45497</v>
      </c>
      <c r="C405" s="2">
        <v>45512</v>
      </c>
      <c r="D405" t="s">
        <v>649</v>
      </c>
      <c r="E405" t="s">
        <v>657</v>
      </c>
      <c r="F405" t="s">
        <v>673</v>
      </c>
      <c r="G405" t="s">
        <v>706</v>
      </c>
      <c r="H405" t="s">
        <v>709</v>
      </c>
      <c r="I405" t="s">
        <v>722</v>
      </c>
      <c r="J405" t="s">
        <v>731</v>
      </c>
      <c r="K405" t="s">
        <v>1136</v>
      </c>
      <c r="L405">
        <v>501.5</v>
      </c>
      <c r="M405">
        <v>1201.47</v>
      </c>
      <c r="N405">
        <v>0.126</v>
      </c>
      <c r="O405">
        <v>5</v>
      </c>
    </row>
    <row r="406" spans="1:15" x14ac:dyDescent="0.35">
      <c r="A406" t="s">
        <v>418</v>
      </c>
      <c r="B406" s="2">
        <v>45677</v>
      </c>
      <c r="C406" s="2">
        <v>45691</v>
      </c>
      <c r="D406" t="s">
        <v>648</v>
      </c>
      <c r="E406" t="s">
        <v>655</v>
      </c>
      <c r="F406" t="s">
        <v>672</v>
      </c>
      <c r="G406" t="s">
        <v>706</v>
      </c>
      <c r="H406" t="s">
        <v>709</v>
      </c>
      <c r="I406" t="s">
        <v>721</v>
      </c>
      <c r="J406" t="s">
        <v>727</v>
      </c>
      <c r="K406" t="s">
        <v>1137</v>
      </c>
      <c r="L406">
        <v>974.11</v>
      </c>
      <c r="M406">
        <v>880.99</v>
      </c>
      <c r="N406">
        <v>0.111</v>
      </c>
      <c r="O406">
        <v>10</v>
      </c>
    </row>
    <row r="407" spans="1:15" x14ac:dyDescent="0.35">
      <c r="A407" t="s">
        <v>419</v>
      </c>
      <c r="B407" s="2">
        <v>44991</v>
      </c>
      <c r="C407" s="2">
        <v>45020</v>
      </c>
      <c r="D407" t="s">
        <v>647</v>
      </c>
      <c r="E407" t="s">
        <v>659</v>
      </c>
      <c r="F407" t="s">
        <v>699</v>
      </c>
      <c r="G407" t="s">
        <v>705</v>
      </c>
      <c r="H407" t="s">
        <v>711</v>
      </c>
      <c r="I407" t="s">
        <v>712</v>
      </c>
      <c r="J407" t="s">
        <v>732</v>
      </c>
      <c r="K407" t="s">
        <v>1138</v>
      </c>
      <c r="L407">
        <v>1126.29</v>
      </c>
      <c r="M407">
        <v>2050.87</v>
      </c>
      <c r="N407">
        <v>6.4000000000000001E-2</v>
      </c>
      <c r="O407">
        <v>7</v>
      </c>
    </row>
    <row r="408" spans="1:15" x14ac:dyDescent="0.35">
      <c r="A408" t="s">
        <v>420</v>
      </c>
      <c r="B408" s="2">
        <v>45646</v>
      </c>
      <c r="C408" s="2">
        <v>45671</v>
      </c>
      <c r="D408" t="s">
        <v>647</v>
      </c>
      <c r="E408" t="s">
        <v>654</v>
      </c>
      <c r="F408" t="s">
        <v>680</v>
      </c>
      <c r="G408" t="s">
        <v>705</v>
      </c>
      <c r="H408" t="s">
        <v>707</v>
      </c>
      <c r="I408" t="s">
        <v>724</v>
      </c>
      <c r="J408" t="s">
        <v>728</v>
      </c>
      <c r="K408" t="s">
        <v>1139</v>
      </c>
      <c r="L408">
        <v>1361.34</v>
      </c>
      <c r="M408">
        <v>1737.9</v>
      </c>
      <c r="N408">
        <v>7.6999999999999999E-2</v>
      </c>
      <c r="O408">
        <v>14</v>
      </c>
    </row>
    <row r="409" spans="1:15" x14ac:dyDescent="0.35">
      <c r="A409" t="s">
        <v>421</v>
      </c>
      <c r="B409" s="2">
        <v>45709</v>
      </c>
      <c r="C409" s="2">
        <v>45737</v>
      </c>
      <c r="D409" t="s">
        <v>646</v>
      </c>
      <c r="E409" t="s">
        <v>651</v>
      </c>
      <c r="F409" t="s">
        <v>669</v>
      </c>
      <c r="G409" t="s">
        <v>706</v>
      </c>
      <c r="H409" t="s">
        <v>709</v>
      </c>
      <c r="I409" t="s">
        <v>714</v>
      </c>
      <c r="J409" t="s">
        <v>730</v>
      </c>
      <c r="K409" t="s">
        <v>1140</v>
      </c>
      <c r="L409">
        <v>1437.39</v>
      </c>
      <c r="M409">
        <v>1388.31</v>
      </c>
      <c r="N409">
        <v>0.13800000000000001</v>
      </c>
      <c r="O409">
        <v>18</v>
      </c>
    </row>
    <row r="410" spans="1:15" x14ac:dyDescent="0.35">
      <c r="A410" t="s">
        <v>422</v>
      </c>
      <c r="B410" s="2">
        <v>45724</v>
      </c>
      <c r="C410" s="2">
        <v>45731</v>
      </c>
      <c r="D410" t="s">
        <v>647</v>
      </c>
      <c r="E410" t="s">
        <v>654</v>
      </c>
      <c r="F410" t="s">
        <v>668</v>
      </c>
      <c r="G410" t="s">
        <v>701</v>
      </c>
      <c r="H410" t="s">
        <v>710</v>
      </c>
      <c r="I410" t="s">
        <v>723</v>
      </c>
      <c r="J410" t="s">
        <v>731</v>
      </c>
      <c r="K410" t="s">
        <v>1141</v>
      </c>
      <c r="L410">
        <v>475.66</v>
      </c>
      <c r="M410">
        <v>529.14</v>
      </c>
      <c r="N410">
        <v>0.19600000000000001</v>
      </c>
      <c r="O410">
        <v>11</v>
      </c>
    </row>
    <row r="411" spans="1:15" x14ac:dyDescent="0.35">
      <c r="A411" t="s">
        <v>423</v>
      </c>
      <c r="B411" s="2">
        <v>45276</v>
      </c>
      <c r="C411" s="2">
        <v>45279</v>
      </c>
      <c r="D411" t="s">
        <v>647</v>
      </c>
      <c r="E411" t="s">
        <v>659</v>
      </c>
      <c r="F411" t="s">
        <v>699</v>
      </c>
      <c r="G411" t="s">
        <v>702</v>
      </c>
      <c r="H411" t="s">
        <v>707</v>
      </c>
      <c r="I411" t="s">
        <v>720</v>
      </c>
      <c r="J411" t="s">
        <v>733</v>
      </c>
      <c r="K411" t="s">
        <v>1142</v>
      </c>
      <c r="L411">
        <v>1415.05</v>
      </c>
      <c r="M411">
        <v>1972.38</v>
      </c>
      <c r="N411">
        <v>0</v>
      </c>
      <c r="O411">
        <v>12</v>
      </c>
    </row>
    <row r="412" spans="1:15" x14ac:dyDescent="0.35">
      <c r="A412" t="s">
        <v>424</v>
      </c>
      <c r="B412" s="2">
        <v>45534</v>
      </c>
      <c r="C412" s="2">
        <v>45540</v>
      </c>
      <c r="D412" t="s">
        <v>647</v>
      </c>
      <c r="E412" t="s">
        <v>652</v>
      </c>
      <c r="F412" t="s">
        <v>694</v>
      </c>
      <c r="G412" t="s">
        <v>702</v>
      </c>
      <c r="H412" t="s">
        <v>708</v>
      </c>
      <c r="I412" t="s">
        <v>725</v>
      </c>
      <c r="J412" t="s">
        <v>731</v>
      </c>
      <c r="K412" t="s">
        <v>1143</v>
      </c>
      <c r="L412">
        <v>466.16</v>
      </c>
      <c r="M412">
        <v>876.81</v>
      </c>
      <c r="N412">
        <v>0.24099999999999999</v>
      </c>
      <c r="O412">
        <v>8</v>
      </c>
    </row>
    <row r="413" spans="1:15" x14ac:dyDescent="0.35">
      <c r="A413" t="s">
        <v>425</v>
      </c>
      <c r="B413" s="2">
        <v>45430</v>
      </c>
      <c r="C413" s="2">
        <v>45433</v>
      </c>
      <c r="D413" t="s">
        <v>649</v>
      </c>
      <c r="E413" t="s">
        <v>657</v>
      </c>
      <c r="F413" t="s">
        <v>673</v>
      </c>
      <c r="G413" t="s">
        <v>703</v>
      </c>
      <c r="H413" t="s">
        <v>709</v>
      </c>
      <c r="I413" t="s">
        <v>726</v>
      </c>
      <c r="J413" t="s">
        <v>728</v>
      </c>
      <c r="K413" t="s">
        <v>1144</v>
      </c>
      <c r="L413">
        <v>663.66</v>
      </c>
      <c r="M413">
        <v>824.26</v>
      </c>
      <c r="N413">
        <v>0.23899999999999999</v>
      </c>
      <c r="O413">
        <v>11</v>
      </c>
    </row>
    <row r="414" spans="1:15" x14ac:dyDescent="0.35">
      <c r="A414" t="s">
        <v>426</v>
      </c>
      <c r="B414" s="2">
        <v>45002</v>
      </c>
      <c r="C414" s="2">
        <v>45022</v>
      </c>
      <c r="D414" t="s">
        <v>649</v>
      </c>
      <c r="E414" t="s">
        <v>656</v>
      </c>
      <c r="F414" t="s">
        <v>684</v>
      </c>
      <c r="G414" t="s">
        <v>704</v>
      </c>
      <c r="H414" t="s">
        <v>707</v>
      </c>
      <c r="I414" t="s">
        <v>719</v>
      </c>
      <c r="J414" t="s">
        <v>730</v>
      </c>
      <c r="K414" t="s">
        <v>1145</v>
      </c>
      <c r="L414">
        <v>692.18</v>
      </c>
      <c r="M414">
        <v>1159.3499999999999</v>
      </c>
      <c r="N414">
        <v>0.112</v>
      </c>
      <c r="O414">
        <v>2</v>
      </c>
    </row>
    <row r="415" spans="1:15" x14ac:dyDescent="0.35">
      <c r="A415" t="s">
        <v>427</v>
      </c>
      <c r="B415" s="2">
        <v>45163</v>
      </c>
      <c r="C415" s="2">
        <v>45185</v>
      </c>
      <c r="D415" t="s">
        <v>646</v>
      </c>
      <c r="E415" t="s">
        <v>651</v>
      </c>
      <c r="F415" t="s">
        <v>669</v>
      </c>
      <c r="G415" t="s">
        <v>701</v>
      </c>
      <c r="H415" t="s">
        <v>709</v>
      </c>
      <c r="I415" t="s">
        <v>716</v>
      </c>
      <c r="J415" t="s">
        <v>730</v>
      </c>
      <c r="K415" t="s">
        <v>1146</v>
      </c>
      <c r="L415">
        <v>1196.83</v>
      </c>
      <c r="M415">
        <v>2513.5100000000002</v>
      </c>
      <c r="N415">
        <v>8.3000000000000004E-2</v>
      </c>
      <c r="O415">
        <v>7</v>
      </c>
    </row>
    <row r="416" spans="1:15" x14ac:dyDescent="0.35">
      <c r="A416" t="s">
        <v>428</v>
      </c>
      <c r="B416" s="2">
        <v>45449</v>
      </c>
      <c r="C416" s="2">
        <v>45467</v>
      </c>
      <c r="D416" t="s">
        <v>647</v>
      </c>
      <c r="E416" t="s">
        <v>654</v>
      </c>
      <c r="F416" t="s">
        <v>668</v>
      </c>
      <c r="G416" t="s">
        <v>705</v>
      </c>
      <c r="H416" t="s">
        <v>711</v>
      </c>
      <c r="I416" t="s">
        <v>722</v>
      </c>
      <c r="J416" t="s">
        <v>729</v>
      </c>
      <c r="K416" t="s">
        <v>1147</v>
      </c>
      <c r="L416">
        <v>1253.25</v>
      </c>
      <c r="M416">
        <v>3087.13</v>
      </c>
      <c r="N416">
        <v>7.1999999999999995E-2</v>
      </c>
      <c r="O416">
        <v>11</v>
      </c>
    </row>
    <row r="417" spans="1:15" x14ac:dyDescent="0.35">
      <c r="A417" t="s">
        <v>429</v>
      </c>
      <c r="B417" s="2">
        <v>45167</v>
      </c>
      <c r="C417" s="2">
        <v>45182</v>
      </c>
      <c r="D417" t="s">
        <v>648</v>
      </c>
      <c r="E417" t="s">
        <v>653</v>
      </c>
      <c r="F417" t="s">
        <v>688</v>
      </c>
      <c r="G417" t="s">
        <v>705</v>
      </c>
      <c r="H417" t="s">
        <v>709</v>
      </c>
      <c r="I417" t="s">
        <v>719</v>
      </c>
      <c r="J417" t="s">
        <v>728</v>
      </c>
      <c r="K417" t="s">
        <v>1148</v>
      </c>
      <c r="L417">
        <v>1287.6400000000001</v>
      </c>
      <c r="M417">
        <v>2717.15</v>
      </c>
      <c r="N417">
        <v>3.2000000000000001E-2</v>
      </c>
      <c r="O417">
        <v>7</v>
      </c>
    </row>
    <row r="418" spans="1:15" x14ac:dyDescent="0.35">
      <c r="A418" t="s">
        <v>430</v>
      </c>
      <c r="B418" s="2">
        <v>45626</v>
      </c>
      <c r="C418" s="2">
        <v>45636</v>
      </c>
      <c r="D418" t="s">
        <v>647</v>
      </c>
      <c r="E418" t="s">
        <v>654</v>
      </c>
      <c r="F418" t="s">
        <v>696</v>
      </c>
      <c r="G418" t="s">
        <v>705</v>
      </c>
      <c r="H418" t="s">
        <v>707</v>
      </c>
      <c r="I418" t="s">
        <v>721</v>
      </c>
      <c r="J418" t="s">
        <v>733</v>
      </c>
      <c r="K418" t="s">
        <v>1149</v>
      </c>
      <c r="L418">
        <v>851.49</v>
      </c>
      <c r="M418">
        <v>901.79</v>
      </c>
      <c r="N418">
        <v>0.245</v>
      </c>
      <c r="O418">
        <v>16</v>
      </c>
    </row>
    <row r="419" spans="1:15" x14ac:dyDescent="0.35">
      <c r="A419" t="s">
        <v>431</v>
      </c>
      <c r="B419" s="2">
        <v>45813</v>
      </c>
      <c r="C419" s="2">
        <v>45822</v>
      </c>
      <c r="D419" t="s">
        <v>647</v>
      </c>
      <c r="E419" t="s">
        <v>654</v>
      </c>
      <c r="F419" t="s">
        <v>680</v>
      </c>
      <c r="G419" t="s">
        <v>703</v>
      </c>
      <c r="H419" t="s">
        <v>707</v>
      </c>
      <c r="I419" t="s">
        <v>720</v>
      </c>
      <c r="J419" t="s">
        <v>733</v>
      </c>
      <c r="K419" t="s">
        <v>1150</v>
      </c>
      <c r="L419">
        <v>618.69000000000005</v>
      </c>
      <c r="M419">
        <v>796.15</v>
      </c>
      <c r="N419">
        <v>0.09</v>
      </c>
      <c r="O419">
        <v>11</v>
      </c>
    </row>
    <row r="420" spans="1:15" x14ac:dyDescent="0.35">
      <c r="A420" t="s">
        <v>432</v>
      </c>
      <c r="B420" s="2">
        <v>45730</v>
      </c>
      <c r="C420" s="2">
        <v>45755</v>
      </c>
      <c r="D420" t="s">
        <v>647</v>
      </c>
      <c r="E420" t="s">
        <v>659</v>
      </c>
      <c r="G420" t="s">
        <v>701</v>
      </c>
      <c r="H420" t="s">
        <v>710</v>
      </c>
      <c r="I420" t="s">
        <v>726</v>
      </c>
      <c r="J420" t="s">
        <v>728</v>
      </c>
      <c r="K420" t="s">
        <v>1151</v>
      </c>
      <c r="L420">
        <v>80.59</v>
      </c>
      <c r="M420">
        <v>157.82</v>
      </c>
      <c r="N420">
        <v>0.217</v>
      </c>
      <c r="O420">
        <v>6</v>
      </c>
    </row>
    <row r="421" spans="1:15" x14ac:dyDescent="0.35">
      <c r="A421" t="s">
        <v>433</v>
      </c>
      <c r="B421" s="2">
        <v>45307</v>
      </c>
      <c r="C421" s="2">
        <v>45333</v>
      </c>
      <c r="D421" t="s">
        <v>649</v>
      </c>
      <c r="E421" t="s">
        <v>656</v>
      </c>
      <c r="F421" t="s">
        <v>698</v>
      </c>
      <c r="G421" t="s">
        <v>703</v>
      </c>
      <c r="H421" t="s">
        <v>710</v>
      </c>
      <c r="I421" t="s">
        <v>718</v>
      </c>
      <c r="J421" t="s">
        <v>732</v>
      </c>
      <c r="K421" t="s">
        <v>1152</v>
      </c>
      <c r="L421">
        <v>504.93</v>
      </c>
      <c r="M421">
        <v>819.06</v>
      </c>
      <c r="N421">
        <v>0.22600000000000001</v>
      </c>
      <c r="O421">
        <v>15</v>
      </c>
    </row>
    <row r="422" spans="1:15" x14ac:dyDescent="0.35">
      <c r="A422" t="s">
        <v>434</v>
      </c>
      <c r="B422" s="2">
        <v>45211</v>
      </c>
      <c r="C422" s="2">
        <v>45228</v>
      </c>
      <c r="D422" t="s">
        <v>647</v>
      </c>
      <c r="E422" t="s">
        <v>652</v>
      </c>
      <c r="F422" t="s">
        <v>694</v>
      </c>
      <c r="G422" t="s">
        <v>703</v>
      </c>
      <c r="H422" t="s">
        <v>711</v>
      </c>
      <c r="I422" t="s">
        <v>722</v>
      </c>
      <c r="J422" t="s">
        <v>730</v>
      </c>
      <c r="K422" t="s">
        <v>1153</v>
      </c>
      <c r="L422">
        <v>1102.19</v>
      </c>
      <c r="M422">
        <v>1711.16</v>
      </c>
      <c r="N422">
        <v>0.151</v>
      </c>
      <c r="O422">
        <v>10</v>
      </c>
    </row>
    <row r="423" spans="1:15" x14ac:dyDescent="0.35">
      <c r="A423" t="s">
        <v>435</v>
      </c>
      <c r="B423" s="2">
        <v>45713</v>
      </c>
      <c r="C423" s="2">
        <v>45733</v>
      </c>
      <c r="D423" t="s">
        <v>648</v>
      </c>
      <c r="E423" t="s">
        <v>660</v>
      </c>
      <c r="F423" t="s">
        <v>686</v>
      </c>
      <c r="G423" t="s">
        <v>703</v>
      </c>
      <c r="H423" t="s">
        <v>709</v>
      </c>
      <c r="I423" t="s">
        <v>722</v>
      </c>
      <c r="J423" t="s">
        <v>730</v>
      </c>
      <c r="K423" t="s">
        <v>1154</v>
      </c>
      <c r="L423">
        <v>1205.26</v>
      </c>
      <c r="M423">
        <v>1696.35</v>
      </c>
      <c r="N423">
        <v>1.9E-2</v>
      </c>
      <c r="O423">
        <v>6</v>
      </c>
    </row>
    <row r="424" spans="1:15" x14ac:dyDescent="0.35">
      <c r="A424" t="s">
        <v>436</v>
      </c>
      <c r="B424" s="2">
        <v>45841</v>
      </c>
      <c r="C424" s="2">
        <v>45844</v>
      </c>
      <c r="D424" t="s">
        <v>646</v>
      </c>
      <c r="E424" t="s">
        <v>651</v>
      </c>
      <c r="F424" t="s">
        <v>665</v>
      </c>
      <c r="G424" t="s">
        <v>704</v>
      </c>
      <c r="H424" t="s">
        <v>708</v>
      </c>
      <c r="J424" t="s">
        <v>731</v>
      </c>
      <c r="K424" t="s">
        <v>1155</v>
      </c>
      <c r="L424">
        <v>1313.3</v>
      </c>
      <c r="M424">
        <v>2884.34</v>
      </c>
      <c r="N424">
        <v>0.157</v>
      </c>
      <c r="O424">
        <v>42</v>
      </c>
    </row>
    <row r="425" spans="1:15" x14ac:dyDescent="0.35">
      <c r="A425" t="s">
        <v>437</v>
      </c>
      <c r="B425" s="2">
        <v>45915</v>
      </c>
      <c r="C425" s="2">
        <v>45925</v>
      </c>
      <c r="D425" t="s">
        <v>647</v>
      </c>
      <c r="E425" t="s">
        <v>654</v>
      </c>
      <c r="F425" t="s">
        <v>680</v>
      </c>
      <c r="G425" t="s">
        <v>704</v>
      </c>
      <c r="H425" t="s">
        <v>707</v>
      </c>
      <c r="I425" t="s">
        <v>720</v>
      </c>
      <c r="J425" t="s">
        <v>730</v>
      </c>
      <c r="K425" t="s">
        <v>1156</v>
      </c>
      <c r="L425">
        <v>1488.91</v>
      </c>
      <c r="M425">
        <v>1483.74</v>
      </c>
      <c r="N425">
        <v>0.16800000000000001</v>
      </c>
      <c r="O425">
        <v>24</v>
      </c>
    </row>
    <row r="426" spans="1:15" x14ac:dyDescent="0.35">
      <c r="A426" t="s">
        <v>438</v>
      </c>
      <c r="B426" s="2">
        <v>45341</v>
      </c>
      <c r="C426" s="2">
        <v>45357</v>
      </c>
      <c r="D426" t="s">
        <v>647</v>
      </c>
      <c r="E426" t="s">
        <v>659</v>
      </c>
      <c r="F426" t="s">
        <v>699</v>
      </c>
      <c r="G426" t="s">
        <v>702</v>
      </c>
      <c r="H426" t="s">
        <v>709</v>
      </c>
      <c r="I426" t="s">
        <v>719</v>
      </c>
      <c r="J426" t="s">
        <v>728</v>
      </c>
      <c r="K426" t="s">
        <v>1157</v>
      </c>
      <c r="L426">
        <v>1477.84</v>
      </c>
      <c r="M426">
        <v>3197.47</v>
      </c>
      <c r="N426">
        <v>0.24299999999999999</v>
      </c>
      <c r="O426">
        <v>24</v>
      </c>
    </row>
    <row r="427" spans="1:15" x14ac:dyDescent="0.35">
      <c r="A427" t="s">
        <v>439</v>
      </c>
      <c r="B427" s="2">
        <v>45349</v>
      </c>
      <c r="C427" s="2">
        <v>45377</v>
      </c>
      <c r="D427" t="s">
        <v>647</v>
      </c>
      <c r="E427" t="s">
        <v>654</v>
      </c>
      <c r="F427" t="s">
        <v>691</v>
      </c>
      <c r="G427" t="s">
        <v>702</v>
      </c>
      <c r="H427" t="s">
        <v>709</v>
      </c>
      <c r="I427" t="s">
        <v>715</v>
      </c>
      <c r="J427" t="s">
        <v>731</v>
      </c>
      <c r="K427" t="s">
        <v>1158</v>
      </c>
      <c r="L427">
        <v>1035.19</v>
      </c>
      <c r="M427">
        <v>2322.6999999999998</v>
      </c>
      <c r="N427">
        <v>0.17299999999999999</v>
      </c>
      <c r="O427">
        <v>8</v>
      </c>
    </row>
    <row r="428" spans="1:15" x14ac:dyDescent="0.35">
      <c r="A428" t="s">
        <v>440</v>
      </c>
      <c r="B428" s="2">
        <v>45897</v>
      </c>
      <c r="C428" s="2">
        <v>45905</v>
      </c>
      <c r="D428" t="s">
        <v>646</v>
      </c>
      <c r="E428" t="s">
        <v>651</v>
      </c>
      <c r="F428" t="s">
        <v>663</v>
      </c>
      <c r="G428" t="s">
        <v>705</v>
      </c>
      <c r="H428" t="s">
        <v>709</v>
      </c>
      <c r="I428" t="s">
        <v>718</v>
      </c>
      <c r="J428" t="s">
        <v>731</v>
      </c>
      <c r="K428" t="s">
        <v>1159</v>
      </c>
      <c r="L428">
        <v>1271.0999999999999</v>
      </c>
      <c r="M428">
        <v>1932.42</v>
      </c>
      <c r="N428">
        <v>0.25</v>
      </c>
      <c r="O428">
        <v>21</v>
      </c>
    </row>
    <row r="429" spans="1:15" x14ac:dyDescent="0.35">
      <c r="A429" t="s">
        <v>441</v>
      </c>
      <c r="B429" s="2">
        <v>45522</v>
      </c>
      <c r="C429" s="2">
        <v>45547</v>
      </c>
      <c r="D429" t="s">
        <v>647</v>
      </c>
      <c r="E429" t="s">
        <v>654</v>
      </c>
      <c r="F429" t="s">
        <v>691</v>
      </c>
      <c r="G429" t="s">
        <v>704</v>
      </c>
      <c r="H429" t="s">
        <v>709</v>
      </c>
      <c r="I429" t="s">
        <v>712</v>
      </c>
      <c r="J429" t="s">
        <v>730</v>
      </c>
      <c r="K429" t="s">
        <v>1160</v>
      </c>
      <c r="L429">
        <v>1154.03</v>
      </c>
      <c r="M429">
        <v>1590.36</v>
      </c>
      <c r="N429">
        <v>0.314</v>
      </c>
      <c r="O429">
        <v>18</v>
      </c>
    </row>
    <row r="430" spans="1:15" x14ac:dyDescent="0.35">
      <c r="A430" t="s">
        <v>442</v>
      </c>
      <c r="B430" s="2">
        <v>45347</v>
      </c>
      <c r="C430" s="2">
        <v>45360</v>
      </c>
      <c r="D430" t="s">
        <v>649</v>
      </c>
      <c r="E430" t="s">
        <v>657</v>
      </c>
      <c r="F430" t="s">
        <v>673</v>
      </c>
      <c r="G430" t="s">
        <v>705</v>
      </c>
      <c r="H430" t="s">
        <v>710</v>
      </c>
      <c r="I430" t="s">
        <v>718</v>
      </c>
      <c r="J430" t="s">
        <v>732</v>
      </c>
      <c r="K430" t="s">
        <v>1161</v>
      </c>
      <c r="L430">
        <v>322.44</v>
      </c>
      <c r="M430">
        <v>395.61</v>
      </c>
      <c r="N430">
        <v>0</v>
      </c>
      <c r="O430">
        <v>34</v>
      </c>
    </row>
    <row r="431" spans="1:15" x14ac:dyDescent="0.35">
      <c r="A431" t="s">
        <v>443</v>
      </c>
      <c r="B431" s="2">
        <v>45784</v>
      </c>
      <c r="C431" s="2">
        <v>45790</v>
      </c>
      <c r="D431" t="s">
        <v>647</v>
      </c>
      <c r="E431" t="s">
        <v>654</v>
      </c>
      <c r="F431" t="s">
        <v>668</v>
      </c>
      <c r="G431" t="s">
        <v>706</v>
      </c>
      <c r="H431" t="s">
        <v>711</v>
      </c>
      <c r="I431" t="s">
        <v>713</v>
      </c>
      <c r="J431" t="s">
        <v>730</v>
      </c>
      <c r="K431" t="s">
        <v>1162</v>
      </c>
      <c r="L431">
        <v>935.98</v>
      </c>
      <c r="M431">
        <v>2077.69</v>
      </c>
      <c r="N431">
        <v>0.17499999999999999</v>
      </c>
      <c r="O431">
        <v>24</v>
      </c>
    </row>
    <row r="432" spans="1:15" x14ac:dyDescent="0.35">
      <c r="A432" t="s">
        <v>444</v>
      </c>
      <c r="B432" s="2">
        <v>45597</v>
      </c>
      <c r="C432" s="2">
        <v>45608</v>
      </c>
      <c r="D432" t="s">
        <v>649</v>
      </c>
      <c r="E432" t="s">
        <v>656</v>
      </c>
      <c r="F432" t="s">
        <v>698</v>
      </c>
      <c r="G432" t="s">
        <v>704</v>
      </c>
      <c r="H432" t="s">
        <v>708</v>
      </c>
      <c r="I432" t="s">
        <v>717</v>
      </c>
      <c r="J432" t="s">
        <v>728</v>
      </c>
      <c r="K432" t="s">
        <v>1163</v>
      </c>
      <c r="L432">
        <v>599.84</v>
      </c>
      <c r="M432">
        <v>1330.85</v>
      </c>
      <c r="N432">
        <v>0.115</v>
      </c>
      <c r="O432">
        <v>11</v>
      </c>
    </row>
    <row r="433" spans="1:15" x14ac:dyDescent="0.35">
      <c r="A433" t="s">
        <v>445</v>
      </c>
      <c r="B433" s="2">
        <v>45654</v>
      </c>
      <c r="C433" s="2">
        <v>45665</v>
      </c>
      <c r="D433" t="s">
        <v>647</v>
      </c>
      <c r="E433" t="s">
        <v>659</v>
      </c>
      <c r="F433" t="s">
        <v>676</v>
      </c>
      <c r="G433" t="s">
        <v>706</v>
      </c>
      <c r="H433" t="s">
        <v>708</v>
      </c>
      <c r="I433" t="s">
        <v>723</v>
      </c>
      <c r="J433" t="s">
        <v>731</v>
      </c>
      <c r="K433" t="s">
        <v>1164</v>
      </c>
      <c r="L433">
        <v>1201.31</v>
      </c>
      <c r="M433">
        <v>2764.65</v>
      </c>
      <c r="N433">
        <v>0</v>
      </c>
      <c r="O433">
        <v>21</v>
      </c>
    </row>
    <row r="434" spans="1:15" x14ac:dyDescent="0.35">
      <c r="A434" t="s">
        <v>446</v>
      </c>
      <c r="B434" s="2">
        <v>45220</v>
      </c>
      <c r="C434" s="2">
        <v>45220</v>
      </c>
      <c r="D434" t="s">
        <v>649</v>
      </c>
      <c r="E434" t="s">
        <v>658</v>
      </c>
      <c r="F434" t="s">
        <v>693</v>
      </c>
      <c r="G434" t="s">
        <v>706</v>
      </c>
      <c r="H434" t="s">
        <v>710</v>
      </c>
      <c r="I434" t="s">
        <v>713</v>
      </c>
      <c r="J434" t="s">
        <v>732</v>
      </c>
      <c r="K434" t="s">
        <v>1165</v>
      </c>
      <c r="L434">
        <v>384.19</v>
      </c>
      <c r="M434">
        <v>278.35000000000002</v>
      </c>
      <c r="N434">
        <v>5.6000000000000001E-2</v>
      </c>
      <c r="O434">
        <v>10</v>
      </c>
    </row>
    <row r="435" spans="1:15" x14ac:dyDescent="0.35">
      <c r="A435" t="s">
        <v>447</v>
      </c>
      <c r="B435" s="2">
        <v>45636</v>
      </c>
      <c r="C435" s="2">
        <v>45645</v>
      </c>
      <c r="D435" t="s">
        <v>646</v>
      </c>
      <c r="E435" t="s">
        <v>651</v>
      </c>
      <c r="F435" t="s">
        <v>665</v>
      </c>
      <c r="G435" t="s">
        <v>701</v>
      </c>
      <c r="H435" t="s">
        <v>707</v>
      </c>
      <c r="I435" t="s">
        <v>719</v>
      </c>
      <c r="J435" t="s">
        <v>732</v>
      </c>
      <c r="K435" t="s">
        <v>1166</v>
      </c>
      <c r="L435">
        <v>488.68</v>
      </c>
      <c r="M435">
        <v>984.36</v>
      </c>
      <c r="N435">
        <v>5.8999999999999997E-2</v>
      </c>
      <c r="O435">
        <v>14</v>
      </c>
    </row>
    <row r="436" spans="1:15" x14ac:dyDescent="0.35">
      <c r="A436" t="s">
        <v>448</v>
      </c>
      <c r="B436" s="2">
        <v>45542</v>
      </c>
      <c r="C436" s="2">
        <v>45553</v>
      </c>
      <c r="D436" t="s">
        <v>647</v>
      </c>
      <c r="E436" t="s">
        <v>659</v>
      </c>
      <c r="F436" t="s">
        <v>699</v>
      </c>
      <c r="G436" t="s">
        <v>704</v>
      </c>
      <c r="H436" t="s">
        <v>710</v>
      </c>
      <c r="I436" t="s">
        <v>719</v>
      </c>
      <c r="J436" t="s">
        <v>729</v>
      </c>
      <c r="K436" t="s">
        <v>1167</v>
      </c>
      <c r="L436">
        <v>181.74</v>
      </c>
      <c r="M436">
        <v>190.84</v>
      </c>
      <c r="N436">
        <v>0.214</v>
      </c>
      <c r="O436">
        <v>13</v>
      </c>
    </row>
    <row r="437" spans="1:15" x14ac:dyDescent="0.35">
      <c r="A437" t="s">
        <v>449</v>
      </c>
      <c r="B437" s="2">
        <v>45217</v>
      </c>
      <c r="C437" s="2">
        <v>45219</v>
      </c>
      <c r="D437" t="s">
        <v>646</v>
      </c>
      <c r="E437" t="s">
        <v>650</v>
      </c>
      <c r="F437" t="s">
        <v>662</v>
      </c>
      <c r="G437" t="s">
        <v>704</v>
      </c>
      <c r="H437" t="s">
        <v>707</v>
      </c>
      <c r="I437" t="s">
        <v>713</v>
      </c>
      <c r="J437" t="s">
        <v>730</v>
      </c>
      <c r="K437" t="s">
        <v>1168</v>
      </c>
      <c r="L437">
        <v>774.12</v>
      </c>
      <c r="M437">
        <v>908.3</v>
      </c>
      <c r="N437">
        <v>0</v>
      </c>
      <c r="O437">
        <v>30</v>
      </c>
    </row>
    <row r="438" spans="1:15" x14ac:dyDescent="0.35">
      <c r="A438" t="s">
        <v>450</v>
      </c>
      <c r="B438" s="2">
        <v>45650</v>
      </c>
      <c r="C438" s="2">
        <v>45670</v>
      </c>
      <c r="D438" t="s">
        <v>647</v>
      </c>
      <c r="E438" t="s">
        <v>654</v>
      </c>
      <c r="F438" t="s">
        <v>668</v>
      </c>
      <c r="G438" t="s">
        <v>701</v>
      </c>
      <c r="H438" t="s">
        <v>709</v>
      </c>
      <c r="I438" t="s">
        <v>726</v>
      </c>
      <c r="J438" t="s">
        <v>729</v>
      </c>
      <c r="K438" t="s">
        <v>1169</v>
      </c>
      <c r="L438">
        <v>126.15</v>
      </c>
      <c r="M438">
        <v>284.23</v>
      </c>
      <c r="N438">
        <v>0.113</v>
      </c>
      <c r="O438">
        <v>22</v>
      </c>
    </row>
    <row r="439" spans="1:15" x14ac:dyDescent="0.35">
      <c r="A439" t="s">
        <v>451</v>
      </c>
      <c r="B439" s="2">
        <v>45037</v>
      </c>
      <c r="C439" s="2">
        <v>45035</v>
      </c>
      <c r="D439" t="s">
        <v>647</v>
      </c>
      <c r="E439" t="s">
        <v>652</v>
      </c>
      <c r="F439" t="s">
        <v>694</v>
      </c>
      <c r="G439" t="s">
        <v>705</v>
      </c>
      <c r="H439" t="s">
        <v>711</v>
      </c>
      <c r="I439" t="s">
        <v>724</v>
      </c>
      <c r="J439" t="s">
        <v>727</v>
      </c>
      <c r="K439" t="s">
        <v>1170</v>
      </c>
      <c r="L439">
        <v>607.04</v>
      </c>
      <c r="M439">
        <v>1229.3399999999999</v>
      </c>
      <c r="N439">
        <v>0.14699999999999999</v>
      </c>
      <c r="O439">
        <v>7</v>
      </c>
    </row>
    <row r="440" spans="1:15" x14ac:dyDescent="0.35">
      <c r="A440" t="s">
        <v>452</v>
      </c>
      <c r="B440" s="2">
        <v>45290</v>
      </c>
      <c r="C440" s="2">
        <v>45299</v>
      </c>
      <c r="D440" t="s">
        <v>649</v>
      </c>
      <c r="E440" t="s">
        <v>657</v>
      </c>
      <c r="F440" t="s">
        <v>673</v>
      </c>
      <c r="G440" t="s">
        <v>704</v>
      </c>
      <c r="H440" t="s">
        <v>709</v>
      </c>
      <c r="I440" t="s">
        <v>716</v>
      </c>
      <c r="J440" t="s">
        <v>733</v>
      </c>
      <c r="K440" t="s">
        <v>1171</v>
      </c>
      <c r="L440">
        <v>861.1</v>
      </c>
      <c r="M440">
        <v>1224.72</v>
      </c>
      <c r="N440">
        <v>0.17399999999999999</v>
      </c>
      <c r="O440">
        <v>24</v>
      </c>
    </row>
    <row r="441" spans="1:15" x14ac:dyDescent="0.35">
      <c r="A441" t="s">
        <v>453</v>
      </c>
      <c r="B441" s="2">
        <v>44978</v>
      </c>
      <c r="C441" s="2">
        <v>44997</v>
      </c>
      <c r="D441" t="s">
        <v>646</v>
      </c>
      <c r="E441" t="s">
        <v>650</v>
      </c>
      <c r="F441" t="s">
        <v>678</v>
      </c>
      <c r="G441" t="s">
        <v>701</v>
      </c>
      <c r="H441" t="s">
        <v>708</v>
      </c>
      <c r="I441" t="s">
        <v>721</v>
      </c>
      <c r="J441" t="s">
        <v>729</v>
      </c>
      <c r="K441" t="s">
        <v>1172</v>
      </c>
      <c r="L441">
        <v>352.65</v>
      </c>
      <c r="M441">
        <v>485.86</v>
      </c>
      <c r="N441">
        <v>4.1000000000000002E-2</v>
      </c>
      <c r="O441">
        <v>6</v>
      </c>
    </row>
    <row r="442" spans="1:15" x14ac:dyDescent="0.35">
      <c r="A442" t="s">
        <v>454</v>
      </c>
      <c r="B442" s="2">
        <v>45063</v>
      </c>
      <c r="C442" s="2">
        <v>45080</v>
      </c>
      <c r="D442" t="s">
        <v>647</v>
      </c>
      <c r="E442" t="s">
        <v>659</v>
      </c>
      <c r="F442" t="s">
        <v>699</v>
      </c>
      <c r="G442" t="s">
        <v>703</v>
      </c>
      <c r="H442" t="s">
        <v>710</v>
      </c>
      <c r="I442" t="s">
        <v>724</v>
      </c>
      <c r="J442" t="s">
        <v>728</v>
      </c>
      <c r="K442" t="s">
        <v>1173</v>
      </c>
      <c r="L442">
        <v>979.59</v>
      </c>
      <c r="M442">
        <v>2210.94</v>
      </c>
      <c r="N442">
        <v>0.15</v>
      </c>
      <c r="O442">
        <v>11</v>
      </c>
    </row>
    <row r="443" spans="1:15" x14ac:dyDescent="0.35">
      <c r="A443" t="s">
        <v>455</v>
      </c>
      <c r="B443" s="2">
        <v>45374</v>
      </c>
      <c r="C443" s="2">
        <v>45377</v>
      </c>
      <c r="D443" t="s">
        <v>647</v>
      </c>
      <c r="E443" t="s">
        <v>654</v>
      </c>
      <c r="F443" t="s">
        <v>668</v>
      </c>
      <c r="G443" t="s">
        <v>702</v>
      </c>
      <c r="H443" t="s">
        <v>711</v>
      </c>
      <c r="I443" t="s">
        <v>715</v>
      </c>
      <c r="J443" t="s">
        <v>730</v>
      </c>
      <c r="K443" t="s">
        <v>1174</v>
      </c>
      <c r="L443">
        <v>382.21</v>
      </c>
      <c r="M443">
        <v>571.89</v>
      </c>
      <c r="N443">
        <v>0.14799999999999999</v>
      </c>
      <c r="O443">
        <v>26</v>
      </c>
    </row>
    <row r="444" spans="1:15" x14ac:dyDescent="0.35">
      <c r="A444" t="s">
        <v>456</v>
      </c>
      <c r="B444" s="2">
        <v>45189</v>
      </c>
      <c r="C444" s="2">
        <v>45197</v>
      </c>
      <c r="D444" t="s">
        <v>647</v>
      </c>
      <c r="E444" t="s">
        <v>654</v>
      </c>
      <c r="G444" t="s">
        <v>701</v>
      </c>
      <c r="I444" t="s">
        <v>717</v>
      </c>
      <c r="J444" t="s">
        <v>733</v>
      </c>
      <c r="K444" t="s">
        <v>1175</v>
      </c>
      <c r="L444">
        <v>1362.06</v>
      </c>
      <c r="M444">
        <v>3398.37</v>
      </c>
      <c r="N444">
        <v>0.157</v>
      </c>
      <c r="O444">
        <v>11</v>
      </c>
    </row>
    <row r="445" spans="1:15" x14ac:dyDescent="0.35">
      <c r="A445" t="s">
        <v>457</v>
      </c>
      <c r="B445" s="2">
        <v>45526</v>
      </c>
      <c r="C445" s="2">
        <v>45539</v>
      </c>
      <c r="D445" t="s">
        <v>649</v>
      </c>
      <c r="E445" t="s">
        <v>656</v>
      </c>
      <c r="F445" t="s">
        <v>698</v>
      </c>
      <c r="G445" t="s">
        <v>703</v>
      </c>
      <c r="H445" t="s">
        <v>707</v>
      </c>
      <c r="I445" t="s">
        <v>716</v>
      </c>
      <c r="J445" t="s">
        <v>728</v>
      </c>
      <c r="K445" t="s">
        <v>1176</v>
      </c>
      <c r="L445">
        <v>90.04</v>
      </c>
      <c r="M445">
        <v>194.62</v>
      </c>
      <c r="N445">
        <v>4.2999999999999997E-2</v>
      </c>
      <c r="O445">
        <v>32</v>
      </c>
    </row>
    <row r="446" spans="1:15" x14ac:dyDescent="0.35">
      <c r="A446" t="s">
        <v>458</v>
      </c>
      <c r="B446" s="2">
        <v>45560</v>
      </c>
      <c r="C446" s="2">
        <v>45568</v>
      </c>
      <c r="D446" t="s">
        <v>648</v>
      </c>
      <c r="E446" t="s">
        <v>653</v>
      </c>
      <c r="F446" t="s">
        <v>667</v>
      </c>
      <c r="G446" t="s">
        <v>704</v>
      </c>
      <c r="H446" t="s">
        <v>708</v>
      </c>
      <c r="I446" t="s">
        <v>718</v>
      </c>
      <c r="J446" t="s">
        <v>728</v>
      </c>
      <c r="K446" t="s">
        <v>1177</v>
      </c>
      <c r="L446">
        <v>558.19000000000005</v>
      </c>
      <c r="M446">
        <v>1031.6400000000001</v>
      </c>
      <c r="N446">
        <v>0</v>
      </c>
      <c r="O446">
        <v>21</v>
      </c>
    </row>
    <row r="447" spans="1:15" x14ac:dyDescent="0.35">
      <c r="A447" t="s">
        <v>459</v>
      </c>
      <c r="B447" s="2">
        <v>45090</v>
      </c>
      <c r="C447" s="2">
        <v>45101</v>
      </c>
      <c r="D447" t="s">
        <v>648</v>
      </c>
      <c r="E447" t="s">
        <v>653</v>
      </c>
      <c r="F447" t="s">
        <v>667</v>
      </c>
      <c r="G447" t="s">
        <v>701</v>
      </c>
      <c r="H447" t="s">
        <v>708</v>
      </c>
      <c r="I447" t="s">
        <v>712</v>
      </c>
      <c r="J447" t="s">
        <v>728</v>
      </c>
      <c r="K447" t="s">
        <v>1178</v>
      </c>
      <c r="L447">
        <v>247.07</v>
      </c>
      <c r="M447">
        <v>495.19</v>
      </c>
      <c r="N447">
        <v>2.8000000000000001E-2</v>
      </c>
      <c r="O447">
        <v>4</v>
      </c>
    </row>
    <row r="448" spans="1:15" x14ac:dyDescent="0.35">
      <c r="A448" t="s">
        <v>460</v>
      </c>
      <c r="B448" s="2">
        <v>45284</v>
      </c>
      <c r="C448" s="2">
        <v>45304</v>
      </c>
      <c r="D448" t="s">
        <v>647</v>
      </c>
      <c r="E448" t="s">
        <v>652</v>
      </c>
      <c r="F448" t="s">
        <v>694</v>
      </c>
      <c r="G448" t="s">
        <v>702</v>
      </c>
      <c r="H448" t="s">
        <v>711</v>
      </c>
      <c r="I448" t="s">
        <v>717</v>
      </c>
      <c r="J448" t="s">
        <v>731</v>
      </c>
      <c r="K448" t="s">
        <v>1179</v>
      </c>
      <c r="L448">
        <v>625.37</v>
      </c>
      <c r="M448">
        <v>1319.04</v>
      </c>
      <c r="N448">
        <v>7.3999999999999996E-2</v>
      </c>
      <c r="O448">
        <v>8</v>
      </c>
    </row>
    <row r="449" spans="1:15" x14ac:dyDescent="0.35">
      <c r="A449" t="s">
        <v>461</v>
      </c>
      <c r="B449" s="2">
        <v>45746</v>
      </c>
      <c r="C449" s="2">
        <v>45776</v>
      </c>
      <c r="D449" t="s">
        <v>646</v>
      </c>
      <c r="E449" t="s">
        <v>661</v>
      </c>
      <c r="F449" t="s">
        <v>687</v>
      </c>
      <c r="G449" t="s">
        <v>704</v>
      </c>
      <c r="H449" t="s">
        <v>709</v>
      </c>
      <c r="I449" t="s">
        <v>713</v>
      </c>
      <c r="J449" t="s">
        <v>732</v>
      </c>
      <c r="K449" t="s">
        <v>1180</v>
      </c>
      <c r="L449">
        <v>194.6</v>
      </c>
      <c r="M449">
        <v>314.87</v>
      </c>
      <c r="N449">
        <v>0.29299999999999998</v>
      </c>
      <c r="O449">
        <v>25</v>
      </c>
    </row>
    <row r="450" spans="1:15" x14ac:dyDescent="0.35">
      <c r="A450" t="s">
        <v>462</v>
      </c>
      <c r="B450" s="2">
        <v>45446</v>
      </c>
      <c r="C450" s="2">
        <v>45467</v>
      </c>
      <c r="D450" t="s">
        <v>648</v>
      </c>
      <c r="E450" t="s">
        <v>653</v>
      </c>
      <c r="F450" t="s">
        <v>667</v>
      </c>
      <c r="G450" t="s">
        <v>705</v>
      </c>
      <c r="H450" t="s">
        <v>711</v>
      </c>
      <c r="I450" t="s">
        <v>715</v>
      </c>
      <c r="J450" t="s">
        <v>732</v>
      </c>
      <c r="K450" t="s">
        <v>1181</v>
      </c>
      <c r="L450">
        <v>1205.5</v>
      </c>
      <c r="M450">
        <v>2210.17</v>
      </c>
      <c r="N450">
        <v>0.104</v>
      </c>
      <c r="O450">
        <v>23</v>
      </c>
    </row>
    <row r="451" spans="1:15" x14ac:dyDescent="0.35">
      <c r="A451" t="s">
        <v>463</v>
      </c>
      <c r="B451" s="2">
        <v>45454</v>
      </c>
      <c r="C451" s="2">
        <v>45482</v>
      </c>
      <c r="D451" t="s">
        <v>646</v>
      </c>
      <c r="E451" t="s">
        <v>651</v>
      </c>
      <c r="F451" t="s">
        <v>663</v>
      </c>
      <c r="G451" t="s">
        <v>701</v>
      </c>
      <c r="H451" t="s">
        <v>709</v>
      </c>
      <c r="I451" t="s">
        <v>714</v>
      </c>
      <c r="J451" t="s">
        <v>730</v>
      </c>
      <c r="K451" t="s">
        <v>1182</v>
      </c>
      <c r="L451">
        <v>895.54</v>
      </c>
      <c r="M451">
        <v>1045</v>
      </c>
      <c r="N451">
        <v>0.216</v>
      </c>
      <c r="O451">
        <v>15</v>
      </c>
    </row>
    <row r="452" spans="1:15" x14ac:dyDescent="0.35">
      <c r="A452" t="s">
        <v>464</v>
      </c>
      <c r="B452" s="2">
        <v>45129</v>
      </c>
      <c r="C452" s="2">
        <v>45128</v>
      </c>
      <c r="D452" t="s">
        <v>647</v>
      </c>
      <c r="E452" t="s">
        <v>654</v>
      </c>
      <c r="F452" t="s">
        <v>680</v>
      </c>
      <c r="G452" t="s">
        <v>705</v>
      </c>
      <c r="H452" t="s">
        <v>710</v>
      </c>
      <c r="I452" t="s">
        <v>718</v>
      </c>
      <c r="J452" t="s">
        <v>728</v>
      </c>
      <c r="K452" t="s">
        <v>1183</v>
      </c>
      <c r="L452">
        <v>946.99</v>
      </c>
      <c r="M452">
        <v>2132.19</v>
      </c>
      <c r="N452">
        <v>0.16500000000000001</v>
      </c>
      <c r="O452">
        <v>7</v>
      </c>
    </row>
    <row r="453" spans="1:15" x14ac:dyDescent="0.35">
      <c r="A453" t="s">
        <v>465</v>
      </c>
      <c r="B453" s="2">
        <v>44945</v>
      </c>
      <c r="C453" s="2">
        <v>44960</v>
      </c>
      <c r="D453" t="s">
        <v>649</v>
      </c>
      <c r="E453" t="s">
        <v>658</v>
      </c>
      <c r="F453" t="s">
        <v>683</v>
      </c>
      <c r="G453" t="s">
        <v>706</v>
      </c>
      <c r="H453" t="s">
        <v>710</v>
      </c>
      <c r="I453" t="s">
        <v>715</v>
      </c>
      <c r="J453" t="s">
        <v>733</v>
      </c>
      <c r="K453" t="s">
        <v>1184</v>
      </c>
      <c r="L453">
        <v>873.06</v>
      </c>
      <c r="M453">
        <v>2101.5500000000002</v>
      </c>
      <c r="N453">
        <v>6.6000000000000003E-2</v>
      </c>
      <c r="O453">
        <v>10</v>
      </c>
    </row>
    <row r="454" spans="1:15" x14ac:dyDescent="0.35">
      <c r="A454" t="s">
        <v>466</v>
      </c>
      <c r="B454" s="2">
        <v>45413</v>
      </c>
      <c r="C454" s="2">
        <v>45428</v>
      </c>
      <c r="D454" t="s">
        <v>647</v>
      </c>
      <c r="E454" t="s">
        <v>654</v>
      </c>
      <c r="F454" t="s">
        <v>668</v>
      </c>
      <c r="G454" t="s">
        <v>705</v>
      </c>
      <c r="H454" t="s">
        <v>707</v>
      </c>
      <c r="I454" t="s">
        <v>716</v>
      </c>
      <c r="J454" t="s">
        <v>727</v>
      </c>
      <c r="K454" t="s">
        <v>1185</v>
      </c>
      <c r="L454">
        <v>901.19</v>
      </c>
      <c r="M454">
        <v>2125.44</v>
      </c>
      <c r="N454">
        <v>7.0999999999999994E-2</v>
      </c>
      <c r="O454">
        <v>12</v>
      </c>
    </row>
    <row r="455" spans="1:15" x14ac:dyDescent="0.35">
      <c r="A455" t="s">
        <v>467</v>
      </c>
      <c r="B455" s="2">
        <v>45817</v>
      </c>
      <c r="C455" s="2">
        <v>45832</v>
      </c>
      <c r="D455" t="s">
        <v>647</v>
      </c>
      <c r="E455" t="s">
        <v>652</v>
      </c>
      <c r="F455" t="s">
        <v>694</v>
      </c>
      <c r="G455" t="s">
        <v>701</v>
      </c>
      <c r="H455" t="s">
        <v>711</v>
      </c>
      <c r="I455" t="s">
        <v>717</v>
      </c>
      <c r="J455" t="s">
        <v>730</v>
      </c>
      <c r="K455" t="s">
        <v>1186</v>
      </c>
      <c r="L455">
        <v>400.39</v>
      </c>
      <c r="M455">
        <v>712.75</v>
      </c>
      <c r="N455">
        <v>0.115</v>
      </c>
      <c r="O455">
        <v>19</v>
      </c>
    </row>
    <row r="456" spans="1:15" x14ac:dyDescent="0.35">
      <c r="A456" t="s">
        <v>468</v>
      </c>
      <c r="B456" s="2">
        <v>45070</v>
      </c>
      <c r="C456" s="2">
        <v>45098</v>
      </c>
      <c r="D456" t="s">
        <v>648</v>
      </c>
      <c r="E456" t="s">
        <v>660</v>
      </c>
      <c r="F456" t="s">
        <v>697</v>
      </c>
      <c r="G456" t="s">
        <v>705</v>
      </c>
      <c r="H456" t="s">
        <v>709</v>
      </c>
      <c r="I456" t="s">
        <v>715</v>
      </c>
      <c r="J456" t="s">
        <v>732</v>
      </c>
      <c r="K456" t="s">
        <v>1187</v>
      </c>
      <c r="L456">
        <v>813.97</v>
      </c>
      <c r="M456">
        <v>1568.83</v>
      </c>
      <c r="N456">
        <v>1.7000000000000001E-2</v>
      </c>
      <c r="O456">
        <v>15</v>
      </c>
    </row>
    <row r="457" spans="1:15" x14ac:dyDescent="0.35">
      <c r="A457" t="s">
        <v>469</v>
      </c>
      <c r="B457" s="2">
        <v>45653</v>
      </c>
      <c r="C457" s="2">
        <v>45655</v>
      </c>
      <c r="D457" t="s">
        <v>648</v>
      </c>
      <c r="E457" t="s">
        <v>653</v>
      </c>
      <c r="F457" t="s">
        <v>688</v>
      </c>
      <c r="G457" t="s">
        <v>706</v>
      </c>
      <c r="H457" t="s">
        <v>709</v>
      </c>
      <c r="I457" t="s">
        <v>712</v>
      </c>
      <c r="J457" t="s">
        <v>733</v>
      </c>
      <c r="K457" t="s">
        <v>1188</v>
      </c>
      <c r="L457">
        <v>1146.72</v>
      </c>
      <c r="M457">
        <v>2074.34</v>
      </c>
      <c r="N457">
        <v>0.111</v>
      </c>
      <c r="O457">
        <v>8</v>
      </c>
    </row>
    <row r="458" spans="1:15" x14ac:dyDescent="0.35">
      <c r="A458" t="s">
        <v>470</v>
      </c>
      <c r="B458" s="2">
        <v>45265</v>
      </c>
      <c r="C458" s="2">
        <v>45272</v>
      </c>
      <c r="D458" t="s">
        <v>648</v>
      </c>
      <c r="E458" t="s">
        <v>655</v>
      </c>
      <c r="F458" t="s">
        <v>672</v>
      </c>
      <c r="G458" t="s">
        <v>701</v>
      </c>
      <c r="H458" t="s">
        <v>711</v>
      </c>
      <c r="I458" t="s">
        <v>721</v>
      </c>
      <c r="J458" t="s">
        <v>730</v>
      </c>
      <c r="K458" t="s">
        <v>1189</v>
      </c>
      <c r="L458">
        <v>307.43</v>
      </c>
      <c r="M458">
        <v>495.19</v>
      </c>
      <c r="N458">
        <v>0</v>
      </c>
      <c r="O458">
        <v>42</v>
      </c>
    </row>
    <row r="459" spans="1:15" x14ac:dyDescent="0.35">
      <c r="A459" t="s">
        <v>471</v>
      </c>
      <c r="B459" s="2">
        <v>45048</v>
      </c>
      <c r="C459" s="2">
        <v>45065</v>
      </c>
      <c r="D459" t="s">
        <v>647</v>
      </c>
      <c r="E459" t="s">
        <v>659</v>
      </c>
      <c r="F459" t="s">
        <v>685</v>
      </c>
      <c r="G459" t="s">
        <v>703</v>
      </c>
      <c r="H459" t="s">
        <v>711</v>
      </c>
      <c r="I459" t="s">
        <v>713</v>
      </c>
      <c r="J459" t="s">
        <v>732</v>
      </c>
      <c r="K459" t="s">
        <v>1190</v>
      </c>
      <c r="L459">
        <v>714.28</v>
      </c>
      <c r="M459">
        <v>757.59</v>
      </c>
      <c r="N459">
        <v>0.13600000000000001</v>
      </c>
      <c r="O459">
        <v>12</v>
      </c>
    </row>
    <row r="460" spans="1:15" x14ac:dyDescent="0.35">
      <c r="A460" t="s">
        <v>472</v>
      </c>
      <c r="B460" s="2">
        <v>45260</v>
      </c>
      <c r="C460" s="2">
        <v>45270</v>
      </c>
      <c r="D460" t="s">
        <v>649</v>
      </c>
      <c r="E460" t="s">
        <v>656</v>
      </c>
      <c r="F460" t="s">
        <v>684</v>
      </c>
      <c r="G460" t="s">
        <v>705</v>
      </c>
      <c r="H460" t="s">
        <v>711</v>
      </c>
      <c r="I460" t="s">
        <v>721</v>
      </c>
      <c r="J460" t="s">
        <v>731</v>
      </c>
      <c r="K460" t="s">
        <v>1191</v>
      </c>
      <c r="L460">
        <v>174.74</v>
      </c>
      <c r="M460">
        <v>415.96</v>
      </c>
      <c r="N460">
        <v>0.125</v>
      </c>
      <c r="O460">
        <v>21</v>
      </c>
    </row>
    <row r="461" spans="1:15" x14ac:dyDescent="0.35">
      <c r="A461" t="s">
        <v>473</v>
      </c>
      <c r="B461" s="2">
        <v>45417</v>
      </c>
      <c r="C461" s="2">
        <v>45430</v>
      </c>
      <c r="D461" t="s">
        <v>649</v>
      </c>
      <c r="E461" t="s">
        <v>657</v>
      </c>
      <c r="F461" t="s">
        <v>673</v>
      </c>
      <c r="G461" t="s">
        <v>701</v>
      </c>
      <c r="H461" t="s">
        <v>709</v>
      </c>
      <c r="I461" t="s">
        <v>720</v>
      </c>
      <c r="J461" t="s">
        <v>727</v>
      </c>
      <c r="K461" t="s">
        <v>1192</v>
      </c>
      <c r="L461">
        <v>1264.04</v>
      </c>
      <c r="M461">
        <v>1870.89</v>
      </c>
      <c r="N461">
        <v>0</v>
      </c>
      <c r="O461">
        <v>13</v>
      </c>
    </row>
    <row r="462" spans="1:15" x14ac:dyDescent="0.35">
      <c r="A462" t="s">
        <v>474</v>
      </c>
      <c r="B462" s="2">
        <v>45116</v>
      </c>
      <c r="C462" s="2">
        <v>45126</v>
      </c>
      <c r="D462" t="s">
        <v>647</v>
      </c>
      <c r="E462" t="s">
        <v>652</v>
      </c>
      <c r="F462" t="s">
        <v>689</v>
      </c>
      <c r="G462" t="s">
        <v>706</v>
      </c>
      <c r="H462" t="s">
        <v>710</v>
      </c>
      <c r="I462" t="s">
        <v>725</v>
      </c>
      <c r="J462" t="s">
        <v>727</v>
      </c>
      <c r="K462" t="s">
        <v>1193</v>
      </c>
      <c r="L462">
        <v>141.26</v>
      </c>
      <c r="M462">
        <v>206.88</v>
      </c>
      <c r="N462">
        <v>0.107</v>
      </c>
      <c r="O462">
        <v>9</v>
      </c>
    </row>
    <row r="463" spans="1:15" x14ac:dyDescent="0.35">
      <c r="A463" t="s">
        <v>475</v>
      </c>
      <c r="B463" s="2">
        <v>45063</v>
      </c>
      <c r="C463" s="2">
        <v>45092</v>
      </c>
      <c r="D463" t="s">
        <v>646</v>
      </c>
      <c r="E463" t="s">
        <v>661</v>
      </c>
      <c r="F463" t="s">
        <v>687</v>
      </c>
      <c r="G463" t="s">
        <v>706</v>
      </c>
      <c r="H463" t="s">
        <v>707</v>
      </c>
      <c r="I463" t="s">
        <v>723</v>
      </c>
      <c r="J463" t="s">
        <v>733</v>
      </c>
      <c r="K463" t="s">
        <v>1194</v>
      </c>
      <c r="L463">
        <v>40.89</v>
      </c>
      <c r="M463">
        <v>62.82</v>
      </c>
      <c r="N463">
        <v>0.129</v>
      </c>
      <c r="O463">
        <v>17</v>
      </c>
    </row>
    <row r="464" spans="1:15" x14ac:dyDescent="0.35">
      <c r="A464" t="s">
        <v>476</v>
      </c>
      <c r="B464" s="2">
        <v>45358</v>
      </c>
      <c r="C464" s="2">
        <v>45385</v>
      </c>
      <c r="D464" t="s">
        <v>649</v>
      </c>
      <c r="E464" t="s">
        <v>656</v>
      </c>
      <c r="F464" t="s">
        <v>698</v>
      </c>
      <c r="G464" t="s">
        <v>701</v>
      </c>
      <c r="H464" t="s">
        <v>711</v>
      </c>
      <c r="I464" t="s">
        <v>724</v>
      </c>
      <c r="J464" t="s">
        <v>728</v>
      </c>
      <c r="K464" t="s">
        <v>1195</v>
      </c>
      <c r="L464">
        <v>738.16</v>
      </c>
      <c r="M464">
        <v>956.49</v>
      </c>
      <c r="N464">
        <v>0.152</v>
      </c>
      <c r="O464">
        <v>5</v>
      </c>
    </row>
    <row r="465" spans="1:15" x14ac:dyDescent="0.35">
      <c r="A465" t="s">
        <v>477</v>
      </c>
      <c r="B465" s="2">
        <v>45757</v>
      </c>
      <c r="C465" s="2">
        <v>45766</v>
      </c>
      <c r="D465" t="s">
        <v>646</v>
      </c>
      <c r="E465" t="s">
        <v>661</v>
      </c>
      <c r="F465" t="s">
        <v>687</v>
      </c>
      <c r="G465" t="s">
        <v>706</v>
      </c>
      <c r="I465" t="s">
        <v>715</v>
      </c>
      <c r="J465" t="s">
        <v>729</v>
      </c>
      <c r="K465" t="s">
        <v>1196</v>
      </c>
      <c r="L465">
        <v>113.74</v>
      </c>
      <c r="M465">
        <v>165.7</v>
      </c>
      <c r="N465">
        <v>0.124</v>
      </c>
      <c r="O465">
        <v>13</v>
      </c>
    </row>
    <row r="466" spans="1:15" x14ac:dyDescent="0.35">
      <c r="A466" t="s">
        <v>478</v>
      </c>
      <c r="B466" s="2">
        <v>45865</v>
      </c>
      <c r="C466" s="2">
        <v>45884</v>
      </c>
      <c r="D466" t="s">
        <v>647</v>
      </c>
      <c r="E466" t="s">
        <v>652</v>
      </c>
      <c r="F466" t="s">
        <v>689</v>
      </c>
      <c r="G466" t="s">
        <v>705</v>
      </c>
      <c r="H466" t="s">
        <v>709</v>
      </c>
      <c r="I466" t="s">
        <v>713</v>
      </c>
      <c r="J466" t="s">
        <v>727</v>
      </c>
      <c r="K466" t="s">
        <v>1197</v>
      </c>
      <c r="L466">
        <v>275.43</v>
      </c>
      <c r="M466">
        <v>608.36</v>
      </c>
      <c r="N466">
        <v>0.25700000000000001</v>
      </c>
      <c r="O466">
        <v>4</v>
      </c>
    </row>
    <row r="467" spans="1:15" x14ac:dyDescent="0.35">
      <c r="A467" t="s">
        <v>479</v>
      </c>
      <c r="B467" s="2">
        <v>45618</v>
      </c>
      <c r="C467" s="2">
        <v>45641</v>
      </c>
      <c r="D467" t="s">
        <v>646</v>
      </c>
      <c r="E467" t="s">
        <v>650</v>
      </c>
      <c r="F467" t="s">
        <v>675</v>
      </c>
      <c r="G467" t="s">
        <v>703</v>
      </c>
      <c r="H467" t="s">
        <v>710</v>
      </c>
      <c r="I467" t="s">
        <v>712</v>
      </c>
      <c r="J467" t="s">
        <v>727</v>
      </c>
      <c r="K467" t="s">
        <v>1198</v>
      </c>
      <c r="L467">
        <v>1335.76</v>
      </c>
      <c r="M467">
        <v>2665.91</v>
      </c>
      <c r="N467">
        <v>0.21099999999999999</v>
      </c>
      <c r="O467">
        <v>40</v>
      </c>
    </row>
    <row r="468" spans="1:15" x14ac:dyDescent="0.35">
      <c r="A468" t="s">
        <v>480</v>
      </c>
      <c r="B468" s="2">
        <v>45466</v>
      </c>
      <c r="C468" s="2">
        <v>45471</v>
      </c>
      <c r="D468" t="s">
        <v>646</v>
      </c>
      <c r="E468" t="s">
        <v>651</v>
      </c>
      <c r="F468" t="s">
        <v>663</v>
      </c>
      <c r="G468" t="s">
        <v>703</v>
      </c>
      <c r="H468" t="s">
        <v>711</v>
      </c>
      <c r="I468" t="s">
        <v>724</v>
      </c>
      <c r="J468" t="s">
        <v>733</v>
      </c>
      <c r="K468" t="s">
        <v>1199</v>
      </c>
      <c r="L468">
        <v>242.31</v>
      </c>
      <c r="M468">
        <v>587.95000000000005</v>
      </c>
      <c r="N468">
        <v>0.22900000000000001</v>
      </c>
      <c r="O468">
        <v>6</v>
      </c>
    </row>
    <row r="469" spans="1:15" x14ac:dyDescent="0.35">
      <c r="A469" t="s">
        <v>481</v>
      </c>
      <c r="B469" s="2">
        <v>45278</v>
      </c>
      <c r="C469" s="2">
        <v>45305</v>
      </c>
      <c r="D469" t="s">
        <v>647</v>
      </c>
      <c r="E469" t="s">
        <v>654</v>
      </c>
      <c r="F469" t="s">
        <v>691</v>
      </c>
      <c r="G469" t="s">
        <v>704</v>
      </c>
      <c r="H469" t="s">
        <v>710</v>
      </c>
      <c r="I469" t="s">
        <v>726</v>
      </c>
      <c r="J469" t="s">
        <v>729</v>
      </c>
      <c r="K469" t="s">
        <v>1200</v>
      </c>
      <c r="L469">
        <v>1408.3</v>
      </c>
      <c r="M469">
        <v>2193.13</v>
      </c>
      <c r="N469">
        <v>7.0999999999999994E-2</v>
      </c>
      <c r="O469">
        <v>7</v>
      </c>
    </row>
    <row r="470" spans="1:15" x14ac:dyDescent="0.35">
      <c r="A470" t="s">
        <v>482</v>
      </c>
      <c r="B470" s="2">
        <v>45809</v>
      </c>
      <c r="C470" s="2">
        <v>45813</v>
      </c>
      <c r="D470" t="s">
        <v>649</v>
      </c>
      <c r="E470" t="s">
        <v>656</v>
      </c>
      <c r="F470" t="s">
        <v>684</v>
      </c>
      <c r="G470" t="s">
        <v>706</v>
      </c>
      <c r="H470" t="s">
        <v>711</v>
      </c>
      <c r="I470" t="s">
        <v>724</v>
      </c>
      <c r="J470" t="s">
        <v>727</v>
      </c>
      <c r="K470" t="s">
        <v>1201</v>
      </c>
      <c r="L470">
        <v>1171.42</v>
      </c>
      <c r="M470">
        <v>2187.8000000000002</v>
      </c>
      <c r="N470">
        <v>0.23</v>
      </c>
      <c r="O470">
        <v>15</v>
      </c>
    </row>
    <row r="471" spans="1:15" x14ac:dyDescent="0.35">
      <c r="A471" t="s">
        <v>483</v>
      </c>
      <c r="B471" s="2">
        <v>45739</v>
      </c>
      <c r="C471" s="2">
        <v>45749</v>
      </c>
      <c r="D471" t="s">
        <v>649</v>
      </c>
      <c r="E471" t="s">
        <v>656</v>
      </c>
      <c r="F471" t="s">
        <v>671</v>
      </c>
      <c r="G471" t="s">
        <v>706</v>
      </c>
      <c r="H471" t="s">
        <v>708</v>
      </c>
      <c r="I471" t="s">
        <v>718</v>
      </c>
      <c r="J471" t="s">
        <v>728</v>
      </c>
      <c r="K471" t="s">
        <v>1202</v>
      </c>
      <c r="L471">
        <v>663.61</v>
      </c>
      <c r="M471">
        <v>1002.11</v>
      </c>
      <c r="N471">
        <v>4.5999999999999999E-2</v>
      </c>
      <c r="O471">
        <v>17</v>
      </c>
    </row>
    <row r="472" spans="1:15" x14ac:dyDescent="0.35">
      <c r="A472" t="s">
        <v>484</v>
      </c>
      <c r="B472" s="2">
        <v>45060</v>
      </c>
      <c r="C472" s="2">
        <v>45068</v>
      </c>
      <c r="D472" t="s">
        <v>646</v>
      </c>
      <c r="E472" t="s">
        <v>650</v>
      </c>
      <c r="F472" t="s">
        <v>675</v>
      </c>
      <c r="G472" t="s">
        <v>705</v>
      </c>
      <c r="H472" t="s">
        <v>710</v>
      </c>
      <c r="I472" t="s">
        <v>721</v>
      </c>
      <c r="J472" t="s">
        <v>728</v>
      </c>
      <c r="K472" t="s">
        <v>1203</v>
      </c>
      <c r="L472">
        <v>432.01</v>
      </c>
      <c r="M472">
        <v>913.78</v>
      </c>
      <c r="N472">
        <v>4.9000000000000002E-2</v>
      </c>
      <c r="O472">
        <v>12</v>
      </c>
    </row>
    <row r="473" spans="1:15" x14ac:dyDescent="0.35">
      <c r="A473" t="s">
        <v>485</v>
      </c>
      <c r="B473" s="2">
        <v>45167</v>
      </c>
      <c r="C473" s="2">
        <v>45188</v>
      </c>
      <c r="D473" t="s">
        <v>649</v>
      </c>
      <c r="E473" t="s">
        <v>657</v>
      </c>
      <c r="F473" t="s">
        <v>679</v>
      </c>
      <c r="G473" t="s">
        <v>705</v>
      </c>
      <c r="H473" t="s">
        <v>711</v>
      </c>
      <c r="I473" t="s">
        <v>717</v>
      </c>
      <c r="J473" t="s">
        <v>728</v>
      </c>
      <c r="K473" t="s">
        <v>1204</v>
      </c>
      <c r="L473">
        <v>784.46</v>
      </c>
      <c r="M473">
        <v>1843.51</v>
      </c>
      <c r="N473">
        <v>0.13800000000000001</v>
      </c>
      <c r="O473">
        <v>23</v>
      </c>
    </row>
    <row r="474" spans="1:15" x14ac:dyDescent="0.35">
      <c r="A474" t="s">
        <v>486</v>
      </c>
      <c r="B474" s="2">
        <v>45841</v>
      </c>
      <c r="C474" s="2">
        <v>45861</v>
      </c>
      <c r="D474" t="s">
        <v>647</v>
      </c>
      <c r="E474" t="s">
        <v>659</v>
      </c>
      <c r="F474" t="s">
        <v>699</v>
      </c>
      <c r="G474" t="s">
        <v>705</v>
      </c>
      <c r="H474" t="s">
        <v>708</v>
      </c>
      <c r="I474" t="s">
        <v>724</v>
      </c>
      <c r="J474" t="s">
        <v>727</v>
      </c>
      <c r="K474" t="s">
        <v>1205</v>
      </c>
      <c r="L474">
        <v>647.36</v>
      </c>
      <c r="M474">
        <v>1383.6</v>
      </c>
      <c r="N474">
        <v>7.3999999999999996E-2</v>
      </c>
      <c r="O474">
        <v>12</v>
      </c>
    </row>
    <row r="475" spans="1:15" x14ac:dyDescent="0.35">
      <c r="A475" t="s">
        <v>487</v>
      </c>
      <c r="B475" s="2">
        <v>45328</v>
      </c>
      <c r="C475" s="2">
        <v>45350</v>
      </c>
      <c r="D475" t="s">
        <v>646</v>
      </c>
      <c r="E475" t="s">
        <v>650</v>
      </c>
      <c r="F475" t="s">
        <v>662</v>
      </c>
      <c r="G475" t="s">
        <v>703</v>
      </c>
      <c r="H475" t="s">
        <v>708</v>
      </c>
      <c r="I475" t="s">
        <v>723</v>
      </c>
      <c r="J475" t="s">
        <v>732</v>
      </c>
      <c r="K475" t="s">
        <v>1206</v>
      </c>
      <c r="L475">
        <v>834.93</v>
      </c>
      <c r="M475">
        <v>1588.53</v>
      </c>
      <c r="N475">
        <v>0.126</v>
      </c>
      <c r="O475">
        <v>6</v>
      </c>
    </row>
    <row r="476" spans="1:15" x14ac:dyDescent="0.35">
      <c r="A476" t="s">
        <v>488</v>
      </c>
      <c r="B476" s="2">
        <v>45882</v>
      </c>
      <c r="C476" s="2">
        <v>45903</v>
      </c>
      <c r="D476" t="s">
        <v>649</v>
      </c>
      <c r="E476" t="s">
        <v>657</v>
      </c>
      <c r="F476" t="s">
        <v>690</v>
      </c>
      <c r="G476" t="s">
        <v>702</v>
      </c>
      <c r="H476" t="s">
        <v>707</v>
      </c>
      <c r="I476" t="s">
        <v>714</v>
      </c>
      <c r="J476" t="s">
        <v>730</v>
      </c>
      <c r="K476" t="s">
        <v>1207</v>
      </c>
      <c r="L476">
        <v>603.47</v>
      </c>
      <c r="M476">
        <v>1344.05</v>
      </c>
      <c r="N476">
        <v>0.20499999999999999</v>
      </c>
      <c r="O476">
        <v>18</v>
      </c>
    </row>
    <row r="477" spans="1:15" x14ac:dyDescent="0.35">
      <c r="A477" t="s">
        <v>489</v>
      </c>
      <c r="B477" s="2">
        <v>45069</v>
      </c>
      <c r="C477" s="2">
        <v>45071</v>
      </c>
      <c r="D477" t="s">
        <v>648</v>
      </c>
      <c r="E477" t="s">
        <v>655</v>
      </c>
      <c r="F477" t="s">
        <v>692</v>
      </c>
      <c r="G477" t="s">
        <v>706</v>
      </c>
      <c r="H477" t="s">
        <v>707</v>
      </c>
      <c r="I477" t="s">
        <v>724</v>
      </c>
      <c r="J477" t="s">
        <v>728</v>
      </c>
      <c r="K477" t="s">
        <v>1208</v>
      </c>
      <c r="L477">
        <v>690.49</v>
      </c>
      <c r="M477">
        <v>1290.29</v>
      </c>
      <c r="N477">
        <v>4.2000000000000003E-2</v>
      </c>
      <c r="O477">
        <v>22</v>
      </c>
    </row>
    <row r="478" spans="1:15" x14ac:dyDescent="0.35">
      <c r="A478" t="s">
        <v>490</v>
      </c>
      <c r="B478" s="2">
        <v>45422</v>
      </c>
      <c r="C478" s="2">
        <v>45428</v>
      </c>
      <c r="D478" t="s">
        <v>649</v>
      </c>
      <c r="E478" t="s">
        <v>658</v>
      </c>
      <c r="F478" t="s">
        <v>674</v>
      </c>
      <c r="G478" t="s">
        <v>703</v>
      </c>
      <c r="H478" t="s">
        <v>711</v>
      </c>
      <c r="I478" t="s">
        <v>715</v>
      </c>
      <c r="J478" t="s">
        <v>731</v>
      </c>
      <c r="K478" t="s">
        <v>1209</v>
      </c>
      <c r="L478">
        <v>210.76</v>
      </c>
      <c r="M478">
        <v>221.58</v>
      </c>
      <c r="N478">
        <v>8.8999999999999996E-2</v>
      </c>
      <c r="O478">
        <v>5</v>
      </c>
    </row>
    <row r="479" spans="1:15" x14ac:dyDescent="0.35">
      <c r="A479" t="s">
        <v>491</v>
      </c>
      <c r="B479" s="2">
        <v>44999</v>
      </c>
      <c r="C479" s="2">
        <v>45003</v>
      </c>
      <c r="D479" t="s">
        <v>649</v>
      </c>
      <c r="E479" t="s">
        <v>656</v>
      </c>
      <c r="F479" t="s">
        <v>698</v>
      </c>
      <c r="G479" t="s">
        <v>706</v>
      </c>
      <c r="H479" t="s">
        <v>711</v>
      </c>
      <c r="I479" t="s">
        <v>720</v>
      </c>
      <c r="J479" t="s">
        <v>727</v>
      </c>
      <c r="K479" t="s">
        <v>1210</v>
      </c>
      <c r="L479">
        <v>472.33</v>
      </c>
      <c r="M479">
        <v>360.34</v>
      </c>
      <c r="N479">
        <v>0.16500000000000001</v>
      </c>
      <c r="O479">
        <v>14</v>
      </c>
    </row>
    <row r="480" spans="1:15" x14ac:dyDescent="0.35">
      <c r="A480" t="s">
        <v>492</v>
      </c>
      <c r="B480" s="2">
        <v>45123</v>
      </c>
      <c r="C480" s="2">
        <v>45151</v>
      </c>
      <c r="D480" t="s">
        <v>649</v>
      </c>
      <c r="E480" t="s">
        <v>658</v>
      </c>
      <c r="F480" t="s">
        <v>693</v>
      </c>
      <c r="G480" t="s">
        <v>703</v>
      </c>
      <c r="H480" t="s">
        <v>708</v>
      </c>
      <c r="I480" t="s">
        <v>713</v>
      </c>
      <c r="J480" t="s">
        <v>731</v>
      </c>
      <c r="K480" t="s">
        <v>1211</v>
      </c>
      <c r="L480">
        <v>1039.03</v>
      </c>
      <c r="M480">
        <v>2545.81</v>
      </c>
      <c r="N480">
        <v>0.216</v>
      </c>
      <c r="O480">
        <v>21</v>
      </c>
    </row>
    <row r="481" spans="1:15" x14ac:dyDescent="0.35">
      <c r="A481" t="s">
        <v>493</v>
      </c>
      <c r="B481" s="2">
        <v>45032</v>
      </c>
      <c r="C481" s="2">
        <v>45035</v>
      </c>
      <c r="D481" t="s">
        <v>649</v>
      </c>
      <c r="E481" t="s">
        <v>656</v>
      </c>
      <c r="F481" t="s">
        <v>684</v>
      </c>
      <c r="G481" t="s">
        <v>701</v>
      </c>
      <c r="H481" t="s">
        <v>711</v>
      </c>
      <c r="I481" t="s">
        <v>717</v>
      </c>
      <c r="J481" t="s">
        <v>733</v>
      </c>
      <c r="K481" t="s">
        <v>1212</v>
      </c>
      <c r="L481">
        <v>553.61</v>
      </c>
      <c r="M481">
        <v>699.47</v>
      </c>
      <c r="N481">
        <v>0.02</v>
      </c>
      <c r="O481">
        <v>33</v>
      </c>
    </row>
    <row r="482" spans="1:15" x14ac:dyDescent="0.35">
      <c r="A482" t="s">
        <v>494</v>
      </c>
      <c r="B482" s="2">
        <v>45293</v>
      </c>
      <c r="C482" s="2">
        <v>45306</v>
      </c>
      <c r="D482" t="s">
        <v>647</v>
      </c>
      <c r="E482" t="s">
        <v>652</v>
      </c>
      <c r="F482" t="s">
        <v>694</v>
      </c>
      <c r="G482" t="s">
        <v>705</v>
      </c>
      <c r="H482" t="s">
        <v>709</v>
      </c>
      <c r="I482" t="s">
        <v>715</v>
      </c>
      <c r="J482" t="s">
        <v>729</v>
      </c>
      <c r="K482" t="s">
        <v>1213</v>
      </c>
      <c r="L482">
        <v>1219.06</v>
      </c>
      <c r="M482">
        <v>2738.69</v>
      </c>
      <c r="N482">
        <v>7.5999999999999998E-2</v>
      </c>
      <c r="O482">
        <v>16</v>
      </c>
    </row>
    <row r="483" spans="1:15" x14ac:dyDescent="0.35">
      <c r="A483" t="s">
        <v>495</v>
      </c>
      <c r="B483" s="2">
        <v>45538</v>
      </c>
      <c r="C483" s="2">
        <v>45542</v>
      </c>
      <c r="D483" t="s">
        <v>647</v>
      </c>
      <c r="E483" t="s">
        <v>652</v>
      </c>
      <c r="F483" t="s">
        <v>689</v>
      </c>
      <c r="G483" t="s">
        <v>705</v>
      </c>
      <c r="H483" t="s">
        <v>710</v>
      </c>
      <c r="I483" t="s">
        <v>725</v>
      </c>
      <c r="J483" t="s">
        <v>728</v>
      </c>
      <c r="K483" t="s">
        <v>1214</v>
      </c>
      <c r="L483">
        <v>43.23</v>
      </c>
      <c r="M483">
        <v>94.78</v>
      </c>
      <c r="N483">
        <v>9.0999999999999998E-2</v>
      </c>
      <c r="O483">
        <v>55</v>
      </c>
    </row>
    <row r="484" spans="1:15" x14ac:dyDescent="0.35">
      <c r="A484" t="s">
        <v>496</v>
      </c>
      <c r="B484" s="2">
        <v>45899</v>
      </c>
      <c r="C484" s="2">
        <v>45903</v>
      </c>
      <c r="D484" t="s">
        <v>649</v>
      </c>
      <c r="E484" t="s">
        <v>657</v>
      </c>
      <c r="F484" t="s">
        <v>673</v>
      </c>
      <c r="G484" t="s">
        <v>705</v>
      </c>
      <c r="H484" t="s">
        <v>709</v>
      </c>
      <c r="I484" t="s">
        <v>713</v>
      </c>
      <c r="J484" t="s">
        <v>731</v>
      </c>
      <c r="K484" t="s">
        <v>1215</v>
      </c>
      <c r="L484">
        <v>1286.56</v>
      </c>
      <c r="M484">
        <v>2777.35</v>
      </c>
      <c r="N484">
        <v>0.13200000000000001</v>
      </c>
      <c r="O484">
        <v>15</v>
      </c>
    </row>
    <row r="485" spans="1:15" x14ac:dyDescent="0.35">
      <c r="A485" t="s">
        <v>497</v>
      </c>
      <c r="B485" s="2">
        <v>45775</v>
      </c>
      <c r="C485" s="2">
        <v>45796</v>
      </c>
      <c r="D485" t="s">
        <v>649</v>
      </c>
      <c r="E485" t="s">
        <v>656</v>
      </c>
      <c r="F485" t="s">
        <v>671</v>
      </c>
      <c r="G485" t="s">
        <v>701</v>
      </c>
      <c r="H485" t="s">
        <v>710</v>
      </c>
      <c r="I485" t="s">
        <v>717</v>
      </c>
      <c r="J485" t="s">
        <v>730</v>
      </c>
      <c r="K485" t="s">
        <v>1216</v>
      </c>
      <c r="L485">
        <v>350.76</v>
      </c>
      <c r="M485">
        <v>492.18</v>
      </c>
      <c r="N485">
        <v>5.2999999999999999E-2</v>
      </c>
      <c r="O485">
        <v>11</v>
      </c>
    </row>
    <row r="486" spans="1:15" x14ac:dyDescent="0.35">
      <c r="A486" t="s">
        <v>498</v>
      </c>
      <c r="B486" s="2">
        <v>45148</v>
      </c>
      <c r="C486" s="2">
        <v>45153</v>
      </c>
      <c r="D486" t="s">
        <v>648</v>
      </c>
      <c r="E486" t="s">
        <v>655</v>
      </c>
      <c r="F486" t="s">
        <v>670</v>
      </c>
      <c r="G486" t="s">
        <v>702</v>
      </c>
      <c r="H486" t="s">
        <v>711</v>
      </c>
      <c r="I486" t="s">
        <v>715</v>
      </c>
      <c r="J486" t="s">
        <v>729</v>
      </c>
      <c r="K486" t="s">
        <v>1217</v>
      </c>
      <c r="L486">
        <v>1307.52</v>
      </c>
      <c r="M486">
        <v>1921.65</v>
      </c>
      <c r="N486">
        <v>0.123</v>
      </c>
      <c r="O486">
        <v>13</v>
      </c>
    </row>
    <row r="487" spans="1:15" x14ac:dyDescent="0.35">
      <c r="A487" t="s">
        <v>499</v>
      </c>
      <c r="B487" s="2">
        <v>45634</v>
      </c>
      <c r="C487" s="2">
        <v>45634</v>
      </c>
      <c r="D487" t="s">
        <v>649</v>
      </c>
      <c r="E487" t="s">
        <v>657</v>
      </c>
      <c r="F487" t="s">
        <v>679</v>
      </c>
      <c r="G487" t="s">
        <v>706</v>
      </c>
      <c r="H487" t="s">
        <v>707</v>
      </c>
      <c r="I487" t="s">
        <v>722</v>
      </c>
      <c r="J487" t="s">
        <v>727</v>
      </c>
      <c r="K487" t="s">
        <v>1218</v>
      </c>
      <c r="L487">
        <v>257.44</v>
      </c>
      <c r="M487">
        <v>290.33</v>
      </c>
      <c r="N487">
        <v>9.1999999999999998E-2</v>
      </c>
      <c r="O487">
        <v>23</v>
      </c>
    </row>
    <row r="488" spans="1:15" x14ac:dyDescent="0.35">
      <c r="A488" t="s">
        <v>500</v>
      </c>
      <c r="B488" s="2">
        <v>45224</v>
      </c>
      <c r="C488" s="2">
        <v>45254</v>
      </c>
      <c r="D488" t="s">
        <v>649</v>
      </c>
      <c r="E488" t="s">
        <v>657</v>
      </c>
      <c r="F488" t="s">
        <v>690</v>
      </c>
      <c r="G488" t="s">
        <v>706</v>
      </c>
      <c r="H488" t="s">
        <v>710</v>
      </c>
      <c r="I488" t="s">
        <v>712</v>
      </c>
      <c r="J488" t="s">
        <v>730</v>
      </c>
      <c r="K488" t="s">
        <v>1219</v>
      </c>
      <c r="L488">
        <v>287.85000000000002</v>
      </c>
      <c r="M488">
        <v>602.91999999999996</v>
      </c>
      <c r="N488">
        <v>0.222</v>
      </c>
      <c r="O488">
        <v>11</v>
      </c>
    </row>
    <row r="489" spans="1:15" x14ac:dyDescent="0.35">
      <c r="A489" t="s">
        <v>501</v>
      </c>
      <c r="B489" s="2">
        <v>45613</v>
      </c>
      <c r="C489" s="2">
        <v>45624</v>
      </c>
      <c r="D489" t="s">
        <v>648</v>
      </c>
      <c r="E489" t="s">
        <v>653</v>
      </c>
      <c r="G489" t="s">
        <v>704</v>
      </c>
      <c r="H489" t="s">
        <v>710</v>
      </c>
      <c r="I489" t="s">
        <v>720</v>
      </c>
      <c r="J489" t="s">
        <v>728</v>
      </c>
      <c r="K489" t="s">
        <v>1220</v>
      </c>
      <c r="L489">
        <v>1008.16</v>
      </c>
      <c r="M489">
        <v>2077.5</v>
      </c>
      <c r="N489">
        <v>7.3999999999999996E-2</v>
      </c>
      <c r="O489">
        <v>15</v>
      </c>
    </row>
    <row r="490" spans="1:15" x14ac:dyDescent="0.35">
      <c r="A490" t="s">
        <v>502</v>
      </c>
      <c r="B490" s="2">
        <v>45424</v>
      </c>
      <c r="C490" s="2">
        <v>45436</v>
      </c>
      <c r="D490" t="s">
        <v>649</v>
      </c>
      <c r="E490" t="s">
        <v>658</v>
      </c>
      <c r="F490" t="s">
        <v>693</v>
      </c>
      <c r="G490" t="s">
        <v>702</v>
      </c>
      <c r="H490" t="s">
        <v>709</v>
      </c>
      <c r="I490" t="s">
        <v>723</v>
      </c>
      <c r="J490" t="s">
        <v>728</v>
      </c>
      <c r="K490" t="s">
        <v>1221</v>
      </c>
      <c r="L490">
        <v>111.02</v>
      </c>
      <c r="M490">
        <v>172.88</v>
      </c>
      <c r="N490">
        <v>0.19700000000000001</v>
      </c>
      <c r="O490">
        <v>29</v>
      </c>
    </row>
    <row r="491" spans="1:15" x14ac:dyDescent="0.35">
      <c r="A491" t="s">
        <v>503</v>
      </c>
      <c r="B491" s="2">
        <v>45792</v>
      </c>
      <c r="C491" s="2">
        <v>45813</v>
      </c>
      <c r="D491" t="s">
        <v>647</v>
      </c>
      <c r="E491" t="s">
        <v>652</v>
      </c>
      <c r="F491" t="s">
        <v>666</v>
      </c>
      <c r="G491" t="s">
        <v>706</v>
      </c>
      <c r="H491" t="s">
        <v>711</v>
      </c>
      <c r="I491" t="s">
        <v>722</v>
      </c>
      <c r="J491" t="s">
        <v>730</v>
      </c>
      <c r="K491" t="s">
        <v>1222</v>
      </c>
      <c r="L491">
        <v>1466.5</v>
      </c>
      <c r="M491">
        <v>2778.74</v>
      </c>
      <c r="N491">
        <v>0.13500000000000001</v>
      </c>
      <c r="O491">
        <v>4</v>
      </c>
    </row>
    <row r="492" spans="1:15" x14ac:dyDescent="0.35">
      <c r="A492" t="s">
        <v>504</v>
      </c>
      <c r="B492" s="2">
        <v>45403</v>
      </c>
      <c r="C492" s="2">
        <v>45431</v>
      </c>
      <c r="D492" t="s">
        <v>646</v>
      </c>
      <c r="E492" t="s">
        <v>651</v>
      </c>
      <c r="F492" t="s">
        <v>665</v>
      </c>
      <c r="G492" t="s">
        <v>701</v>
      </c>
      <c r="H492" t="s">
        <v>710</v>
      </c>
      <c r="I492" t="s">
        <v>720</v>
      </c>
      <c r="J492" t="s">
        <v>733</v>
      </c>
      <c r="K492" t="s">
        <v>1223</v>
      </c>
      <c r="L492">
        <v>187.22</v>
      </c>
      <c r="M492">
        <v>309.47000000000003</v>
      </c>
      <c r="N492">
        <v>0</v>
      </c>
      <c r="O492">
        <v>5</v>
      </c>
    </row>
    <row r="493" spans="1:15" x14ac:dyDescent="0.35">
      <c r="A493" t="s">
        <v>505</v>
      </c>
      <c r="B493" s="2">
        <v>45523</v>
      </c>
      <c r="C493" s="2">
        <v>45542</v>
      </c>
      <c r="D493" t="s">
        <v>649</v>
      </c>
      <c r="E493" t="s">
        <v>657</v>
      </c>
      <c r="F493" t="s">
        <v>679</v>
      </c>
      <c r="G493" t="s">
        <v>701</v>
      </c>
      <c r="H493" t="s">
        <v>711</v>
      </c>
      <c r="I493" t="s">
        <v>713</v>
      </c>
      <c r="J493" t="s">
        <v>727</v>
      </c>
      <c r="K493" t="s">
        <v>1224</v>
      </c>
      <c r="L493">
        <v>297.58999999999997</v>
      </c>
      <c r="M493">
        <v>666.41</v>
      </c>
      <c r="N493">
        <v>0</v>
      </c>
      <c r="O493">
        <v>10</v>
      </c>
    </row>
    <row r="494" spans="1:15" x14ac:dyDescent="0.35">
      <c r="A494" t="s">
        <v>506</v>
      </c>
      <c r="B494" s="2">
        <v>45861</v>
      </c>
      <c r="C494" s="2">
        <v>45888</v>
      </c>
      <c r="D494" t="s">
        <v>647</v>
      </c>
      <c r="E494" t="s">
        <v>652</v>
      </c>
      <c r="F494" t="s">
        <v>694</v>
      </c>
      <c r="G494" t="s">
        <v>704</v>
      </c>
      <c r="H494" t="s">
        <v>709</v>
      </c>
      <c r="I494" t="s">
        <v>717</v>
      </c>
      <c r="J494" t="s">
        <v>733</v>
      </c>
      <c r="K494" t="s">
        <v>1225</v>
      </c>
      <c r="L494">
        <v>896.09</v>
      </c>
      <c r="M494">
        <v>744.27</v>
      </c>
      <c r="N494">
        <v>8.3000000000000004E-2</v>
      </c>
      <c r="O494">
        <v>11</v>
      </c>
    </row>
    <row r="495" spans="1:15" x14ac:dyDescent="0.35">
      <c r="A495" t="s">
        <v>507</v>
      </c>
      <c r="B495" s="2">
        <v>45352</v>
      </c>
      <c r="C495" s="2">
        <v>45351</v>
      </c>
      <c r="D495" t="s">
        <v>648</v>
      </c>
      <c r="E495" t="s">
        <v>655</v>
      </c>
      <c r="F495" t="s">
        <v>670</v>
      </c>
      <c r="G495" t="s">
        <v>703</v>
      </c>
      <c r="H495" t="s">
        <v>711</v>
      </c>
      <c r="I495" t="s">
        <v>714</v>
      </c>
      <c r="J495" t="s">
        <v>730</v>
      </c>
      <c r="K495" t="s">
        <v>1226</v>
      </c>
      <c r="L495">
        <v>5.34</v>
      </c>
      <c r="M495">
        <v>12.69</v>
      </c>
      <c r="N495">
        <v>0.13200000000000001</v>
      </c>
      <c r="O495">
        <v>10</v>
      </c>
    </row>
    <row r="496" spans="1:15" x14ac:dyDescent="0.35">
      <c r="A496" t="s">
        <v>508</v>
      </c>
      <c r="B496" s="2">
        <v>45439</v>
      </c>
      <c r="C496" s="2">
        <v>45460</v>
      </c>
      <c r="D496" t="s">
        <v>647</v>
      </c>
      <c r="E496" t="s">
        <v>654</v>
      </c>
      <c r="F496" t="s">
        <v>680</v>
      </c>
      <c r="G496" t="s">
        <v>705</v>
      </c>
      <c r="H496" t="s">
        <v>708</v>
      </c>
      <c r="I496" t="s">
        <v>722</v>
      </c>
      <c r="J496" t="s">
        <v>733</v>
      </c>
      <c r="K496" t="s">
        <v>1227</v>
      </c>
      <c r="L496">
        <v>465.02</v>
      </c>
      <c r="M496">
        <v>651.55999999999995</v>
      </c>
      <c r="N496">
        <v>4.2000000000000003E-2</v>
      </c>
      <c r="O496">
        <v>19</v>
      </c>
    </row>
    <row r="497" spans="1:15" x14ac:dyDescent="0.35">
      <c r="A497" t="s">
        <v>509</v>
      </c>
      <c r="B497" s="2">
        <v>45508</v>
      </c>
      <c r="C497" s="2">
        <v>45521</v>
      </c>
      <c r="D497" t="s">
        <v>648</v>
      </c>
      <c r="E497" t="s">
        <v>660</v>
      </c>
      <c r="F497" t="s">
        <v>697</v>
      </c>
      <c r="G497" t="s">
        <v>704</v>
      </c>
      <c r="H497" t="s">
        <v>707</v>
      </c>
      <c r="I497" t="s">
        <v>726</v>
      </c>
      <c r="J497" t="s">
        <v>732</v>
      </c>
      <c r="K497" t="s">
        <v>1228</v>
      </c>
      <c r="L497">
        <v>352.79</v>
      </c>
      <c r="M497">
        <v>754.22</v>
      </c>
      <c r="N497">
        <v>0.113</v>
      </c>
      <c r="O497">
        <v>7</v>
      </c>
    </row>
    <row r="498" spans="1:15" x14ac:dyDescent="0.35">
      <c r="A498" t="s">
        <v>510</v>
      </c>
      <c r="B498" s="2">
        <v>45097</v>
      </c>
      <c r="C498" s="2">
        <v>45111</v>
      </c>
      <c r="D498" t="s">
        <v>648</v>
      </c>
      <c r="E498" t="s">
        <v>655</v>
      </c>
      <c r="F498" t="s">
        <v>672</v>
      </c>
      <c r="G498" t="s">
        <v>703</v>
      </c>
      <c r="H498" t="s">
        <v>711</v>
      </c>
      <c r="I498" t="s">
        <v>712</v>
      </c>
      <c r="J498" t="s">
        <v>729</v>
      </c>
      <c r="K498" t="s">
        <v>1229</v>
      </c>
      <c r="L498">
        <v>1292.8599999999999</v>
      </c>
      <c r="M498">
        <v>2981.01</v>
      </c>
      <c r="N498">
        <v>0.14199999999999999</v>
      </c>
      <c r="O498">
        <v>12</v>
      </c>
    </row>
    <row r="499" spans="1:15" x14ac:dyDescent="0.35">
      <c r="A499" t="s">
        <v>511</v>
      </c>
      <c r="B499" s="2">
        <v>45544</v>
      </c>
      <c r="C499" s="2">
        <v>45548</v>
      </c>
      <c r="D499" t="s">
        <v>649</v>
      </c>
      <c r="E499" t="s">
        <v>658</v>
      </c>
      <c r="F499" t="s">
        <v>683</v>
      </c>
      <c r="G499" t="s">
        <v>704</v>
      </c>
      <c r="H499" t="s">
        <v>709</v>
      </c>
      <c r="I499" t="s">
        <v>721</v>
      </c>
      <c r="J499" t="s">
        <v>729</v>
      </c>
      <c r="K499" t="s">
        <v>1230</v>
      </c>
      <c r="L499">
        <v>1133.08</v>
      </c>
      <c r="M499">
        <v>976.17</v>
      </c>
      <c r="N499">
        <v>4.2000000000000003E-2</v>
      </c>
      <c r="O499">
        <v>27</v>
      </c>
    </row>
    <row r="500" spans="1:15" x14ac:dyDescent="0.35">
      <c r="A500" t="s">
        <v>512</v>
      </c>
      <c r="B500" s="2">
        <v>45224</v>
      </c>
      <c r="C500" s="2">
        <v>45227</v>
      </c>
      <c r="D500" t="s">
        <v>648</v>
      </c>
      <c r="E500" t="s">
        <v>655</v>
      </c>
      <c r="F500" t="s">
        <v>672</v>
      </c>
      <c r="G500" t="s">
        <v>701</v>
      </c>
      <c r="H500" t="s">
        <v>710</v>
      </c>
      <c r="I500" t="s">
        <v>716</v>
      </c>
      <c r="J500" t="s">
        <v>733</v>
      </c>
      <c r="K500" t="s">
        <v>1231</v>
      </c>
      <c r="L500">
        <v>509.31</v>
      </c>
      <c r="M500">
        <v>1145.9000000000001</v>
      </c>
      <c r="N500">
        <v>5.7000000000000002E-2</v>
      </c>
      <c r="O500">
        <v>8</v>
      </c>
    </row>
    <row r="501" spans="1:15" x14ac:dyDescent="0.35">
      <c r="A501" t="s">
        <v>513</v>
      </c>
      <c r="B501" s="2">
        <v>45908</v>
      </c>
      <c r="C501" s="2">
        <v>45935</v>
      </c>
      <c r="D501" t="s">
        <v>648</v>
      </c>
      <c r="E501" t="s">
        <v>655</v>
      </c>
      <c r="F501" t="s">
        <v>692</v>
      </c>
      <c r="G501" t="s">
        <v>702</v>
      </c>
      <c r="H501" t="s">
        <v>708</v>
      </c>
      <c r="I501" t="s">
        <v>712</v>
      </c>
      <c r="J501" t="s">
        <v>732</v>
      </c>
      <c r="K501" t="s">
        <v>1232</v>
      </c>
      <c r="L501">
        <v>660.78</v>
      </c>
      <c r="M501">
        <v>1630.39</v>
      </c>
      <c r="N501">
        <v>0.218</v>
      </c>
      <c r="O501">
        <v>13</v>
      </c>
    </row>
    <row r="502" spans="1:15" x14ac:dyDescent="0.35">
      <c r="A502" t="s">
        <v>514</v>
      </c>
      <c r="B502" s="2">
        <v>45048</v>
      </c>
      <c r="C502" s="2">
        <v>45062</v>
      </c>
      <c r="D502" t="s">
        <v>647</v>
      </c>
      <c r="E502" t="s">
        <v>654</v>
      </c>
      <c r="F502" t="s">
        <v>668</v>
      </c>
      <c r="G502" t="s">
        <v>703</v>
      </c>
      <c r="H502" t="s">
        <v>707</v>
      </c>
      <c r="I502" t="s">
        <v>716</v>
      </c>
      <c r="J502" t="s">
        <v>732</v>
      </c>
      <c r="K502" t="s">
        <v>1233</v>
      </c>
      <c r="L502">
        <v>475.37</v>
      </c>
      <c r="M502">
        <v>963.73</v>
      </c>
      <c r="N502">
        <v>4.1000000000000002E-2</v>
      </c>
      <c r="O502">
        <v>22</v>
      </c>
    </row>
    <row r="503" spans="1:15" x14ac:dyDescent="0.35">
      <c r="A503" t="s">
        <v>515</v>
      </c>
      <c r="B503" s="2">
        <v>45408</v>
      </c>
      <c r="C503" s="2">
        <v>45406</v>
      </c>
      <c r="D503" t="s">
        <v>649</v>
      </c>
      <c r="E503" t="s">
        <v>658</v>
      </c>
      <c r="F503" t="s">
        <v>683</v>
      </c>
      <c r="G503" t="s">
        <v>703</v>
      </c>
      <c r="H503" t="s">
        <v>710</v>
      </c>
      <c r="I503" t="s">
        <v>725</v>
      </c>
      <c r="J503" t="s">
        <v>730</v>
      </c>
      <c r="K503" t="s">
        <v>1234</v>
      </c>
      <c r="L503">
        <v>1232.77</v>
      </c>
      <c r="M503">
        <v>891.73</v>
      </c>
      <c r="N503">
        <v>0.16700000000000001</v>
      </c>
      <c r="O503">
        <v>10</v>
      </c>
    </row>
    <row r="504" spans="1:15" x14ac:dyDescent="0.35">
      <c r="A504" t="s">
        <v>516</v>
      </c>
      <c r="B504" s="2">
        <v>44980</v>
      </c>
      <c r="C504" s="2">
        <v>45003</v>
      </c>
      <c r="D504" t="s">
        <v>647</v>
      </c>
      <c r="E504" t="s">
        <v>659</v>
      </c>
      <c r="F504" t="s">
        <v>699</v>
      </c>
      <c r="G504" t="s">
        <v>702</v>
      </c>
      <c r="H504" t="s">
        <v>710</v>
      </c>
      <c r="I504" t="s">
        <v>723</v>
      </c>
      <c r="J504" t="s">
        <v>728</v>
      </c>
      <c r="K504" t="s">
        <v>1235</v>
      </c>
      <c r="L504">
        <v>770.11</v>
      </c>
      <c r="M504">
        <v>1667.82</v>
      </c>
      <c r="N504">
        <v>6.9000000000000006E-2</v>
      </c>
      <c r="O504">
        <v>7</v>
      </c>
    </row>
    <row r="505" spans="1:15" x14ac:dyDescent="0.35">
      <c r="A505" t="s">
        <v>517</v>
      </c>
      <c r="B505" s="2">
        <v>45740</v>
      </c>
      <c r="C505" s="2">
        <v>45741</v>
      </c>
      <c r="D505" t="s">
        <v>647</v>
      </c>
      <c r="E505" t="s">
        <v>659</v>
      </c>
      <c r="F505" t="s">
        <v>699</v>
      </c>
      <c r="G505" t="s">
        <v>703</v>
      </c>
      <c r="H505" t="s">
        <v>708</v>
      </c>
      <c r="I505" t="s">
        <v>715</v>
      </c>
      <c r="J505" t="s">
        <v>729</v>
      </c>
      <c r="K505" t="s">
        <v>1236</v>
      </c>
      <c r="L505">
        <v>1133.03</v>
      </c>
      <c r="M505">
        <v>1921.51</v>
      </c>
      <c r="N505">
        <v>0.10100000000000001</v>
      </c>
      <c r="O505">
        <v>5</v>
      </c>
    </row>
    <row r="506" spans="1:15" x14ac:dyDescent="0.35">
      <c r="A506" t="s">
        <v>518</v>
      </c>
      <c r="B506" s="2">
        <v>45726</v>
      </c>
      <c r="C506" s="2">
        <v>45743</v>
      </c>
      <c r="D506" t="s">
        <v>648</v>
      </c>
      <c r="E506" t="s">
        <v>655</v>
      </c>
      <c r="F506" t="s">
        <v>692</v>
      </c>
      <c r="G506" t="s">
        <v>706</v>
      </c>
      <c r="H506" t="s">
        <v>711</v>
      </c>
      <c r="I506" t="s">
        <v>721</v>
      </c>
      <c r="J506" t="s">
        <v>729</v>
      </c>
      <c r="K506" t="s">
        <v>1237</v>
      </c>
      <c r="L506">
        <v>996.73</v>
      </c>
      <c r="M506">
        <v>1217.43</v>
      </c>
      <c r="N506">
        <v>7.0000000000000007E-2</v>
      </c>
      <c r="O506">
        <v>9</v>
      </c>
    </row>
    <row r="507" spans="1:15" x14ac:dyDescent="0.35">
      <c r="A507" t="s">
        <v>519</v>
      </c>
      <c r="B507" s="2">
        <v>45387</v>
      </c>
      <c r="C507" s="2">
        <v>45391</v>
      </c>
      <c r="D507" t="s">
        <v>646</v>
      </c>
      <c r="E507" t="s">
        <v>651</v>
      </c>
      <c r="F507" t="s">
        <v>665</v>
      </c>
      <c r="G507" t="s">
        <v>703</v>
      </c>
      <c r="H507" t="s">
        <v>711</v>
      </c>
      <c r="I507" t="s">
        <v>723</v>
      </c>
      <c r="J507" t="s">
        <v>727</v>
      </c>
      <c r="K507" t="s">
        <v>1238</v>
      </c>
      <c r="L507">
        <v>395.07</v>
      </c>
      <c r="M507">
        <v>970.27</v>
      </c>
      <c r="N507">
        <v>0.123</v>
      </c>
      <c r="O507">
        <v>38</v>
      </c>
    </row>
    <row r="508" spans="1:15" x14ac:dyDescent="0.35">
      <c r="A508" t="s">
        <v>520</v>
      </c>
      <c r="B508" s="2">
        <v>45774</v>
      </c>
      <c r="C508" s="2">
        <v>45794</v>
      </c>
      <c r="D508" t="s">
        <v>648</v>
      </c>
      <c r="E508" t="s">
        <v>660</v>
      </c>
      <c r="F508" t="s">
        <v>697</v>
      </c>
      <c r="G508" t="s">
        <v>701</v>
      </c>
      <c r="H508" t="s">
        <v>711</v>
      </c>
      <c r="I508" t="s">
        <v>725</v>
      </c>
      <c r="J508" t="s">
        <v>730</v>
      </c>
      <c r="K508" t="s">
        <v>1239</v>
      </c>
      <c r="L508">
        <v>932.26</v>
      </c>
      <c r="M508">
        <v>1624.67</v>
      </c>
      <c r="N508">
        <v>0.23499999999999999</v>
      </c>
      <c r="O508">
        <v>28</v>
      </c>
    </row>
    <row r="509" spans="1:15" x14ac:dyDescent="0.35">
      <c r="A509" t="s">
        <v>521</v>
      </c>
      <c r="B509" s="2">
        <v>45589</v>
      </c>
      <c r="C509" s="2">
        <v>45593</v>
      </c>
      <c r="D509" t="s">
        <v>647</v>
      </c>
      <c r="E509" t="s">
        <v>659</v>
      </c>
      <c r="F509" t="s">
        <v>685</v>
      </c>
      <c r="G509" t="s">
        <v>705</v>
      </c>
      <c r="H509" t="s">
        <v>710</v>
      </c>
      <c r="I509" t="s">
        <v>714</v>
      </c>
      <c r="J509" t="s">
        <v>729</v>
      </c>
      <c r="K509" t="s">
        <v>1240</v>
      </c>
      <c r="L509">
        <v>1331.77</v>
      </c>
      <c r="M509">
        <v>2606.11</v>
      </c>
      <c r="N509">
        <v>0.02</v>
      </c>
      <c r="O509">
        <v>6</v>
      </c>
    </row>
    <row r="510" spans="1:15" x14ac:dyDescent="0.35">
      <c r="A510" t="s">
        <v>522</v>
      </c>
      <c r="B510" s="2">
        <v>45029</v>
      </c>
      <c r="C510" s="2">
        <v>45036</v>
      </c>
      <c r="D510" t="s">
        <v>649</v>
      </c>
      <c r="E510" t="s">
        <v>657</v>
      </c>
      <c r="F510" t="s">
        <v>679</v>
      </c>
      <c r="G510" t="s">
        <v>705</v>
      </c>
      <c r="H510" t="s">
        <v>708</v>
      </c>
      <c r="I510" t="s">
        <v>720</v>
      </c>
      <c r="J510" t="s">
        <v>731</v>
      </c>
      <c r="K510" t="s">
        <v>1241</v>
      </c>
      <c r="L510">
        <v>227.02</v>
      </c>
      <c r="M510">
        <v>434.72</v>
      </c>
      <c r="N510">
        <v>9.8000000000000004E-2</v>
      </c>
      <c r="O510">
        <v>10</v>
      </c>
    </row>
    <row r="511" spans="1:15" x14ac:dyDescent="0.35">
      <c r="A511" t="s">
        <v>523</v>
      </c>
      <c r="B511" s="2">
        <v>45608</v>
      </c>
      <c r="C511" s="2">
        <v>45617</v>
      </c>
      <c r="D511" t="s">
        <v>647</v>
      </c>
      <c r="E511" t="s">
        <v>654</v>
      </c>
      <c r="F511" t="s">
        <v>691</v>
      </c>
      <c r="G511" t="s">
        <v>701</v>
      </c>
      <c r="H511" t="s">
        <v>711</v>
      </c>
      <c r="I511" t="s">
        <v>722</v>
      </c>
      <c r="J511" t="s">
        <v>731</v>
      </c>
      <c r="K511" t="s">
        <v>1242</v>
      </c>
      <c r="L511">
        <v>903.41</v>
      </c>
      <c r="M511">
        <v>1860.41</v>
      </c>
      <c r="N511">
        <v>0.108</v>
      </c>
      <c r="O511">
        <v>5</v>
      </c>
    </row>
    <row r="512" spans="1:15" x14ac:dyDescent="0.35">
      <c r="A512" t="s">
        <v>524</v>
      </c>
      <c r="B512" s="2">
        <v>45056</v>
      </c>
      <c r="C512" s="2">
        <v>45060</v>
      </c>
      <c r="D512" t="s">
        <v>647</v>
      </c>
      <c r="E512" t="s">
        <v>654</v>
      </c>
      <c r="F512" t="s">
        <v>680</v>
      </c>
      <c r="G512" t="s">
        <v>703</v>
      </c>
      <c r="H512" t="s">
        <v>710</v>
      </c>
      <c r="I512" t="s">
        <v>712</v>
      </c>
      <c r="J512" t="s">
        <v>732</v>
      </c>
      <c r="K512" t="s">
        <v>1243</v>
      </c>
      <c r="L512">
        <v>622.6</v>
      </c>
      <c r="M512">
        <v>833.69</v>
      </c>
      <c r="N512">
        <v>0.20899999999999999</v>
      </c>
      <c r="O512">
        <v>14</v>
      </c>
    </row>
    <row r="513" spans="1:15" x14ac:dyDescent="0.35">
      <c r="A513" t="s">
        <v>525</v>
      </c>
      <c r="B513" s="2">
        <v>45353</v>
      </c>
      <c r="C513" s="2">
        <v>45374</v>
      </c>
      <c r="D513" t="s">
        <v>648</v>
      </c>
      <c r="E513" t="s">
        <v>660</v>
      </c>
      <c r="F513" t="s">
        <v>677</v>
      </c>
      <c r="G513" t="s">
        <v>705</v>
      </c>
      <c r="H513" t="s">
        <v>708</v>
      </c>
      <c r="I513" t="s">
        <v>721</v>
      </c>
      <c r="J513" t="s">
        <v>727</v>
      </c>
      <c r="K513" t="s">
        <v>1244</v>
      </c>
      <c r="L513">
        <v>225.01</v>
      </c>
      <c r="M513">
        <v>333.48</v>
      </c>
      <c r="N513">
        <v>0.11899999999999999</v>
      </c>
      <c r="O513">
        <v>12</v>
      </c>
    </row>
    <row r="514" spans="1:15" x14ac:dyDescent="0.35">
      <c r="A514" t="s">
        <v>526</v>
      </c>
      <c r="B514" s="2">
        <v>45575</v>
      </c>
      <c r="C514" s="2">
        <v>45576</v>
      </c>
      <c r="D514" t="s">
        <v>649</v>
      </c>
      <c r="E514" t="s">
        <v>658</v>
      </c>
      <c r="F514" t="s">
        <v>693</v>
      </c>
      <c r="G514" t="s">
        <v>703</v>
      </c>
      <c r="H514" t="s">
        <v>710</v>
      </c>
      <c r="I514" t="s">
        <v>716</v>
      </c>
      <c r="J514" t="s">
        <v>727</v>
      </c>
      <c r="K514" t="s">
        <v>1245</v>
      </c>
      <c r="L514">
        <v>1389.46</v>
      </c>
      <c r="M514">
        <v>1784.7</v>
      </c>
      <c r="N514">
        <v>0.14599999999999999</v>
      </c>
      <c r="O514">
        <v>33</v>
      </c>
    </row>
    <row r="515" spans="1:15" x14ac:dyDescent="0.35">
      <c r="A515" t="s">
        <v>527</v>
      </c>
      <c r="B515" s="2">
        <v>45078</v>
      </c>
      <c r="C515" s="2">
        <v>45085</v>
      </c>
      <c r="D515" t="s">
        <v>649</v>
      </c>
      <c r="E515" t="s">
        <v>656</v>
      </c>
      <c r="F515" t="s">
        <v>698</v>
      </c>
      <c r="G515" t="s">
        <v>704</v>
      </c>
      <c r="H515" t="s">
        <v>708</v>
      </c>
      <c r="I515" t="s">
        <v>720</v>
      </c>
      <c r="J515" t="s">
        <v>730</v>
      </c>
      <c r="K515" t="s">
        <v>1246</v>
      </c>
      <c r="L515">
        <v>804.17</v>
      </c>
      <c r="M515">
        <v>1072.29</v>
      </c>
      <c r="N515">
        <v>3.2000000000000001E-2</v>
      </c>
      <c r="O515">
        <v>5</v>
      </c>
    </row>
    <row r="516" spans="1:15" x14ac:dyDescent="0.35">
      <c r="A516" t="s">
        <v>528</v>
      </c>
      <c r="B516" s="2">
        <v>45661</v>
      </c>
      <c r="C516" s="2">
        <v>45662</v>
      </c>
      <c r="D516" t="s">
        <v>647</v>
      </c>
      <c r="E516" t="s">
        <v>654</v>
      </c>
      <c r="F516" t="s">
        <v>680</v>
      </c>
      <c r="G516" t="s">
        <v>702</v>
      </c>
      <c r="H516" t="s">
        <v>707</v>
      </c>
      <c r="I516" t="s">
        <v>714</v>
      </c>
      <c r="J516" t="s">
        <v>727</v>
      </c>
      <c r="K516" t="s">
        <v>1247</v>
      </c>
      <c r="L516">
        <v>1428.33</v>
      </c>
      <c r="M516">
        <v>3028.05</v>
      </c>
      <c r="N516">
        <v>0</v>
      </c>
      <c r="O516">
        <v>11</v>
      </c>
    </row>
    <row r="517" spans="1:15" x14ac:dyDescent="0.35">
      <c r="A517" t="s">
        <v>529</v>
      </c>
      <c r="B517" s="2">
        <v>45874</v>
      </c>
      <c r="C517" s="2">
        <v>45897</v>
      </c>
      <c r="D517" t="s">
        <v>647</v>
      </c>
      <c r="E517" t="s">
        <v>654</v>
      </c>
      <c r="F517" t="s">
        <v>691</v>
      </c>
      <c r="G517" t="s">
        <v>703</v>
      </c>
      <c r="H517" t="s">
        <v>710</v>
      </c>
      <c r="I517" t="s">
        <v>725</v>
      </c>
      <c r="J517" t="s">
        <v>731</v>
      </c>
      <c r="K517" t="s">
        <v>1248</v>
      </c>
      <c r="L517">
        <v>638.54</v>
      </c>
      <c r="M517">
        <v>987.24</v>
      </c>
      <c r="N517">
        <v>0</v>
      </c>
      <c r="O517">
        <v>11</v>
      </c>
    </row>
    <row r="518" spans="1:15" x14ac:dyDescent="0.35">
      <c r="A518" t="s">
        <v>530</v>
      </c>
      <c r="B518" s="2">
        <v>45199</v>
      </c>
      <c r="C518" s="2">
        <v>45229</v>
      </c>
      <c r="D518" t="s">
        <v>647</v>
      </c>
      <c r="E518" t="s">
        <v>652</v>
      </c>
      <c r="F518" t="s">
        <v>689</v>
      </c>
      <c r="G518" t="s">
        <v>706</v>
      </c>
      <c r="H518" t="s">
        <v>708</v>
      </c>
      <c r="I518" t="s">
        <v>726</v>
      </c>
      <c r="J518" t="s">
        <v>728</v>
      </c>
      <c r="K518" t="s">
        <v>1249</v>
      </c>
      <c r="L518">
        <v>649.13</v>
      </c>
      <c r="M518">
        <v>975.43</v>
      </c>
      <c r="N518">
        <v>0.157</v>
      </c>
      <c r="O518">
        <v>27</v>
      </c>
    </row>
    <row r="519" spans="1:15" x14ac:dyDescent="0.35">
      <c r="A519" t="s">
        <v>531</v>
      </c>
      <c r="B519" s="2">
        <v>45794</v>
      </c>
      <c r="C519" s="2">
        <v>45807</v>
      </c>
      <c r="D519" t="s">
        <v>646</v>
      </c>
      <c r="E519" t="s">
        <v>651</v>
      </c>
      <c r="F519" t="s">
        <v>665</v>
      </c>
      <c r="G519" t="s">
        <v>704</v>
      </c>
      <c r="H519" t="s">
        <v>710</v>
      </c>
      <c r="I519" t="s">
        <v>721</v>
      </c>
      <c r="J519" t="s">
        <v>733</v>
      </c>
      <c r="K519" t="s">
        <v>1250</v>
      </c>
      <c r="L519">
        <v>66.400000000000006</v>
      </c>
      <c r="M519">
        <v>141.43</v>
      </c>
      <c r="N519">
        <v>0.107</v>
      </c>
      <c r="O519">
        <v>8</v>
      </c>
    </row>
    <row r="520" spans="1:15" x14ac:dyDescent="0.35">
      <c r="A520" t="s">
        <v>532</v>
      </c>
      <c r="B520" s="2">
        <v>45413</v>
      </c>
      <c r="C520" s="2">
        <v>45438</v>
      </c>
      <c r="D520" t="s">
        <v>649</v>
      </c>
      <c r="E520" t="s">
        <v>656</v>
      </c>
      <c r="F520" t="s">
        <v>671</v>
      </c>
      <c r="G520" t="s">
        <v>703</v>
      </c>
      <c r="H520" t="s">
        <v>707</v>
      </c>
      <c r="I520" t="s">
        <v>717</v>
      </c>
      <c r="J520" t="s">
        <v>729</v>
      </c>
      <c r="K520" t="s">
        <v>1251</v>
      </c>
      <c r="L520">
        <v>930.71</v>
      </c>
      <c r="M520">
        <v>1625.42</v>
      </c>
      <c r="N520">
        <v>0.13800000000000001</v>
      </c>
      <c r="O520">
        <v>7</v>
      </c>
    </row>
    <row r="521" spans="1:15" x14ac:dyDescent="0.35">
      <c r="A521" t="s">
        <v>533</v>
      </c>
      <c r="B521" s="2">
        <v>45047</v>
      </c>
      <c r="C521" s="2">
        <v>45064</v>
      </c>
      <c r="D521" t="s">
        <v>646</v>
      </c>
      <c r="E521" t="s">
        <v>651</v>
      </c>
      <c r="F521" t="s">
        <v>663</v>
      </c>
      <c r="G521" t="s">
        <v>701</v>
      </c>
      <c r="H521" t="s">
        <v>711</v>
      </c>
      <c r="I521" t="s">
        <v>721</v>
      </c>
      <c r="J521" t="s">
        <v>727</v>
      </c>
      <c r="K521" t="s">
        <v>1252</v>
      </c>
      <c r="L521">
        <v>327.97</v>
      </c>
      <c r="M521">
        <v>299.94</v>
      </c>
      <c r="N521">
        <v>4.9000000000000002E-2</v>
      </c>
      <c r="O521">
        <v>3</v>
      </c>
    </row>
    <row r="522" spans="1:15" x14ac:dyDescent="0.35">
      <c r="A522" t="s">
        <v>534</v>
      </c>
      <c r="B522" s="2">
        <v>45482</v>
      </c>
      <c r="C522" s="2">
        <v>45512</v>
      </c>
      <c r="D522" t="s">
        <v>649</v>
      </c>
      <c r="E522" t="s">
        <v>657</v>
      </c>
      <c r="F522" t="s">
        <v>673</v>
      </c>
      <c r="G522" t="s">
        <v>701</v>
      </c>
      <c r="H522" t="s">
        <v>711</v>
      </c>
      <c r="I522" t="s">
        <v>713</v>
      </c>
      <c r="J522" t="s">
        <v>727</v>
      </c>
      <c r="K522" t="s">
        <v>1253</v>
      </c>
      <c r="L522">
        <v>1062.3800000000001</v>
      </c>
      <c r="M522">
        <v>1503.96</v>
      </c>
      <c r="N522">
        <v>0.18</v>
      </c>
      <c r="O522">
        <v>6</v>
      </c>
    </row>
    <row r="523" spans="1:15" x14ac:dyDescent="0.35">
      <c r="A523" t="s">
        <v>535</v>
      </c>
      <c r="B523" s="2">
        <v>45056</v>
      </c>
      <c r="C523" s="2">
        <v>45073</v>
      </c>
      <c r="D523" t="s">
        <v>647</v>
      </c>
      <c r="E523" t="s">
        <v>654</v>
      </c>
      <c r="F523" t="s">
        <v>691</v>
      </c>
      <c r="G523" t="s">
        <v>704</v>
      </c>
      <c r="H523" t="s">
        <v>707</v>
      </c>
      <c r="I523" t="s">
        <v>724</v>
      </c>
      <c r="J523" t="s">
        <v>731</v>
      </c>
      <c r="K523" t="s">
        <v>1254</v>
      </c>
      <c r="L523">
        <v>1286.1600000000001</v>
      </c>
      <c r="M523">
        <v>3101.11</v>
      </c>
      <c r="N523">
        <v>0.1</v>
      </c>
      <c r="O523">
        <v>23</v>
      </c>
    </row>
    <row r="524" spans="1:15" x14ac:dyDescent="0.35">
      <c r="A524" t="s">
        <v>536</v>
      </c>
      <c r="B524" s="2">
        <v>45482</v>
      </c>
      <c r="C524" s="2">
        <v>45485</v>
      </c>
      <c r="D524" t="s">
        <v>647</v>
      </c>
      <c r="E524" t="s">
        <v>659</v>
      </c>
      <c r="F524" t="s">
        <v>685</v>
      </c>
      <c r="G524" t="s">
        <v>705</v>
      </c>
      <c r="H524" t="s">
        <v>707</v>
      </c>
      <c r="I524" t="s">
        <v>726</v>
      </c>
      <c r="J524" t="s">
        <v>733</v>
      </c>
      <c r="K524" t="s">
        <v>1255</v>
      </c>
      <c r="L524">
        <v>748.39</v>
      </c>
      <c r="M524">
        <v>979.42</v>
      </c>
      <c r="N524">
        <v>0</v>
      </c>
      <c r="O524">
        <v>23</v>
      </c>
    </row>
    <row r="525" spans="1:15" x14ac:dyDescent="0.35">
      <c r="A525" t="s">
        <v>537</v>
      </c>
      <c r="B525" s="2">
        <v>45406</v>
      </c>
      <c r="C525" s="2">
        <v>45422</v>
      </c>
      <c r="D525" t="s">
        <v>646</v>
      </c>
      <c r="E525" t="s">
        <v>650</v>
      </c>
      <c r="F525" t="s">
        <v>662</v>
      </c>
      <c r="G525" t="s">
        <v>703</v>
      </c>
      <c r="H525" t="s">
        <v>708</v>
      </c>
      <c r="I525" t="s">
        <v>725</v>
      </c>
      <c r="J525" t="s">
        <v>732</v>
      </c>
      <c r="K525" t="s">
        <v>1256</v>
      </c>
      <c r="L525">
        <v>513.30999999999995</v>
      </c>
      <c r="M525">
        <v>1186.26</v>
      </c>
      <c r="N525">
        <v>9.4E-2</v>
      </c>
      <c r="O525">
        <v>15</v>
      </c>
    </row>
    <row r="526" spans="1:15" x14ac:dyDescent="0.35">
      <c r="A526" t="s">
        <v>538</v>
      </c>
      <c r="B526" s="2">
        <v>45304</v>
      </c>
      <c r="C526" s="2">
        <v>45306</v>
      </c>
      <c r="D526" t="s">
        <v>648</v>
      </c>
      <c r="E526" t="s">
        <v>660</v>
      </c>
      <c r="F526" t="s">
        <v>686</v>
      </c>
      <c r="G526" t="s">
        <v>703</v>
      </c>
      <c r="H526" t="s">
        <v>711</v>
      </c>
      <c r="I526" t="s">
        <v>718</v>
      </c>
      <c r="J526" t="s">
        <v>727</v>
      </c>
      <c r="K526" t="s">
        <v>1257</v>
      </c>
      <c r="L526">
        <v>1061.3699999999999</v>
      </c>
      <c r="M526">
        <v>1938.33</v>
      </c>
      <c r="N526">
        <v>0.17</v>
      </c>
      <c r="O526">
        <v>4</v>
      </c>
    </row>
    <row r="527" spans="1:15" x14ac:dyDescent="0.35">
      <c r="A527" t="s">
        <v>539</v>
      </c>
      <c r="B527" s="2">
        <v>45398</v>
      </c>
      <c r="C527" s="2">
        <v>45409</v>
      </c>
      <c r="D527" t="s">
        <v>646</v>
      </c>
      <c r="E527" t="s">
        <v>650</v>
      </c>
      <c r="F527" t="s">
        <v>678</v>
      </c>
      <c r="G527" t="s">
        <v>706</v>
      </c>
      <c r="H527" t="s">
        <v>708</v>
      </c>
      <c r="I527" t="s">
        <v>726</v>
      </c>
      <c r="J527" t="s">
        <v>728</v>
      </c>
      <c r="K527" t="s">
        <v>1258</v>
      </c>
      <c r="L527">
        <v>401.3</v>
      </c>
      <c r="M527">
        <v>826.47</v>
      </c>
      <c r="N527">
        <v>0.22500000000000001</v>
      </c>
      <c r="O527">
        <v>13</v>
      </c>
    </row>
    <row r="528" spans="1:15" x14ac:dyDescent="0.35">
      <c r="A528" t="s">
        <v>540</v>
      </c>
      <c r="B528" s="2">
        <v>45695</v>
      </c>
      <c r="C528" s="2">
        <v>45704</v>
      </c>
      <c r="D528" t="s">
        <v>646</v>
      </c>
      <c r="E528" t="s">
        <v>651</v>
      </c>
      <c r="F528" t="s">
        <v>665</v>
      </c>
      <c r="G528" t="s">
        <v>705</v>
      </c>
      <c r="H528" t="s">
        <v>710</v>
      </c>
      <c r="I528" t="s">
        <v>712</v>
      </c>
      <c r="J528" t="s">
        <v>728</v>
      </c>
      <c r="K528" t="s">
        <v>1259</v>
      </c>
      <c r="L528">
        <v>90.68</v>
      </c>
      <c r="M528">
        <v>118.17</v>
      </c>
      <c r="N528">
        <v>0.13500000000000001</v>
      </c>
      <c r="O528">
        <v>21</v>
      </c>
    </row>
    <row r="529" spans="1:15" x14ac:dyDescent="0.35">
      <c r="A529" t="s">
        <v>541</v>
      </c>
      <c r="B529" s="2">
        <v>44938</v>
      </c>
      <c r="C529" s="2">
        <v>44952</v>
      </c>
      <c r="D529" t="s">
        <v>647</v>
      </c>
      <c r="E529" t="s">
        <v>659</v>
      </c>
      <c r="F529" t="s">
        <v>676</v>
      </c>
      <c r="G529" t="s">
        <v>703</v>
      </c>
      <c r="H529" t="s">
        <v>707</v>
      </c>
      <c r="I529" t="s">
        <v>724</v>
      </c>
      <c r="J529" t="s">
        <v>728</v>
      </c>
      <c r="K529" t="s">
        <v>1260</v>
      </c>
      <c r="L529">
        <v>1083.0899999999999</v>
      </c>
      <c r="M529">
        <v>1425.87</v>
      </c>
      <c r="N529">
        <v>0</v>
      </c>
      <c r="O529">
        <v>8</v>
      </c>
    </row>
    <row r="530" spans="1:15" x14ac:dyDescent="0.35">
      <c r="A530" t="s">
        <v>542</v>
      </c>
      <c r="B530" s="2">
        <v>45448</v>
      </c>
      <c r="C530" s="2">
        <v>45466</v>
      </c>
      <c r="D530" t="s">
        <v>646</v>
      </c>
      <c r="E530" t="s">
        <v>650</v>
      </c>
      <c r="F530" t="s">
        <v>664</v>
      </c>
      <c r="G530" t="s">
        <v>704</v>
      </c>
      <c r="H530" t="s">
        <v>710</v>
      </c>
      <c r="I530" t="s">
        <v>726</v>
      </c>
      <c r="J530" t="s">
        <v>731</v>
      </c>
      <c r="K530" t="s">
        <v>1261</v>
      </c>
      <c r="L530">
        <v>1208.74</v>
      </c>
      <c r="M530">
        <v>1594.78</v>
      </c>
      <c r="N530">
        <v>5.8999999999999997E-2</v>
      </c>
      <c r="O530">
        <v>39</v>
      </c>
    </row>
    <row r="531" spans="1:15" x14ac:dyDescent="0.35">
      <c r="A531" t="s">
        <v>543</v>
      </c>
      <c r="B531" s="2">
        <v>45162</v>
      </c>
      <c r="C531" s="2">
        <v>45189</v>
      </c>
      <c r="D531" t="s">
        <v>646</v>
      </c>
      <c r="E531" t="s">
        <v>661</v>
      </c>
      <c r="F531" t="s">
        <v>687</v>
      </c>
      <c r="G531" t="s">
        <v>705</v>
      </c>
      <c r="H531" t="s">
        <v>709</v>
      </c>
      <c r="I531" t="s">
        <v>724</v>
      </c>
      <c r="J531" t="s">
        <v>728</v>
      </c>
      <c r="K531" t="s">
        <v>1262</v>
      </c>
      <c r="L531">
        <v>1399.64</v>
      </c>
      <c r="M531">
        <v>3342.11</v>
      </c>
      <c r="N531">
        <v>0</v>
      </c>
      <c r="O531">
        <v>10</v>
      </c>
    </row>
    <row r="532" spans="1:15" x14ac:dyDescent="0.35">
      <c r="A532" t="s">
        <v>544</v>
      </c>
      <c r="B532" s="2">
        <v>45316</v>
      </c>
      <c r="C532" s="2">
        <v>45330</v>
      </c>
      <c r="D532" t="s">
        <v>647</v>
      </c>
      <c r="E532" t="s">
        <v>652</v>
      </c>
      <c r="F532" t="s">
        <v>666</v>
      </c>
      <c r="G532" t="s">
        <v>704</v>
      </c>
      <c r="H532" t="s">
        <v>709</v>
      </c>
      <c r="I532" t="s">
        <v>714</v>
      </c>
      <c r="J532" t="s">
        <v>729</v>
      </c>
      <c r="K532" t="s">
        <v>1263</v>
      </c>
      <c r="L532">
        <v>937.16</v>
      </c>
      <c r="M532">
        <v>1069.77</v>
      </c>
      <c r="N532">
        <v>3.7999999999999999E-2</v>
      </c>
      <c r="O532">
        <v>9</v>
      </c>
    </row>
    <row r="533" spans="1:15" x14ac:dyDescent="0.35">
      <c r="A533" t="s">
        <v>545</v>
      </c>
      <c r="B533" s="2">
        <v>45727</v>
      </c>
      <c r="C533" s="2">
        <v>45742</v>
      </c>
      <c r="D533" t="s">
        <v>649</v>
      </c>
      <c r="E533" t="s">
        <v>656</v>
      </c>
      <c r="F533" t="s">
        <v>671</v>
      </c>
      <c r="G533" t="s">
        <v>705</v>
      </c>
      <c r="H533" t="s">
        <v>708</v>
      </c>
      <c r="I533" t="s">
        <v>714</v>
      </c>
      <c r="J533" t="s">
        <v>730</v>
      </c>
      <c r="K533" t="s">
        <v>1264</v>
      </c>
      <c r="L533">
        <v>116.97</v>
      </c>
      <c r="M533">
        <v>140.82</v>
      </c>
      <c r="N533">
        <v>0.122</v>
      </c>
      <c r="O533">
        <v>5</v>
      </c>
    </row>
    <row r="534" spans="1:15" x14ac:dyDescent="0.35">
      <c r="A534" t="s">
        <v>546</v>
      </c>
      <c r="B534" s="2">
        <v>45769</v>
      </c>
      <c r="C534" s="2">
        <v>45789</v>
      </c>
      <c r="D534" t="s">
        <v>649</v>
      </c>
      <c r="E534" t="s">
        <v>657</v>
      </c>
      <c r="F534" t="s">
        <v>679</v>
      </c>
      <c r="G534" t="s">
        <v>706</v>
      </c>
      <c r="H534" t="s">
        <v>709</v>
      </c>
      <c r="I534" t="s">
        <v>723</v>
      </c>
      <c r="J534" t="s">
        <v>732</v>
      </c>
      <c r="K534" t="s">
        <v>1265</v>
      </c>
      <c r="L534">
        <v>59.51</v>
      </c>
      <c r="M534">
        <v>67.040000000000006</v>
      </c>
      <c r="N534">
        <v>0.114</v>
      </c>
      <c r="O534">
        <v>9</v>
      </c>
    </row>
    <row r="535" spans="1:15" x14ac:dyDescent="0.35">
      <c r="A535" t="s">
        <v>547</v>
      </c>
      <c r="B535" s="2">
        <v>45155</v>
      </c>
      <c r="C535" s="2">
        <v>45172</v>
      </c>
      <c r="D535" t="s">
        <v>646</v>
      </c>
      <c r="E535" t="s">
        <v>661</v>
      </c>
      <c r="F535" t="s">
        <v>687</v>
      </c>
      <c r="G535" t="s">
        <v>706</v>
      </c>
      <c r="H535" t="s">
        <v>707</v>
      </c>
      <c r="I535" t="s">
        <v>720</v>
      </c>
      <c r="J535" t="s">
        <v>730</v>
      </c>
      <c r="K535" t="s">
        <v>1266</v>
      </c>
      <c r="L535">
        <v>676.37</v>
      </c>
      <c r="M535">
        <v>1276.67</v>
      </c>
      <c r="N535">
        <v>6.6000000000000003E-2</v>
      </c>
      <c r="O535">
        <v>10</v>
      </c>
    </row>
    <row r="536" spans="1:15" x14ac:dyDescent="0.35">
      <c r="A536" t="s">
        <v>548</v>
      </c>
      <c r="B536" s="2">
        <v>45832</v>
      </c>
      <c r="C536" s="2">
        <v>45852</v>
      </c>
      <c r="D536" t="s">
        <v>646</v>
      </c>
      <c r="E536" t="s">
        <v>661</v>
      </c>
      <c r="F536" t="s">
        <v>682</v>
      </c>
      <c r="G536" t="s">
        <v>706</v>
      </c>
      <c r="H536" t="s">
        <v>709</v>
      </c>
      <c r="I536" t="s">
        <v>713</v>
      </c>
      <c r="J536" t="s">
        <v>731</v>
      </c>
      <c r="K536" t="s">
        <v>1267</v>
      </c>
      <c r="L536">
        <v>1151.06</v>
      </c>
      <c r="M536">
        <v>2821.36</v>
      </c>
      <c r="N536">
        <v>0.248</v>
      </c>
      <c r="O536">
        <v>20</v>
      </c>
    </row>
    <row r="537" spans="1:15" x14ac:dyDescent="0.35">
      <c r="A537" t="s">
        <v>549</v>
      </c>
      <c r="B537" s="2">
        <v>45667</v>
      </c>
      <c r="C537" s="2">
        <v>45694</v>
      </c>
      <c r="D537" t="s">
        <v>648</v>
      </c>
      <c r="E537" t="s">
        <v>655</v>
      </c>
      <c r="F537" t="s">
        <v>672</v>
      </c>
      <c r="G537" t="s">
        <v>703</v>
      </c>
      <c r="H537" t="s">
        <v>707</v>
      </c>
      <c r="I537" t="s">
        <v>717</v>
      </c>
      <c r="J537" t="s">
        <v>731</v>
      </c>
      <c r="K537" t="s">
        <v>1268</v>
      </c>
      <c r="L537">
        <v>725.62</v>
      </c>
      <c r="M537">
        <v>1559.19</v>
      </c>
      <c r="N537">
        <v>0.19</v>
      </c>
      <c r="O537">
        <v>12</v>
      </c>
    </row>
    <row r="538" spans="1:15" x14ac:dyDescent="0.35">
      <c r="A538" t="s">
        <v>550</v>
      </c>
      <c r="B538" s="2">
        <v>45108</v>
      </c>
      <c r="C538" s="2">
        <v>45118</v>
      </c>
      <c r="D538" t="s">
        <v>649</v>
      </c>
      <c r="E538" t="s">
        <v>657</v>
      </c>
      <c r="F538" t="s">
        <v>690</v>
      </c>
      <c r="G538" t="s">
        <v>701</v>
      </c>
      <c r="H538" t="s">
        <v>711</v>
      </c>
      <c r="I538" t="s">
        <v>721</v>
      </c>
      <c r="J538" t="s">
        <v>729</v>
      </c>
      <c r="K538" t="s">
        <v>1269</v>
      </c>
      <c r="L538">
        <v>479.5</v>
      </c>
      <c r="M538">
        <v>656.66</v>
      </c>
      <c r="N538">
        <v>0.14899999999999999</v>
      </c>
      <c r="O538">
        <v>14</v>
      </c>
    </row>
    <row r="539" spans="1:15" x14ac:dyDescent="0.35">
      <c r="A539" t="s">
        <v>551</v>
      </c>
      <c r="B539" s="2">
        <v>45520</v>
      </c>
      <c r="C539" s="2">
        <v>45530</v>
      </c>
      <c r="D539" t="s">
        <v>648</v>
      </c>
      <c r="E539" t="s">
        <v>660</v>
      </c>
      <c r="F539" t="s">
        <v>677</v>
      </c>
      <c r="G539" t="s">
        <v>701</v>
      </c>
      <c r="H539" t="s">
        <v>710</v>
      </c>
      <c r="I539" t="s">
        <v>716</v>
      </c>
      <c r="J539" t="s">
        <v>731</v>
      </c>
      <c r="K539" t="s">
        <v>1121</v>
      </c>
      <c r="L539">
        <v>1291.7</v>
      </c>
      <c r="M539">
        <v>2657.84</v>
      </c>
      <c r="N539">
        <v>8.6999999999999994E-2</v>
      </c>
      <c r="O539">
        <v>21</v>
      </c>
    </row>
    <row r="540" spans="1:15" x14ac:dyDescent="0.35">
      <c r="A540" t="s">
        <v>552</v>
      </c>
      <c r="B540" s="2">
        <v>45114</v>
      </c>
      <c r="C540" s="2">
        <v>45120</v>
      </c>
      <c r="D540" t="s">
        <v>646</v>
      </c>
      <c r="E540" t="s">
        <v>661</v>
      </c>
      <c r="F540" t="s">
        <v>695</v>
      </c>
      <c r="G540" t="s">
        <v>705</v>
      </c>
      <c r="H540" t="s">
        <v>709</v>
      </c>
      <c r="I540" t="s">
        <v>717</v>
      </c>
      <c r="J540" t="s">
        <v>733</v>
      </c>
      <c r="K540" t="s">
        <v>1270</v>
      </c>
      <c r="L540">
        <v>612.59</v>
      </c>
      <c r="M540">
        <v>1424.74</v>
      </c>
      <c r="N540">
        <v>4.3999999999999997E-2</v>
      </c>
      <c r="O540">
        <v>15</v>
      </c>
    </row>
    <row r="541" spans="1:15" x14ac:dyDescent="0.35">
      <c r="A541" t="s">
        <v>553</v>
      </c>
      <c r="B541" s="2">
        <v>45288</v>
      </c>
      <c r="C541" s="2">
        <v>45292</v>
      </c>
      <c r="D541" t="s">
        <v>646</v>
      </c>
      <c r="E541" t="s">
        <v>661</v>
      </c>
      <c r="F541" t="s">
        <v>695</v>
      </c>
      <c r="G541" t="s">
        <v>702</v>
      </c>
      <c r="H541" t="s">
        <v>710</v>
      </c>
      <c r="I541" t="s">
        <v>720</v>
      </c>
      <c r="J541" t="s">
        <v>728</v>
      </c>
      <c r="K541" t="s">
        <v>1271</v>
      </c>
      <c r="L541">
        <v>1141.8</v>
      </c>
      <c r="M541">
        <v>2318.7399999999998</v>
      </c>
      <c r="N541">
        <v>0.107</v>
      </c>
      <c r="O541">
        <v>32</v>
      </c>
    </row>
    <row r="542" spans="1:15" x14ac:dyDescent="0.35">
      <c r="A542" t="s">
        <v>554</v>
      </c>
      <c r="B542" s="2">
        <v>44952</v>
      </c>
      <c r="C542" s="2">
        <v>44972</v>
      </c>
      <c r="D542" t="s">
        <v>649</v>
      </c>
      <c r="E542" t="s">
        <v>656</v>
      </c>
      <c r="F542" t="s">
        <v>671</v>
      </c>
      <c r="G542" t="s">
        <v>705</v>
      </c>
      <c r="H542" t="s">
        <v>708</v>
      </c>
      <c r="I542" t="s">
        <v>719</v>
      </c>
      <c r="J542" t="s">
        <v>729</v>
      </c>
      <c r="K542" t="s">
        <v>1272</v>
      </c>
      <c r="L542">
        <v>492.62</v>
      </c>
      <c r="M542">
        <v>366.7</v>
      </c>
      <c r="N542">
        <v>8.8999999999999996E-2</v>
      </c>
      <c r="O542">
        <v>10</v>
      </c>
    </row>
    <row r="543" spans="1:15" x14ac:dyDescent="0.35">
      <c r="A543" t="s">
        <v>555</v>
      </c>
      <c r="B543" s="2">
        <v>45115</v>
      </c>
      <c r="C543" s="2">
        <v>45116</v>
      </c>
      <c r="D543" t="s">
        <v>646</v>
      </c>
      <c r="E543" t="s">
        <v>650</v>
      </c>
      <c r="F543" t="s">
        <v>664</v>
      </c>
      <c r="G543" t="s">
        <v>704</v>
      </c>
      <c r="H543" t="s">
        <v>708</v>
      </c>
      <c r="I543" t="s">
        <v>726</v>
      </c>
      <c r="J543" t="s">
        <v>731</v>
      </c>
      <c r="K543" t="s">
        <v>1273</v>
      </c>
      <c r="L543">
        <v>1258.72</v>
      </c>
      <c r="M543">
        <v>2797.41</v>
      </c>
      <c r="N543">
        <v>0</v>
      </c>
      <c r="O543">
        <v>7</v>
      </c>
    </row>
    <row r="544" spans="1:15" x14ac:dyDescent="0.35">
      <c r="A544" t="s">
        <v>556</v>
      </c>
      <c r="B544" s="2">
        <v>45450</v>
      </c>
      <c r="C544" s="2">
        <v>45452</v>
      </c>
      <c r="D544" t="s">
        <v>647</v>
      </c>
      <c r="E544" t="s">
        <v>659</v>
      </c>
      <c r="F544" t="s">
        <v>685</v>
      </c>
      <c r="G544" t="s">
        <v>701</v>
      </c>
      <c r="H544" t="s">
        <v>707</v>
      </c>
      <c r="I544" t="s">
        <v>719</v>
      </c>
      <c r="J544" t="s">
        <v>732</v>
      </c>
      <c r="K544" t="s">
        <v>1274</v>
      </c>
      <c r="L544">
        <v>1370.28</v>
      </c>
      <c r="M544">
        <v>2209.66</v>
      </c>
      <c r="N544">
        <v>0.13300000000000001</v>
      </c>
      <c r="O544">
        <v>16</v>
      </c>
    </row>
    <row r="545" spans="1:15" x14ac:dyDescent="0.35">
      <c r="A545" t="s">
        <v>557</v>
      </c>
      <c r="B545" s="2">
        <v>44968</v>
      </c>
      <c r="C545" s="2">
        <v>44969</v>
      </c>
      <c r="D545" t="s">
        <v>646</v>
      </c>
      <c r="E545" t="s">
        <v>651</v>
      </c>
      <c r="F545" t="s">
        <v>663</v>
      </c>
      <c r="G545" t="s">
        <v>703</v>
      </c>
      <c r="H545" t="s">
        <v>711</v>
      </c>
      <c r="I545" t="s">
        <v>726</v>
      </c>
      <c r="J545" t="s">
        <v>733</v>
      </c>
      <c r="K545" t="s">
        <v>1275</v>
      </c>
      <c r="L545">
        <v>944.61</v>
      </c>
      <c r="M545">
        <v>839.04</v>
      </c>
      <c r="N545">
        <v>5.8999999999999997E-2</v>
      </c>
      <c r="O545">
        <v>6</v>
      </c>
    </row>
    <row r="546" spans="1:15" x14ac:dyDescent="0.35">
      <c r="A546" t="s">
        <v>558</v>
      </c>
      <c r="B546" s="2">
        <v>45108</v>
      </c>
      <c r="C546" s="2">
        <v>45115</v>
      </c>
      <c r="D546" t="s">
        <v>649</v>
      </c>
      <c r="E546" t="s">
        <v>656</v>
      </c>
      <c r="F546" t="s">
        <v>698</v>
      </c>
      <c r="G546" t="s">
        <v>705</v>
      </c>
      <c r="H546" t="s">
        <v>710</v>
      </c>
      <c r="I546" t="s">
        <v>725</v>
      </c>
      <c r="J546" t="s">
        <v>731</v>
      </c>
      <c r="K546" t="s">
        <v>1276</v>
      </c>
      <c r="L546">
        <v>460.21</v>
      </c>
      <c r="M546">
        <v>1139.1500000000001</v>
      </c>
      <c r="N546">
        <v>0.115</v>
      </c>
      <c r="O546">
        <v>14</v>
      </c>
    </row>
    <row r="547" spans="1:15" x14ac:dyDescent="0.35">
      <c r="A547" t="s">
        <v>559</v>
      </c>
      <c r="B547" s="2">
        <v>45889</v>
      </c>
      <c r="C547" s="2">
        <v>45895</v>
      </c>
      <c r="D547" t="s">
        <v>648</v>
      </c>
      <c r="E547" t="s">
        <v>660</v>
      </c>
      <c r="F547" t="s">
        <v>700</v>
      </c>
      <c r="G547" t="s">
        <v>701</v>
      </c>
      <c r="H547" t="s">
        <v>707</v>
      </c>
      <c r="I547" t="s">
        <v>724</v>
      </c>
      <c r="J547" t="s">
        <v>729</v>
      </c>
      <c r="K547" t="s">
        <v>1277</v>
      </c>
      <c r="L547">
        <v>1304.95</v>
      </c>
      <c r="M547">
        <v>1712.03</v>
      </c>
      <c r="N547">
        <v>0.21199999999999999</v>
      </c>
      <c r="O547">
        <v>8</v>
      </c>
    </row>
    <row r="548" spans="1:15" x14ac:dyDescent="0.35">
      <c r="A548" t="s">
        <v>560</v>
      </c>
      <c r="B548" s="2">
        <v>45355</v>
      </c>
      <c r="C548" s="2">
        <v>45367</v>
      </c>
      <c r="D548" t="s">
        <v>646</v>
      </c>
      <c r="E548" t="s">
        <v>661</v>
      </c>
      <c r="F548" t="s">
        <v>682</v>
      </c>
      <c r="G548" t="s">
        <v>706</v>
      </c>
      <c r="H548" t="s">
        <v>710</v>
      </c>
      <c r="I548" t="s">
        <v>724</v>
      </c>
      <c r="J548" t="s">
        <v>732</v>
      </c>
      <c r="K548" t="s">
        <v>1278</v>
      </c>
      <c r="L548">
        <v>441.08</v>
      </c>
      <c r="M548">
        <v>1054.29</v>
      </c>
      <c r="N548">
        <v>0.23699999999999999</v>
      </c>
      <c r="O548">
        <v>6</v>
      </c>
    </row>
    <row r="549" spans="1:15" x14ac:dyDescent="0.35">
      <c r="A549" t="s">
        <v>561</v>
      </c>
      <c r="B549" s="2">
        <v>45177</v>
      </c>
      <c r="C549" s="2">
        <v>45201</v>
      </c>
      <c r="D549" t="s">
        <v>648</v>
      </c>
      <c r="E549" t="s">
        <v>653</v>
      </c>
      <c r="F549" t="s">
        <v>667</v>
      </c>
      <c r="G549" t="s">
        <v>702</v>
      </c>
      <c r="H549" t="s">
        <v>711</v>
      </c>
      <c r="I549" t="s">
        <v>720</v>
      </c>
      <c r="J549" t="s">
        <v>733</v>
      </c>
      <c r="K549" t="s">
        <v>1279</v>
      </c>
      <c r="L549">
        <v>1299.03</v>
      </c>
      <c r="M549">
        <v>2451.2199999999998</v>
      </c>
      <c r="N549">
        <v>0.20799999999999999</v>
      </c>
      <c r="O549">
        <v>8</v>
      </c>
    </row>
    <row r="550" spans="1:15" x14ac:dyDescent="0.35">
      <c r="A550" t="s">
        <v>562</v>
      </c>
      <c r="B550" s="2">
        <v>44985</v>
      </c>
      <c r="C550" s="2">
        <v>44991</v>
      </c>
      <c r="D550" t="s">
        <v>649</v>
      </c>
      <c r="E550" t="s">
        <v>656</v>
      </c>
      <c r="F550" t="s">
        <v>698</v>
      </c>
      <c r="G550" t="s">
        <v>705</v>
      </c>
      <c r="H550" t="s">
        <v>709</v>
      </c>
      <c r="I550" t="s">
        <v>726</v>
      </c>
      <c r="J550" t="s">
        <v>728</v>
      </c>
      <c r="K550" t="s">
        <v>1280</v>
      </c>
      <c r="L550">
        <v>880.02</v>
      </c>
      <c r="M550">
        <v>1251.21</v>
      </c>
      <c r="N550">
        <v>0.123</v>
      </c>
      <c r="O550">
        <v>29</v>
      </c>
    </row>
    <row r="551" spans="1:15" x14ac:dyDescent="0.35">
      <c r="A551" t="s">
        <v>563</v>
      </c>
      <c r="B551" s="2">
        <v>45486</v>
      </c>
      <c r="C551" s="2">
        <v>45507</v>
      </c>
      <c r="D551" t="s">
        <v>648</v>
      </c>
      <c r="E551" t="s">
        <v>655</v>
      </c>
      <c r="F551" t="s">
        <v>692</v>
      </c>
      <c r="G551" t="s">
        <v>701</v>
      </c>
      <c r="H551" t="s">
        <v>709</v>
      </c>
      <c r="I551" t="s">
        <v>724</v>
      </c>
      <c r="J551" t="s">
        <v>732</v>
      </c>
      <c r="K551" t="s">
        <v>1281</v>
      </c>
      <c r="L551">
        <v>702.98</v>
      </c>
      <c r="M551">
        <v>1104.8</v>
      </c>
      <c r="N551">
        <v>0.17499999999999999</v>
      </c>
      <c r="O551">
        <v>12</v>
      </c>
    </row>
    <row r="552" spans="1:15" x14ac:dyDescent="0.35">
      <c r="A552" t="s">
        <v>564</v>
      </c>
      <c r="B552" s="2">
        <v>45633</v>
      </c>
      <c r="C552" s="2">
        <v>45652</v>
      </c>
      <c r="D552" t="s">
        <v>649</v>
      </c>
      <c r="E552" t="s">
        <v>658</v>
      </c>
      <c r="F552" t="s">
        <v>683</v>
      </c>
      <c r="G552" t="s">
        <v>706</v>
      </c>
      <c r="H552" t="s">
        <v>708</v>
      </c>
      <c r="I552" t="s">
        <v>726</v>
      </c>
      <c r="J552" t="s">
        <v>729</v>
      </c>
      <c r="K552" t="s">
        <v>1282</v>
      </c>
      <c r="L552">
        <v>1035.24</v>
      </c>
      <c r="M552">
        <v>2383.41</v>
      </c>
      <c r="N552">
        <v>0.17</v>
      </c>
      <c r="O552">
        <v>15</v>
      </c>
    </row>
    <row r="553" spans="1:15" x14ac:dyDescent="0.35">
      <c r="A553" t="s">
        <v>565</v>
      </c>
      <c r="B553" s="2">
        <v>45875</v>
      </c>
      <c r="C553" s="2">
        <v>45892</v>
      </c>
      <c r="D553" t="s">
        <v>648</v>
      </c>
      <c r="E553" t="s">
        <v>655</v>
      </c>
      <c r="F553" t="s">
        <v>672</v>
      </c>
      <c r="G553" t="s">
        <v>704</v>
      </c>
      <c r="H553" t="s">
        <v>710</v>
      </c>
      <c r="I553" t="s">
        <v>720</v>
      </c>
      <c r="J553" t="s">
        <v>732</v>
      </c>
      <c r="K553" t="s">
        <v>1283</v>
      </c>
      <c r="L553">
        <v>86.64</v>
      </c>
      <c r="M553">
        <v>213.06</v>
      </c>
      <c r="N553">
        <v>0.21199999999999999</v>
      </c>
      <c r="O553">
        <v>11</v>
      </c>
    </row>
    <row r="554" spans="1:15" x14ac:dyDescent="0.35">
      <c r="A554" t="s">
        <v>566</v>
      </c>
      <c r="B554" s="2">
        <v>44988</v>
      </c>
      <c r="C554" s="2">
        <v>45005</v>
      </c>
      <c r="D554" t="s">
        <v>647</v>
      </c>
      <c r="E554" t="s">
        <v>652</v>
      </c>
      <c r="F554" t="s">
        <v>694</v>
      </c>
      <c r="G554" t="s">
        <v>705</v>
      </c>
      <c r="H554" t="s">
        <v>708</v>
      </c>
      <c r="I554" t="s">
        <v>726</v>
      </c>
      <c r="J554" t="s">
        <v>729</v>
      </c>
      <c r="K554" t="s">
        <v>1284</v>
      </c>
      <c r="L554">
        <v>1171.17</v>
      </c>
      <c r="M554">
        <v>2030.64</v>
      </c>
      <c r="N554">
        <v>0.157</v>
      </c>
      <c r="O554">
        <v>11</v>
      </c>
    </row>
    <row r="555" spans="1:15" x14ac:dyDescent="0.35">
      <c r="A555" t="s">
        <v>567</v>
      </c>
      <c r="B555" s="2">
        <v>45704</v>
      </c>
      <c r="C555" s="2">
        <v>45733</v>
      </c>
      <c r="D555" t="s">
        <v>649</v>
      </c>
      <c r="E555" t="s">
        <v>656</v>
      </c>
      <c r="F555" t="s">
        <v>684</v>
      </c>
      <c r="G555" t="s">
        <v>704</v>
      </c>
      <c r="H555" t="s">
        <v>707</v>
      </c>
      <c r="I555" t="s">
        <v>716</v>
      </c>
      <c r="J555" t="s">
        <v>733</v>
      </c>
      <c r="K555" t="s">
        <v>1285</v>
      </c>
      <c r="L555">
        <v>730.42</v>
      </c>
      <c r="M555">
        <v>956.7</v>
      </c>
      <c r="N555">
        <v>4.2000000000000003E-2</v>
      </c>
      <c r="O555">
        <v>22</v>
      </c>
    </row>
    <row r="556" spans="1:15" x14ac:dyDescent="0.35">
      <c r="A556" t="s">
        <v>568</v>
      </c>
      <c r="B556" s="2">
        <v>45703</v>
      </c>
      <c r="C556" s="2">
        <v>45717</v>
      </c>
      <c r="D556" t="s">
        <v>646</v>
      </c>
      <c r="E556" t="s">
        <v>650</v>
      </c>
      <c r="F556" t="s">
        <v>675</v>
      </c>
      <c r="G556" t="s">
        <v>702</v>
      </c>
      <c r="H556" t="s">
        <v>711</v>
      </c>
      <c r="I556" t="s">
        <v>716</v>
      </c>
      <c r="J556" t="s">
        <v>733</v>
      </c>
      <c r="K556" t="s">
        <v>1286</v>
      </c>
      <c r="L556">
        <v>1162.8599999999999</v>
      </c>
      <c r="M556">
        <v>1447.68</v>
      </c>
      <c r="N556">
        <v>8.6999999999999994E-2</v>
      </c>
      <c r="O556">
        <v>12</v>
      </c>
    </row>
    <row r="557" spans="1:15" x14ac:dyDescent="0.35">
      <c r="A557" t="s">
        <v>569</v>
      </c>
      <c r="B557" s="2">
        <v>45535</v>
      </c>
      <c r="C557" s="2">
        <v>45561</v>
      </c>
      <c r="D557" t="s">
        <v>647</v>
      </c>
      <c r="E557" t="s">
        <v>652</v>
      </c>
      <c r="F557" t="s">
        <v>689</v>
      </c>
      <c r="G557" t="s">
        <v>702</v>
      </c>
      <c r="H557" t="s">
        <v>708</v>
      </c>
      <c r="I557" t="s">
        <v>714</v>
      </c>
      <c r="J557" t="s">
        <v>730</v>
      </c>
      <c r="K557" t="s">
        <v>1287</v>
      </c>
      <c r="L557">
        <v>1189.03</v>
      </c>
      <c r="M557">
        <v>2949.62</v>
      </c>
      <c r="N557">
        <v>0.125</v>
      </c>
      <c r="O557">
        <v>13</v>
      </c>
    </row>
    <row r="558" spans="1:15" x14ac:dyDescent="0.35">
      <c r="A558" t="s">
        <v>570</v>
      </c>
      <c r="B558" s="2">
        <v>45053</v>
      </c>
      <c r="C558" s="2">
        <v>45066</v>
      </c>
      <c r="D558" t="s">
        <v>647</v>
      </c>
      <c r="E558" t="s">
        <v>654</v>
      </c>
      <c r="F558" t="s">
        <v>691</v>
      </c>
      <c r="G558" t="s">
        <v>706</v>
      </c>
      <c r="H558" t="s">
        <v>707</v>
      </c>
      <c r="I558" t="s">
        <v>726</v>
      </c>
      <c r="J558" t="s">
        <v>733</v>
      </c>
      <c r="K558" t="s">
        <v>1288</v>
      </c>
      <c r="L558">
        <v>1443.28</v>
      </c>
      <c r="M558">
        <v>2580.5700000000002</v>
      </c>
      <c r="N558">
        <v>0</v>
      </c>
      <c r="O558">
        <v>18</v>
      </c>
    </row>
    <row r="559" spans="1:15" x14ac:dyDescent="0.35">
      <c r="A559" t="s">
        <v>571</v>
      </c>
      <c r="B559" s="2">
        <v>45791</v>
      </c>
      <c r="C559" s="2">
        <v>45789</v>
      </c>
      <c r="D559" t="s">
        <v>648</v>
      </c>
      <c r="E559" t="s">
        <v>653</v>
      </c>
      <c r="F559" t="s">
        <v>688</v>
      </c>
      <c r="G559" t="s">
        <v>703</v>
      </c>
      <c r="H559" t="s">
        <v>710</v>
      </c>
      <c r="I559" t="s">
        <v>721</v>
      </c>
      <c r="J559" t="s">
        <v>728</v>
      </c>
      <c r="K559" t="s">
        <v>1289</v>
      </c>
      <c r="L559">
        <v>883.5</v>
      </c>
      <c r="M559">
        <v>1978.91</v>
      </c>
      <c r="N559">
        <v>5.3999999999999999E-2</v>
      </c>
      <c r="O559">
        <v>27</v>
      </c>
    </row>
    <row r="560" spans="1:15" x14ac:dyDescent="0.35">
      <c r="A560" t="s">
        <v>572</v>
      </c>
      <c r="B560" s="2">
        <v>45362</v>
      </c>
      <c r="C560" s="2">
        <v>45380</v>
      </c>
      <c r="D560" t="s">
        <v>648</v>
      </c>
      <c r="E560" t="s">
        <v>660</v>
      </c>
      <c r="F560" t="s">
        <v>700</v>
      </c>
      <c r="G560" t="s">
        <v>701</v>
      </c>
      <c r="H560" t="s">
        <v>707</v>
      </c>
      <c r="I560" t="s">
        <v>724</v>
      </c>
      <c r="J560" t="s">
        <v>732</v>
      </c>
      <c r="K560" t="s">
        <v>1290</v>
      </c>
      <c r="L560">
        <v>710.98</v>
      </c>
      <c r="M560">
        <v>1481.45</v>
      </c>
      <c r="N560">
        <v>0.21099999999999999</v>
      </c>
      <c r="O560">
        <v>9</v>
      </c>
    </row>
    <row r="561" spans="1:15" x14ac:dyDescent="0.35">
      <c r="A561" t="s">
        <v>573</v>
      </c>
      <c r="B561" s="2">
        <v>45430</v>
      </c>
      <c r="C561" s="2">
        <v>45434</v>
      </c>
      <c r="D561" t="s">
        <v>646</v>
      </c>
      <c r="E561" t="s">
        <v>650</v>
      </c>
      <c r="F561" t="s">
        <v>664</v>
      </c>
      <c r="G561" t="s">
        <v>701</v>
      </c>
      <c r="H561" t="s">
        <v>711</v>
      </c>
      <c r="I561" t="s">
        <v>722</v>
      </c>
      <c r="J561" t="s">
        <v>733</v>
      </c>
      <c r="K561" t="s">
        <v>1291</v>
      </c>
      <c r="L561">
        <v>857.42</v>
      </c>
      <c r="M561">
        <v>1658.92</v>
      </c>
      <c r="N561">
        <v>0.122</v>
      </c>
      <c r="O561">
        <v>9</v>
      </c>
    </row>
    <row r="562" spans="1:15" x14ac:dyDescent="0.35">
      <c r="A562" t="s">
        <v>574</v>
      </c>
      <c r="B562" s="2">
        <v>45299</v>
      </c>
      <c r="C562" s="2">
        <v>45303</v>
      </c>
      <c r="D562" t="s">
        <v>647</v>
      </c>
      <c r="E562" t="s">
        <v>654</v>
      </c>
      <c r="F562" t="s">
        <v>668</v>
      </c>
      <c r="G562" t="s">
        <v>701</v>
      </c>
      <c r="H562" t="s">
        <v>711</v>
      </c>
      <c r="I562" t="s">
        <v>718</v>
      </c>
      <c r="J562" t="s">
        <v>728</v>
      </c>
      <c r="K562" t="s">
        <v>1292</v>
      </c>
      <c r="L562">
        <v>802.32</v>
      </c>
      <c r="M562">
        <v>602.34</v>
      </c>
      <c r="N562">
        <v>0.12</v>
      </c>
      <c r="O562">
        <v>25</v>
      </c>
    </row>
    <row r="563" spans="1:15" x14ac:dyDescent="0.35">
      <c r="A563" t="s">
        <v>575</v>
      </c>
      <c r="B563" s="2">
        <v>45590</v>
      </c>
      <c r="C563" s="2">
        <v>45601</v>
      </c>
      <c r="D563" t="s">
        <v>648</v>
      </c>
      <c r="E563" t="s">
        <v>660</v>
      </c>
      <c r="F563" t="s">
        <v>700</v>
      </c>
      <c r="G563" t="s">
        <v>701</v>
      </c>
      <c r="H563" t="s">
        <v>710</v>
      </c>
      <c r="I563" t="s">
        <v>725</v>
      </c>
      <c r="J563" t="s">
        <v>727</v>
      </c>
      <c r="K563" t="s">
        <v>1293</v>
      </c>
      <c r="L563">
        <v>446.66</v>
      </c>
      <c r="M563">
        <v>527.64</v>
      </c>
      <c r="N563">
        <v>0.14499999999999999</v>
      </c>
      <c r="O563">
        <v>15</v>
      </c>
    </row>
    <row r="564" spans="1:15" x14ac:dyDescent="0.35">
      <c r="A564" t="s">
        <v>576</v>
      </c>
      <c r="B564" s="2">
        <v>45626</v>
      </c>
      <c r="C564" s="2">
        <v>45645</v>
      </c>
      <c r="D564" t="s">
        <v>646</v>
      </c>
      <c r="E564" t="s">
        <v>650</v>
      </c>
      <c r="F564" t="s">
        <v>662</v>
      </c>
      <c r="G564" t="s">
        <v>701</v>
      </c>
      <c r="H564" t="s">
        <v>708</v>
      </c>
      <c r="I564" t="s">
        <v>716</v>
      </c>
      <c r="J564" t="s">
        <v>730</v>
      </c>
      <c r="K564" t="s">
        <v>1294</v>
      </c>
      <c r="L564">
        <v>1195.98</v>
      </c>
      <c r="M564">
        <v>1841.9</v>
      </c>
      <c r="N564">
        <v>5.5E-2</v>
      </c>
      <c r="O564">
        <v>19</v>
      </c>
    </row>
    <row r="565" spans="1:15" x14ac:dyDescent="0.35">
      <c r="A565" t="s">
        <v>577</v>
      </c>
      <c r="B565" s="2">
        <v>45029</v>
      </c>
      <c r="C565" s="2">
        <v>45048</v>
      </c>
      <c r="D565" t="s">
        <v>648</v>
      </c>
      <c r="E565" t="s">
        <v>653</v>
      </c>
      <c r="F565" t="s">
        <v>681</v>
      </c>
      <c r="G565" t="s">
        <v>704</v>
      </c>
      <c r="H565" t="s">
        <v>710</v>
      </c>
      <c r="I565" t="s">
        <v>718</v>
      </c>
      <c r="J565" t="s">
        <v>732</v>
      </c>
      <c r="K565" t="s">
        <v>1295</v>
      </c>
      <c r="L565">
        <v>671.05</v>
      </c>
      <c r="M565">
        <v>1645.48</v>
      </c>
      <c r="N565">
        <v>0.13700000000000001</v>
      </c>
      <c r="O565">
        <v>6</v>
      </c>
    </row>
    <row r="566" spans="1:15" x14ac:dyDescent="0.35">
      <c r="A566" t="s">
        <v>578</v>
      </c>
      <c r="B566" s="2">
        <v>45692</v>
      </c>
      <c r="C566" s="2">
        <v>45696</v>
      </c>
      <c r="D566" t="s">
        <v>649</v>
      </c>
      <c r="E566" t="s">
        <v>658</v>
      </c>
      <c r="F566" t="s">
        <v>693</v>
      </c>
      <c r="G566" t="s">
        <v>706</v>
      </c>
      <c r="H566" t="s">
        <v>709</v>
      </c>
      <c r="I566" t="s">
        <v>716</v>
      </c>
      <c r="J566" t="s">
        <v>729</v>
      </c>
      <c r="K566" t="s">
        <v>1296</v>
      </c>
      <c r="L566">
        <v>586.21</v>
      </c>
      <c r="M566">
        <v>727.22</v>
      </c>
      <c r="N566">
        <v>6.8000000000000005E-2</v>
      </c>
      <c r="O566">
        <v>15</v>
      </c>
    </row>
    <row r="567" spans="1:15" x14ac:dyDescent="0.35">
      <c r="A567" t="s">
        <v>579</v>
      </c>
      <c r="B567" s="2">
        <v>45315</v>
      </c>
      <c r="C567" s="2">
        <v>45326</v>
      </c>
      <c r="D567" t="s">
        <v>649</v>
      </c>
      <c r="E567" t="s">
        <v>658</v>
      </c>
      <c r="F567" t="s">
        <v>693</v>
      </c>
      <c r="G567" t="s">
        <v>704</v>
      </c>
      <c r="H567" t="s">
        <v>707</v>
      </c>
      <c r="I567" t="s">
        <v>717</v>
      </c>
      <c r="J567" t="s">
        <v>731</v>
      </c>
      <c r="K567" t="s">
        <v>1297</v>
      </c>
      <c r="L567">
        <v>525.34</v>
      </c>
      <c r="M567">
        <v>1233.79</v>
      </c>
      <c r="N567">
        <v>0.14299999999999999</v>
      </c>
      <c r="O567">
        <v>4</v>
      </c>
    </row>
    <row r="568" spans="1:15" x14ac:dyDescent="0.35">
      <c r="A568" t="s">
        <v>580</v>
      </c>
      <c r="B568" s="2">
        <v>45330</v>
      </c>
      <c r="C568" s="2">
        <v>45331</v>
      </c>
      <c r="D568" t="s">
        <v>646</v>
      </c>
      <c r="E568" t="s">
        <v>650</v>
      </c>
      <c r="F568" t="s">
        <v>675</v>
      </c>
      <c r="G568" t="s">
        <v>701</v>
      </c>
      <c r="H568" t="s">
        <v>711</v>
      </c>
      <c r="I568" t="s">
        <v>721</v>
      </c>
      <c r="J568" t="s">
        <v>727</v>
      </c>
      <c r="K568" t="s">
        <v>1298</v>
      </c>
      <c r="L568">
        <v>1233.52</v>
      </c>
      <c r="M568">
        <v>1543.76</v>
      </c>
      <c r="N568">
        <v>0.126</v>
      </c>
      <c r="O568">
        <v>13</v>
      </c>
    </row>
    <row r="569" spans="1:15" x14ac:dyDescent="0.35">
      <c r="A569" t="s">
        <v>581</v>
      </c>
      <c r="B569" s="2">
        <v>45834</v>
      </c>
      <c r="C569" s="2">
        <v>45849</v>
      </c>
      <c r="D569" t="s">
        <v>646</v>
      </c>
      <c r="E569" t="s">
        <v>651</v>
      </c>
      <c r="F569" t="s">
        <v>663</v>
      </c>
      <c r="G569" t="s">
        <v>705</v>
      </c>
      <c r="H569" t="s">
        <v>708</v>
      </c>
      <c r="I569" t="s">
        <v>720</v>
      </c>
      <c r="J569" t="s">
        <v>731</v>
      </c>
      <c r="K569" t="s">
        <v>1299</v>
      </c>
      <c r="L569">
        <v>1170.1500000000001</v>
      </c>
      <c r="M569">
        <v>2115.19</v>
      </c>
      <c r="N569">
        <v>9.1999999999999998E-2</v>
      </c>
      <c r="O569">
        <v>23</v>
      </c>
    </row>
    <row r="570" spans="1:15" x14ac:dyDescent="0.35">
      <c r="A570" t="s">
        <v>582</v>
      </c>
      <c r="B570" s="2">
        <v>45600</v>
      </c>
      <c r="C570" s="2">
        <v>45603</v>
      </c>
      <c r="D570" t="s">
        <v>649</v>
      </c>
      <c r="E570" t="s">
        <v>657</v>
      </c>
      <c r="F570" t="s">
        <v>679</v>
      </c>
      <c r="G570" t="s">
        <v>701</v>
      </c>
      <c r="H570" t="s">
        <v>708</v>
      </c>
      <c r="I570" t="s">
        <v>719</v>
      </c>
      <c r="J570" t="s">
        <v>732</v>
      </c>
      <c r="K570" t="s">
        <v>1300</v>
      </c>
      <c r="L570">
        <v>740.68</v>
      </c>
      <c r="M570">
        <v>1837.19</v>
      </c>
      <c r="N570">
        <v>0.19700000000000001</v>
      </c>
      <c r="O570">
        <v>17</v>
      </c>
    </row>
    <row r="571" spans="1:15" x14ac:dyDescent="0.35">
      <c r="A571" t="s">
        <v>583</v>
      </c>
      <c r="B571" s="2">
        <v>45342</v>
      </c>
      <c r="C571" s="2">
        <v>45342</v>
      </c>
      <c r="D571" t="s">
        <v>648</v>
      </c>
      <c r="E571" t="s">
        <v>660</v>
      </c>
      <c r="F571" t="s">
        <v>700</v>
      </c>
      <c r="G571" t="s">
        <v>706</v>
      </c>
      <c r="H571" t="s">
        <v>708</v>
      </c>
      <c r="I571" t="s">
        <v>712</v>
      </c>
      <c r="J571" t="s">
        <v>729</v>
      </c>
      <c r="K571" t="s">
        <v>1301</v>
      </c>
      <c r="L571">
        <v>1407.05</v>
      </c>
      <c r="M571">
        <v>2858.93</v>
      </c>
      <c r="N571">
        <v>0</v>
      </c>
      <c r="O571">
        <v>12</v>
      </c>
    </row>
    <row r="572" spans="1:15" x14ac:dyDescent="0.35">
      <c r="A572" t="s">
        <v>584</v>
      </c>
      <c r="B572" s="2">
        <v>45760</v>
      </c>
      <c r="C572" s="2">
        <v>45761</v>
      </c>
      <c r="D572" t="s">
        <v>647</v>
      </c>
      <c r="E572" t="s">
        <v>652</v>
      </c>
      <c r="F572" t="s">
        <v>666</v>
      </c>
      <c r="G572" t="s">
        <v>706</v>
      </c>
      <c r="H572" t="s">
        <v>708</v>
      </c>
      <c r="I572" t="s">
        <v>715</v>
      </c>
      <c r="J572" t="s">
        <v>727</v>
      </c>
      <c r="K572" t="s">
        <v>1302</v>
      </c>
      <c r="L572">
        <v>138.9</v>
      </c>
      <c r="M572">
        <v>289.92</v>
      </c>
      <c r="N572">
        <v>2.9000000000000001E-2</v>
      </c>
      <c r="O572">
        <v>12</v>
      </c>
    </row>
    <row r="573" spans="1:15" x14ac:dyDescent="0.35">
      <c r="A573" t="s">
        <v>585</v>
      </c>
      <c r="B573" s="2">
        <v>45078</v>
      </c>
      <c r="C573" s="2">
        <v>45078</v>
      </c>
      <c r="D573" t="s">
        <v>647</v>
      </c>
      <c r="E573" t="s">
        <v>654</v>
      </c>
      <c r="F573" t="s">
        <v>668</v>
      </c>
      <c r="G573" t="s">
        <v>701</v>
      </c>
      <c r="H573" t="s">
        <v>707</v>
      </c>
      <c r="I573" t="s">
        <v>718</v>
      </c>
      <c r="J573" t="s">
        <v>733</v>
      </c>
      <c r="K573" t="s">
        <v>1303</v>
      </c>
      <c r="L573">
        <v>669.37</v>
      </c>
      <c r="M573">
        <v>997.2</v>
      </c>
      <c r="N573">
        <v>8.2000000000000003E-2</v>
      </c>
      <c r="O573">
        <v>5</v>
      </c>
    </row>
    <row r="574" spans="1:15" x14ac:dyDescent="0.35">
      <c r="A574" t="s">
        <v>586</v>
      </c>
      <c r="B574" s="2">
        <v>45740</v>
      </c>
      <c r="C574" s="2">
        <v>45751</v>
      </c>
      <c r="D574" t="s">
        <v>647</v>
      </c>
      <c r="E574" t="s">
        <v>654</v>
      </c>
      <c r="F574" t="s">
        <v>691</v>
      </c>
      <c r="G574" t="s">
        <v>702</v>
      </c>
      <c r="H574" t="s">
        <v>709</v>
      </c>
      <c r="I574" t="s">
        <v>713</v>
      </c>
      <c r="J574" t="s">
        <v>730</v>
      </c>
      <c r="K574" t="s">
        <v>1304</v>
      </c>
      <c r="L574">
        <v>23.83</v>
      </c>
      <c r="M574">
        <v>47.29</v>
      </c>
      <c r="N574">
        <v>6.4000000000000001E-2</v>
      </c>
      <c r="O574">
        <v>19</v>
      </c>
    </row>
    <row r="575" spans="1:15" x14ac:dyDescent="0.35">
      <c r="A575" t="s">
        <v>587</v>
      </c>
      <c r="B575" s="2">
        <v>45293</v>
      </c>
      <c r="C575" s="2">
        <v>45293</v>
      </c>
      <c r="D575" t="s">
        <v>648</v>
      </c>
      <c r="E575" t="s">
        <v>653</v>
      </c>
      <c r="F575" t="s">
        <v>688</v>
      </c>
      <c r="G575" t="s">
        <v>702</v>
      </c>
      <c r="H575" t="s">
        <v>711</v>
      </c>
      <c r="I575" t="s">
        <v>720</v>
      </c>
      <c r="J575" t="s">
        <v>731</v>
      </c>
      <c r="K575" t="s">
        <v>1305</v>
      </c>
      <c r="L575">
        <v>444.41</v>
      </c>
      <c r="M575">
        <v>754.24</v>
      </c>
      <c r="N575">
        <v>0.20699999999999999</v>
      </c>
      <c r="O575">
        <v>32</v>
      </c>
    </row>
    <row r="576" spans="1:15" x14ac:dyDescent="0.35">
      <c r="A576" t="s">
        <v>588</v>
      </c>
      <c r="B576" s="2">
        <v>45279</v>
      </c>
      <c r="C576" s="2">
        <v>45292</v>
      </c>
      <c r="D576" t="s">
        <v>648</v>
      </c>
      <c r="E576" t="s">
        <v>653</v>
      </c>
      <c r="F576" t="s">
        <v>667</v>
      </c>
      <c r="G576" t="s">
        <v>706</v>
      </c>
      <c r="H576" t="s">
        <v>707</v>
      </c>
      <c r="I576" t="s">
        <v>723</v>
      </c>
      <c r="J576" t="s">
        <v>732</v>
      </c>
      <c r="K576" t="s">
        <v>1306</v>
      </c>
      <c r="L576">
        <v>856.1</v>
      </c>
      <c r="M576">
        <v>901.48</v>
      </c>
      <c r="N576">
        <v>5.6000000000000001E-2</v>
      </c>
      <c r="O576">
        <v>17</v>
      </c>
    </row>
    <row r="577" spans="1:15" x14ac:dyDescent="0.35">
      <c r="A577" t="s">
        <v>589</v>
      </c>
      <c r="B577" s="2">
        <v>45042</v>
      </c>
      <c r="C577" s="2">
        <v>45042</v>
      </c>
      <c r="D577" t="s">
        <v>649</v>
      </c>
      <c r="E577" t="s">
        <v>657</v>
      </c>
      <c r="F577" t="s">
        <v>673</v>
      </c>
      <c r="G577" t="s">
        <v>704</v>
      </c>
      <c r="H577" t="s">
        <v>711</v>
      </c>
      <c r="I577" t="s">
        <v>724</v>
      </c>
      <c r="J577" t="s">
        <v>727</v>
      </c>
      <c r="K577" t="s">
        <v>1307</v>
      </c>
      <c r="L577">
        <v>81.489999999999995</v>
      </c>
      <c r="M577">
        <v>113.08</v>
      </c>
      <c r="N577">
        <v>0.121</v>
      </c>
      <c r="O577">
        <v>5</v>
      </c>
    </row>
    <row r="578" spans="1:15" x14ac:dyDescent="0.35">
      <c r="A578" t="s">
        <v>590</v>
      </c>
      <c r="B578" s="2">
        <v>45872</v>
      </c>
      <c r="C578" s="2">
        <v>45885</v>
      </c>
      <c r="D578" t="s">
        <v>648</v>
      </c>
      <c r="E578" t="s">
        <v>653</v>
      </c>
      <c r="F578" t="s">
        <v>681</v>
      </c>
      <c r="G578" t="s">
        <v>706</v>
      </c>
      <c r="H578" t="s">
        <v>710</v>
      </c>
      <c r="I578" t="s">
        <v>719</v>
      </c>
      <c r="J578" t="s">
        <v>729</v>
      </c>
      <c r="K578" t="s">
        <v>1308</v>
      </c>
      <c r="L578">
        <v>698.66</v>
      </c>
      <c r="M578">
        <v>868.62</v>
      </c>
      <c r="N578">
        <v>7.1999999999999995E-2</v>
      </c>
      <c r="O578">
        <v>15</v>
      </c>
    </row>
    <row r="579" spans="1:15" x14ac:dyDescent="0.35">
      <c r="A579" t="s">
        <v>591</v>
      </c>
      <c r="B579" s="2">
        <v>45140</v>
      </c>
      <c r="C579" s="2">
        <v>45157</v>
      </c>
      <c r="D579" t="s">
        <v>648</v>
      </c>
      <c r="E579" t="s">
        <v>653</v>
      </c>
      <c r="F579" t="s">
        <v>688</v>
      </c>
      <c r="G579" t="s">
        <v>701</v>
      </c>
      <c r="H579" t="s">
        <v>708</v>
      </c>
      <c r="I579" t="s">
        <v>721</v>
      </c>
      <c r="J579" t="s">
        <v>729</v>
      </c>
      <c r="K579" t="s">
        <v>1309</v>
      </c>
      <c r="L579">
        <v>175.38</v>
      </c>
      <c r="M579">
        <v>347.9</v>
      </c>
      <c r="N579">
        <v>7.1999999999999995E-2</v>
      </c>
      <c r="O579">
        <v>43</v>
      </c>
    </row>
    <row r="580" spans="1:15" x14ac:dyDescent="0.35">
      <c r="A580" t="s">
        <v>592</v>
      </c>
      <c r="B580" s="2">
        <v>45092</v>
      </c>
      <c r="C580" s="2">
        <v>45119</v>
      </c>
      <c r="D580" t="s">
        <v>649</v>
      </c>
      <c r="E580" t="s">
        <v>658</v>
      </c>
      <c r="F580" t="s">
        <v>693</v>
      </c>
      <c r="G580" t="s">
        <v>704</v>
      </c>
      <c r="H580" t="s">
        <v>711</v>
      </c>
      <c r="I580" t="s">
        <v>714</v>
      </c>
      <c r="J580" t="s">
        <v>733</v>
      </c>
      <c r="K580" t="s">
        <v>1310</v>
      </c>
      <c r="L580">
        <v>751.28</v>
      </c>
      <c r="M580">
        <v>1111.8800000000001</v>
      </c>
      <c r="N580">
        <v>0.13500000000000001</v>
      </c>
      <c r="O580">
        <v>7</v>
      </c>
    </row>
    <row r="581" spans="1:15" x14ac:dyDescent="0.35">
      <c r="A581" t="s">
        <v>593</v>
      </c>
      <c r="B581" s="2">
        <v>45607</v>
      </c>
      <c r="C581" s="2">
        <v>45620</v>
      </c>
      <c r="D581" t="s">
        <v>649</v>
      </c>
      <c r="E581" t="s">
        <v>658</v>
      </c>
      <c r="F581" t="s">
        <v>683</v>
      </c>
      <c r="G581" t="s">
        <v>701</v>
      </c>
      <c r="H581" t="s">
        <v>707</v>
      </c>
      <c r="I581" t="s">
        <v>718</v>
      </c>
      <c r="J581" t="s">
        <v>729</v>
      </c>
      <c r="K581" t="s">
        <v>1311</v>
      </c>
      <c r="L581">
        <v>164.53</v>
      </c>
      <c r="M581">
        <v>327.72</v>
      </c>
      <c r="N581">
        <v>6.7000000000000004E-2</v>
      </c>
      <c r="O581">
        <v>14</v>
      </c>
    </row>
    <row r="582" spans="1:15" x14ac:dyDescent="0.35">
      <c r="A582" t="s">
        <v>594</v>
      </c>
      <c r="B582" s="2">
        <v>45849</v>
      </c>
      <c r="C582" s="2">
        <v>45872</v>
      </c>
      <c r="D582" t="s">
        <v>646</v>
      </c>
      <c r="E582" t="s">
        <v>650</v>
      </c>
      <c r="F582" t="s">
        <v>678</v>
      </c>
      <c r="G582" t="s">
        <v>705</v>
      </c>
      <c r="H582" t="s">
        <v>707</v>
      </c>
      <c r="I582" t="s">
        <v>712</v>
      </c>
      <c r="J582" t="s">
        <v>730</v>
      </c>
      <c r="K582" t="s">
        <v>1312</v>
      </c>
      <c r="L582">
        <v>389.93</v>
      </c>
      <c r="M582">
        <v>486.13</v>
      </c>
      <c r="N582">
        <v>0.13200000000000001</v>
      </c>
      <c r="O582">
        <v>17</v>
      </c>
    </row>
    <row r="583" spans="1:15" x14ac:dyDescent="0.35">
      <c r="A583" t="s">
        <v>595</v>
      </c>
      <c r="B583" s="2">
        <v>45080</v>
      </c>
      <c r="C583" s="2">
        <v>45108</v>
      </c>
      <c r="D583" t="s">
        <v>648</v>
      </c>
      <c r="E583" t="s">
        <v>655</v>
      </c>
      <c r="F583" t="s">
        <v>672</v>
      </c>
      <c r="G583" t="s">
        <v>705</v>
      </c>
      <c r="H583" t="s">
        <v>709</v>
      </c>
      <c r="I583" t="s">
        <v>720</v>
      </c>
      <c r="J583" t="s">
        <v>727</v>
      </c>
      <c r="K583" t="s">
        <v>1313</v>
      </c>
      <c r="L583">
        <v>860.4</v>
      </c>
      <c r="M583">
        <v>2066.6</v>
      </c>
      <c r="N583">
        <v>0.01</v>
      </c>
      <c r="O583">
        <v>3</v>
      </c>
    </row>
    <row r="584" spans="1:15" x14ac:dyDescent="0.35">
      <c r="A584" t="s">
        <v>596</v>
      </c>
      <c r="B584" s="2">
        <v>44955</v>
      </c>
      <c r="C584" s="2">
        <v>44963</v>
      </c>
      <c r="D584" t="s">
        <v>648</v>
      </c>
      <c r="E584" t="s">
        <v>655</v>
      </c>
      <c r="F584" t="s">
        <v>672</v>
      </c>
      <c r="G584" t="s">
        <v>701</v>
      </c>
      <c r="H584" t="s">
        <v>709</v>
      </c>
      <c r="I584" t="s">
        <v>726</v>
      </c>
      <c r="J584" t="s">
        <v>732</v>
      </c>
      <c r="K584" t="s">
        <v>1314</v>
      </c>
      <c r="L584">
        <v>41.84</v>
      </c>
      <c r="M584">
        <v>86.2</v>
      </c>
      <c r="N584">
        <v>0.22600000000000001</v>
      </c>
      <c r="O584">
        <v>27</v>
      </c>
    </row>
    <row r="585" spans="1:15" x14ac:dyDescent="0.35">
      <c r="A585" t="s">
        <v>597</v>
      </c>
      <c r="B585" s="2">
        <v>45541</v>
      </c>
      <c r="C585" s="2">
        <v>45539</v>
      </c>
      <c r="D585" t="s">
        <v>647</v>
      </c>
      <c r="E585" t="s">
        <v>652</v>
      </c>
      <c r="F585" t="s">
        <v>666</v>
      </c>
      <c r="G585" t="s">
        <v>701</v>
      </c>
      <c r="H585" t="s">
        <v>711</v>
      </c>
      <c r="I585" t="s">
        <v>720</v>
      </c>
      <c r="J585" t="s">
        <v>731</v>
      </c>
      <c r="K585" t="s">
        <v>1315</v>
      </c>
      <c r="L585">
        <v>1368.17</v>
      </c>
      <c r="M585">
        <v>2307.75</v>
      </c>
      <c r="N585">
        <v>0.16300000000000001</v>
      </c>
      <c r="O585">
        <v>21</v>
      </c>
    </row>
    <row r="586" spans="1:15" x14ac:dyDescent="0.35">
      <c r="A586" t="s">
        <v>598</v>
      </c>
      <c r="B586" s="2">
        <v>45507</v>
      </c>
      <c r="C586" s="2">
        <v>45513</v>
      </c>
      <c r="D586" t="s">
        <v>646</v>
      </c>
      <c r="E586" t="s">
        <v>650</v>
      </c>
      <c r="F586" t="s">
        <v>675</v>
      </c>
      <c r="G586" t="s">
        <v>704</v>
      </c>
      <c r="H586" t="s">
        <v>709</v>
      </c>
      <c r="I586" t="s">
        <v>722</v>
      </c>
      <c r="J586" t="s">
        <v>731</v>
      </c>
      <c r="K586" t="s">
        <v>1316</v>
      </c>
      <c r="L586">
        <v>643.21</v>
      </c>
      <c r="M586">
        <v>1112.81</v>
      </c>
      <c r="N586">
        <v>0.14099999999999999</v>
      </c>
      <c r="O586">
        <v>4</v>
      </c>
    </row>
    <row r="587" spans="1:15" x14ac:dyDescent="0.35">
      <c r="A587" t="s">
        <v>599</v>
      </c>
      <c r="B587" s="2">
        <v>45764</v>
      </c>
      <c r="C587" s="2">
        <v>45764</v>
      </c>
      <c r="D587" t="s">
        <v>648</v>
      </c>
      <c r="E587" t="s">
        <v>655</v>
      </c>
      <c r="F587" t="s">
        <v>670</v>
      </c>
      <c r="G587" t="s">
        <v>701</v>
      </c>
      <c r="H587" t="s">
        <v>710</v>
      </c>
      <c r="I587" t="s">
        <v>716</v>
      </c>
      <c r="J587" t="s">
        <v>730</v>
      </c>
      <c r="K587" t="s">
        <v>1317</v>
      </c>
      <c r="L587">
        <v>719.41</v>
      </c>
      <c r="M587">
        <v>1125.99</v>
      </c>
      <c r="N587">
        <v>4.1000000000000002E-2</v>
      </c>
      <c r="O587">
        <v>21</v>
      </c>
    </row>
    <row r="588" spans="1:15" x14ac:dyDescent="0.35">
      <c r="A588" t="s">
        <v>600</v>
      </c>
      <c r="B588" s="2">
        <v>45049</v>
      </c>
      <c r="C588" s="2">
        <v>45062</v>
      </c>
      <c r="D588" t="s">
        <v>648</v>
      </c>
      <c r="E588" t="s">
        <v>660</v>
      </c>
      <c r="F588" t="s">
        <v>700</v>
      </c>
      <c r="G588" t="s">
        <v>701</v>
      </c>
      <c r="H588" t="s">
        <v>709</v>
      </c>
      <c r="I588" t="s">
        <v>716</v>
      </c>
      <c r="J588" t="s">
        <v>730</v>
      </c>
      <c r="K588" t="s">
        <v>1318</v>
      </c>
      <c r="L588">
        <v>64.5</v>
      </c>
      <c r="M588">
        <v>123.62</v>
      </c>
      <c r="N588">
        <v>0</v>
      </c>
      <c r="O588">
        <v>3</v>
      </c>
    </row>
    <row r="589" spans="1:15" x14ac:dyDescent="0.35">
      <c r="A589" t="s">
        <v>601</v>
      </c>
      <c r="B589" s="2">
        <v>45364</v>
      </c>
      <c r="C589" s="2">
        <v>45388</v>
      </c>
      <c r="D589" t="s">
        <v>646</v>
      </c>
      <c r="E589" t="s">
        <v>651</v>
      </c>
      <c r="F589" t="s">
        <v>669</v>
      </c>
      <c r="G589" t="s">
        <v>704</v>
      </c>
      <c r="H589" t="s">
        <v>710</v>
      </c>
      <c r="I589" t="s">
        <v>716</v>
      </c>
      <c r="J589" t="s">
        <v>727</v>
      </c>
      <c r="K589" t="s">
        <v>1319</v>
      </c>
      <c r="L589">
        <v>1232.78</v>
      </c>
      <c r="M589">
        <v>1731.75</v>
      </c>
      <c r="N589">
        <v>9.2999999999999999E-2</v>
      </c>
      <c r="O589">
        <v>16</v>
      </c>
    </row>
    <row r="590" spans="1:15" x14ac:dyDescent="0.35">
      <c r="A590" t="s">
        <v>602</v>
      </c>
      <c r="B590" s="2">
        <v>45459</v>
      </c>
      <c r="C590" s="2">
        <v>45464</v>
      </c>
      <c r="D590" t="s">
        <v>647</v>
      </c>
      <c r="E590" t="s">
        <v>652</v>
      </c>
      <c r="F590" t="s">
        <v>689</v>
      </c>
      <c r="G590" t="s">
        <v>705</v>
      </c>
      <c r="H590" t="s">
        <v>710</v>
      </c>
      <c r="I590" t="s">
        <v>721</v>
      </c>
      <c r="J590" t="s">
        <v>730</v>
      </c>
      <c r="K590" t="s">
        <v>1320</v>
      </c>
      <c r="L590">
        <v>1367.13</v>
      </c>
      <c r="M590">
        <v>3062.01</v>
      </c>
      <c r="N590">
        <v>0.10299999999999999</v>
      </c>
      <c r="O590">
        <v>25</v>
      </c>
    </row>
    <row r="591" spans="1:15" x14ac:dyDescent="0.35">
      <c r="A591" t="s">
        <v>603</v>
      </c>
      <c r="B591" s="2">
        <v>45703</v>
      </c>
      <c r="C591" s="2">
        <v>45715</v>
      </c>
      <c r="D591" t="s">
        <v>649</v>
      </c>
      <c r="E591" t="s">
        <v>657</v>
      </c>
      <c r="F591" t="s">
        <v>679</v>
      </c>
      <c r="G591" t="s">
        <v>703</v>
      </c>
      <c r="H591" t="s">
        <v>711</v>
      </c>
      <c r="I591" t="s">
        <v>723</v>
      </c>
      <c r="J591" t="s">
        <v>733</v>
      </c>
      <c r="K591" t="s">
        <v>1321</v>
      </c>
      <c r="L591">
        <v>1027.26</v>
      </c>
      <c r="M591">
        <v>2200.41</v>
      </c>
      <c r="N591">
        <v>8.7999999999999995E-2</v>
      </c>
      <c r="O591">
        <v>6</v>
      </c>
    </row>
    <row r="592" spans="1:15" x14ac:dyDescent="0.35">
      <c r="A592" t="s">
        <v>604</v>
      </c>
      <c r="B592" s="2">
        <v>45019</v>
      </c>
      <c r="C592" s="2">
        <v>45032</v>
      </c>
      <c r="D592" t="s">
        <v>649</v>
      </c>
      <c r="E592" t="s">
        <v>657</v>
      </c>
      <c r="F592" t="s">
        <v>673</v>
      </c>
      <c r="G592" t="s">
        <v>703</v>
      </c>
      <c r="H592" t="s">
        <v>709</v>
      </c>
      <c r="I592" t="s">
        <v>724</v>
      </c>
      <c r="J592" t="s">
        <v>733</v>
      </c>
      <c r="K592" t="s">
        <v>1322</v>
      </c>
      <c r="L592">
        <v>790.54</v>
      </c>
      <c r="M592">
        <v>601.49</v>
      </c>
      <c r="N592">
        <v>0</v>
      </c>
      <c r="O592">
        <v>15</v>
      </c>
    </row>
    <row r="593" spans="1:15" x14ac:dyDescent="0.35">
      <c r="A593" t="s">
        <v>605</v>
      </c>
      <c r="B593" s="2">
        <v>45899</v>
      </c>
      <c r="C593" s="2">
        <v>45922</v>
      </c>
      <c r="D593" t="s">
        <v>649</v>
      </c>
      <c r="E593" t="s">
        <v>657</v>
      </c>
      <c r="F593" t="s">
        <v>673</v>
      </c>
      <c r="G593" t="s">
        <v>701</v>
      </c>
      <c r="H593" t="s">
        <v>711</v>
      </c>
      <c r="I593" t="s">
        <v>718</v>
      </c>
      <c r="J593" t="s">
        <v>727</v>
      </c>
      <c r="K593" t="s">
        <v>1323</v>
      </c>
      <c r="L593">
        <v>663.9</v>
      </c>
      <c r="M593">
        <v>947.77</v>
      </c>
      <c r="N593">
        <v>0.17399999999999999</v>
      </c>
      <c r="O593">
        <v>15</v>
      </c>
    </row>
    <row r="594" spans="1:15" x14ac:dyDescent="0.35">
      <c r="A594" t="s">
        <v>606</v>
      </c>
      <c r="B594" s="2">
        <v>44984</v>
      </c>
      <c r="C594" s="2">
        <v>44983</v>
      </c>
      <c r="D594" t="s">
        <v>648</v>
      </c>
      <c r="E594" t="s">
        <v>660</v>
      </c>
      <c r="F594" t="s">
        <v>686</v>
      </c>
      <c r="G594" t="s">
        <v>703</v>
      </c>
      <c r="H594" t="s">
        <v>708</v>
      </c>
      <c r="I594" t="s">
        <v>716</v>
      </c>
      <c r="J594" t="s">
        <v>729</v>
      </c>
      <c r="K594" t="s">
        <v>1324</v>
      </c>
      <c r="L594">
        <v>1015.91</v>
      </c>
      <c r="M594">
        <v>2331.48</v>
      </c>
      <c r="N594">
        <v>0.14599999999999999</v>
      </c>
      <c r="O594">
        <v>26</v>
      </c>
    </row>
    <row r="595" spans="1:15" x14ac:dyDescent="0.35">
      <c r="A595" t="s">
        <v>607</v>
      </c>
      <c r="B595" s="2">
        <v>45504</v>
      </c>
      <c r="C595" s="2">
        <v>45519</v>
      </c>
      <c r="D595" t="s">
        <v>647</v>
      </c>
      <c r="E595" t="s">
        <v>652</v>
      </c>
      <c r="F595" t="s">
        <v>689</v>
      </c>
      <c r="G595" t="s">
        <v>701</v>
      </c>
      <c r="H595" t="s">
        <v>709</v>
      </c>
      <c r="I595" t="s">
        <v>721</v>
      </c>
      <c r="J595" t="s">
        <v>732</v>
      </c>
      <c r="K595" t="s">
        <v>1325</v>
      </c>
      <c r="L595">
        <v>1252.52</v>
      </c>
      <c r="M595">
        <v>1417.24</v>
      </c>
      <c r="N595">
        <v>0.192</v>
      </c>
      <c r="O595">
        <v>5</v>
      </c>
    </row>
    <row r="596" spans="1:15" x14ac:dyDescent="0.35">
      <c r="A596" t="s">
        <v>608</v>
      </c>
      <c r="B596" s="2">
        <v>45823</v>
      </c>
      <c r="C596" s="2">
        <v>45850</v>
      </c>
      <c r="D596" t="s">
        <v>649</v>
      </c>
      <c r="E596" t="s">
        <v>657</v>
      </c>
      <c r="F596" t="s">
        <v>673</v>
      </c>
      <c r="G596" t="s">
        <v>704</v>
      </c>
      <c r="H596" t="s">
        <v>711</v>
      </c>
      <c r="I596" t="s">
        <v>712</v>
      </c>
      <c r="J596" t="s">
        <v>733</v>
      </c>
      <c r="K596" t="s">
        <v>1326</v>
      </c>
      <c r="L596">
        <v>318.83</v>
      </c>
      <c r="M596">
        <v>699.5</v>
      </c>
      <c r="N596">
        <v>0.08</v>
      </c>
      <c r="O596">
        <v>13</v>
      </c>
    </row>
    <row r="597" spans="1:15" x14ac:dyDescent="0.35">
      <c r="A597" t="s">
        <v>609</v>
      </c>
      <c r="B597" s="2">
        <v>45473</v>
      </c>
      <c r="C597" s="2">
        <v>45494</v>
      </c>
      <c r="D597" t="s">
        <v>646</v>
      </c>
      <c r="E597" t="s">
        <v>650</v>
      </c>
      <c r="F597" t="s">
        <v>662</v>
      </c>
      <c r="G597" t="s">
        <v>705</v>
      </c>
      <c r="H597" t="s">
        <v>707</v>
      </c>
      <c r="I597" t="s">
        <v>723</v>
      </c>
      <c r="J597" t="s">
        <v>731</v>
      </c>
      <c r="K597" t="s">
        <v>1327</v>
      </c>
      <c r="L597">
        <v>753.43</v>
      </c>
      <c r="M597">
        <v>1787.2</v>
      </c>
      <c r="N597">
        <v>7.2999999999999995E-2</v>
      </c>
      <c r="O597">
        <v>9</v>
      </c>
    </row>
    <row r="598" spans="1:15" x14ac:dyDescent="0.35">
      <c r="A598" t="s">
        <v>610</v>
      </c>
      <c r="B598" s="2">
        <v>45705</v>
      </c>
      <c r="C598" s="2">
        <v>45703</v>
      </c>
      <c r="D598" t="s">
        <v>648</v>
      </c>
      <c r="E598" t="s">
        <v>653</v>
      </c>
      <c r="F598" t="s">
        <v>667</v>
      </c>
      <c r="G598" t="s">
        <v>705</v>
      </c>
      <c r="H598" t="s">
        <v>707</v>
      </c>
      <c r="I598" t="s">
        <v>726</v>
      </c>
      <c r="J598" t="s">
        <v>727</v>
      </c>
      <c r="K598" t="s">
        <v>1328</v>
      </c>
      <c r="L598">
        <v>1133.47</v>
      </c>
      <c r="M598">
        <v>1698.75</v>
      </c>
      <c r="N598">
        <v>4.2999999999999997E-2</v>
      </c>
      <c r="O598">
        <v>5</v>
      </c>
    </row>
    <row r="599" spans="1:15" x14ac:dyDescent="0.35">
      <c r="A599" t="s">
        <v>611</v>
      </c>
      <c r="B599" s="2">
        <v>44933</v>
      </c>
      <c r="C599" s="2">
        <v>44956</v>
      </c>
      <c r="D599" t="s">
        <v>646</v>
      </c>
      <c r="E599" t="s">
        <v>661</v>
      </c>
      <c r="F599" t="s">
        <v>695</v>
      </c>
      <c r="G599" t="s">
        <v>704</v>
      </c>
      <c r="H599" t="s">
        <v>708</v>
      </c>
      <c r="I599" t="s">
        <v>720</v>
      </c>
      <c r="J599" t="s">
        <v>728</v>
      </c>
      <c r="K599" t="s">
        <v>1329</v>
      </c>
      <c r="L599">
        <v>299.02</v>
      </c>
      <c r="M599">
        <v>724.7</v>
      </c>
      <c r="N599">
        <v>0.14000000000000001</v>
      </c>
      <c r="O599">
        <v>5</v>
      </c>
    </row>
    <row r="600" spans="1:15" x14ac:dyDescent="0.35">
      <c r="A600" t="s">
        <v>612</v>
      </c>
      <c r="B600" s="2">
        <v>45726</v>
      </c>
      <c r="C600" s="2">
        <v>45751</v>
      </c>
      <c r="D600" t="s">
        <v>647</v>
      </c>
      <c r="E600" t="s">
        <v>652</v>
      </c>
      <c r="F600" t="s">
        <v>666</v>
      </c>
      <c r="G600" t="s">
        <v>701</v>
      </c>
      <c r="H600" t="s">
        <v>711</v>
      </c>
      <c r="I600" t="s">
        <v>722</v>
      </c>
      <c r="J600" t="s">
        <v>728</v>
      </c>
      <c r="K600" t="s">
        <v>1330</v>
      </c>
      <c r="L600">
        <v>783.72</v>
      </c>
      <c r="M600">
        <v>1355.94</v>
      </c>
      <c r="N600">
        <v>0.187</v>
      </c>
      <c r="O600">
        <v>4</v>
      </c>
    </row>
    <row r="601" spans="1:15" x14ac:dyDescent="0.35">
      <c r="A601" t="s">
        <v>613</v>
      </c>
      <c r="B601" s="2">
        <v>45521</v>
      </c>
      <c r="C601" s="2">
        <v>45519</v>
      </c>
      <c r="D601" t="s">
        <v>648</v>
      </c>
      <c r="E601" t="s">
        <v>655</v>
      </c>
      <c r="F601" t="s">
        <v>692</v>
      </c>
      <c r="G601" t="s">
        <v>704</v>
      </c>
      <c r="H601" t="s">
        <v>711</v>
      </c>
      <c r="I601" t="s">
        <v>724</v>
      </c>
      <c r="J601" t="s">
        <v>732</v>
      </c>
      <c r="K601" t="s">
        <v>1331</v>
      </c>
      <c r="L601">
        <v>165.3</v>
      </c>
      <c r="M601">
        <v>275.07</v>
      </c>
      <c r="N601">
        <v>0.13300000000000001</v>
      </c>
      <c r="O601">
        <v>25</v>
      </c>
    </row>
    <row r="602" spans="1:15" x14ac:dyDescent="0.35">
      <c r="A602" t="s">
        <v>614</v>
      </c>
      <c r="B602" s="2">
        <v>45360</v>
      </c>
      <c r="C602" s="2">
        <v>45373</v>
      </c>
      <c r="D602" t="s">
        <v>649</v>
      </c>
      <c r="E602" t="s">
        <v>658</v>
      </c>
      <c r="F602" t="s">
        <v>693</v>
      </c>
      <c r="G602" t="s">
        <v>704</v>
      </c>
      <c r="H602" t="s">
        <v>708</v>
      </c>
      <c r="I602" t="s">
        <v>718</v>
      </c>
      <c r="J602" t="s">
        <v>731</v>
      </c>
      <c r="K602" t="s">
        <v>1332</v>
      </c>
      <c r="L602">
        <v>985.45</v>
      </c>
      <c r="M602">
        <v>1802.44</v>
      </c>
      <c r="N602">
        <v>8.9999999999999993E-3</v>
      </c>
      <c r="O602">
        <v>19</v>
      </c>
    </row>
    <row r="603" spans="1:15" x14ac:dyDescent="0.35">
      <c r="A603" t="s">
        <v>615</v>
      </c>
      <c r="B603" s="2">
        <v>45523</v>
      </c>
      <c r="C603" s="2">
        <v>45537</v>
      </c>
      <c r="D603" t="s">
        <v>648</v>
      </c>
      <c r="E603" t="s">
        <v>653</v>
      </c>
      <c r="F603" t="s">
        <v>667</v>
      </c>
      <c r="G603" t="s">
        <v>704</v>
      </c>
      <c r="H603" t="s">
        <v>710</v>
      </c>
      <c r="I603" t="s">
        <v>712</v>
      </c>
      <c r="J603" t="s">
        <v>728</v>
      </c>
      <c r="K603" t="s">
        <v>1333</v>
      </c>
      <c r="L603">
        <v>1337.01</v>
      </c>
      <c r="M603">
        <v>1269.78</v>
      </c>
      <c r="N603">
        <v>0.16</v>
      </c>
      <c r="O603">
        <v>7</v>
      </c>
    </row>
    <row r="604" spans="1:15" x14ac:dyDescent="0.35">
      <c r="A604" t="s">
        <v>616</v>
      </c>
      <c r="B604" s="2">
        <v>45880</v>
      </c>
      <c r="C604" s="2">
        <v>45897</v>
      </c>
      <c r="D604" t="s">
        <v>649</v>
      </c>
      <c r="E604" t="s">
        <v>657</v>
      </c>
      <c r="F604" t="s">
        <v>690</v>
      </c>
      <c r="G604" t="s">
        <v>702</v>
      </c>
      <c r="H604" t="s">
        <v>708</v>
      </c>
      <c r="I604" t="s">
        <v>721</v>
      </c>
      <c r="J604" t="s">
        <v>729</v>
      </c>
      <c r="K604" t="s">
        <v>1334</v>
      </c>
      <c r="L604">
        <v>416.16</v>
      </c>
      <c r="M604">
        <v>571.9</v>
      </c>
      <c r="N604">
        <v>7.0999999999999994E-2</v>
      </c>
      <c r="O604">
        <v>2</v>
      </c>
    </row>
    <row r="605" spans="1:15" x14ac:dyDescent="0.35">
      <c r="A605" t="s">
        <v>617</v>
      </c>
      <c r="B605" s="2">
        <v>45793</v>
      </c>
      <c r="C605" s="2">
        <v>45795</v>
      </c>
      <c r="D605" t="s">
        <v>647</v>
      </c>
      <c r="E605" t="s">
        <v>652</v>
      </c>
      <c r="F605" t="s">
        <v>689</v>
      </c>
      <c r="G605" t="s">
        <v>706</v>
      </c>
      <c r="H605" t="s">
        <v>707</v>
      </c>
      <c r="I605" t="s">
        <v>713</v>
      </c>
      <c r="J605" t="s">
        <v>728</v>
      </c>
      <c r="K605" t="s">
        <v>1335</v>
      </c>
      <c r="L605">
        <v>1144.3800000000001</v>
      </c>
      <c r="M605">
        <v>2755.04</v>
      </c>
      <c r="N605">
        <v>0.15</v>
      </c>
      <c r="O605">
        <v>17</v>
      </c>
    </row>
    <row r="606" spans="1:15" x14ac:dyDescent="0.35">
      <c r="A606" t="s">
        <v>618</v>
      </c>
      <c r="B606" s="2">
        <v>45026</v>
      </c>
      <c r="C606" s="2">
        <v>45041</v>
      </c>
      <c r="D606" t="s">
        <v>649</v>
      </c>
      <c r="E606" t="s">
        <v>658</v>
      </c>
      <c r="F606" t="s">
        <v>683</v>
      </c>
      <c r="G606" t="s">
        <v>705</v>
      </c>
      <c r="H606" t="s">
        <v>707</v>
      </c>
      <c r="I606" t="s">
        <v>726</v>
      </c>
      <c r="J606" t="s">
        <v>728</v>
      </c>
      <c r="K606" t="s">
        <v>1336</v>
      </c>
      <c r="L606">
        <v>405.66</v>
      </c>
      <c r="M606">
        <v>962.51</v>
      </c>
      <c r="N606">
        <v>0.19</v>
      </c>
      <c r="O606">
        <v>7</v>
      </c>
    </row>
    <row r="607" spans="1:15" x14ac:dyDescent="0.35">
      <c r="A607" t="s">
        <v>619</v>
      </c>
      <c r="B607" s="2">
        <v>45186</v>
      </c>
      <c r="C607" s="2">
        <v>45201</v>
      </c>
      <c r="D607" t="s">
        <v>648</v>
      </c>
      <c r="E607" t="s">
        <v>655</v>
      </c>
      <c r="F607" t="s">
        <v>692</v>
      </c>
      <c r="G607" t="s">
        <v>705</v>
      </c>
      <c r="H607" t="s">
        <v>707</v>
      </c>
      <c r="I607" t="s">
        <v>717</v>
      </c>
      <c r="J607" t="s">
        <v>731</v>
      </c>
      <c r="K607" t="s">
        <v>1337</v>
      </c>
      <c r="L607">
        <v>689.33</v>
      </c>
      <c r="M607">
        <v>668.27</v>
      </c>
      <c r="N607">
        <v>0.186</v>
      </c>
      <c r="O607">
        <v>13</v>
      </c>
    </row>
    <row r="608" spans="1:15" x14ac:dyDescent="0.35">
      <c r="A608" t="s">
        <v>620</v>
      </c>
      <c r="B608" s="2">
        <v>45038</v>
      </c>
      <c r="C608" s="2">
        <v>45060</v>
      </c>
      <c r="D608" t="s">
        <v>647</v>
      </c>
      <c r="E608" t="s">
        <v>652</v>
      </c>
      <c r="F608" t="s">
        <v>694</v>
      </c>
      <c r="G608" t="s">
        <v>706</v>
      </c>
      <c r="H608" t="s">
        <v>707</v>
      </c>
      <c r="I608" t="s">
        <v>720</v>
      </c>
      <c r="J608" t="s">
        <v>733</v>
      </c>
      <c r="K608" t="s">
        <v>1338</v>
      </c>
      <c r="L608">
        <v>1209.22</v>
      </c>
      <c r="M608">
        <v>1404.33</v>
      </c>
      <c r="N608">
        <v>0.10299999999999999</v>
      </c>
      <c r="O608">
        <v>11</v>
      </c>
    </row>
    <row r="609" spans="1:15" x14ac:dyDescent="0.35">
      <c r="A609" t="s">
        <v>621</v>
      </c>
      <c r="B609" s="2">
        <v>45827</v>
      </c>
      <c r="C609" s="2">
        <v>45829</v>
      </c>
      <c r="D609" t="s">
        <v>646</v>
      </c>
      <c r="E609" t="s">
        <v>661</v>
      </c>
      <c r="F609" t="s">
        <v>682</v>
      </c>
      <c r="G609" t="s">
        <v>705</v>
      </c>
      <c r="I609" t="s">
        <v>722</v>
      </c>
      <c r="J609" t="s">
        <v>730</v>
      </c>
      <c r="K609" t="s">
        <v>1339</v>
      </c>
      <c r="L609">
        <v>1466.27</v>
      </c>
      <c r="M609">
        <v>3589.89</v>
      </c>
      <c r="N609">
        <v>9.7000000000000003E-2</v>
      </c>
      <c r="O609">
        <v>9</v>
      </c>
    </row>
    <row r="610" spans="1:15" x14ac:dyDescent="0.35">
      <c r="A610" t="s">
        <v>622</v>
      </c>
      <c r="B610" s="2">
        <v>45623</v>
      </c>
      <c r="C610" s="2">
        <v>45650</v>
      </c>
      <c r="D610" t="s">
        <v>646</v>
      </c>
      <c r="E610" t="s">
        <v>650</v>
      </c>
      <c r="F610" t="s">
        <v>675</v>
      </c>
      <c r="G610" t="s">
        <v>701</v>
      </c>
      <c r="H610" t="s">
        <v>710</v>
      </c>
      <c r="I610" t="s">
        <v>717</v>
      </c>
      <c r="J610" t="s">
        <v>728</v>
      </c>
      <c r="K610" t="s">
        <v>1340</v>
      </c>
      <c r="L610">
        <v>143.33000000000001</v>
      </c>
      <c r="M610">
        <v>233.51</v>
      </c>
      <c r="N610">
        <v>0.16300000000000001</v>
      </c>
      <c r="O610">
        <v>14</v>
      </c>
    </row>
    <row r="611" spans="1:15" x14ac:dyDescent="0.35">
      <c r="A611" t="s">
        <v>623</v>
      </c>
      <c r="B611" s="2">
        <v>45319</v>
      </c>
      <c r="C611" s="2">
        <v>45318</v>
      </c>
      <c r="D611" t="s">
        <v>646</v>
      </c>
      <c r="E611" t="s">
        <v>661</v>
      </c>
      <c r="F611" t="s">
        <v>695</v>
      </c>
      <c r="G611" t="s">
        <v>706</v>
      </c>
      <c r="H611" t="s">
        <v>711</v>
      </c>
      <c r="I611" t="s">
        <v>719</v>
      </c>
      <c r="J611" t="s">
        <v>727</v>
      </c>
      <c r="K611" t="s">
        <v>1341</v>
      </c>
      <c r="L611">
        <v>109.75</v>
      </c>
      <c r="M611">
        <v>124.25</v>
      </c>
      <c r="N611">
        <v>0.12</v>
      </c>
      <c r="O611">
        <v>19</v>
      </c>
    </row>
    <row r="612" spans="1:15" x14ac:dyDescent="0.35">
      <c r="A612" t="s">
        <v>624</v>
      </c>
      <c r="B612" s="2">
        <v>45032</v>
      </c>
      <c r="C612" s="2">
        <v>45039</v>
      </c>
      <c r="D612" t="s">
        <v>648</v>
      </c>
      <c r="E612" t="s">
        <v>660</v>
      </c>
      <c r="F612" t="s">
        <v>697</v>
      </c>
      <c r="G612" t="s">
        <v>701</v>
      </c>
      <c r="H612" t="s">
        <v>710</v>
      </c>
      <c r="I612" t="s">
        <v>719</v>
      </c>
      <c r="J612" t="s">
        <v>728</v>
      </c>
      <c r="K612" t="s">
        <v>1342</v>
      </c>
      <c r="L612">
        <v>1099.1500000000001</v>
      </c>
      <c r="M612">
        <v>1431.37</v>
      </c>
      <c r="N612">
        <v>0.104</v>
      </c>
      <c r="O612">
        <v>8</v>
      </c>
    </row>
    <row r="613" spans="1:15" x14ac:dyDescent="0.35">
      <c r="A613" t="s">
        <v>625</v>
      </c>
      <c r="B613" s="2">
        <v>45323</v>
      </c>
      <c r="C613" s="2">
        <v>45323</v>
      </c>
      <c r="D613" t="s">
        <v>648</v>
      </c>
      <c r="E613" t="s">
        <v>660</v>
      </c>
      <c r="F613" t="s">
        <v>697</v>
      </c>
      <c r="G613" t="s">
        <v>704</v>
      </c>
      <c r="H613" t="s">
        <v>710</v>
      </c>
      <c r="I613" t="s">
        <v>722</v>
      </c>
      <c r="J613" t="s">
        <v>728</v>
      </c>
      <c r="K613" t="s">
        <v>1343</v>
      </c>
      <c r="L613">
        <v>714.43</v>
      </c>
      <c r="M613">
        <v>1595.52</v>
      </c>
      <c r="N613">
        <v>0.19400000000000001</v>
      </c>
      <c r="O613">
        <v>14</v>
      </c>
    </row>
    <row r="614" spans="1:15" x14ac:dyDescent="0.35">
      <c r="A614" t="s">
        <v>626</v>
      </c>
      <c r="B614" s="2">
        <v>45584</v>
      </c>
      <c r="C614" s="2">
        <v>45602</v>
      </c>
      <c r="D614" t="s">
        <v>648</v>
      </c>
      <c r="E614" t="s">
        <v>660</v>
      </c>
      <c r="F614" t="s">
        <v>677</v>
      </c>
      <c r="G614" t="s">
        <v>702</v>
      </c>
      <c r="I614" t="s">
        <v>712</v>
      </c>
      <c r="J614" t="s">
        <v>732</v>
      </c>
      <c r="K614" t="s">
        <v>1344</v>
      </c>
      <c r="L614">
        <v>942.02</v>
      </c>
      <c r="M614">
        <v>1028.46</v>
      </c>
      <c r="N614">
        <v>0</v>
      </c>
      <c r="O614">
        <v>9</v>
      </c>
    </row>
    <row r="615" spans="1:15" x14ac:dyDescent="0.35">
      <c r="A615" t="s">
        <v>627</v>
      </c>
      <c r="B615" s="2">
        <v>45468</v>
      </c>
      <c r="C615" s="2">
        <v>45473</v>
      </c>
      <c r="D615" t="s">
        <v>646</v>
      </c>
      <c r="E615" t="s">
        <v>650</v>
      </c>
      <c r="F615" t="s">
        <v>662</v>
      </c>
      <c r="G615" t="s">
        <v>702</v>
      </c>
      <c r="H615" t="s">
        <v>711</v>
      </c>
      <c r="I615" t="s">
        <v>724</v>
      </c>
      <c r="J615" t="s">
        <v>729</v>
      </c>
      <c r="K615" t="s">
        <v>1345</v>
      </c>
      <c r="L615">
        <v>1323.55</v>
      </c>
      <c r="M615">
        <v>3230.35</v>
      </c>
      <c r="N615">
        <v>2.1999999999999999E-2</v>
      </c>
      <c r="O615">
        <v>26</v>
      </c>
    </row>
    <row r="616" spans="1:15" x14ac:dyDescent="0.35">
      <c r="A616" t="s">
        <v>628</v>
      </c>
      <c r="B616" s="2">
        <v>45137</v>
      </c>
      <c r="C616" s="2">
        <v>45157</v>
      </c>
      <c r="D616" t="s">
        <v>649</v>
      </c>
      <c r="E616" t="s">
        <v>657</v>
      </c>
      <c r="F616" t="s">
        <v>690</v>
      </c>
      <c r="G616" t="s">
        <v>706</v>
      </c>
      <c r="H616" t="s">
        <v>709</v>
      </c>
      <c r="I616" t="s">
        <v>715</v>
      </c>
      <c r="J616" t="s">
        <v>729</v>
      </c>
      <c r="K616" t="s">
        <v>1346</v>
      </c>
      <c r="L616">
        <v>1418.51</v>
      </c>
      <c r="M616">
        <v>2789.61</v>
      </c>
      <c r="N616">
        <v>0.17100000000000001</v>
      </c>
      <c r="O616">
        <v>8</v>
      </c>
    </row>
    <row r="617" spans="1:15" x14ac:dyDescent="0.35">
      <c r="A617" t="s">
        <v>629</v>
      </c>
      <c r="B617" s="2">
        <v>45727</v>
      </c>
      <c r="C617" s="2">
        <v>45743</v>
      </c>
      <c r="D617" t="s">
        <v>647</v>
      </c>
      <c r="E617" t="s">
        <v>652</v>
      </c>
      <c r="F617" t="s">
        <v>689</v>
      </c>
      <c r="G617" t="s">
        <v>706</v>
      </c>
      <c r="H617" t="s">
        <v>710</v>
      </c>
      <c r="I617" t="s">
        <v>717</v>
      </c>
      <c r="J617" t="s">
        <v>728</v>
      </c>
      <c r="K617" t="s">
        <v>1347</v>
      </c>
      <c r="L617">
        <v>1317.58</v>
      </c>
      <c r="M617">
        <v>1897.74</v>
      </c>
      <c r="N617">
        <v>8.1000000000000003E-2</v>
      </c>
      <c r="O617">
        <v>6</v>
      </c>
    </row>
    <row r="618" spans="1:15" x14ac:dyDescent="0.35">
      <c r="A618" t="s">
        <v>630</v>
      </c>
      <c r="B618" s="2">
        <v>45208</v>
      </c>
      <c r="C618" s="2">
        <v>45210</v>
      </c>
      <c r="D618" t="s">
        <v>646</v>
      </c>
      <c r="E618" t="s">
        <v>651</v>
      </c>
      <c r="F618" t="s">
        <v>663</v>
      </c>
      <c r="G618" t="s">
        <v>702</v>
      </c>
      <c r="H618" t="s">
        <v>709</v>
      </c>
      <c r="I618" t="s">
        <v>723</v>
      </c>
      <c r="J618" t="s">
        <v>729</v>
      </c>
      <c r="K618" t="s">
        <v>1348</v>
      </c>
      <c r="L618">
        <v>391.16</v>
      </c>
      <c r="M618">
        <v>902.47</v>
      </c>
      <c r="N618">
        <v>4.0000000000000001E-3</v>
      </c>
      <c r="O618">
        <v>12</v>
      </c>
    </row>
    <row r="619" spans="1:15" x14ac:dyDescent="0.35">
      <c r="A619" t="s">
        <v>631</v>
      </c>
      <c r="B619" s="2">
        <v>45643</v>
      </c>
      <c r="C619" s="2">
        <v>45673</v>
      </c>
      <c r="D619" t="s">
        <v>649</v>
      </c>
      <c r="E619" t="s">
        <v>658</v>
      </c>
      <c r="F619" t="s">
        <v>693</v>
      </c>
      <c r="G619" t="s">
        <v>701</v>
      </c>
      <c r="H619" t="s">
        <v>707</v>
      </c>
      <c r="I619" t="s">
        <v>726</v>
      </c>
      <c r="J619" t="s">
        <v>732</v>
      </c>
      <c r="K619" t="s">
        <v>1349</v>
      </c>
      <c r="L619">
        <v>722.87</v>
      </c>
      <c r="M619">
        <v>-33.659999999999997</v>
      </c>
      <c r="N619">
        <v>0.10199999999999999</v>
      </c>
      <c r="O619">
        <v>28</v>
      </c>
    </row>
    <row r="620" spans="1:15" x14ac:dyDescent="0.35">
      <c r="A620" t="s">
        <v>632</v>
      </c>
      <c r="B620" s="2">
        <v>45849</v>
      </c>
      <c r="C620" s="2">
        <v>45854</v>
      </c>
      <c r="D620" t="s">
        <v>649</v>
      </c>
      <c r="E620" t="s">
        <v>658</v>
      </c>
      <c r="F620" t="s">
        <v>683</v>
      </c>
      <c r="G620" t="s">
        <v>706</v>
      </c>
      <c r="H620" t="s">
        <v>708</v>
      </c>
      <c r="I620" t="s">
        <v>723</v>
      </c>
      <c r="J620" t="s">
        <v>728</v>
      </c>
      <c r="K620" t="s">
        <v>1350</v>
      </c>
      <c r="L620">
        <v>930.03</v>
      </c>
      <c r="M620">
        <v>1086.68</v>
      </c>
      <c r="N620">
        <v>0.109</v>
      </c>
      <c r="O620">
        <v>26</v>
      </c>
    </row>
    <row r="621" spans="1:15" x14ac:dyDescent="0.35">
      <c r="A621" t="s">
        <v>633</v>
      </c>
      <c r="B621" s="2">
        <v>45578</v>
      </c>
      <c r="C621" s="2">
        <v>45589</v>
      </c>
      <c r="D621" t="s">
        <v>649</v>
      </c>
      <c r="E621" t="s">
        <v>657</v>
      </c>
      <c r="F621" t="s">
        <v>690</v>
      </c>
      <c r="G621" t="s">
        <v>702</v>
      </c>
      <c r="H621" t="s">
        <v>710</v>
      </c>
      <c r="I621" t="s">
        <v>721</v>
      </c>
      <c r="J621" t="s">
        <v>727</v>
      </c>
      <c r="K621" t="s">
        <v>1351</v>
      </c>
      <c r="L621">
        <v>816.7</v>
      </c>
      <c r="M621">
        <v>1010.75</v>
      </c>
      <c r="N621">
        <v>4.7E-2</v>
      </c>
      <c r="O621">
        <v>43</v>
      </c>
    </row>
    <row r="622" spans="1:15" x14ac:dyDescent="0.35">
      <c r="A622" t="s">
        <v>634</v>
      </c>
      <c r="B622" s="2">
        <v>45177</v>
      </c>
      <c r="C622" s="2">
        <v>45183</v>
      </c>
      <c r="D622" t="s">
        <v>646</v>
      </c>
      <c r="E622" t="s">
        <v>650</v>
      </c>
      <c r="F622" t="s">
        <v>678</v>
      </c>
      <c r="G622" t="s">
        <v>702</v>
      </c>
      <c r="H622" t="s">
        <v>711</v>
      </c>
      <c r="I622" t="s">
        <v>714</v>
      </c>
      <c r="J622" t="s">
        <v>733</v>
      </c>
      <c r="K622" t="s">
        <v>1352</v>
      </c>
      <c r="L622">
        <v>251.03</v>
      </c>
      <c r="M622">
        <v>411.48</v>
      </c>
      <c r="N622">
        <v>0.16500000000000001</v>
      </c>
      <c r="O622">
        <v>3</v>
      </c>
    </row>
    <row r="623" spans="1:15" x14ac:dyDescent="0.35">
      <c r="A623" t="s">
        <v>635</v>
      </c>
      <c r="B623" s="2">
        <v>45764</v>
      </c>
      <c r="C623" s="2">
        <v>45780</v>
      </c>
      <c r="D623" t="s">
        <v>648</v>
      </c>
      <c r="E623" t="s">
        <v>655</v>
      </c>
      <c r="F623" t="s">
        <v>692</v>
      </c>
      <c r="G623" t="s">
        <v>704</v>
      </c>
      <c r="H623" t="s">
        <v>709</v>
      </c>
      <c r="I623" t="s">
        <v>713</v>
      </c>
      <c r="J623" t="s">
        <v>729</v>
      </c>
      <c r="K623" t="s">
        <v>1353</v>
      </c>
      <c r="L623">
        <v>168.68</v>
      </c>
      <c r="M623">
        <v>413.34</v>
      </c>
      <c r="N623">
        <v>0.186</v>
      </c>
      <c r="O623">
        <v>7</v>
      </c>
    </row>
    <row r="624" spans="1:15" x14ac:dyDescent="0.35">
      <c r="A624" t="s">
        <v>636</v>
      </c>
      <c r="B624" s="2">
        <v>45501</v>
      </c>
      <c r="C624" s="2">
        <v>45527</v>
      </c>
      <c r="D624" t="s">
        <v>647</v>
      </c>
      <c r="E624" t="s">
        <v>654</v>
      </c>
      <c r="F624" t="s">
        <v>696</v>
      </c>
      <c r="G624" t="s">
        <v>701</v>
      </c>
      <c r="H624" t="s">
        <v>707</v>
      </c>
      <c r="I624" t="s">
        <v>713</v>
      </c>
      <c r="J624" t="s">
        <v>729</v>
      </c>
      <c r="K624" t="s">
        <v>1354</v>
      </c>
      <c r="L624">
        <v>1339.24</v>
      </c>
      <c r="M624">
        <v>1558.89</v>
      </c>
      <c r="N624">
        <v>0.192</v>
      </c>
      <c r="O624">
        <v>24</v>
      </c>
    </row>
    <row r="625" spans="1:15" x14ac:dyDescent="0.35">
      <c r="A625" t="s">
        <v>637</v>
      </c>
      <c r="B625" s="2">
        <v>45857</v>
      </c>
      <c r="C625" s="2">
        <v>45869</v>
      </c>
      <c r="D625" t="s">
        <v>646</v>
      </c>
      <c r="E625" t="s">
        <v>650</v>
      </c>
      <c r="F625" t="s">
        <v>664</v>
      </c>
      <c r="G625" t="s">
        <v>705</v>
      </c>
      <c r="H625" t="s">
        <v>709</v>
      </c>
      <c r="I625" t="s">
        <v>719</v>
      </c>
      <c r="J625" t="s">
        <v>733</v>
      </c>
      <c r="K625" t="s">
        <v>1355</v>
      </c>
      <c r="L625">
        <v>619.64</v>
      </c>
      <c r="M625">
        <v>861.16</v>
      </c>
      <c r="N625">
        <v>0.113</v>
      </c>
      <c r="O625">
        <v>14</v>
      </c>
    </row>
    <row r="626" spans="1:15" x14ac:dyDescent="0.35">
      <c r="A626" t="s">
        <v>638</v>
      </c>
      <c r="B626" s="2">
        <v>45141</v>
      </c>
      <c r="C626" s="2">
        <v>45140</v>
      </c>
      <c r="D626" t="s">
        <v>647</v>
      </c>
      <c r="E626" t="s">
        <v>659</v>
      </c>
      <c r="F626" t="s">
        <v>685</v>
      </c>
      <c r="G626" t="s">
        <v>703</v>
      </c>
      <c r="H626" t="s">
        <v>711</v>
      </c>
      <c r="I626" t="s">
        <v>713</v>
      </c>
      <c r="J626" t="s">
        <v>729</v>
      </c>
      <c r="K626" t="s">
        <v>1356</v>
      </c>
      <c r="L626">
        <v>1021.97</v>
      </c>
      <c r="M626">
        <v>2296.25</v>
      </c>
      <c r="N626">
        <v>0.161</v>
      </c>
      <c r="O626">
        <v>26</v>
      </c>
    </row>
    <row r="627" spans="1:15" x14ac:dyDescent="0.35">
      <c r="A627" t="s">
        <v>639</v>
      </c>
      <c r="B627" s="2">
        <v>45249</v>
      </c>
      <c r="C627" s="2">
        <v>45272</v>
      </c>
      <c r="D627" t="s">
        <v>647</v>
      </c>
      <c r="E627" t="s">
        <v>654</v>
      </c>
      <c r="F627" t="s">
        <v>680</v>
      </c>
      <c r="G627" t="s">
        <v>705</v>
      </c>
      <c r="H627" t="s">
        <v>711</v>
      </c>
      <c r="I627" t="s">
        <v>712</v>
      </c>
      <c r="J627" t="s">
        <v>729</v>
      </c>
      <c r="K627" t="s">
        <v>1357</v>
      </c>
      <c r="L627">
        <v>1349.04</v>
      </c>
      <c r="M627">
        <v>2636.6</v>
      </c>
      <c r="N627">
        <v>0.114</v>
      </c>
      <c r="O627">
        <v>14</v>
      </c>
    </row>
    <row r="628" spans="1:15" x14ac:dyDescent="0.35">
      <c r="A628" t="s">
        <v>640</v>
      </c>
      <c r="B628" s="2">
        <v>45282</v>
      </c>
      <c r="C628" s="2">
        <v>45307</v>
      </c>
      <c r="D628" t="s">
        <v>647</v>
      </c>
      <c r="E628" t="s">
        <v>654</v>
      </c>
      <c r="F628" t="s">
        <v>696</v>
      </c>
      <c r="G628" t="s">
        <v>705</v>
      </c>
      <c r="H628" t="s">
        <v>707</v>
      </c>
      <c r="I628" t="s">
        <v>720</v>
      </c>
      <c r="J628" t="s">
        <v>727</v>
      </c>
      <c r="K628" t="s">
        <v>1358</v>
      </c>
      <c r="L628">
        <v>1346.81</v>
      </c>
      <c r="M628">
        <v>978.09</v>
      </c>
      <c r="N628">
        <v>0.159</v>
      </c>
      <c r="O628">
        <v>17</v>
      </c>
    </row>
    <row r="629" spans="1:15" x14ac:dyDescent="0.35">
      <c r="A629" t="s">
        <v>641</v>
      </c>
      <c r="B629" s="2">
        <v>45141</v>
      </c>
      <c r="C629" s="2">
        <v>45168</v>
      </c>
      <c r="D629" t="s">
        <v>647</v>
      </c>
      <c r="E629" t="s">
        <v>659</v>
      </c>
      <c r="F629" t="s">
        <v>685</v>
      </c>
      <c r="G629" t="s">
        <v>704</v>
      </c>
      <c r="H629" t="s">
        <v>710</v>
      </c>
      <c r="I629" t="s">
        <v>725</v>
      </c>
      <c r="J629" t="s">
        <v>732</v>
      </c>
      <c r="K629" t="s">
        <v>1359</v>
      </c>
      <c r="L629">
        <v>226.04</v>
      </c>
      <c r="M629">
        <v>545.72</v>
      </c>
      <c r="N629">
        <v>0.151</v>
      </c>
      <c r="O629">
        <v>11</v>
      </c>
    </row>
    <row r="630" spans="1:15" x14ac:dyDescent="0.35">
      <c r="A630" t="s">
        <v>642</v>
      </c>
      <c r="B630" s="2">
        <v>45100</v>
      </c>
      <c r="C630" s="2">
        <v>45125</v>
      </c>
      <c r="D630" t="s">
        <v>648</v>
      </c>
      <c r="E630" t="s">
        <v>653</v>
      </c>
      <c r="F630" t="s">
        <v>688</v>
      </c>
      <c r="G630" t="s">
        <v>706</v>
      </c>
      <c r="H630" t="s">
        <v>708</v>
      </c>
      <c r="I630" t="s">
        <v>725</v>
      </c>
      <c r="J630" t="s">
        <v>730</v>
      </c>
      <c r="K630" t="s">
        <v>1360</v>
      </c>
      <c r="L630">
        <v>807.02</v>
      </c>
      <c r="M630">
        <v>1435.54</v>
      </c>
      <c r="N630">
        <v>0</v>
      </c>
      <c r="O630">
        <v>23</v>
      </c>
    </row>
    <row r="631" spans="1:15" x14ac:dyDescent="0.35">
      <c r="A631" t="s">
        <v>643</v>
      </c>
      <c r="B631" s="2">
        <v>45267</v>
      </c>
      <c r="C631" s="2">
        <v>45293</v>
      </c>
      <c r="D631" t="s">
        <v>649</v>
      </c>
      <c r="E631" t="s">
        <v>656</v>
      </c>
      <c r="F631" t="s">
        <v>698</v>
      </c>
      <c r="G631" t="s">
        <v>706</v>
      </c>
      <c r="H631" t="s">
        <v>710</v>
      </c>
      <c r="I631" t="s">
        <v>718</v>
      </c>
      <c r="J631" t="s">
        <v>727</v>
      </c>
      <c r="K631" t="s">
        <v>1361</v>
      </c>
      <c r="L631">
        <v>1071.99</v>
      </c>
      <c r="M631">
        <v>2397.3000000000002</v>
      </c>
      <c r="N631">
        <v>6.2E-2</v>
      </c>
      <c r="O631">
        <v>18</v>
      </c>
    </row>
    <row r="632" spans="1:15" x14ac:dyDescent="0.35">
      <c r="A632" t="s">
        <v>644</v>
      </c>
      <c r="B632" s="2">
        <v>45249</v>
      </c>
      <c r="C632" s="2">
        <v>45279</v>
      </c>
      <c r="D632" t="s">
        <v>647</v>
      </c>
      <c r="E632" t="s">
        <v>652</v>
      </c>
      <c r="F632" t="s">
        <v>694</v>
      </c>
      <c r="G632" t="s">
        <v>704</v>
      </c>
      <c r="H632" t="s">
        <v>707</v>
      </c>
      <c r="J632" t="s">
        <v>730</v>
      </c>
      <c r="K632" t="s">
        <v>1362</v>
      </c>
      <c r="L632">
        <v>807.11</v>
      </c>
      <c r="M632">
        <v>1853.86</v>
      </c>
      <c r="N632">
        <v>0.13900000000000001</v>
      </c>
      <c r="O632">
        <v>8</v>
      </c>
    </row>
    <row r="633" spans="1:15" x14ac:dyDescent="0.35">
      <c r="A633" t="s">
        <v>645</v>
      </c>
      <c r="B633" s="2">
        <v>45716</v>
      </c>
      <c r="C633" s="2">
        <v>45726</v>
      </c>
      <c r="D633" t="s">
        <v>647</v>
      </c>
      <c r="E633" t="s">
        <v>652</v>
      </c>
      <c r="F633" t="s">
        <v>666</v>
      </c>
      <c r="G633" t="s">
        <v>702</v>
      </c>
      <c r="H633" t="s">
        <v>710</v>
      </c>
      <c r="I633" t="s">
        <v>725</v>
      </c>
      <c r="J633" t="s">
        <v>731</v>
      </c>
      <c r="K633" t="s">
        <v>1363</v>
      </c>
      <c r="L633">
        <v>51.86</v>
      </c>
      <c r="M633">
        <v>45.98</v>
      </c>
      <c r="N633">
        <v>0.17299999999999999</v>
      </c>
      <c r="O633">
        <v>7</v>
      </c>
    </row>
  </sheetData>
  <conditionalFormatting sqref="A1:A1048576">
    <cfRule type="duplicateValues" dxfId="278"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7"/>
  <sheetViews>
    <sheetView topLeftCell="A51" workbookViewId="0">
      <selection activeCell="I62" sqref="A62:I62"/>
    </sheetView>
  </sheetViews>
  <sheetFormatPr defaultRowHeight="14.5" x14ac:dyDescent="0.35"/>
  <sheetData>
    <row r="1" spans="1:1" x14ac:dyDescent="0.35">
      <c r="A1" s="1" t="s">
        <v>1364</v>
      </c>
    </row>
    <row r="2" spans="1:1" x14ac:dyDescent="0.35">
      <c r="A2" t="s">
        <v>1365</v>
      </c>
    </row>
    <row r="4" spans="1:1" x14ac:dyDescent="0.35">
      <c r="A4" t="s">
        <v>1366</v>
      </c>
    </row>
    <row r="5" spans="1:1" x14ac:dyDescent="0.35">
      <c r="A5" t="s">
        <v>1367</v>
      </c>
    </row>
    <row r="6" spans="1:1" x14ac:dyDescent="0.35">
      <c r="A6" t="s">
        <v>1368</v>
      </c>
    </row>
    <row r="8" spans="1:1" x14ac:dyDescent="0.35">
      <c r="A8" t="s">
        <v>1369</v>
      </c>
    </row>
    <row r="9" spans="1:1" x14ac:dyDescent="0.35">
      <c r="A9" t="s">
        <v>1370</v>
      </c>
    </row>
    <row r="10" spans="1:1" x14ac:dyDescent="0.35">
      <c r="A10" t="s">
        <v>1371</v>
      </c>
    </row>
    <row r="11" spans="1:1" x14ac:dyDescent="0.35">
      <c r="A11" t="s">
        <v>1372</v>
      </c>
    </row>
    <row r="12" spans="1:1" x14ac:dyDescent="0.35">
      <c r="A12" t="s">
        <v>1373</v>
      </c>
    </row>
    <row r="13" spans="1:1" x14ac:dyDescent="0.35">
      <c r="A13" t="s">
        <v>1374</v>
      </c>
    </row>
    <row r="14" spans="1:1" x14ac:dyDescent="0.35">
      <c r="A14" t="s">
        <v>1375</v>
      </c>
    </row>
    <row r="15" spans="1:1" x14ac:dyDescent="0.35">
      <c r="A15" t="s">
        <v>1376</v>
      </c>
    </row>
    <row r="17" spans="1:1" x14ac:dyDescent="0.35">
      <c r="A17" t="s">
        <v>1377</v>
      </c>
    </row>
    <row r="18" spans="1:1" x14ac:dyDescent="0.35">
      <c r="A18" t="s">
        <v>1378</v>
      </c>
    </row>
    <row r="19" spans="1:1" x14ac:dyDescent="0.35">
      <c r="A19" t="s">
        <v>1379</v>
      </c>
    </row>
    <row r="20" spans="1:1" x14ac:dyDescent="0.35">
      <c r="A20" t="s">
        <v>1380</v>
      </c>
    </row>
    <row r="21" spans="1:1" x14ac:dyDescent="0.35">
      <c r="A21" t="s">
        <v>1381</v>
      </c>
    </row>
    <row r="23" spans="1:1" x14ac:dyDescent="0.35">
      <c r="A23" t="s">
        <v>1382</v>
      </c>
    </row>
    <row r="24" spans="1:1" x14ac:dyDescent="0.35">
      <c r="A24" t="s">
        <v>1383</v>
      </c>
    </row>
    <row r="25" spans="1:1" x14ac:dyDescent="0.35">
      <c r="A25" t="s">
        <v>1384</v>
      </c>
    </row>
    <row r="26" spans="1:1" x14ac:dyDescent="0.35">
      <c r="A26" t="s">
        <v>1385</v>
      </c>
    </row>
    <row r="27" spans="1:1" x14ac:dyDescent="0.35">
      <c r="A27" t="s">
        <v>1386</v>
      </c>
    </row>
    <row r="29" spans="1:1" x14ac:dyDescent="0.35">
      <c r="A29" t="s">
        <v>1387</v>
      </c>
    </row>
    <row r="30" spans="1:1" x14ac:dyDescent="0.35">
      <c r="A30" t="s">
        <v>1388</v>
      </c>
    </row>
    <row r="31" spans="1:1" x14ac:dyDescent="0.35">
      <c r="A31" t="s">
        <v>1389</v>
      </c>
    </row>
    <row r="32" spans="1:1" x14ac:dyDescent="0.35">
      <c r="A32" t="s">
        <v>1390</v>
      </c>
    </row>
    <row r="33" spans="1:1" x14ac:dyDescent="0.35">
      <c r="A33" t="s">
        <v>1391</v>
      </c>
    </row>
    <row r="34" spans="1:1" x14ac:dyDescent="0.35">
      <c r="A34" t="s">
        <v>1392</v>
      </c>
    </row>
    <row r="35" spans="1:1" x14ac:dyDescent="0.35">
      <c r="A35" t="s">
        <v>1393</v>
      </c>
    </row>
    <row r="36" spans="1:1" x14ac:dyDescent="0.35">
      <c r="A36" t="s">
        <v>1394</v>
      </c>
    </row>
    <row r="37" spans="1:1" x14ac:dyDescent="0.35">
      <c r="A37" t="s">
        <v>1395</v>
      </c>
    </row>
    <row r="38" spans="1:1" x14ac:dyDescent="0.35">
      <c r="A38" t="s">
        <v>1396</v>
      </c>
    </row>
    <row r="39" spans="1:1" x14ac:dyDescent="0.35">
      <c r="A39" t="s">
        <v>1397</v>
      </c>
    </row>
    <row r="40" spans="1:1" x14ac:dyDescent="0.35">
      <c r="A40" t="s">
        <v>1398</v>
      </c>
    </row>
    <row r="41" spans="1:1" x14ac:dyDescent="0.35">
      <c r="A41" t="s">
        <v>1399</v>
      </c>
    </row>
    <row r="43" spans="1:1" x14ac:dyDescent="0.35">
      <c r="A43" t="s">
        <v>1400</v>
      </c>
    </row>
    <row r="44" spans="1:1" x14ac:dyDescent="0.35">
      <c r="A44" t="s">
        <v>1401</v>
      </c>
    </row>
    <row r="45" spans="1:1" x14ac:dyDescent="0.35">
      <c r="A45" t="s">
        <v>1402</v>
      </c>
    </row>
    <row r="46" spans="1:1" x14ac:dyDescent="0.35">
      <c r="A46" t="s">
        <v>1403</v>
      </c>
    </row>
    <row r="47" spans="1:1" x14ac:dyDescent="0.35">
      <c r="A47" t="s">
        <v>1404</v>
      </c>
    </row>
    <row r="48" spans="1:1" x14ac:dyDescent="0.35">
      <c r="A48" t="s">
        <v>1405</v>
      </c>
    </row>
    <row r="50" spans="1:1" x14ac:dyDescent="0.35">
      <c r="A50" t="s">
        <v>1406</v>
      </c>
    </row>
    <row r="51" spans="1:1" x14ac:dyDescent="0.35">
      <c r="A51" t="s">
        <v>1407</v>
      </c>
    </row>
    <row r="52" spans="1:1" x14ac:dyDescent="0.35">
      <c r="A52" t="s">
        <v>1408</v>
      </c>
    </row>
    <row r="53" spans="1:1" x14ac:dyDescent="0.35">
      <c r="A53" t="s">
        <v>1409</v>
      </c>
    </row>
    <row r="54" spans="1:1" x14ac:dyDescent="0.35">
      <c r="A54" t="s">
        <v>1410</v>
      </c>
    </row>
    <row r="55" spans="1:1" x14ac:dyDescent="0.35">
      <c r="A55" t="s">
        <v>1411</v>
      </c>
    </row>
    <row r="56" spans="1:1" x14ac:dyDescent="0.35">
      <c r="A56" t="s">
        <v>1412</v>
      </c>
    </row>
    <row r="57" spans="1:1" x14ac:dyDescent="0.35">
      <c r="A57" t="s">
        <v>1413</v>
      </c>
    </row>
    <row r="58" spans="1:1" x14ac:dyDescent="0.35">
      <c r="A58" t="s">
        <v>1414</v>
      </c>
    </row>
    <row r="59" spans="1:1" x14ac:dyDescent="0.35">
      <c r="A59" t="s">
        <v>1415</v>
      </c>
    </row>
    <row r="61" spans="1:1" x14ac:dyDescent="0.35">
      <c r="A61" t="s">
        <v>1416</v>
      </c>
    </row>
    <row r="62" spans="1:1" x14ac:dyDescent="0.35">
      <c r="A62" t="s">
        <v>1417</v>
      </c>
    </row>
    <row r="64" spans="1:1" x14ac:dyDescent="0.35">
      <c r="A64" t="s">
        <v>1418</v>
      </c>
    </row>
    <row r="65" spans="1:1" x14ac:dyDescent="0.35">
      <c r="A65" t="s">
        <v>1419</v>
      </c>
    </row>
    <row r="66" spans="1:1" x14ac:dyDescent="0.35">
      <c r="A66" t="s">
        <v>1420</v>
      </c>
    </row>
    <row r="67" spans="1:1" x14ac:dyDescent="0.35">
      <c r="A67" t="s">
        <v>1421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184B5-4CA0-40F2-90C8-D842A4D04D24}">
  <dimension ref="A1:X632"/>
  <sheetViews>
    <sheetView topLeftCell="P19" workbookViewId="0">
      <selection activeCell="V1" sqref="V1:V1048576"/>
    </sheetView>
  </sheetViews>
  <sheetFormatPr defaultRowHeight="14.5" x14ac:dyDescent="0.35"/>
  <cols>
    <col min="1" max="1" width="17.6328125" style="4" customWidth="1"/>
    <col min="2" max="2" width="15.90625" style="5" customWidth="1"/>
    <col min="3" max="3" width="12.54296875" style="7" customWidth="1"/>
    <col min="4" max="4" width="16.90625" style="7" bestFit="1" customWidth="1"/>
    <col min="5" max="5" width="18.81640625" style="7" bestFit="1" customWidth="1"/>
    <col min="6" max="6" width="19.90625" style="7" customWidth="1"/>
    <col min="7" max="7" width="19.90625" customWidth="1"/>
    <col min="8" max="8" width="8.453125" bestFit="1" customWidth="1"/>
    <col min="9" max="9" width="14.1796875" bestFit="1" customWidth="1"/>
    <col min="10" max="10" width="12.453125" bestFit="1" customWidth="1"/>
    <col min="11" max="11" width="12.453125" customWidth="1"/>
    <col min="12" max="12" width="16.36328125" bestFit="1" customWidth="1"/>
    <col min="13" max="13" width="11.1796875" bestFit="1" customWidth="1"/>
    <col min="14" max="14" width="12" bestFit="1" customWidth="1"/>
    <col min="15" max="15" width="10.81640625" bestFit="1" customWidth="1"/>
    <col min="16" max="16" width="15.26953125" bestFit="1" customWidth="1"/>
    <col min="17" max="17" width="15" bestFit="1" customWidth="1"/>
    <col min="18" max="18" width="9.81640625" bestFit="1" customWidth="1"/>
    <col min="19" max="19" width="8.08984375" bestFit="1" customWidth="1"/>
    <col min="20" max="20" width="8.453125" bestFit="1" customWidth="1"/>
    <col min="21" max="21" width="17.26953125" bestFit="1" customWidth="1"/>
    <col min="22" max="22" width="13" style="8" customWidth="1"/>
    <col min="23" max="23" width="13.08984375" style="8" bestFit="1" customWidth="1"/>
    <col min="24" max="24" width="8.1796875" bestFit="1" customWidth="1"/>
  </cols>
  <sheetData>
    <row r="1" spans="1:24" x14ac:dyDescent="0.35">
      <c r="A1" s="3" t="s">
        <v>0</v>
      </c>
      <c r="B1" s="12" t="s">
        <v>1422</v>
      </c>
      <c r="C1" s="6" t="s">
        <v>1</v>
      </c>
      <c r="D1" s="6" t="s">
        <v>2</v>
      </c>
      <c r="E1" s="6" t="s">
        <v>1429</v>
      </c>
      <c r="F1" s="6" t="s">
        <v>1428</v>
      </c>
      <c r="G1" s="11" t="s">
        <v>1430</v>
      </c>
      <c r="H1" s="1" t="s">
        <v>3</v>
      </c>
      <c r="I1" s="1" t="s">
        <v>4</v>
      </c>
      <c r="J1" s="1" t="s">
        <v>5</v>
      </c>
      <c r="K1" s="11" t="s">
        <v>1425</v>
      </c>
      <c r="L1" s="1" t="s">
        <v>6</v>
      </c>
      <c r="M1" s="1" t="s">
        <v>7</v>
      </c>
      <c r="N1" s="11" t="s">
        <v>1426</v>
      </c>
      <c r="O1" s="1" t="s">
        <v>8</v>
      </c>
      <c r="P1" s="11" t="s">
        <v>1424</v>
      </c>
      <c r="Q1" s="1" t="s">
        <v>9</v>
      </c>
      <c r="R1" s="1" t="s">
        <v>10</v>
      </c>
      <c r="S1" s="1" t="s">
        <v>11</v>
      </c>
      <c r="T1" s="1" t="s">
        <v>12</v>
      </c>
      <c r="U1" s="11" t="s">
        <v>1423</v>
      </c>
      <c r="V1" s="9" t="s">
        <v>13</v>
      </c>
      <c r="W1" s="10" t="s">
        <v>1427</v>
      </c>
      <c r="X1" s="1" t="s">
        <v>14</v>
      </c>
    </row>
    <row r="2" spans="1:24" x14ac:dyDescent="0.35">
      <c r="A2" s="4" t="s">
        <v>20</v>
      </c>
      <c r="B2" s="5" t="str">
        <f>IF(COUNTIF($A$2:A2,A2)=1,"Original","Duplicate")</f>
        <v>Original</v>
      </c>
      <c r="C2" s="7">
        <v>44928</v>
      </c>
      <c r="D2" s="7">
        <v>44931</v>
      </c>
      <c r="E2" s="7" t="str">
        <f>IF(D2&lt;C2,"Invalid","Valid")</f>
        <v>Valid</v>
      </c>
      <c r="F2" s="7">
        <f>IF(D2&gt;C2,D2,WORKDAY(C2,5))</f>
        <v>44931</v>
      </c>
      <c r="G2">
        <f>F2-C2</f>
        <v>3</v>
      </c>
      <c r="H2" t="s">
        <v>648</v>
      </c>
      <c r="I2" t="s">
        <v>653</v>
      </c>
      <c r="J2" t="s">
        <v>667</v>
      </c>
      <c r="K2" t="str">
        <f>IF(J2="", "Unknown", J2)</f>
        <v>Toronto</v>
      </c>
      <c r="L2" t="s">
        <v>701</v>
      </c>
      <c r="M2" t="s">
        <v>710</v>
      </c>
      <c r="N2" t="str">
        <f>IF(M2="", "Unknown", M2)</f>
        <v>Distributor</v>
      </c>
      <c r="O2" t="s">
        <v>717</v>
      </c>
      <c r="P2" t="str">
        <f>IF(O2="","Unassigned",O2)</f>
        <v>B. Chen</v>
      </c>
      <c r="Q2" t="s">
        <v>731</v>
      </c>
      <c r="R2" t="s">
        <v>739</v>
      </c>
      <c r="S2" s="23">
        <v>315.87</v>
      </c>
      <c r="T2" s="23">
        <v>591.67999999999995</v>
      </c>
      <c r="U2" s="23">
        <f>IF(T2&gt;0,T2,S2*1.2)</f>
        <v>591.67999999999995</v>
      </c>
      <c r="V2" s="8">
        <v>0</v>
      </c>
      <c r="W2" s="8">
        <f>IF(V2&lt;0.3,V2,0.3)</f>
        <v>0</v>
      </c>
      <c r="X2">
        <v>7</v>
      </c>
    </row>
    <row r="3" spans="1:24" x14ac:dyDescent="0.35">
      <c r="A3" s="4" t="s">
        <v>611</v>
      </c>
      <c r="B3" s="5" t="str">
        <f>IF(COUNTIF($A$2:A3,A3)=1,"Original","Duplicate")</f>
        <v>Original</v>
      </c>
      <c r="C3" s="7">
        <v>44933</v>
      </c>
      <c r="D3" s="7">
        <v>44956</v>
      </c>
      <c r="E3" s="7" t="str">
        <f t="shared" ref="E3:E66" si="0">IF(D3&lt;C3,"Invalid","Valid")</f>
        <v>Valid</v>
      </c>
      <c r="F3" s="7">
        <f t="shared" ref="F3:F66" si="1">IF(D3&gt;C3,D3,WORKDAY(C3,5))</f>
        <v>44956</v>
      </c>
      <c r="G3">
        <f t="shared" ref="G3:G66" si="2">F3-C3</f>
        <v>23</v>
      </c>
      <c r="H3" t="s">
        <v>646</v>
      </c>
      <c r="I3" t="s">
        <v>661</v>
      </c>
      <c r="J3" t="s">
        <v>695</v>
      </c>
      <c r="K3" t="str">
        <f t="shared" ref="K3:K66" si="3">IF(J3="", "Unknown", J3)</f>
        <v>Cape Town</v>
      </c>
      <c r="L3" t="s">
        <v>704</v>
      </c>
      <c r="M3" t="s">
        <v>708</v>
      </c>
      <c r="N3" t="str">
        <f t="shared" ref="N3:N66" si="4">IF(M3="", "Unknown", M3)</f>
        <v>Online</v>
      </c>
      <c r="O3" t="s">
        <v>720</v>
      </c>
      <c r="P3" t="str">
        <f t="shared" ref="P3:P66" si="5">IF(O3="","Unassigned",O3)</f>
        <v>A. Patel</v>
      </c>
      <c r="Q3" t="s">
        <v>728</v>
      </c>
      <c r="R3" t="s">
        <v>1329</v>
      </c>
      <c r="S3" s="23">
        <v>299.02</v>
      </c>
      <c r="T3" s="23">
        <v>724.7</v>
      </c>
      <c r="U3" s="23">
        <f t="shared" ref="U3:U66" si="6">IF(T3&gt;0,T3,S3*1.2)</f>
        <v>724.7</v>
      </c>
      <c r="V3" s="8">
        <v>0.14000000000000001</v>
      </c>
      <c r="W3" s="8">
        <f t="shared" ref="W3:W66" si="7">IF(V3&lt;0.3,V3,0.3)</f>
        <v>0.14000000000000001</v>
      </c>
      <c r="X3">
        <v>5</v>
      </c>
    </row>
    <row r="4" spans="1:24" x14ac:dyDescent="0.35">
      <c r="A4" s="4" t="s">
        <v>323</v>
      </c>
      <c r="B4" s="5" t="str">
        <f>IF(COUNTIF($A$2:A4,A4)=1,"Original","Duplicate")</f>
        <v>Original</v>
      </c>
      <c r="C4" s="7">
        <v>44936</v>
      </c>
      <c r="D4" s="7">
        <v>44955</v>
      </c>
      <c r="E4" s="7" t="str">
        <f t="shared" si="0"/>
        <v>Valid</v>
      </c>
      <c r="F4" s="7">
        <f t="shared" si="1"/>
        <v>44955</v>
      </c>
      <c r="G4">
        <f t="shared" si="2"/>
        <v>19</v>
      </c>
      <c r="H4" t="s">
        <v>649</v>
      </c>
      <c r="I4" t="s">
        <v>657</v>
      </c>
      <c r="J4" t="s">
        <v>679</v>
      </c>
      <c r="K4" t="str">
        <f t="shared" si="3"/>
        <v>Lyon</v>
      </c>
      <c r="L4" t="s">
        <v>703</v>
      </c>
      <c r="M4" t="s">
        <v>711</v>
      </c>
      <c r="N4" t="str">
        <f t="shared" si="4"/>
        <v>Direct</v>
      </c>
      <c r="O4" t="s">
        <v>726</v>
      </c>
      <c r="P4" t="str">
        <f t="shared" si="5"/>
        <v>D. Smith</v>
      </c>
      <c r="Q4" t="s">
        <v>731</v>
      </c>
      <c r="R4" t="s">
        <v>1043</v>
      </c>
      <c r="S4" s="23">
        <v>401.66</v>
      </c>
      <c r="T4" s="23">
        <v>772.09</v>
      </c>
      <c r="U4" s="23">
        <f t="shared" si="6"/>
        <v>772.09</v>
      </c>
      <c r="V4" s="8">
        <v>8.8999999999999996E-2</v>
      </c>
      <c r="W4" s="8">
        <f t="shared" si="7"/>
        <v>8.8999999999999996E-2</v>
      </c>
      <c r="X4">
        <v>14</v>
      </c>
    </row>
    <row r="5" spans="1:24" x14ac:dyDescent="0.35">
      <c r="A5" s="4" t="s">
        <v>541</v>
      </c>
      <c r="B5" s="5" t="str">
        <f>IF(COUNTIF($A$2:A5,A5)=1,"Original","Duplicate")</f>
        <v>Original</v>
      </c>
      <c r="C5" s="7">
        <v>44938</v>
      </c>
      <c r="D5" s="7">
        <v>44952</v>
      </c>
      <c r="E5" s="7" t="str">
        <f t="shared" si="0"/>
        <v>Valid</v>
      </c>
      <c r="F5" s="7">
        <f t="shared" si="1"/>
        <v>44952</v>
      </c>
      <c r="G5">
        <f t="shared" si="2"/>
        <v>14</v>
      </c>
      <c r="H5" t="s">
        <v>647</v>
      </c>
      <c r="I5" t="s">
        <v>659</v>
      </c>
      <c r="J5" t="s">
        <v>676</v>
      </c>
      <c r="K5" t="str">
        <f t="shared" si="3"/>
        <v>Shenzhen</v>
      </c>
      <c r="L5" t="s">
        <v>703</v>
      </c>
      <c r="M5" t="s">
        <v>707</v>
      </c>
      <c r="N5" t="str">
        <f t="shared" si="4"/>
        <v>Retail</v>
      </c>
      <c r="O5" t="s">
        <v>724</v>
      </c>
      <c r="P5" t="str">
        <f t="shared" si="5"/>
        <v>M. Rossi</v>
      </c>
      <c r="Q5" t="s">
        <v>728</v>
      </c>
      <c r="R5" t="s">
        <v>1260</v>
      </c>
      <c r="S5" s="23">
        <v>1083.0899999999999</v>
      </c>
      <c r="T5" s="23">
        <v>1425.87</v>
      </c>
      <c r="U5" s="23">
        <f t="shared" si="6"/>
        <v>1425.87</v>
      </c>
      <c r="V5" s="8">
        <v>0</v>
      </c>
      <c r="W5" s="8">
        <f t="shared" si="7"/>
        <v>0</v>
      </c>
      <c r="X5">
        <v>8</v>
      </c>
    </row>
    <row r="6" spans="1:24" x14ac:dyDescent="0.35">
      <c r="A6" s="4" t="s">
        <v>214</v>
      </c>
      <c r="B6" s="5" t="str">
        <f>IF(COUNTIF($A$2:A6,A6)=1,"Original","Duplicate")</f>
        <v>Original</v>
      </c>
      <c r="C6" s="7">
        <v>44939</v>
      </c>
      <c r="D6" s="7">
        <v>44945</v>
      </c>
      <c r="E6" s="7" t="str">
        <f t="shared" si="0"/>
        <v>Valid</v>
      </c>
      <c r="F6" s="7">
        <f t="shared" si="1"/>
        <v>44945</v>
      </c>
      <c r="G6">
        <f t="shared" si="2"/>
        <v>6</v>
      </c>
      <c r="H6" t="s">
        <v>648</v>
      </c>
      <c r="I6" t="s">
        <v>660</v>
      </c>
      <c r="J6" t="s">
        <v>677</v>
      </c>
      <c r="K6" t="str">
        <f t="shared" si="3"/>
        <v>Chicago</v>
      </c>
      <c r="L6" t="s">
        <v>701</v>
      </c>
      <c r="M6" t="s">
        <v>711</v>
      </c>
      <c r="N6" t="str">
        <f t="shared" si="4"/>
        <v>Direct</v>
      </c>
      <c r="O6" t="s">
        <v>722</v>
      </c>
      <c r="P6" t="str">
        <f t="shared" si="5"/>
        <v>H. Kim</v>
      </c>
      <c r="Q6" t="s">
        <v>730</v>
      </c>
      <c r="R6" t="s">
        <v>934</v>
      </c>
      <c r="S6" s="23">
        <v>833.57</v>
      </c>
      <c r="T6" s="23">
        <v>881.57</v>
      </c>
      <c r="U6" s="23">
        <f t="shared" si="6"/>
        <v>881.57</v>
      </c>
      <c r="V6" s="8">
        <v>5.7000000000000002E-2</v>
      </c>
      <c r="W6" s="8">
        <f t="shared" si="7"/>
        <v>5.7000000000000002E-2</v>
      </c>
      <c r="X6">
        <v>18</v>
      </c>
    </row>
    <row r="7" spans="1:24" x14ac:dyDescent="0.35">
      <c r="A7" s="4" t="s">
        <v>22</v>
      </c>
      <c r="B7" s="5" t="str">
        <f>IF(COUNTIF($A$2:A7,A7)=1,"Original","Duplicate")</f>
        <v>Original</v>
      </c>
      <c r="C7" s="7">
        <v>44941</v>
      </c>
      <c r="D7" s="7">
        <v>44939</v>
      </c>
      <c r="E7" s="7" t="str">
        <f t="shared" si="0"/>
        <v>Invalid</v>
      </c>
      <c r="F7" s="7">
        <f t="shared" si="1"/>
        <v>44946</v>
      </c>
      <c r="G7">
        <f t="shared" si="2"/>
        <v>5</v>
      </c>
      <c r="H7" t="s">
        <v>646</v>
      </c>
      <c r="I7" t="s">
        <v>651</v>
      </c>
      <c r="J7" t="s">
        <v>669</v>
      </c>
      <c r="K7" t="str">
        <f t="shared" si="3"/>
        <v>Abuja</v>
      </c>
      <c r="L7" t="s">
        <v>702</v>
      </c>
      <c r="M7" t="s">
        <v>708</v>
      </c>
      <c r="N7" t="str">
        <f t="shared" si="4"/>
        <v>Online</v>
      </c>
      <c r="O7" t="s">
        <v>719</v>
      </c>
      <c r="P7" t="str">
        <f t="shared" si="5"/>
        <v>O. Wang</v>
      </c>
      <c r="Q7" t="s">
        <v>728</v>
      </c>
      <c r="R7" t="s">
        <v>741</v>
      </c>
      <c r="S7" s="23">
        <v>28.38</v>
      </c>
      <c r="T7" s="23">
        <v>47.22</v>
      </c>
      <c r="U7" s="23">
        <f t="shared" si="6"/>
        <v>47.22</v>
      </c>
      <c r="V7" s="8">
        <v>0.19400000000000001</v>
      </c>
      <c r="W7" s="8">
        <f t="shared" si="7"/>
        <v>0.19400000000000001</v>
      </c>
      <c r="X7">
        <v>18</v>
      </c>
    </row>
    <row r="8" spans="1:24" x14ac:dyDescent="0.35">
      <c r="A8" s="4" t="s">
        <v>465</v>
      </c>
      <c r="B8" s="5" t="str">
        <f>IF(COUNTIF($A$2:A8,A8)=1,"Original","Duplicate")</f>
        <v>Original</v>
      </c>
      <c r="C8" s="7">
        <v>44945</v>
      </c>
      <c r="D8" s="7">
        <v>44960</v>
      </c>
      <c r="E8" s="7" t="str">
        <f t="shared" si="0"/>
        <v>Valid</v>
      </c>
      <c r="F8" s="7">
        <f t="shared" si="1"/>
        <v>44960</v>
      </c>
      <c r="G8">
        <f t="shared" si="2"/>
        <v>15</v>
      </c>
      <c r="H8" t="s">
        <v>649</v>
      </c>
      <c r="I8" t="s">
        <v>658</v>
      </c>
      <c r="J8" t="s">
        <v>683</v>
      </c>
      <c r="K8" t="str">
        <f t="shared" si="3"/>
        <v>London</v>
      </c>
      <c r="L8" t="s">
        <v>706</v>
      </c>
      <c r="M8" t="s">
        <v>710</v>
      </c>
      <c r="N8" t="str">
        <f t="shared" si="4"/>
        <v>Distributor</v>
      </c>
      <c r="O8" t="s">
        <v>715</v>
      </c>
      <c r="P8" t="str">
        <f t="shared" si="5"/>
        <v>G. Dubois</v>
      </c>
      <c r="Q8" t="s">
        <v>733</v>
      </c>
      <c r="R8" t="s">
        <v>1184</v>
      </c>
      <c r="S8" s="23">
        <v>873.06</v>
      </c>
      <c r="T8" s="23">
        <v>2101.5500000000002</v>
      </c>
      <c r="U8" s="23">
        <f t="shared" si="6"/>
        <v>2101.5500000000002</v>
      </c>
      <c r="V8" s="8">
        <v>6.6000000000000003E-2</v>
      </c>
      <c r="W8" s="8">
        <f t="shared" si="7"/>
        <v>6.6000000000000003E-2</v>
      </c>
      <c r="X8">
        <v>10</v>
      </c>
    </row>
    <row r="9" spans="1:24" x14ac:dyDescent="0.35">
      <c r="A9" s="4" t="s">
        <v>217</v>
      </c>
      <c r="B9" s="5" t="str">
        <f>IF(COUNTIF($A$2:A9,A9)=1,"Original","Duplicate")</f>
        <v>Original</v>
      </c>
      <c r="C9" s="7">
        <v>44946</v>
      </c>
      <c r="D9" s="7">
        <v>44960</v>
      </c>
      <c r="E9" s="7" t="str">
        <f t="shared" si="0"/>
        <v>Valid</v>
      </c>
      <c r="F9" s="7">
        <f t="shared" si="1"/>
        <v>44960</v>
      </c>
      <c r="G9">
        <f t="shared" si="2"/>
        <v>14</v>
      </c>
      <c r="H9" t="s">
        <v>646</v>
      </c>
      <c r="I9" t="s">
        <v>650</v>
      </c>
      <c r="J9" t="s">
        <v>662</v>
      </c>
      <c r="K9" t="str">
        <f t="shared" si="3"/>
        <v>Kisumu</v>
      </c>
      <c r="L9" t="s">
        <v>701</v>
      </c>
      <c r="M9" t="s">
        <v>707</v>
      </c>
      <c r="N9" t="str">
        <f t="shared" si="4"/>
        <v>Retail</v>
      </c>
      <c r="O9" t="s">
        <v>724</v>
      </c>
      <c r="P9" t="str">
        <f t="shared" si="5"/>
        <v>M. Rossi</v>
      </c>
      <c r="Q9" t="s">
        <v>729</v>
      </c>
      <c r="R9" t="s">
        <v>937</v>
      </c>
      <c r="S9" s="23">
        <v>884.36</v>
      </c>
      <c r="T9" s="23">
        <v>1545.34</v>
      </c>
      <c r="U9" s="23">
        <f t="shared" si="6"/>
        <v>1545.34</v>
      </c>
      <c r="V9" s="8">
        <v>0.24299999999999999</v>
      </c>
      <c r="W9" s="8">
        <f t="shared" si="7"/>
        <v>0.24299999999999999</v>
      </c>
      <c r="X9">
        <v>41</v>
      </c>
    </row>
    <row r="10" spans="1:24" x14ac:dyDescent="0.35">
      <c r="A10" s="4" t="s">
        <v>144</v>
      </c>
      <c r="B10" s="5" t="str">
        <f>IF(COUNTIF($A$2:A10,A10)=1,"Original","Duplicate")</f>
        <v>Original</v>
      </c>
      <c r="C10" s="7">
        <v>44948</v>
      </c>
      <c r="D10" s="7">
        <v>44956</v>
      </c>
      <c r="E10" s="7" t="str">
        <f t="shared" si="0"/>
        <v>Valid</v>
      </c>
      <c r="F10" s="7">
        <f t="shared" si="1"/>
        <v>44956</v>
      </c>
      <c r="G10">
        <f t="shared" si="2"/>
        <v>8</v>
      </c>
      <c r="H10" t="s">
        <v>648</v>
      </c>
      <c r="I10" t="s">
        <v>660</v>
      </c>
      <c r="J10" t="s">
        <v>686</v>
      </c>
      <c r="K10" t="str">
        <f t="shared" si="3"/>
        <v>San Francisco</v>
      </c>
      <c r="L10" t="s">
        <v>705</v>
      </c>
      <c r="M10" t="s">
        <v>708</v>
      </c>
      <c r="N10" t="str">
        <f t="shared" si="4"/>
        <v>Online</v>
      </c>
      <c r="O10" t="s">
        <v>720</v>
      </c>
      <c r="P10" t="str">
        <f t="shared" si="5"/>
        <v>A. Patel</v>
      </c>
      <c r="Q10" t="s">
        <v>729</v>
      </c>
      <c r="R10" t="s">
        <v>863</v>
      </c>
      <c r="S10" s="23">
        <v>413.52</v>
      </c>
      <c r="T10" s="23">
        <v>1004.34</v>
      </c>
      <c r="U10" s="23">
        <f t="shared" si="6"/>
        <v>1004.34</v>
      </c>
      <c r="V10" s="8">
        <v>0.111</v>
      </c>
      <c r="W10" s="8">
        <f t="shared" si="7"/>
        <v>0.111</v>
      </c>
      <c r="X10">
        <v>18</v>
      </c>
    </row>
    <row r="11" spans="1:24" x14ac:dyDescent="0.35">
      <c r="A11" s="4" t="s">
        <v>231</v>
      </c>
      <c r="B11" s="5" t="str">
        <f>IF(COUNTIF($A$2:A11,A11)=1,"Original","Duplicate")</f>
        <v>Original</v>
      </c>
      <c r="C11" s="7">
        <v>44948</v>
      </c>
      <c r="D11" s="7">
        <v>44947</v>
      </c>
      <c r="E11" s="7" t="str">
        <f t="shared" si="0"/>
        <v>Invalid</v>
      </c>
      <c r="F11" s="7">
        <f t="shared" si="1"/>
        <v>44953</v>
      </c>
      <c r="G11">
        <f t="shared" si="2"/>
        <v>5</v>
      </c>
      <c r="H11" t="s">
        <v>649</v>
      </c>
      <c r="I11" t="s">
        <v>656</v>
      </c>
      <c r="J11" t="s">
        <v>684</v>
      </c>
      <c r="K11" t="str">
        <f t="shared" si="3"/>
        <v>Munich</v>
      </c>
      <c r="L11" t="s">
        <v>701</v>
      </c>
      <c r="M11" t="s">
        <v>711</v>
      </c>
      <c r="N11" t="str">
        <f t="shared" si="4"/>
        <v>Direct</v>
      </c>
      <c r="O11" t="s">
        <v>721</v>
      </c>
      <c r="P11" t="str">
        <f t="shared" si="5"/>
        <v>F. Müller</v>
      </c>
      <c r="Q11" t="s">
        <v>732</v>
      </c>
      <c r="R11" t="s">
        <v>951</v>
      </c>
      <c r="S11" s="23">
        <v>150.86000000000001</v>
      </c>
      <c r="T11" s="23">
        <v>346.96</v>
      </c>
      <c r="U11" s="23">
        <f t="shared" si="6"/>
        <v>346.96</v>
      </c>
      <c r="V11" s="8">
        <v>0.19600000000000001</v>
      </c>
      <c r="W11" s="8">
        <f t="shared" si="7"/>
        <v>0.19600000000000001</v>
      </c>
      <c r="X11">
        <v>8</v>
      </c>
    </row>
    <row r="12" spans="1:24" x14ac:dyDescent="0.35">
      <c r="A12" s="4" t="s">
        <v>554</v>
      </c>
      <c r="B12" s="5" t="str">
        <f>IF(COUNTIF($A$2:A12,A12)=1,"Original","Duplicate")</f>
        <v>Original</v>
      </c>
      <c r="C12" s="7">
        <v>44952</v>
      </c>
      <c r="D12" s="7">
        <v>44972</v>
      </c>
      <c r="E12" s="7" t="str">
        <f t="shared" si="0"/>
        <v>Valid</v>
      </c>
      <c r="F12" s="7">
        <f t="shared" si="1"/>
        <v>44972</v>
      </c>
      <c r="G12">
        <f t="shared" si="2"/>
        <v>20</v>
      </c>
      <c r="H12" t="s">
        <v>649</v>
      </c>
      <c r="I12" t="s">
        <v>656</v>
      </c>
      <c r="J12" t="s">
        <v>671</v>
      </c>
      <c r="K12" t="str">
        <f t="shared" si="3"/>
        <v>Berlin</v>
      </c>
      <c r="L12" t="s">
        <v>705</v>
      </c>
      <c r="M12" t="s">
        <v>708</v>
      </c>
      <c r="N12" t="str">
        <f t="shared" si="4"/>
        <v>Online</v>
      </c>
      <c r="O12" t="s">
        <v>719</v>
      </c>
      <c r="P12" t="str">
        <f t="shared" si="5"/>
        <v>O. Wang</v>
      </c>
      <c r="Q12" t="s">
        <v>729</v>
      </c>
      <c r="R12" t="s">
        <v>1272</v>
      </c>
      <c r="S12" s="23">
        <v>492.62</v>
      </c>
      <c r="T12" s="23">
        <v>366.7</v>
      </c>
      <c r="U12" s="23">
        <f t="shared" si="6"/>
        <v>366.7</v>
      </c>
      <c r="V12" s="8">
        <v>8.8999999999999996E-2</v>
      </c>
      <c r="W12" s="8">
        <f t="shared" si="7"/>
        <v>8.8999999999999996E-2</v>
      </c>
      <c r="X12">
        <v>10</v>
      </c>
    </row>
    <row r="13" spans="1:24" x14ac:dyDescent="0.35">
      <c r="A13" s="4" t="s">
        <v>147</v>
      </c>
      <c r="B13" s="5" t="str">
        <f>IF(COUNTIF($A$2:A13,A13)=1,"Original","Duplicate")</f>
        <v>Original</v>
      </c>
      <c r="C13" s="7">
        <v>44953</v>
      </c>
      <c r="D13" s="7">
        <v>44957</v>
      </c>
      <c r="E13" s="7" t="str">
        <f t="shared" si="0"/>
        <v>Valid</v>
      </c>
      <c r="F13" s="7">
        <f t="shared" si="1"/>
        <v>44957</v>
      </c>
      <c r="G13">
        <f t="shared" si="2"/>
        <v>4</v>
      </c>
      <c r="H13" t="s">
        <v>649</v>
      </c>
      <c r="I13" t="s">
        <v>658</v>
      </c>
      <c r="J13" t="s">
        <v>693</v>
      </c>
      <c r="K13" t="str">
        <f t="shared" si="3"/>
        <v>Manchester</v>
      </c>
      <c r="L13" t="s">
        <v>706</v>
      </c>
      <c r="M13" t="s">
        <v>708</v>
      </c>
      <c r="N13" t="str">
        <f t="shared" si="4"/>
        <v>Online</v>
      </c>
      <c r="O13" t="s">
        <v>725</v>
      </c>
      <c r="P13" t="str">
        <f t="shared" si="5"/>
        <v>N. Brown</v>
      </c>
      <c r="Q13" t="s">
        <v>731</v>
      </c>
      <c r="R13" t="s">
        <v>866</v>
      </c>
      <c r="S13" s="23">
        <v>941.2</v>
      </c>
      <c r="T13" s="23">
        <v>668.02</v>
      </c>
      <c r="U13" s="23">
        <f t="shared" si="6"/>
        <v>668.02</v>
      </c>
      <c r="V13" s="8">
        <v>0.22</v>
      </c>
      <c r="W13" s="8">
        <f t="shared" si="7"/>
        <v>0.22</v>
      </c>
      <c r="X13">
        <v>16</v>
      </c>
    </row>
    <row r="14" spans="1:24" x14ac:dyDescent="0.35">
      <c r="A14" s="4" t="s">
        <v>596</v>
      </c>
      <c r="B14" s="5" t="str">
        <f>IF(COUNTIF($A$2:A14,A14)=1,"Original","Duplicate")</f>
        <v>Original</v>
      </c>
      <c r="C14" s="7">
        <v>44955</v>
      </c>
      <c r="D14" s="7">
        <v>44963</v>
      </c>
      <c r="E14" s="7" t="str">
        <f t="shared" si="0"/>
        <v>Valid</v>
      </c>
      <c r="F14" s="7">
        <f t="shared" si="1"/>
        <v>44963</v>
      </c>
      <c r="G14">
        <f t="shared" si="2"/>
        <v>8</v>
      </c>
      <c r="H14" t="s">
        <v>648</v>
      </c>
      <c r="I14" t="s">
        <v>655</v>
      </c>
      <c r="J14" t="s">
        <v>672</v>
      </c>
      <c r="K14" t="str">
        <f t="shared" si="3"/>
        <v>Brasília</v>
      </c>
      <c r="L14" t="s">
        <v>701</v>
      </c>
      <c r="M14" t="s">
        <v>709</v>
      </c>
      <c r="N14" t="str">
        <f t="shared" si="4"/>
        <v>Marketplace</v>
      </c>
      <c r="O14" t="s">
        <v>726</v>
      </c>
      <c r="P14" t="str">
        <f t="shared" si="5"/>
        <v>D. Smith</v>
      </c>
      <c r="Q14" t="s">
        <v>732</v>
      </c>
      <c r="R14" t="s">
        <v>1314</v>
      </c>
      <c r="S14" s="23">
        <v>41.84</v>
      </c>
      <c r="T14" s="23">
        <v>86.2</v>
      </c>
      <c r="U14" s="23">
        <f t="shared" si="6"/>
        <v>86.2</v>
      </c>
      <c r="V14" s="8">
        <v>0.22600000000000001</v>
      </c>
      <c r="W14" s="8">
        <f t="shared" si="7"/>
        <v>0.22600000000000001</v>
      </c>
      <c r="X14">
        <v>27</v>
      </c>
    </row>
    <row r="15" spans="1:24" x14ac:dyDescent="0.35">
      <c r="A15" s="4" t="s">
        <v>212</v>
      </c>
      <c r="B15" s="5" t="str">
        <f>IF(COUNTIF($A$2:A15,A15)=1,"Original","Duplicate")</f>
        <v>Original</v>
      </c>
      <c r="C15" s="7">
        <v>44956</v>
      </c>
      <c r="D15" s="7">
        <v>44978</v>
      </c>
      <c r="E15" s="7" t="str">
        <f t="shared" si="0"/>
        <v>Valid</v>
      </c>
      <c r="F15" s="7">
        <f t="shared" si="1"/>
        <v>44978</v>
      </c>
      <c r="G15">
        <f t="shared" si="2"/>
        <v>22</v>
      </c>
      <c r="H15" t="s">
        <v>649</v>
      </c>
      <c r="I15" t="s">
        <v>656</v>
      </c>
      <c r="J15" t="s">
        <v>684</v>
      </c>
      <c r="K15" t="str">
        <f t="shared" si="3"/>
        <v>Munich</v>
      </c>
      <c r="L15" t="s">
        <v>705</v>
      </c>
      <c r="M15" t="s">
        <v>709</v>
      </c>
      <c r="N15" t="str">
        <f t="shared" si="4"/>
        <v>Marketplace</v>
      </c>
      <c r="O15" t="s">
        <v>715</v>
      </c>
      <c r="P15" t="str">
        <f t="shared" si="5"/>
        <v>G. Dubois</v>
      </c>
      <c r="Q15" t="s">
        <v>729</v>
      </c>
      <c r="R15" t="s">
        <v>932</v>
      </c>
      <c r="S15" s="23">
        <v>1142.8800000000001</v>
      </c>
      <c r="T15" s="23">
        <v>1465.29</v>
      </c>
      <c r="U15" s="23">
        <f t="shared" si="6"/>
        <v>1465.29</v>
      </c>
      <c r="V15" s="8">
        <v>0.186</v>
      </c>
      <c r="W15" s="8">
        <f t="shared" si="7"/>
        <v>0.186</v>
      </c>
      <c r="X15">
        <v>7</v>
      </c>
    </row>
    <row r="16" spans="1:24" x14ac:dyDescent="0.35">
      <c r="A16" s="4" t="s">
        <v>385</v>
      </c>
      <c r="B16" s="5" t="str">
        <f>IF(COUNTIF($A$2:A16,A16)=1,"Original","Duplicate")</f>
        <v>Original</v>
      </c>
      <c r="C16" s="7">
        <v>44962</v>
      </c>
      <c r="D16" s="7">
        <v>44985</v>
      </c>
      <c r="E16" s="7" t="str">
        <f t="shared" si="0"/>
        <v>Valid</v>
      </c>
      <c r="F16" s="7">
        <f t="shared" si="1"/>
        <v>44985</v>
      </c>
      <c r="G16">
        <f t="shared" si="2"/>
        <v>23</v>
      </c>
      <c r="H16" t="s">
        <v>648</v>
      </c>
      <c r="I16" t="s">
        <v>660</v>
      </c>
      <c r="J16" t="s">
        <v>697</v>
      </c>
      <c r="K16" t="str">
        <f t="shared" si="3"/>
        <v>Austin</v>
      </c>
      <c r="L16" t="s">
        <v>703</v>
      </c>
      <c r="M16" t="s">
        <v>710</v>
      </c>
      <c r="N16" t="str">
        <f t="shared" si="4"/>
        <v>Distributor</v>
      </c>
      <c r="O16" t="s">
        <v>716</v>
      </c>
      <c r="P16" t="str">
        <f t="shared" si="5"/>
        <v>L. Okafor</v>
      </c>
      <c r="Q16" t="s">
        <v>730</v>
      </c>
      <c r="R16" t="s">
        <v>1105</v>
      </c>
      <c r="S16" s="23">
        <v>1214.49</v>
      </c>
      <c r="T16" s="23">
        <v>1533.95</v>
      </c>
      <c r="U16" s="23">
        <f t="shared" si="6"/>
        <v>1533.95</v>
      </c>
      <c r="V16" s="8">
        <v>0</v>
      </c>
      <c r="W16" s="8">
        <f t="shared" si="7"/>
        <v>0</v>
      </c>
      <c r="X16">
        <v>11</v>
      </c>
    </row>
    <row r="17" spans="1:24" x14ac:dyDescent="0.35">
      <c r="A17" s="4" t="s">
        <v>39</v>
      </c>
      <c r="B17" s="5" t="str">
        <f>IF(COUNTIF($A$2:A17,A17)=1,"Original","Duplicate")</f>
        <v>Original</v>
      </c>
      <c r="C17" s="7">
        <v>44964</v>
      </c>
      <c r="D17" s="7">
        <v>44969</v>
      </c>
      <c r="E17" s="7" t="str">
        <f t="shared" si="0"/>
        <v>Valid</v>
      </c>
      <c r="F17" s="7">
        <f t="shared" si="1"/>
        <v>44969</v>
      </c>
      <c r="G17">
        <f t="shared" si="2"/>
        <v>5</v>
      </c>
      <c r="H17" t="s">
        <v>648</v>
      </c>
      <c r="I17" t="s">
        <v>655</v>
      </c>
      <c r="J17" t="s">
        <v>670</v>
      </c>
      <c r="K17" t="str">
        <f t="shared" si="3"/>
        <v>São Paulo</v>
      </c>
      <c r="L17" t="s">
        <v>702</v>
      </c>
      <c r="M17" t="s">
        <v>708</v>
      </c>
      <c r="N17" t="str">
        <f t="shared" si="4"/>
        <v>Online</v>
      </c>
      <c r="O17" t="s">
        <v>725</v>
      </c>
      <c r="P17" t="str">
        <f t="shared" si="5"/>
        <v>N. Brown</v>
      </c>
      <c r="Q17" t="s">
        <v>727</v>
      </c>
      <c r="R17" t="s">
        <v>758</v>
      </c>
      <c r="S17" s="23">
        <v>948.55</v>
      </c>
      <c r="T17" s="23">
        <v>2089.16</v>
      </c>
      <c r="U17" s="23">
        <f t="shared" si="6"/>
        <v>2089.16</v>
      </c>
      <c r="V17" s="8">
        <v>7.0000000000000001E-3</v>
      </c>
      <c r="W17" s="8">
        <f t="shared" si="7"/>
        <v>7.0000000000000001E-3</v>
      </c>
      <c r="X17">
        <v>12</v>
      </c>
    </row>
    <row r="18" spans="1:24" x14ac:dyDescent="0.35">
      <c r="A18" s="4" t="s">
        <v>95</v>
      </c>
      <c r="B18" s="5" t="str">
        <f>IF(COUNTIF($A$2:A18,A18)=1,"Original","Duplicate")</f>
        <v>Original</v>
      </c>
      <c r="C18" s="7">
        <v>44965</v>
      </c>
      <c r="D18" s="7">
        <v>44968</v>
      </c>
      <c r="E18" s="7" t="str">
        <f t="shared" si="0"/>
        <v>Valid</v>
      </c>
      <c r="F18" s="7">
        <f t="shared" si="1"/>
        <v>44968</v>
      </c>
      <c r="G18">
        <f t="shared" si="2"/>
        <v>3</v>
      </c>
      <c r="H18" t="s">
        <v>646</v>
      </c>
      <c r="I18" t="s">
        <v>661</v>
      </c>
      <c r="J18" t="s">
        <v>695</v>
      </c>
      <c r="K18" t="str">
        <f t="shared" si="3"/>
        <v>Cape Town</v>
      </c>
      <c r="L18" t="s">
        <v>701</v>
      </c>
      <c r="M18" t="s">
        <v>711</v>
      </c>
      <c r="N18" t="str">
        <f t="shared" si="4"/>
        <v>Direct</v>
      </c>
      <c r="O18" t="s">
        <v>724</v>
      </c>
      <c r="P18" t="str">
        <f t="shared" si="5"/>
        <v>M. Rossi</v>
      </c>
      <c r="Q18" t="s">
        <v>729</v>
      </c>
      <c r="R18" t="s">
        <v>814</v>
      </c>
      <c r="S18" s="23">
        <v>1410.05</v>
      </c>
      <c r="T18" s="23">
        <v>2763.95</v>
      </c>
      <c r="U18" s="23">
        <f t="shared" si="6"/>
        <v>2763.95</v>
      </c>
      <c r="V18" s="8">
        <v>0.161</v>
      </c>
      <c r="W18" s="8">
        <f t="shared" si="7"/>
        <v>0.161</v>
      </c>
      <c r="X18">
        <v>26</v>
      </c>
    </row>
    <row r="19" spans="1:24" x14ac:dyDescent="0.35">
      <c r="A19" s="4" t="s">
        <v>557</v>
      </c>
      <c r="B19" s="5" t="str">
        <f>IF(COUNTIF($A$2:A19,A19)=1,"Original","Duplicate")</f>
        <v>Original</v>
      </c>
      <c r="C19" s="7">
        <v>44968</v>
      </c>
      <c r="D19" s="7">
        <v>44969</v>
      </c>
      <c r="E19" s="7" t="str">
        <f t="shared" si="0"/>
        <v>Valid</v>
      </c>
      <c r="F19" s="7">
        <f t="shared" si="1"/>
        <v>44969</v>
      </c>
      <c r="G19">
        <f t="shared" si="2"/>
        <v>1</v>
      </c>
      <c r="H19" t="s">
        <v>646</v>
      </c>
      <c r="I19" t="s">
        <v>651</v>
      </c>
      <c r="J19" t="s">
        <v>663</v>
      </c>
      <c r="K19" t="str">
        <f t="shared" si="3"/>
        <v>Port Harcourt</v>
      </c>
      <c r="L19" t="s">
        <v>703</v>
      </c>
      <c r="M19" t="s">
        <v>711</v>
      </c>
      <c r="N19" t="str">
        <f t="shared" si="4"/>
        <v>Direct</v>
      </c>
      <c r="O19" t="s">
        <v>726</v>
      </c>
      <c r="P19" t="str">
        <f t="shared" si="5"/>
        <v>D. Smith</v>
      </c>
      <c r="Q19" t="s">
        <v>733</v>
      </c>
      <c r="R19" t="s">
        <v>1275</v>
      </c>
      <c r="S19" s="23">
        <v>944.61</v>
      </c>
      <c r="T19" s="23">
        <v>839.04</v>
      </c>
      <c r="U19" s="23">
        <f t="shared" si="6"/>
        <v>839.04</v>
      </c>
      <c r="V19" s="8">
        <v>5.8999999999999997E-2</v>
      </c>
      <c r="W19" s="8">
        <f t="shared" si="7"/>
        <v>5.8999999999999997E-2</v>
      </c>
      <c r="X19">
        <v>6</v>
      </c>
    </row>
    <row r="20" spans="1:24" x14ac:dyDescent="0.35">
      <c r="A20" s="4" t="s">
        <v>79</v>
      </c>
      <c r="B20" s="5" t="str">
        <f>IF(COUNTIF($A$2:A20,A20)=1,"Original","Duplicate")</f>
        <v>Original</v>
      </c>
      <c r="C20" s="7">
        <v>44972</v>
      </c>
      <c r="D20" s="7">
        <v>44983</v>
      </c>
      <c r="E20" s="7" t="str">
        <f t="shared" si="0"/>
        <v>Valid</v>
      </c>
      <c r="F20" s="7">
        <f t="shared" si="1"/>
        <v>44983</v>
      </c>
      <c r="G20">
        <f t="shared" si="2"/>
        <v>11</v>
      </c>
      <c r="H20" t="s">
        <v>646</v>
      </c>
      <c r="I20" t="s">
        <v>661</v>
      </c>
      <c r="J20" t="s">
        <v>682</v>
      </c>
      <c r="K20" t="str">
        <f t="shared" si="3"/>
        <v>Johannesburg</v>
      </c>
      <c r="L20" t="s">
        <v>703</v>
      </c>
      <c r="M20" t="s">
        <v>707</v>
      </c>
      <c r="N20" t="str">
        <f t="shared" si="4"/>
        <v>Retail</v>
      </c>
      <c r="O20" t="s">
        <v>723</v>
      </c>
      <c r="P20" t="str">
        <f t="shared" si="5"/>
        <v>K. Singh</v>
      </c>
      <c r="Q20" t="s">
        <v>731</v>
      </c>
      <c r="R20" t="s">
        <v>798</v>
      </c>
      <c r="S20" s="23">
        <v>498.5</v>
      </c>
      <c r="T20" s="23">
        <v>755.87</v>
      </c>
      <c r="U20" s="23">
        <f t="shared" si="6"/>
        <v>755.87</v>
      </c>
      <c r="V20" s="8">
        <v>0.13</v>
      </c>
      <c r="W20" s="8">
        <f t="shared" si="7"/>
        <v>0.13</v>
      </c>
      <c r="X20">
        <v>40</v>
      </c>
    </row>
    <row r="21" spans="1:24" x14ac:dyDescent="0.35">
      <c r="A21" s="4" t="s">
        <v>180</v>
      </c>
      <c r="B21" s="5" t="str">
        <f>IF(COUNTIF($A$2:A21,A21)=1,"Original","Duplicate")</f>
        <v>Original</v>
      </c>
      <c r="C21" s="7">
        <v>44976</v>
      </c>
      <c r="D21" s="7">
        <v>44997</v>
      </c>
      <c r="E21" s="7" t="str">
        <f t="shared" si="0"/>
        <v>Valid</v>
      </c>
      <c r="F21" s="7">
        <f t="shared" si="1"/>
        <v>44997</v>
      </c>
      <c r="G21">
        <f t="shared" si="2"/>
        <v>21</v>
      </c>
      <c r="H21" t="s">
        <v>649</v>
      </c>
      <c r="I21" t="s">
        <v>656</v>
      </c>
      <c r="J21" t="s">
        <v>671</v>
      </c>
      <c r="K21" t="str">
        <f t="shared" si="3"/>
        <v>Berlin</v>
      </c>
      <c r="L21" t="s">
        <v>705</v>
      </c>
      <c r="M21" t="s">
        <v>711</v>
      </c>
      <c r="N21" t="str">
        <f t="shared" si="4"/>
        <v>Direct</v>
      </c>
      <c r="O21" t="s">
        <v>716</v>
      </c>
      <c r="P21" t="str">
        <f t="shared" si="5"/>
        <v>L. Okafor</v>
      </c>
      <c r="Q21" t="s">
        <v>732</v>
      </c>
      <c r="R21" t="s">
        <v>899</v>
      </c>
      <c r="S21" s="23">
        <v>1234.81</v>
      </c>
      <c r="T21" s="23">
        <v>2055.2399999999998</v>
      </c>
      <c r="U21" s="23">
        <f t="shared" si="6"/>
        <v>2055.2399999999998</v>
      </c>
      <c r="V21" s="8">
        <v>5.2999999999999999E-2</v>
      </c>
      <c r="W21" s="8">
        <f t="shared" si="7"/>
        <v>5.2999999999999999E-2</v>
      </c>
      <c r="X21">
        <v>44</v>
      </c>
    </row>
    <row r="22" spans="1:24" x14ac:dyDescent="0.35">
      <c r="A22" s="4" t="s">
        <v>175</v>
      </c>
      <c r="B22" s="5" t="str">
        <f>IF(COUNTIF($A$2:A22,A22)=1,"Original","Duplicate")</f>
        <v>Original</v>
      </c>
      <c r="C22" s="7">
        <v>44977</v>
      </c>
      <c r="D22" s="7">
        <v>44989</v>
      </c>
      <c r="E22" s="7" t="str">
        <f t="shared" si="0"/>
        <v>Valid</v>
      </c>
      <c r="F22" s="7">
        <f t="shared" si="1"/>
        <v>44989</v>
      </c>
      <c r="G22">
        <f t="shared" si="2"/>
        <v>12</v>
      </c>
      <c r="H22" t="s">
        <v>647</v>
      </c>
      <c r="I22" t="s">
        <v>654</v>
      </c>
      <c r="J22" t="s">
        <v>680</v>
      </c>
      <c r="K22" t="str">
        <f t="shared" si="3"/>
        <v>Delhi</v>
      </c>
      <c r="L22" t="s">
        <v>704</v>
      </c>
      <c r="M22" t="s">
        <v>710</v>
      </c>
      <c r="N22" t="str">
        <f t="shared" si="4"/>
        <v>Distributor</v>
      </c>
      <c r="O22" t="s">
        <v>724</v>
      </c>
      <c r="P22" t="str">
        <f t="shared" si="5"/>
        <v>M. Rossi</v>
      </c>
      <c r="Q22" t="s">
        <v>732</v>
      </c>
      <c r="R22" t="s">
        <v>894</v>
      </c>
      <c r="S22" s="23">
        <v>299.75</v>
      </c>
      <c r="T22" s="23">
        <v>523.01</v>
      </c>
      <c r="U22" s="23">
        <f t="shared" si="6"/>
        <v>523.01</v>
      </c>
      <c r="V22" s="8">
        <v>0.157</v>
      </c>
      <c r="W22" s="8">
        <f t="shared" si="7"/>
        <v>0.157</v>
      </c>
      <c r="X22">
        <v>50</v>
      </c>
    </row>
    <row r="23" spans="1:24" x14ac:dyDescent="0.35">
      <c r="A23" s="4" t="s">
        <v>453</v>
      </c>
      <c r="B23" s="5" t="str">
        <f>IF(COUNTIF($A$2:A23,A23)=1,"Original","Duplicate")</f>
        <v>Original</v>
      </c>
      <c r="C23" s="7">
        <v>44978</v>
      </c>
      <c r="D23" s="7">
        <v>44997</v>
      </c>
      <c r="E23" s="7" t="str">
        <f t="shared" si="0"/>
        <v>Valid</v>
      </c>
      <c r="F23" s="7">
        <f t="shared" si="1"/>
        <v>44997</v>
      </c>
      <c r="G23">
        <f t="shared" si="2"/>
        <v>19</v>
      </c>
      <c r="H23" t="s">
        <v>646</v>
      </c>
      <c r="I23" t="s">
        <v>650</v>
      </c>
      <c r="J23" t="s">
        <v>678</v>
      </c>
      <c r="K23" t="str">
        <f t="shared" si="3"/>
        <v>Nakuru</v>
      </c>
      <c r="L23" t="s">
        <v>701</v>
      </c>
      <c r="M23" t="s">
        <v>708</v>
      </c>
      <c r="N23" t="str">
        <f t="shared" si="4"/>
        <v>Online</v>
      </c>
      <c r="O23" t="s">
        <v>721</v>
      </c>
      <c r="P23" t="str">
        <f t="shared" si="5"/>
        <v>F. Müller</v>
      </c>
      <c r="Q23" t="s">
        <v>729</v>
      </c>
      <c r="R23" t="s">
        <v>1172</v>
      </c>
      <c r="S23" s="23">
        <v>352.65</v>
      </c>
      <c r="T23" s="23">
        <v>485.86</v>
      </c>
      <c r="U23" s="23">
        <f t="shared" si="6"/>
        <v>485.86</v>
      </c>
      <c r="V23" s="8">
        <v>4.1000000000000002E-2</v>
      </c>
      <c r="W23" s="8">
        <f t="shared" si="7"/>
        <v>4.1000000000000002E-2</v>
      </c>
      <c r="X23">
        <v>6</v>
      </c>
    </row>
    <row r="24" spans="1:24" x14ac:dyDescent="0.35">
      <c r="A24" s="4" t="s">
        <v>46</v>
      </c>
      <c r="B24" s="5" t="str">
        <f>IF(COUNTIF($A$2:A24,A24)=1,"Original","Duplicate")</f>
        <v>Original</v>
      </c>
      <c r="C24" s="7">
        <v>44980</v>
      </c>
      <c r="D24" s="7">
        <v>45010</v>
      </c>
      <c r="E24" s="7" t="str">
        <f t="shared" si="0"/>
        <v>Valid</v>
      </c>
      <c r="F24" s="7">
        <f t="shared" si="1"/>
        <v>45010</v>
      </c>
      <c r="G24">
        <f t="shared" si="2"/>
        <v>30</v>
      </c>
      <c r="H24" t="s">
        <v>648</v>
      </c>
      <c r="I24" t="s">
        <v>653</v>
      </c>
      <c r="J24" t="s">
        <v>681</v>
      </c>
      <c r="K24" t="str">
        <f t="shared" si="3"/>
        <v>Montreal</v>
      </c>
      <c r="L24" t="s">
        <v>706</v>
      </c>
      <c r="M24" t="s">
        <v>708</v>
      </c>
      <c r="N24" t="str">
        <f t="shared" si="4"/>
        <v>Online</v>
      </c>
      <c r="O24" t="s">
        <v>726</v>
      </c>
      <c r="P24" t="str">
        <f t="shared" si="5"/>
        <v>D. Smith</v>
      </c>
      <c r="Q24" t="s">
        <v>730</v>
      </c>
      <c r="R24" t="s">
        <v>765</v>
      </c>
      <c r="S24" s="23">
        <v>1242.6600000000001</v>
      </c>
      <c r="T24" s="23">
        <v>1794.07</v>
      </c>
      <c r="U24" s="23">
        <f t="shared" si="6"/>
        <v>1794.07</v>
      </c>
      <c r="V24" s="8">
        <v>8.8999999999999996E-2</v>
      </c>
      <c r="W24" s="8">
        <f t="shared" si="7"/>
        <v>8.8999999999999996E-2</v>
      </c>
      <c r="X24">
        <v>16</v>
      </c>
    </row>
    <row r="25" spans="1:24" x14ac:dyDescent="0.35">
      <c r="A25" s="4" t="s">
        <v>364</v>
      </c>
      <c r="B25" s="5" t="str">
        <f>IF(COUNTIF($A$2:A25,A25)=1,"Original","Duplicate")</f>
        <v>Original</v>
      </c>
      <c r="C25" s="7">
        <v>44980</v>
      </c>
      <c r="D25" s="7">
        <v>44993</v>
      </c>
      <c r="E25" s="7" t="str">
        <f t="shared" si="0"/>
        <v>Valid</v>
      </c>
      <c r="F25" s="7">
        <f t="shared" si="1"/>
        <v>44993</v>
      </c>
      <c r="G25">
        <f t="shared" si="2"/>
        <v>13</v>
      </c>
      <c r="H25" t="s">
        <v>649</v>
      </c>
      <c r="I25" t="s">
        <v>658</v>
      </c>
      <c r="J25" t="s">
        <v>693</v>
      </c>
      <c r="K25" t="str">
        <f t="shared" si="3"/>
        <v>Manchester</v>
      </c>
      <c r="L25" t="s">
        <v>705</v>
      </c>
      <c r="M25" t="s">
        <v>711</v>
      </c>
      <c r="N25" t="str">
        <f t="shared" si="4"/>
        <v>Direct</v>
      </c>
      <c r="O25" t="s">
        <v>712</v>
      </c>
      <c r="P25" t="str">
        <f t="shared" si="5"/>
        <v>C. Otieno</v>
      </c>
      <c r="Q25" t="s">
        <v>728</v>
      </c>
      <c r="R25" t="s">
        <v>1084</v>
      </c>
      <c r="S25" s="23">
        <v>307.37</v>
      </c>
      <c r="T25" s="23">
        <v>462.61</v>
      </c>
      <c r="U25" s="23">
        <f t="shared" si="6"/>
        <v>462.61</v>
      </c>
      <c r="V25" s="8">
        <v>0.188</v>
      </c>
      <c r="W25" s="8">
        <f t="shared" si="7"/>
        <v>0.188</v>
      </c>
      <c r="X25">
        <v>11</v>
      </c>
    </row>
    <row r="26" spans="1:24" x14ac:dyDescent="0.35">
      <c r="A26" s="4" t="s">
        <v>516</v>
      </c>
      <c r="B26" s="5" t="str">
        <f>IF(COUNTIF($A$2:A26,A26)=1,"Original","Duplicate")</f>
        <v>Original</v>
      </c>
      <c r="C26" s="7">
        <v>44980</v>
      </c>
      <c r="D26" s="7">
        <v>45003</v>
      </c>
      <c r="E26" s="7" t="str">
        <f t="shared" si="0"/>
        <v>Valid</v>
      </c>
      <c r="F26" s="7">
        <f t="shared" si="1"/>
        <v>45003</v>
      </c>
      <c r="G26">
        <f t="shared" si="2"/>
        <v>23</v>
      </c>
      <c r="H26" t="s">
        <v>647</v>
      </c>
      <c r="I26" t="s">
        <v>659</v>
      </c>
      <c r="J26" t="s">
        <v>699</v>
      </c>
      <c r="K26" t="str">
        <f t="shared" si="3"/>
        <v>Beijing</v>
      </c>
      <c r="L26" t="s">
        <v>702</v>
      </c>
      <c r="M26" t="s">
        <v>710</v>
      </c>
      <c r="N26" t="str">
        <f t="shared" si="4"/>
        <v>Distributor</v>
      </c>
      <c r="O26" t="s">
        <v>723</v>
      </c>
      <c r="P26" t="str">
        <f t="shared" si="5"/>
        <v>K. Singh</v>
      </c>
      <c r="Q26" t="s">
        <v>728</v>
      </c>
      <c r="R26" t="s">
        <v>1235</v>
      </c>
      <c r="S26" s="23">
        <v>770.11</v>
      </c>
      <c r="T26" s="23">
        <v>1667.82</v>
      </c>
      <c r="U26" s="23">
        <f t="shared" si="6"/>
        <v>1667.82</v>
      </c>
      <c r="V26" s="8">
        <v>6.9000000000000006E-2</v>
      </c>
      <c r="W26" s="8">
        <f t="shared" si="7"/>
        <v>6.9000000000000006E-2</v>
      </c>
      <c r="X26">
        <v>7</v>
      </c>
    </row>
    <row r="27" spans="1:24" x14ac:dyDescent="0.35">
      <c r="A27" s="4" t="s">
        <v>187</v>
      </c>
      <c r="B27" s="5" t="str">
        <f>IF(COUNTIF($A$2:A27,A27)=1,"Original","Duplicate")</f>
        <v>Original</v>
      </c>
      <c r="C27" s="7">
        <v>44981</v>
      </c>
      <c r="D27" s="7">
        <v>44994</v>
      </c>
      <c r="E27" s="7" t="str">
        <f t="shared" si="0"/>
        <v>Valid</v>
      </c>
      <c r="F27" s="7">
        <f t="shared" si="1"/>
        <v>44994</v>
      </c>
      <c r="G27">
        <f t="shared" si="2"/>
        <v>13</v>
      </c>
      <c r="H27" t="s">
        <v>648</v>
      </c>
      <c r="I27" t="s">
        <v>660</v>
      </c>
      <c r="J27" t="s">
        <v>700</v>
      </c>
      <c r="K27" t="str">
        <f t="shared" si="3"/>
        <v>New York</v>
      </c>
      <c r="L27" t="s">
        <v>706</v>
      </c>
      <c r="M27" t="s">
        <v>708</v>
      </c>
      <c r="N27" t="str">
        <f t="shared" si="4"/>
        <v>Online</v>
      </c>
      <c r="O27" t="s">
        <v>724</v>
      </c>
      <c r="P27" t="str">
        <f t="shared" si="5"/>
        <v>M. Rossi</v>
      </c>
      <c r="Q27" t="s">
        <v>727</v>
      </c>
      <c r="R27" t="s">
        <v>906</v>
      </c>
      <c r="S27" s="23">
        <v>6.85</v>
      </c>
      <c r="T27" s="23">
        <v>10.18</v>
      </c>
      <c r="U27" s="23">
        <f t="shared" si="6"/>
        <v>10.18</v>
      </c>
      <c r="V27" s="8">
        <v>4.7E-2</v>
      </c>
      <c r="W27" s="8">
        <f t="shared" si="7"/>
        <v>4.7E-2</v>
      </c>
      <c r="X27">
        <v>10</v>
      </c>
    </row>
    <row r="28" spans="1:24" x14ac:dyDescent="0.35">
      <c r="A28" s="4" t="s">
        <v>606</v>
      </c>
      <c r="B28" s="5" t="str">
        <f>IF(COUNTIF($A$2:A28,A28)=1,"Original","Duplicate")</f>
        <v>Original</v>
      </c>
      <c r="C28" s="7">
        <v>44984</v>
      </c>
      <c r="D28" s="7">
        <v>44983</v>
      </c>
      <c r="E28" s="7" t="str">
        <f t="shared" si="0"/>
        <v>Invalid</v>
      </c>
      <c r="F28" s="7">
        <f t="shared" si="1"/>
        <v>44991</v>
      </c>
      <c r="G28">
        <f t="shared" si="2"/>
        <v>7</v>
      </c>
      <c r="H28" t="s">
        <v>648</v>
      </c>
      <c r="I28" t="s">
        <v>660</v>
      </c>
      <c r="J28" t="s">
        <v>686</v>
      </c>
      <c r="K28" t="str">
        <f t="shared" si="3"/>
        <v>San Francisco</v>
      </c>
      <c r="L28" t="s">
        <v>703</v>
      </c>
      <c r="M28" t="s">
        <v>708</v>
      </c>
      <c r="N28" t="str">
        <f t="shared" si="4"/>
        <v>Online</v>
      </c>
      <c r="O28" t="s">
        <v>716</v>
      </c>
      <c r="P28" t="str">
        <f t="shared" si="5"/>
        <v>L. Okafor</v>
      </c>
      <c r="Q28" t="s">
        <v>729</v>
      </c>
      <c r="R28" t="s">
        <v>1324</v>
      </c>
      <c r="S28" s="23">
        <v>1015.91</v>
      </c>
      <c r="T28" s="23">
        <v>2331.48</v>
      </c>
      <c r="U28" s="23">
        <f t="shared" si="6"/>
        <v>2331.48</v>
      </c>
      <c r="V28" s="8">
        <v>0.14599999999999999</v>
      </c>
      <c r="W28" s="8">
        <f t="shared" si="7"/>
        <v>0.14599999999999999</v>
      </c>
      <c r="X28">
        <v>26</v>
      </c>
    </row>
    <row r="29" spans="1:24" x14ac:dyDescent="0.35">
      <c r="A29" s="4" t="s">
        <v>17</v>
      </c>
      <c r="B29" s="5" t="str">
        <f>IF(COUNTIF($A$2:A29,A29)=1,"Original","Duplicate")</f>
        <v>Original</v>
      </c>
      <c r="C29" s="7">
        <v>44985</v>
      </c>
      <c r="D29" s="7">
        <v>45010</v>
      </c>
      <c r="E29" s="7" t="str">
        <f t="shared" si="0"/>
        <v>Valid</v>
      </c>
      <c r="F29" s="7">
        <f t="shared" si="1"/>
        <v>45010</v>
      </c>
      <c r="G29">
        <f t="shared" si="2"/>
        <v>25</v>
      </c>
      <c r="H29" t="s">
        <v>646</v>
      </c>
      <c r="I29" t="s">
        <v>650</v>
      </c>
      <c r="J29" t="s">
        <v>664</v>
      </c>
      <c r="K29" t="str">
        <f t="shared" si="3"/>
        <v>Nairobi</v>
      </c>
      <c r="L29" t="s">
        <v>701</v>
      </c>
      <c r="M29" t="s">
        <v>707</v>
      </c>
      <c r="N29" t="str">
        <f t="shared" si="4"/>
        <v>Retail</v>
      </c>
      <c r="O29" t="s">
        <v>714</v>
      </c>
      <c r="P29" t="str">
        <f t="shared" si="5"/>
        <v>I. Johnson</v>
      </c>
      <c r="Q29" t="s">
        <v>729</v>
      </c>
      <c r="R29" t="s">
        <v>736</v>
      </c>
      <c r="S29" s="23">
        <v>1460.76</v>
      </c>
      <c r="T29" s="23">
        <v>-30.66</v>
      </c>
      <c r="U29" s="23">
        <f t="shared" si="6"/>
        <v>1752.912</v>
      </c>
      <c r="V29" s="8">
        <v>0.13100000000000001</v>
      </c>
      <c r="W29" s="8">
        <f t="shared" si="7"/>
        <v>0.13100000000000001</v>
      </c>
      <c r="X29">
        <v>12</v>
      </c>
    </row>
    <row r="30" spans="1:24" x14ac:dyDescent="0.35">
      <c r="A30" s="4" t="s">
        <v>114</v>
      </c>
      <c r="B30" s="5" t="str">
        <f>IF(COUNTIF($A$2:A30,A30)=1,"Original","Duplicate")</f>
        <v>Original</v>
      </c>
      <c r="C30" s="7">
        <v>44985</v>
      </c>
      <c r="D30" s="7">
        <v>45005</v>
      </c>
      <c r="E30" s="7" t="str">
        <f t="shared" si="0"/>
        <v>Valid</v>
      </c>
      <c r="F30" s="7">
        <f t="shared" si="1"/>
        <v>45005</v>
      </c>
      <c r="G30">
        <f t="shared" si="2"/>
        <v>20</v>
      </c>
      <c r="H30" t="s">
        <v>649</v>
      </c>
      <c r="I30" t="s">
        <v>656</v>
      </c>
      <c r="J30" t="s">
        <v>671</v>
      </c>
      <c r="K30" t="str">
        <f t="shared" si="3"/>
        <v>Berlin</v>
      </c>
      <c r="L30" t="s">
        <v>705</v>
      </c>
      <c r="M30" t="s">
        <v>711</v>
      </c>
      <c r="N30" t="str">
        <f t="shared" si="4"/>
        <v>Direct</v>
      </c>
      <c r="O30" t="s">
        <v>722</v>
      </c>
      <c r="P30" t="str">
        <f t="shared" si="5"/>
        <v>H. Kim</v>
      </c>
      <c r="Q30" t="s">
        <v>731</v>
      </c>
      <c r="R30" t="s">
        <v>833</v>
      </c>
      <c r="S30" s="23">
        <v>1200.78</v>
      </c>
      <c r="T30" s="23">
        <v>2001.17</v>
      </c>
      <c r="U30" s="23">
        <f t="shared" si="6"/>
        <v>2001.17</v>
      </c>
      <c r="V30" s="8">
        <v>0.29199999999999998</v>
      </c>
      <c r="W30" s="8">
        <f t="shared" si="7"/>
        <v>0.29199999999999998</v>
      </c>
      <c r="X30">
        <v>18</v>
      </c>
    </row>
    <row r="31" spans="1:24" x14ac:dyDescent="0.35">
      <c r="A31" s="4" t="s">
        <v>336</v>
      </c>
      <c r="B31" s="5" t="str">
        <f>IF(COUNTIF($A$2:A31,A31)=1,"Original","Duplicate")</f>
        <v>Original</v>
      </c>
      <c r="C31" s="7">
        <v>44985</v>
      </c>
      <c r="D31" s="7">
        <v>44984</v>
      </c>
      <c r="E31" s="7" t="str">
        <f t="shared" si="0"/>
        <v>Invalid</v>
      </c>
      <c r="F31" s="7">
        <f t="shared" si="1"/>
        <v>44992</v>
      </c>
      <c r="G31">
        <f t="shared" si="2"/>
        <v>7</v>
      </c>
      <c r="H31" t="s">
        <v>649</v>
      </c>
      <c r="I31" t="s">
        <v>657</v>
      </c>
      <c r="J31" t="s">
        <v>673</v>
      </c>
      <c r="K31" t="str">
        <f t="shared" si="3"/>
        <v>Marseille</v>
      </c>
      <c r="L31" t="s">
        <v>701</v>
      </c>
      <c r="M31" t="s">
        <v>707</v>
      </c>
      <c r="N31" t="str">
        <f t="shared" si="4"/>
        <v>Retail</v>
      </c>
      <c r="O31" t="s">
        <v>723</v>
      </c>
      <c r="P31" t="str">
        <f t="shared" si="5"/>
        <v>K. Singh</v>
      </c>
      <c r="Q31" t="s">
        <v>729</v>
      </c>
      <c r="R31" t="s">
        <v>1056</v>
      </c>
      <c r="S31" s="23">
        <v>1299.81</v>
      </c>
      <c r="T31" s="23">
        <v>3149.13</v>
      </c>
      <c r="U31" s="23">
        <f t="shared" si="6"/>
        <v>3149.13</v>
      </c>
      <c r="V31" s="8">
        <v>0.10299999999999999</v>
      </c>
      <c r="W31" s="8">
        <f t="shared" si="7"/>
        <v>0.10299999999999999</v>
      </c>
      <c r="X31">
        <v>14</v>
      </c>
    </row>
    <row r="32" spans="1:24" x14ac:dyDescent="0.35">
      <c r="A32" s="4" t="s">
        <v>562</v>
      </c>
      <c r="B32" s="5" t="str">
        <f>IF(COUNTIF($A$2:A32,A32)=1,"Original","Duplicate")</f>
        <v>Original</v>
      </c>
      <c r="C32" s="7">
        <v>44985</v>
      </c>
      <c r="D32" s="7">
        <v>44991</v>
      </c>
      <c r="E32" s="7" t="str">
        <f t="shared" si="0"/>
        <v>Valid</v>
      </c>
      <c r="F32" s="7">
        <f t="shared" si="1"/>
        <v>44991</v>
      </c>
      <c r="G32">
        <f t="shared" si="2"/>
        <v>6</v>
      </c>
      <c r="H32" t="s">
        <v>649</v>
      </c>
      <c r="I32" t="s">
        <v>656</v>
      </c>
      <c r="J32" t="s">
        <v>698</v>
      </c>
      <c r="K32" t="str">
        <f t="shared" si="3"/>
        <v>Frankfurt</v>
      </c>
      <c r="L32" t="s">
        <v>705</v>
      </c>
      <c r="M32" t="s">
        <v>709</v>
      </c>
      <c r="N32" t="str">
        <f t="shared" si="4"/>
        <v>Marketplace</v>
      </c>
      <c r="O32" t="s">
        <v>726</v>
      </c>
      <c r="P32" t="str">
        <f t="shared" si="5"/>
        <v>D. Smith</v>
      </c>
      <c r="Q32" t="s">
        <v>728</v>
      </c>
      <c r="R32" t="s">
        <v>1280</v>
      </c>
      <c r="S32" s="23">
        <v>880.02</v>
      </c>
      <c r="T32" s="23">
        <v>1251.21</v>
      </c>
      <c r="U32" s="23">
        <f t="shared" si="6"/>
        <v>1251.21</v>
      </c>
      <c r="V32" s="8">
        <v>0.123</v>
      </c>
      <c r="W32" s="8">
        <f t="shared" si="7"/>
        <v>0.123</v>
      </c>
      <c r="X32">
        <v>29</v>
      </c>
    </row>
    <row r="33" spans="1:24" x14ac:dyDescent="0.35">
      <c r="A33" s="4" t="s">
        <v>130</v>
      </c>
      <c r="B33" s="5" t="str">
        <f>IF(COUNTIF($A$2:A33,A33)=1,"Original","Duplicate")</f>
        <v>Original</v>
      </c>
      <c r="C33" s="7">
        <v>44987</v>
      </c>
      <c r="D33" s="7">
        <v>44990</v>
      </c>
      <c r="E33" s="7" t="str">
        <f t="shared" si="0"/>
        <v>Valid</v>
      </c>
      <c r="F33" s="7">
        <f t="shared" si="1"/>
        <v>44990</v>
      </c>
      <c r="G33">
        <f t="shared" si="2"/>
        <v>3</v>
      </c>
      <c r="H33" t="s">
        <v>648</v>
      </c>
      <c r="I33" t="s">
        <v>655</v>
      </c>
      <c r="J33" t="s">
        <v>672</v>
      </c>
      <c r="K33" t="str">
        <f t="shared" si="3"/>
        <v>Brasília</v>
      </c>
      <c r="L33" t="s">
        <v>706</v>
      </c>
      <c r="M33" t="s">
        <v>711</v>
      </c>
      <c r="N33" t="str">
        <f t="shared" si="4"/>
        <v>Direct</v>
      </c>
      <c r="O33" t="s">
        <v>715</v>
      </c>
      <c r="P33" t="str">
        <f t="shared" si="5"/>
        <v>G. Dubois</v>
      </c>
      <c r="Q33" t="s">
        <v>732</v>
      </c>
      <c r="R33" t="s">
        <v>849</v>
      </c>
      <c r="S33" s="23">
        <v>1473.58</v>
      </c>
      <c r="T33" s="23">
        <v>3436.52</v>
      </c>
      <c r="U33" s="23">
        <f t="shared" si="6"/>
        <v>3436.52</v>
      </c>
      <c r="V33" s="8">
        <v>0.108</v>
      </c>
      <c r="W33" s="8">
        <f t="shared" si="7"/>
        <v>0.108</v>
      </c>
      <c r="X33">
        <v>8</v>
      </c>
    </row>
    <row r="34" spans="1:24" x14ac:dyDescent="0.35">
      <c r="A34" s="4" t="s">
        <v>566</v>
      </c>
      <c r="B34" s="5" t="str">
        <f>IF(COUNTIF($A$2:A34,A34)=1,"Original","Duplicate")</f>
        <v>Original</v>
      </c>
      <c r="C34" s="7">
        <v>44988</v>
      </c>
      <c r="D34" s="7">
        <v>45005</v>
      </c>
      <c r="E34" s="7" t="str">
        <f t="shared" si="0"/>
        <v>Valid</v>
      </c>
      <c r="F34" s="7">
        <f t="shared" si="1"/>
        <v>45005</v>
      </c>
      <c r="G34">
        <f t="shared" si="2"/>
        <v>17</v>
      </c>
      <c r="H34" t="s">
        <v>647</v>
      </c>
      <c r="I34" t="s">
        <v>652</v>
      </c>
      <c r="J34" t="s">
        <v>694</v>
      </c>
      <c r="K34" t="str">
        <f t="shared" si="3"/>
        <v>Nagoya</v>
      </c>
      <c r="L34" t="s">
        <v>705</v>
      </c>
      <c r="M34" t="s">
        <v>708</v>
      </c>
      <c r="N34" t="str">
        <f t="shared" si="4"/>
        <v>Online</v>
      </c>
      <c r="O34" t="s">
        <v>726</v>
      </c>
      <c r="P34" t="str">
        <f t="shared" si="5"/>
        <v>D. Smith</v>
      </c>
      <c r="Q34" t="s">
        <v>729</v>
      </c>
      <c r="R34" t="s">
        <v>1284</v>
      </c>
      <c r="S34" s="23">
        <v>1171.17</v>
      </c>
      <c r="T34" s="23">
        <v>2030.64</v>
      </c>
      <c r="U34" s="23">
        <f t="shared" si="6"/>
        <v>2030.64</v>
      </c>
      <c r="V34" s="8">
        <v>0.157</v>
      </c>
      <c r="W34" s="8">
        <f t="shared" si="7"/>
        <v>0.157</v>
      </c>
      <c r="X34">
        <v>11</v>
      </c>
    </row>
    <row r="35" spans="1:24" x14ac:dyDescent="0.35">
      <c r="A35" s="4" t="s">
        <v>265</v>
      </c>
      <c r="B35" s="5" t="str">
        <f>IF(COUNTIF($A$2:A35,A35)=1,"Original","Duplicate")</f>
        <v>Original</v>
      </c>
      <c r="C35" s="7">
        <v>44989</v>
      </c>
      <c r="D35" s="7">
        <v>45009</v>
      </c>
      <c r="E35" s="7" t="str">
        <f t="shared" si="0"/>
        <v>Valid</v>
      </c>
      <c r="F35" s="7">
        <f t="shared" si="1"/>
        <v>45009</v>
      </c>
      <c r="G35">
        <f t="shared" si="2"/>
        <v>20</v>
      </c>
      <c r="H35" t="s">
        <v>648</v>
      </c>
      <c r="I35" t="s">
        <v>653</v>
      </c>
      <c r="J35" t="s">
        <v>681</v>
      </c>
      <c r="K35" t="str">
        <f t="shared" si="3"/>
        <v>Montreal</v>
      </c>
      <c r="L35" t="s">
        <v>704</v>
      </c>
      <c r="M35" t="s">
        <v>710</v>
      </c>
      <c r="N35" t="str">
        <f t="shared" si="4"/>
        <v>Distributor</v>
      </c>
      <c r="O35" t="s">
        <v>714</v>
      </c>
      <c r="P35" t="str">
        <f t="shared" si="5"/>
        <v>I. Johnson</v>
      </c>
      <c r="Q35" t="s">
        <v>731</v>
      </c>
      <c r="R35" t="s">
        <v>985</v>
      </c>
      <c r="S35" s="23">
        <v>481.71</v>
      </c>
      <c r="T35" s="23">
        <v>912.45</v>
      </c>
      <c r="U35" s="23">
        <f t="shared" si="6"/>
        <v>912.45</v>
      </c>
      <c r="V35" s="8">
        <v>0.20300000000000001</v>
      </c>
      <c r="W35" s="8">
        <f t="shared" si="7"/>
        <v>0.20300000000000001</v>
      </c>
      <c r="X35">
        <v>24</v>
      </c>
    </row>
    <row r="36" spans="1:24" x14ac:dyDescent="0.35">
      <c r="A36" s="4" t="s">
        <v>419</v>
      </c>
      <c r="B36" s="5" t="str">
        <f>IF(COUNTIF($A$2:A36,A36)=1,"Original","Duplicate")</f>
        <v>Original</v>
      </c>
      <c r="C36" s="7">
        <v>44991</v>
      </c>
      <c r="D36" s="7">
        <v>45020</v>
      </c>
      <c r="E36" s="7" t="str">
        <f t="shared" si="0"/>
        <v>Valid</v>
      </c>
      <c r="F36" s="7">
        <f t="shared" si="1"/>
        <v>45020</v>
      </c>
      <c r="G36">
        <f t="shared" si="2"/>
        <v>29</v>
      </c>
      <c r="H36" t="s">
        <v>647</v>
      </c>
      <c r="I36" t="s">
        <v>659</v>
      </c>
      <c r="J36" t="s">
        <v>699</v>
      </c>
      <c r="K36" t="str">
        <f t="shared" si="3"/>
        <v>Beijing</v>
      </c>
      <c r="L36" t="s">
        <v>705</v>
      </c>
      <c r="M36" t="s">
        <v>711</v>
      </c>
      <c r="N36" t="str">
        <f t="shared" si="4"/>
        <v>Direct</v>
      </c>
      <c r="O36" t="s">
        <v>712</v>
      </c>
      <c r="P36" t="str">
        <f t="shared" si="5"/>
        <v>C. Otieno</v>
      </c>
      <c r="Q36" t="s">
        <v>732</v>
      </c>
      <c r="R36" t="s">
        <v>1138</v>
      </c>
      <c r="S36" s="23">
        <v>1126.29</v>
      </c>
      <c r="T36" s="23">
        <v>2050.87</v>
      </c>
      <c r="U36" s="23">
        <f t="shared" si="6"/>
        <v>2050.87</v>
      </c>
      <c r="V36" s="8">
        <v>6.4000000000000001E-2</v>
      </c>
      <c r="W36" s="8">
        <f t="shared" si="7"/>
        <v>6.4000000000000001E-2</v>
      </c>
      <c r="X36">
        <v>7</v>
      </c>
    </row>
    <row r="37" spans="1:24" x14ac:dyDescent="0.35">
      <c r="A37" s="4" t="s">
        <v>243</v>
      </c>
      <c r="B37" s="5" t="str">
        <f>IF(COUNTIF($A$2:A37,A37)=1,"Original","Duplicate")</f>
        <v>Original</v>
      </c>
      <c r="C37" s="7">
        <v>44992</v>
      </c>
      <c r="D37" s="7">
        <v>45017</v>
      </c>
      <c r="E37" s="7" t="str">
        <f t="shared" si="0"/>
        <v>Valid</v>
      </c>
      <c r="F37" s="7">
        <f t="shared" si="1"/>
        <v>45017</v>
      </c>
      <c r="G37">
        <f t="shared" si="2"/>
        <v>25</v>
      </c>
      <c r="H37" t="s">
        <v>646</v>
      </c>
      <c r="I37" t="s">
        <v>650</v>
      </c>
      <c r="J37" t="s">
        <v>664</v>
      </c>
      <c r="K37" t="str">
        <f t="shared" si="3"/>
        <v>Nairobi</v>
      </c>
      <c r="L37" t="s">
        <v>704</v>
      </c>
      <c r="M37" t="s">
        <v>709</v>
      </c>
      <c r="N37" t="str">
        <f t="shared" si="4"/>
        <v>Marketplace</v>
      </c>
      <c r="O37" t="s">
        <v>726</v>
      </c>
      <c r="P37" t="str">
        <f t="shared" si="5"/>
        <v>D. Smith</v>
      </c>
      <c r="Q37" t="s">
        <v>728</v>
      </c>
      <c r="R37" t="s">
        <v>963</v>
      </c>
      <c r="S37" s="23">
        <v>1024.0999999999999</v>
      </c>
      <c r="T37" s="23">
        <v>918.19</v>
      </c>
      <c r="U37" s="23">
        <f t="shared" si="6"/>
        <v>918.19</v>
      </c>
      <c r="V37" s="8">
        <v>0.189</v>
      </c>
      <c r="W37" s="8">
        <f t="shared" si="7"/>
        <v>0.189</v>
      </c>
      <c r="X37">
        <v>10</v>
      </c>
    </row>
    <row r="38" spans="1:24" x14ac:dyDescent="0.35">
      <c r="A38" s="4" t="s">
        <v>391</v>
      </c>
      <c r="B38" s="5" t="str">
        <f>IF(COUNTIF($A$2:A38,A38)=1,"Original","Duplicate")</f>
        <v>Original</v>
      </c>
      <c r="C38" s="7">
        <v>44998</v>
      </c>
      <c r="D38" s="7">
        <v>45020</v>
      </c>
      <c r="E38" s="7" t="str">
        <f t="shared" si="0"/>
        <v>Valid</v>
      </c>
      <c r="F38" s="7">
        <f t="shared" si="1"/>
        <v>45020</v>
      </c>
      <c r="G38">
        <f t="shared" si="2"/>
        <v>22</v>
      </c>
      <c r="H38" t="s">
        <v>646</v>
      </c>
      <c r="I38" t="s">
        <v>661</v>
      </c>
      <c r="J38" t="s">
        <v>687</v>
      </c>
      <c r="K38" t="str">
        <f t="shared" si="3"/>
        <v>Durban</v>
      </c>
      <c r="L38" t="s">
        <v>705</v>
      </c>
      <c r="M38" t="s">
        <v>707</v>
      </c>
      <c r="N38" t="str">
        <f t="shared" si="4"/>
        <v>Retail</v>
      </c>
      <c r="O38" t="s">
        <v>720</v>
      </c>
      <c r="P38" t="str">
        <f t="shared" si="5"/>
        <v>A. Patel</v>
      </c>
      <c r="Q38" t="s">
        <v>727</v>
      </c>
      <c r="R38" t="s">
        <v>1111</v>
      </c>
      <c r="S38" s="23">
        <v>1113.7</v>
      </c>
      <c r="T38" s="23">
        <v>1620.6</v>
      </c>
      <c r="U38" s="23">
        <f t="shared" si="6"/>
        <v>1620.6</v>
      </c>
      <c r="V38" s="8">
        <v>0.13900000000000001</v>
      </c>
      <c r="W38" s="8">
        <f t="shared" si="7"/>
        <v>0.13900000000000001</v>
      </c>
      <c r="X38">
        <v>11</v>
      </c>
    </row>
    <row r="39" spans="1:24" x14ac:dyDescent="0.35">
      <c r="A39" s="4" t="s">
        <v>248</v>
      </c>
      <c r="B39" s="5" t="str">
        <f>IF(COUNTIF($A$2:A39,A39)=1,"Original","Duplicate")</f>
        <v>Original</v>
      </c>
      <c r="C39" s="7">
        <v>44999</v>
      </c>
      <c r="D39" s="7">
        <v>45015</v>
      </c>
      <c r="E39" s="7" t="str">
        <f t="shared" si="0"/>
        <v>Valid</v>
      </c>
      <c r="F39" s="7">
        <f t="shared" si="1"/>
        <v>45015</v>
      </c>
      <c r="G39">
        <f t="shared" si="2"/>
        <v>16</v>
      </c>
      <c r="H39" t="s">
        <v>646</v>
      </c>
      <c r="I39" t="s">
        <v>661</v>
      </c>
      <c r="J39" t="s">
        <v>695</v>
      </c>
      <c r="K39" t="str">
        <f t="shared" si="3"/>
        <v>Cape Town</v>
      </c>
      <c r="L39" t="s">
        <v>704</v>
      </c>
      <c r="M39" t="s">
        <v>710</v>
      </c>
      <c r="N39" t="str">
        <f t="shared" si="4"/>
        <v>Distributor</v>
      </c>
      <c r="O39" t="s">
        <v>723</v>
      </c>
      <c r="P39" t="str">
        <f t="shared" si="5"/>
        <v>K. Singh</v>
      </c>
      <c r="Q39" t="s">
        <v>727</v>
      </c>
      <c r="R39" t="s">
        <v>968</v>
      </c>
      <c r="S39" s="23">
        <v>1309.77</v>
      </c>
      <c r="T39" s="23">
        <v>1589.07</v>
      </c>
      <c r="U39" s="23">
        <f t="shared" si="6"/>
        <v>1589.07</v>
      </c>
      <c r="V39" s="8">
        <v>0.10199999999999999</v>
      </c>
      <c r="W39" s="8">
        <f t="shared" si="7"/>
        <v>0.10199999999999999</v>
      </c>
      <c r="X39">
        <v>10</v>
      </c>
    </row>
    <row r="40" spans="1:24" x14ac:dyDescent="0.35">
      <c r="A40" s="4" t="s">
        <v>491</v>
      </c>
      <c r="B40" s="5" t="str">
        <f>IF(COUNTIF($A$2:A40,A40)=1,"Original","Duplicate")</f>
        <v>Original</v>
      </c>
      <c r="C40" s="7">
        <v>44999</v>
      </c>
      <c r="D40" s="7">
        <v>45003</v>
      </c>
      <c r="E40" s="7" t="str">
        <f t="shared" si="0"/>
        <v>Valid</v>
      </c>
      <c r="F40" s="7">
        <f t="shared" si="1"/>
        <v>45003</v>
      </c>
      <c r="G40">
        <f t="shared" si="2"/>
        <v>4</v>
      </c>
      <c r="H40" t="s">
        <v>649</v>
      </c>
      <c r="I40" t="s">
        <v>656</v>
      </c>
      <c r="J40" t="s">
        <v>698</v>
      </c>
      <c r="K40" t="str">
        <f t="shared" si="3"/>
        <v>Frankfurt</v>
      </c>
      <c r="L40" t="s">
        <v>706</v>
      </c>
      <c r="M40" t="s">
        <v>711</v>
      </c>
      <c r="N40" t="str">
        <f t="shared" si="4"/>
        <v>Direct</v>
      </c>
      <c r="O40" t="s">
        <v>720</v>
      </c>
      <c r="P40" t="str">
        <f t="shared" si="5"/>
        <v>A. Patel</v>
      </c>
      <c r="Q40" t="s">
        <v>727</v>
      </c>
      <c r="R40" t="s">
        <v>1210</v>
      </c>
      <c r="S40" s="23">
        <v>472.33</v>
      </c>
      <c r="T40" s="23">
        <v>360.34</v>
      </c>
      <c r="U40" s="23">
        <f t="shared" si="6"/>
        <v>360.34</v>
      </c>
      <c r="V40" s="8">
        <v>0.16500000000000001</v>
      </c>
      <c r="W40" s="8">
        <f t="shared" si="7"/>
        <v>0.16500000000000001</v>
      </c>
      <c r="X40">
        <v>14</v>
      </c>
    </row>
    <row r="41" spans="1:24" x14ac:dyDescent="0.35">
      <c r="A41" s="4" t="s">
        <v>426</v>
      </c>
      <c r="B41" s="5" t="str">
        <f>IF(COUNTIF($A$2:A41,A41)=1,"Original","Duplicate")</f>
        <v>Original</v>
      </c>
      <c r="C41" s="7">
        <v>45002</v>
      </c>
      <c r="D41" s="7">
        <v>45022</v>
      </c>
      <c r="E41" s="7" t="str">
        <f t="shared" si="0"/>
        <v>Valid</v>
      </c>
      <c r="F41" s="7">
        <f t="shared" si="1"/>
        <v>45022</v>
      </c>
      <c r="G41">
        <f t="shared" si="2"/>
        <v>20</v>
      </c>
      <c r="H41" t="s">
        <v>649</v>
      </c>
      <c r="I41" t="s">
        <v>656</v>
      </c>
      <c r="J41" t="s">
        <v>684</v>
      </c>
      <c r="K41" t="str">
        <f t="shared" si="3"/>
        <v>Munich</v>
      </c>
      <c r="L41" t="s">
        <v>704</v>
      </c>
      <c r="M41" t="s">
        <v>707</v>
      </c>
      <c r="N41" t="str">
        <f t="shared" si="4"/>
        <v>Retail</v>
      </c>
      <c r="O41" t="s">
        <v>719</v>
      </c>
      <c r="P41" t="str">
        <f t="shared" si="5"/>
        <v>O. Wang</v>
      </c>
      <c r="Q41" t="s">
        <v>730</v>
      </c>
      <c r="R41" t="s">
        <v>1145</v>
      </c>
      <c r="S41" s="23">
        <v>692.18</v>
      </c>
      <c r="T41" s="23">
        <v>1159.3499999999999</v>
      </c>
      <c r="U41" s="23">
        <f t="shared" si="6"/>
        <v>1159.3499999999999</v>
      </c>
      <c r="V41" s="8">
        <v>0.112</v>
      </c>
      <c r="W41" s="8">
        <f t="shared" si="7"/>
        <v>0.112</v>
      </c>
      <c r="X41">
        <v>2</v>
      </c>
    </row>
    <row r="42" spans="1:24" x14ac:dyDescent="0.35">
      <c r="A42" s="4" t="s">
        <v>81</v>
      </c>
      <c r="B42" s="5" t="str">
        <f>IF(COUNTIF($A$2:A42,A42)=1,"Original","Duplicate")</f>
        <v>Original</v>
      </c>
      <c r="C42" s="7">
        <v>45004</v>
      </c>
      <c r="D42" s="7">
        <v>45025</v>
      </c>
      <c r="E42" s="7" t="str">
        <f t="shared" si="0"/>
        <v>Valid</v>
      </c>
      <c r="F42" s="7">
        <f t="shared" si="1"/>
        <v>45025</v>
      </c>
      <c r="G42">
        <f t="shared" si="2"/>
        <v>21</v>
      </c>
      <c r="H42" t="s">
        <v>649</v>
      </c>
      <c r="I42" t="s">
        <v>658</v>
      </c>
      <c r="J42" t="s">
        <v>693</v>
      </c>
      <c r="K42" t="str">
        <f t="shared" si="3"/>
        <v>Manchester</v>
      </c>
      <c r="L42" t="s">
        <v>704</v>
      </c>
      <c r="M42" t="s">
        <v>707</v>
      </c>
      <c r="N42" t="str">
        <f t="shared" si="4"/>
        <v>Retail</v>
      </c>
      <c r="O42" t="s">
        <v>716</v>
      </c>
      <c r="P42" t="str">
        <f t="shared" si="5"/>
        <v>L. Okafor</v>
      </c>
      <c r="Q42" t="s">
        <v>733</v>
      </c>
      <c r="R42" t="s">
        <v>800</v>
      </c>
      <c r="S42" s="23">
        <v>1082.17</v>
      </c>
      <c r="T42" s="23">
        <v>1234.0999999999999</v>
      </c>
      <c r="U42" s="23">
        <f t="shared" si="6"/>
        <v>1234.0999999999999</v>
      </c>
      <c r="V42" s="8">
        <v>0.189</v>
      </c>
      <c r="W42" s="8">
        <f t="shared" si="7"/>
        <v>0.189</v>
      </c>
      <c r="X42">
        <v>16</v>
      </c>
    </row>
    <row r="43" spans="1:24" x14ac:dyDescent="0.35">
      <c r="A43" s="4" t="s">
        <v>333</v>
      </c>
      <c r="B43" s="5" t="str">
        <f>IF(COUNTIF($A$2:A43,A43)=1,"Original","Duplicate")</f>
        <v>Original</v>
      </c>
      <c r="C43" s="7">
        <v>45008</v>
      </c>
      <c r="D43" s="7">
        <v>45031</v>
      </c>
      <c r="E43" s="7" t="str">
        <f t="shared" si="0"/>
        <v>Valid</v>
      </c>
      <c r="F43" s="7">
        <f t="shared" si="1"/>
        <v>45031</v>
      </c>
      <c r="G43">
        <f t="shared" si="2"/>
        <v>23</v>
      </c>
      <c r="H43" t="s">
        <v>646</v>
      </c>
      <c r="I43" t="s">
        <v>650</v>
      </c>
      <c r="J43" t="s">
        <v>675</v>
      </c>
      <c r="K43" t="str">
        <f t="shared" si="3"/>
        <v>Mombasa</v>
      </c>
      <c r="L43" t="s">
        <v>705</v>
      </c>
      <c r="M43" t="s">
        <v>707</v>
      </c>
      <c r="N43" t="str">
        <f t="shared" si="4"/>
        <v>Retail</v>
      </c>
      <c r="O43" t="s">
        <v>712</v>
      </c>
      <c r="P43" t="str">
        <f t="shared" si="5"/>
        <v>C. Otieno</v>
      </c>
      <c r="Q43" t="s">
        <v>733</v>
      </c>
      <c r="R43" t="s">
        <v>1053</v>
      </c>
      <c r="S43" s="23">
        <v>875.36</v>
      </c>
      <c r="T43" s="23">
        <v>1178.6199999999999</v>
      </c>
      <c r="U43" s="23">
        <f t="shared" si="6"/>
        <v>1178.6199999999999</v>
      </c>
      <c r="V43" s="8">
        <v>0.151</v>
      </c>
      <c r="W43" s="8">
        <f t="shared" si="7"/>
        <v>0.151</v>
      </c>
      <c r="X43">
        <v>53</v>
      </c>
    </row>
    <row r="44" spans="1:24" x14ac:dyDescent="0.35">
      <c r="A44" s="4" t="s">
        <v>178</v>
      </c>
      <c r="B44" s="5" t="str">
        <f>IF(COUNTIF($A$2:A44,A44)=1,"Original","Duplicate")</f>
        <v>Original</v>
      </c>
      <c r="C44" s="7">
        <v>45010</v>
      </c>
      <c r="D44" s="7">
        <v>45011</v>
      </c>
      <c r="E44" s="7" t="str">
        <f t="shared" si="0"/>
        <v>Valid</v>
      </c>
      <c r="F44" s="7">
        <f t="shared" si="1"/>
        <v>45011</v>
      </c>
      <c r="G44">
        <f t="shared" si="2"/>
        <v>1</v>
      </c>
      <c r="H44" t="s">
        <v>647</v>
      </c>
      <c r="I44" t="s">
        <v>652</v>
      </c>
      <c r="J44" t="s">
        <v>666</v>
      </c>
      <c r="K44" t="str">
        <f t="shared" si="3"/>
        <v>Osaka</v>
      </c>
      <c r="L44" t="s">
        <v>705</v>
      </c>
      <c r="M44" t="s">
        <v>710</v>
      </c>
      <c r="N44" t="str">
        <f t="shared" si="4"/>
        <v>Distributor</v>
      </c>
      <c r="O44" t="s">
        <v>714</v>
      </c>
      <c r="P44" t="str">
        <f t="shared" si="5"/>
        <v>I. Johnson</v>
      </c>
      <c r="Q44" t="s">
        <v>732</v>
      </c>
      <c r="R44" t="s">
        <v>897</v>
      </c>
      <c r="S44" s="23">
        <v>135.12</v>
      </c>
      <c r="T44" s="23">
        <v>301.7</v>
      </c>
      <c r="U44" s="23">
        <f t="shared" si="6"/>
        <v>301.7</v>
      </c>
      <c r="V44" s="8">
        <v>0.14000000000000001</v>
      </c>
      <c r="W44" s="8">
        <f t="shared" si="7"/>
        <v>0.14000000000000001</v>
      </c>
      <c r="X44">
        <v>47</v>
      </c>
    </row>
    <row r="45" spans="1:24" x14ac:dyDescent="0.35">
      <c r="A45" s="4" t="s">
        <v>50</v>
      </c>
      <c r="B45" s="5" t="str">
        <f>IF(COUNTIF($A$2:A45,A45)=1,"Original","Duplicate")</f>
        <v>Original</v>
      </c>
      <c r="C45" s="7">
        <v>45012</v>
      </c>
      <c r="D45" s="7">
        <v>45038</v>
      </c>
      <c r="E45" s="7" t="str">
        <f t="shared" si="0"/>
        <v>Valid</v>
      </c>
      <c r="F45" s="7">
        <f t="shared" si="1"/>
        <v>45038</v>
      </c>
      <c r="G45">
        <f t="shared" si="2"/>
        <v>26</v>
      </c>
      <c r="H45" t="s">
        <v>647</v>
      </c>
      <c r="I45" t="s">
        <v>654</v>
      </c>
      <c r="J45" t="s">
        <v>680</v>
      </c>
      <c r="K45" t="str">
        <f t="shared" si="3"/>
        <v>Delhi</v>
      </c>
      <c r="L45" t="s">
        <v>703</v>
      </c>
      <c r="M45" t="s">
        <v>709</v>
      </c>
      <c r="N45" t="str">
        <f t="shared" si="4"/>
        <v>Marketplace</v>
      </c>
      <c r="O45" t="s">
        <v>713</v>
      </c>
      <c r="P45" t="str">
        <f t="shared" si="5"/>
        <v>J. Njeri</v>
      </c>
      <c r="Q45" t="s">
        <v>728</v>
      </c>
      <c r="R45" t="s">
        <v>769</v>
      </c>
      <c r="S45" s="23">
        <v>178.53</v>
      </c>
      <c r="T45" s="23">
        <v>199.37</v>
      </c>
      <c r="U45" s="23">
        <f t="shared" si="6"/>
        <v>199.37</v>
      </c>
      <c r="V45" s="8">
        <v>0.10100000000000001</v>
      </c>
      <c r="W45" s="8">
        <f t="shared" si="7"/>
        <v>0.10100000000000001</v>
      </c>
      <c r="X45">
        <v>37</v>
      </c>
    </row>
    <row r="46" spans="1:24" x14ac:dyDescent="0.35">
      <c r="A46" s="4" t="s">
        <v>67</v>
      </c>
      <c r="B46" s="5" t="str">
        <f>IF(COUNTIF($A$2:A46,A46)=1,"Original","Duplicate")</f>
        <v>Original</v>
      </c>
      <c r="C46" s="7">
        <v>45016</v>
      </c>
      <c r="D46" s="7">
        <v>45021</v>
      </c>
      <c r="E46" s="7" t="str">
        <f t="shared" si="0"/>
        <v>Valid</v>
      </c>
      <c r="F46" s="7">
        <f t="shared" si="1"/>
        <v>45021</v>
      </c>
      <c r="G46">
        <f t="shared" si="2"/>
        <v>5</v>
      </c>
      <c r="H46" t="s">
        <v>646</v>
      </c>
      <c r="I46" t="s">
        <v>650</v>
      </c>
      <c r="J46" t="s">
        <v>678</v>
      </c>
      <c r="K46" t="str">
        <f t="shared" si="3"/>
        <v>Nakuru</v>
      </c>
      <c r="L46" t="s">
        <v>702</v>
      </c>
      <c r="M46" t="s">
        <v>709</v>
      </c>
      <c r="N46" t="str">
        <f t="shared" si="4"/>
        <v>Marketplace</v>
      </c>
      <c r="O46" t="s">
        <v>717</v>
      </c>
      <c r="P46" t="str">
        <f t="shared" si="5"/>
        <v>B. Chen</v>
      </c>
      <c r="Q46" t="s">
        <v>731</v>
      </c>
      <c r="R46" t="s">
        <v>786</v>
      </c>
      <c r="S46" s="23">
        <v>533.26</v>
      </c>
      <c r="T46" s="23">
        <v>385.72</v>
      </c>
      <c r="U46" s="23">
        <f t="shared" si="6"/>
        <v>385.72</v>
      </c>
      <c r="V46" s="8">
        <v>0</v>
      </c>
      <c r="W46" s="8">
        <f t="shared" si="7"/>
        <v>0</v>
      </c>
      <c r="X46">
        <v>15</v>
      </c>
    </row>
    <row r="47" spans="1:24" x14ac:dyDescent="0.35">
      <c r="A47" s="4" t="s">
        <v>152</v>
      </c>
      <c r="B47" s="5" t="str">
        <f>IF(COUNTIF($A$2:A47,A47)=1,"Original","Duplicate")</f>
        <v>Original</v>
      </c>
      <c r="C47" s="7">
        <v>45016</v>
      </c>
      <c r="D47" s="7">
        <v>45028</v>
      </c>
      <c r="E47" s="7" t="str">
        <f t="shared" si="0"/>
        <v>Valid</v>
      </c>
      <c r="F47" s="7">
        <f t="shared" si="1"/>
        <v>45028</v>
      </c>
      <c r="G47">
        <f t="shared" si="2"/>
        <v>12</v>
      </c>
      <c r="H47" t="s">
        <v>646</v>
      </c>
      <c r="I47" t="s">
        <v>650</v>
      </c>
      <c r="J47" t="s">
        <v>675</v>
      </c>
      <c r="K47" t="str">
        <f t="shared" si="3"/>
        <v>Mombasa</v>
      </c>
      <c r="L47" t="s">
        <v>705</v>
      </c>
      <c r="M47" t="s">
        <v>708</v>
      </c>
      <c r="N47" t="str">
        <f t="shared" si="4"/>
        <v>Online</v>
      </c>
      <c r="O47" t="s">
        <v>712</v>
      </c>
      <c r="P47" t="str">
        <f t="shared" si="5"/>
        <v>C. Otieno</v>
      </c>
      <c r="Q47" t="s">
        <v>730</v>
      </c>
      <c r="R47" t="s">
        <v>871</v>
      </c>
      <c r="S47" s="23">
        <v>304.22000000000003</v>
      </c>
      <c r="T47" s="23">
        <v>393.31</v>
      </c>
      <c r="U47" s="23">
        <f t="shared" si="6"/>
        <v>393.31</v>
      </c>
      <c r="V47" s="8">
        <v>0.26500000000000001</v>
      </c>
      <c r="W47" s="8">
        <f t="shared" si="7"/>
        <v>0.26500000000000001</v>
      </c>
      <c r="X47">
        <v>15</v>
      </c>
    </row>
    <row r="48" spans="1:24" x14ac:dyDescent="0.35">
      <c r="A48" s="4" t="s">
        <v>604</v>
      </c>
      <c r="B48" s="5" t="str">
        <f>IF(COUNTIF($A$2:A48,A48)=1,"Original","Duplicate")</f>
        <v>Original</v>
      </c>
      <c r="C48" s="7">
        <v>45019</v>
      </c>
      <c r="D48" s="7">
        <v>45032</v>
      </c>
      <c r="E48" s="7" t="str">
        <f t="shared" si="0"/>
        <v>Valid</v>
      </c>
      <c r="F48" s="7">
        <f t="shared" si="1"/>
        <v>45032</v>
      </c>
      <c r="G48">
        <f t="shared" si="2"/>
        <v>13</v>
      </c>
      <c r="H48" t="s">
        <v>649</v>
      </c>
      <c r="I48" t="s">
        <v>657</v>
      </c>
      <c r="J48" t="s">
        <v>673</v>
      </c>
      <c r="K48" t="str">
        <f t="shared" si="3"/>
        <v>Marseille</v>
      </c>
      <c r="L48" t="s">
        <v>703</v>
      </c>
      <c r="M48" t="s">
        <v>709</v>
      </c>
      <c r="N48" t="str">
        <f t="shared" si="4"/>
        <v>Marketplace</v>
      </c>
      <c r="O48" t="s">
        <v>724</v>
      </c>
      <c r="P48" t="str">
        <f t="shared" si="5"/>
        <v>M. Rossi</v>
      </c>
      <c r="Q48" t="s">
        <v>733</v>
      </c>
      <c r="R48" t="s">
        <v>1322</v>
      </c>
      <c r="S48" s="23">
        <v>790.54</v>
      </c>
      <c r="T48" s="23">
        <v>601.49</v>
      </c>
      <c r="U48" s="23">
        <f t="shared" si="6"/>
        <v>601.49</v>
      </c>
      <c r="V48" s="8">
        <v>0</v>
      </c>
      <c r="W48" s="8">
        <f t="shared" si="7"/>
        <v>0</v>
      </c>
      <c r="X48">
        <v>15</v>
      </c>
    </row>
    <row r="49" spans="1:24" x14ac:dyDescent="0.35">
      <c r="A49" s="4" t="s">
        <v>193</v>
      </c>
      <c r="B49" s="5" t="str">
        <f>IF(COUNTIF($A$2:A49,A49)=1,"Original","Duplicate")</f>
        <v>Original</v>
      </c>
      <c r="C49" s="7">
        <v>45021</v>
      </c>
      <c r="D49" s="7">
        <v>45032</v>
      </c>
      <c r="E49" s="7" t="str">
        <f t="shared" si="0"/>
        <v>Valid</v>
      </c>
      <c r="F49" s="7">
        <f t="shared" si="1"/>
        <v>45032</v>
      </c>
      <c r="G49">
        <f t="shared" si="2"/>
        <v>11</v>
      </c>
      <c r="H49" t="s">
        <v>648</v>
      </c>
      <c r="I49" t="s">
        <v>653</v>
      </c>
      <c r="J49" t="s">
        <v>688</v>
      </c>
      <c r="K49" t="str">
        <f t="shared" si="3"/>
        <v>Vancouver</v>
      </c>
      <c r="L49" t="s">
        <v>703</v>
      </c>
      <c r="M49" t="s">
        <v>708</v>
      </c>
      <c r="N49" t="str">
        <f t="shared" si="4"/>
        <v>Online</v>
      </c>
      <c r="O49" t="s">
        <v>719</v>
      </c>
      <c r="P49" t="str">
        <f t="shared" si="5"/>
        <v>O. Wang</v>
      </c>
      <c r="Q49" t="s">
        <v>732</v>
      </c>
      <c r="R49" t="s">
        <v>912</v>
      </c>
      <c r="S49" s="23">
        <v>213.1</v>
      </c>
      <c r="T49" s="23">
        <v>501.31</v>
      </c>
      <c r="U49" s="23">
        <f t="shared" si="6"/>
        <v>501.31</v>
      </c>
      <c r="V49" s="8">
        <v>5.6000000000000001E-2</v>
      </c>
      <c r="W49" s="8">
        <f t="shared" si="7"/>
        <v>5.6000000000000001E-2</v>
      </c>
      <c r="X49">
        <v>15</v>
      </c>
    </row>
    <row r="50" spans="1:24" x14ac:dyDescent="0.35">
      <c r="A50" s="4" t="s">
        <v>110</v>
      </c>
      <c r="B50" s="5" t="str">
        <f>IF(COUNTIF($A$2:A50,A50)=1,"Original","Duplicate")</f>
        <v>Original</v>
      </c>
      <c r="C50" s="7">
        <v>45022</v>
      </c>
      <c r="D50" s="7">
        <v>45043</v>
      </c>
      <c r="E50" s="7" t="str">
        <f t="shared" si="0"/>
        <v>Valid</v>
      </c>
      <c r="F50" s="7">
        <f t="shared" si="1"/>
        <v>45043</v>
      </c>
      <c r="G50">
        <f t="shared" si="2"/>
        <v>21</v>
      </c>
      <c r="H50" t="s">
        <v>649</v>
      </c>
      <c r="I50" t="s">
        <v>658</v>
      </c>
      <c r="J50" t="s">
        <v>693</v>
      </c>
      <c r="K50" t="str">
        <f t="shared" si="3"/>
        <v>Manchester</v>
      </c>
      <c r="L50" t="s">
        <v>706</v>
      </c>
      <c r="M50" t="s">
        <v>710</v>
      </c>
      <c r="N50" t="str">
        <f t="shared" si="4"/>
        <v>Distributor</v>
      </c>
      <c r="O50" t="s">
        <v>714</v>
      </c>
      <c r="P50" t="str">
        <f t="shared" si="5"/>
        <v>I. Johnson</v>
      </c>
      <c r="Q50" t="s">
        <v>728</v>
      </c>
      <c r="R50" t="s">
        <v>829</v>
      </c>
      <c r="S50" s="23">
        <v>1084.79</v>
      </c>
      <c r="T50" s="23">
        <v>2484.9899999999998</v>
      </c>
      <c r="U50" s="23">
        <f t="shared" si="6"/>
        <v>2484.9899999999998</v>
      </c>
      <c r="V50" s="8">
        <v>3.4000000000000002E-2</v>
      </c>
      <c r="W50" s="8">
        <f t="shared" si="7"/>
        <v>3.4000000000000002E-2</v>
      </c>
      <c r="X50">
        <v>18</v>
      </c>
    </row>
    <row r="51" spans="1:24" x14ac:dyDescent="0.35">
      <c r="A51" s="4" t="s">
        <v>386</v>
      </c>
      <c r="B51" s="5" t="str">
        <f>IF(COUNTIF($A$2:A51,A51)=1,"Original","Duplicate")</f>
        <v>Original</v>
      </c>
      <c r="C51" s="7">
        <v>45022</v>
      </c>
      <c r="D51" s="7">
        <v>45024</v>
      </c>
      <c r="E51" s="7" t="str">
        <f t="shared" si="0"/>
        <v>Valid</v>
      </c>
      <c r="F51" s="7">
        <f t="shared" si="1"/>
        <v>45024</v>
      </c>
      <c r="G51">
        <f t="shared" si="2"/>
        <v>2</v>
      </c>
      <c r="H51" t="s">
        <v>646</v>
      </c>
      <c r="I51" t="s">
        <v>651</v>
      </c>
      <c r="J51" t="s">
        <v>669</v>
      </c>
      <c r="K51" t="str">
        <f t="shared" si="3"/>
        <v>Abuja</v>
      </c>
      <c r="L51" t="s">
        <v>705</v>
      </c>
      <c r="M51" t="s">
        <v>709</v>
      </c>
      <c r="N51" t="str">
        <f t="shared" si="4"/>
        <v>Marketplace</v>
      </c>
      <c r="O51" t="s">
        <v>723</v>
      </c>
      <c r="P51" t="str">
        <f t="shared" si="5"/>
        <v>K. Singh</v>
      </c>
      <c r="Q51" t="s">
        <v>732</v>
      </c>
      <c r="R51" t="s">
        <v>1106</v>
      </c>
      <c r="S51" s="23">
        <v>720.35</v>
      </c>
      <c r="T51" s="23">
        <v>1571.66</v>
      </c>
      <c r="U51" s="23">
        <f t="shared" si="6"/>
        <v>1571.66</v>
      </c>
      <c r="V51" s="8">
        <v>0.107</v>
      </c>
      <c r="W51" s="8">
        <f t="shared" si="7"/>
        <v>0.107</v>
      </c>
      <c r="X51">
        <v>23</v>
      </c>
    </row>
    <row r="52" spans="1:24" x14ac:dyDescent="0.35">
      <c r="A52" s="4" t="s">
        <v>618</v>
      </c>
      <c r="B52" s="5" t="str">
        <f>IF(COUNTIF($A$2:A52,A52)=1,"Original","Duplicate")</f>
        <v>Original</v>
      </c>
      <c r="C52" s="7">
        <v>45026</v>
      </c>
      <c r="D52" s="7">
        <v>45041</v>
      </c>
      <c r="E52" s="7" t="str">
        <f t="shared" si="0"/>
        <v>Valid</v>
      </c>
      <c r="F52" s="7">
        <f t="shared" si="1"/>
        <v>45041</v>
      </c>
      <c r="G52">
        <f t="shared" si="2"/>
        <v>15</v>
      </c>
      <c r="H52" t="s">
        <v>649</v>
      </c>
      <c r="I52" t="s">
        <v>658</v>
      </c>
      <c r="J52" t="s">
        <v>683</v>
      </c>
      <c r="K52" t="str">
        <f t="shared" si="3"/>
        <v>London</v>
      </c>
      <c r="L52" t="s">
        <v>705</v>
      </c>
      <c r="M52" t="s">
        <v>707</v>
      </c>
      <c r="N52" t="str">
        <f t="shared" si="4"/>
        <v>Retail</v>
      </c>
      <c r="O52" t="s">
        <v>726</v>
      </c>
      <c r="P52" t="str">
        <f t="shared" si="5"/>
        <v>D. Smith</v>
      </c>
      <c r="Q52" t="s">
        <v>728</v>
      </c>
      <c r="R52" t="s">
        <v>1336</v>
      </c>
      <c r="S52" s="23">
        <v>405.66</v>
      </c>
      <c r="T52" s="23">
        <v>962.51</v>
      </c>
      <c r="U52" s="23">
        <f t="shared" si="6"/>
        <v>962.51</v>
      </c>
      <c r="V52" s="8">
        <v>0.19</v>
      </c>
      <c r="W52" s="8">
        <f t="shared" si="7"/>
        <v>0.19</v>
      </c>
      <c r="X52">
        <v>7</v>
      </c>
    </row>
    <row r="53" spans="1:24" x14ac:dyDescent="0.35">
      <c r="A53" s="4" t="s">
        <v>150</v>
      </c>
      <c r="B53" s="5" t="str">
        <f>IF(COUNTIF($A$2:A53,A53)=1,"Original","Duplicate")</f>
        <v>Original</v>
      </c>
      <c r="C53" s="7">
        <v>45028</v>
      </c>
      <c r="D53" s="7">
        <v>45033</v>
      </c>
      <c r="E53" s="7" t="str">
        <f t="shared" si="0"/>
        <v>Valid</v>
      </c>
      <c r="F53" s="7">
        <f t="shared" si="1"/>
        <v>45033</v>
      </c>
      <c r="G53">
        <f t="shared" si="2"/>
        <v>5</v>
      </c>
      <c r="H53" t="s">
        <v>649</v>
      </c>
      <c r="I53" t="s">
        <v>657</v>
      </c>
      <c r="J53" t="s">
        <v>679</v>
      </c>
      <c r="K53" t="str">
        <f t="shared" si="3"/>
        <v>Lyon</v>
      </c>
      <c r="L53" t="s">
        <v>706</v>
      </c>
      <c r="M53" t="s">
        <v>711</v>
      </c>
      <c r="N53" t="str">
        <f t="shared" si="4"/>
        <v>Direct</v>
      </c>
      <c r="O53" t="s">
        <v>718</v>
      </c>
      <c r="P53" t="str">
        <f t="shared" si="5"/>
        <v>E. Garcia</v>
      </c>
      <c r="Q53" t="s">
        <v>732</v>
      </c>
      <c r="R53" t="s">
        <v>869</v>
      </c>
      <c r="S53" s="23">
        <v>1087.81</v>
      </c>
      <c r="T53" s="23">
        <v>2323.87</v>
      </c>
      <c r="U53" s="23">
        <f t="shared" si="6"/>
        <v>2323.87</v>
      </c>
      <c r="V53" s="8">
        <v>9.4E-2</v>
      </c>
      <c r="W53" s="8">
        <f t="shared" si="7"/>
        <v>9.4E-2</v>
      </c>
      <c r="X53">
        <v>13</v>
      </c>
    </row>
    <row r="54" spans="1:24" x14ac:dyDescent="0.35">
      <c r="A54" s="4" t="s">
        <v>355</v>
      </c>
      <c r="B54" s="5" t="str">
        <f>IF(COUNTIF($A$2:A54,A54)=1,"Original","Duplicate")</f>
        <v>Original</v>
      </c>
      <c r="C54" s="7">
        <v>45029</v>
      </c>
      <c r="D54" s="7">
        <v>45027</v>
      </c>
      <c r="E54" s="7" t="str">
        <f t="shared" si="0"/>
        <v>Invalid</v>
      </c>
      <c r="F54" s="7">
        <f t="shared" si="1"/>
        <v>45036</v>
      </c>
      <c r="G54">
        <f t="shared" si="2"/>
        <v>7</v>
      </c>
      <c r="H54" t="s">
        <v>648</v>
      </c>
      <c r="I54" t="s">
        <v>660</v>
      </c>
      <c r="J54" t="s">
        <v>686</v>
      </c>
      <c r="K54" t="str">
        <f t="shared" si="3"/>
        <v>San Francisco</v>
      </c>
      <c r="L54" t="s">
        <v>702</v>
      </c>
      <c r="M54" t="s">
        <v>709</v>
      </c>
      <c r="N54" t="str">
        <f t="shared" si="4"/>
        <v>Marketplace</v>
      </c>
      <c r="O54" t="s">
        <v>715</v>
      </c>
      <c r="P54" t="str">
        <f t="shared" si="5"/>
        <v>G. Dubois</v>
      </c>
      <c r="Q54" t="s">
        <v>729</v>
      </c>
      <c r="R54" t="s">
        <v>1075</v>
      </c>
      <c r="S54" s="23">
        <v>32.1</v>
      </c>
      <c r="T54" s="23">
        <v>70.599999999999994</v>
      </c>
      <c r="U54" s="23">
        <f t="shared" si="6"/>
        <v>70.599999999999994</v>
      </c>
      <c r="V54" s="8">
        <v>0.28199999999999997</v>
      </c>
      <c r="W54" s="8">
        <f t="shared" si="7"/>
        <v>0.28199999999999997</v>
      </c>
      <c r="X54">
        <v>22</v>
      </c>
    </row>
    <row r="55" spans="1:24" x14ac:dyDescent="0.35">
      <c r="A55" s="4" t="s">
        <v>522</v>
      </c>
      <c r="B55" s="5" t="str">
        <f>IF(COUNTIF($A$2:A55,A55)=1,"Original","Duplicate")</f>
        <v>Original</v>
      </c>
      <c r="C55" s="7">
        <v>45029</v>
      </c>
      <c r="D55" s="7">
        <v>45036</v>
      </c>
      <c r="E55" s="7" t="str">
        <f t="shared" si="0"/>
        <v>Valid</v>
      </c>
      <c r="F55" s="7">
        <f t="shared" si="1"/>
        <v>45036</v>
      </c>
      <c r="G55">
        <f t="shared" si="2"/>
        <v>7</v>
      </c>
      <c r="H55" t="s">
        <v>649</v>
      </c>
      <c r="I55" t="s">
        <v>657</v>
      </c>
      <c r="J55" t="s">
        <v>679</v>
      </c>
      <c r="K55" t="str">
        <f t="shared" si="3"/>
        <v>Lyon</v>
      </c>
      <c r="L55" t="s">
        <v>705</v>
      </c>
      <c r="M55" t="s">
        <v>708</v>
      </c>
      <c r="N55" t="str">
        <f t="shared" si="4"/>
        <v>Online</v>
      </c>
      <c r="O55" t="s">
        <v>720</v>
      </c>
      <c r="P55" t="str">
        <f t="shared" si="5"/>
        <v>A. Patel</v>
      </c>
      <c r="Q55" t="s">
        <v>731</v>
      </c>
      <c r="R55" t="s">
        <v>1241</v>
      </c>
      <c r="S55" s="23">
        <v>227.02</v>
      </c>
      <c r="T55" s="23">
        <v>434.72</v>
      </c>
      <c r="U55" s="23">
        <f t="shared" si="6"/>
        <v>434.72</v>
      </c>
      <c r="V55" s="8">
        <v>9.8000000000000004E-2</v>
      </c>
      <c r="W55" s="8">
        <f t="shared" si="7"/>
        <v>9.8000000000000004E-2</v>
      </c>
      <c r="X55">
        <v>10</v>
      </c>
    </row>
    <row r="56" spans="1:24" x14ac:dyDescent="0.35">
      <c r="A56" s="4" t="s">
        <v>577</v>
      </c>
      <c r="B56" s="5" t="str">
        <f>IF(COUNTIF($A$2:A56,A56)=1,"Original","Duplicate")</f>
        <v>Original</v>
      </c>
      <c r="C56" s="7">
        <v>45029</v>
      </c>
      <c r="D56" s="7">
        <v>45048</v>
      </c>
      <c r="E56" s="7" t="str">
        <f t="shared" si="0"/>
        <v>Valid</v>
      </c>
      <c r="F56" s="7">
        <f t="shared" si="1"/>
        <v>45048</v>
      </c>
      <c r="G56">
        <f t="shared" si="2"/>
        <v>19</v>
      </c>
      <c r="H56" t="s">
        <v>648</v>
      </c>
      <c r="I56" t="s">
        <v>653</v>
      </c>
      <c r="J56" t="s">
        <v>681</v>
      </c>
      <c r="K56" t="str">
        <f t="shared" si="3"/>
        <v>Montreal</v>
      </c>
      <c r="L56" t="s">
        <v>704</v>
      </c>
      <c r="M56" t="s">
        <v>710</v>
      </c>
      <c r="N56" t="str">
        <f t="shared" si="4"/>
        <v>Distributor</v>
      </c>
      <c r="O56" t="s">
        <v>718</v>
      </c>
      <c r="P56" t="str">
        <f t="shared" si="5"/>
        <v>E. Garcia</v>
      </c>
      <c r="Q56" t="s">
        <v>732</v>
      </c>
      <c r="R56" t="s">
        <v>1295</v>
      </c>
      <c r="S56" s="23">
        <v>671.05</v>
      </c>
      <c r="T56" s="23">
        <v>1645.48</v>
      </c>
      <c r="U56" s="23">
        <f t="shared" si="6"/>
        <v>1645.48</v>
      </c>
      <c r="V56" s="8">
        <v>0.13700000000000001</v>
      </c>
      <c r="W56" s="8">
        <f t="shared" si="7"/>
        <v>0.13700000000000001</v>
      </c>
      <c r="X56">
        <v>6</v>
      </c>
    </row>
    <row r="57" spans="1:24" x14ac:dyDescent="0.35">
      <c r="A57" s="4" t="s">
        <v>43</v>
      </c>
      <c r="B57" s="5" t="str">
        <f>IF(COUNTIF($A$2:A57,A57)=1,"Original","Duplicate")</f>
        <v>Original</v>
      </c>
      <c r="C57" s="7">
        <v>45030</v>
      </c>
      <c r="D57" s="7">
        <v>45060</v>
      </c>
      <c r="E57" s="7" t="str">
        <f t="shared" si="0"/>
        <v>Valid</v>
      </c>
      <c r="F57" s="7">
        <f t="shared" si="1"/>
        <v>45060</v>
      </c>
      <c r="G57">
        <f t="shared" si="2"/>
        <v>30</v>
      </c>
      <c r="H57" t="s">
        <v>646</v>
      </c>
      <c r="I57" t="s">
        <v>650</v>
      </c>
      <c r="J57" t="s">
        <v>678</v>
      </c>
      <c r="K57" t="str">
        <f t="shared" si="3"/>
        <v>Nakuru</v>
      </c>
      <c r="L57" t="s">
        <v>704</v>
      </c>
      <c r="M57" t="s">
        <v>709</v>
      </c>
      <c r="N57" t="str">
        <f t="shared" si="4"/>
        <v>Marketplace</v>
      </c>
      <c r="O57" t="s">
        <v>724</v>
      </c>
      <c r="P57" t="str">
        <f t="shared" si="5"/>
        <v>M. Rossi</v>
      </c>
      <c r="Q57" t="s">
        <v>730</v>
      </c>
      <c r="R57" t="s">
        <v>762</v>
      </c>
      <c r="S57" s="23">
        <v>209.25</v>
      </c>
      <c r="T57" s="23">
        <v>434.8</v>
      </c>
      <c r="U57" s="23">
        <f t="shared" si="6"/>
        <v>434.8</v>
      </c>
      <c r="V57" s="8">
        <v>0</v>
      </c>
      <c r="W57" s="8">
        <f t="shared" si="7"/>
        <v>0</v>
      </c>
      <c r="X57">
        <v>9</v>
      </c>
    </row>
    <row r="58" spans="1:24" x14ac:dyDescent="0.35">
      <c r="A58" s="4" t="s">
        <v>213</v>
      </c>
      <c r="B58" s="5" t="str">
        <f>IF(COUNTIF($A$2:A58,A58)=1,"Original","Duplicate")</f>
        <v>Original</v>
      </c>
      <c r="C58" s="7">
        <v>45030</v>
      </c>
      <c r="D58" s="7">
        <v>45059</v>
      </c>
      <c r="E58" s="7" t="str">
        <f t="shared" si="0"/>
        <v>Valid</v>
      </c>
      <c r="F58" s="7">
        <f t="shared" si="1"/>
        <v>45059</v>
      </c>
      <c r="G58">
        <f t="shared" si="2"/>
        <v>29</v>
      </c>
      <c r="H58" t="s">
        <v>649</v>
      </c>
      <c r="I58" t="s">
        <v>656</v>
      </c>
      <c r="J58" t="s">
        <v>698</v>
      </c>
      <c r="K58" t="str">
        <f t="shared" si="3"/>
        <v>Frankfurt</v>
      </c>
      <c r="L58" t="s">
        <v>704</v>
      </c>
      <c r="M58" t="s">
        <v>711</v>
      </c>
      <c r="N58" t="str">
        <f t="shared" si="4"/>
        <v>Direct</v>
      </c>
      <c r="O58" t="s">
        <v>713</v>
      </c>
      <c r="P58" t="str">
        <f t="shared" si="5"/>
        <v>J. Njeri</v>
      </c>
      <c r="Q58" t="s">
        <v>728</v>
      </c>
      <c r="R58" t="s">
        <v>933</v>
      </c>
      <c r="S58" s="23">
        <v>1320.33</v>
      </c>
      <c r="T58" s="23">
        <v>2645.23</v>
      </c>
      <c r="U58" s="23">
        <f t="shared" si="6"/>
        <v>2645.23</v>
      </c>
      <c r="V58" s="8">
        <v>0.155</v>
      </c>
      <c r="W58" s="8">
        <f t="shared" si="7"/>
        <v>0.155</v>
      </c>
      <c r="X58">
        <v>25</v>
      </c>
    </row>
    <row r="59" spans="1:24" x14ac:dyDescent="0.35">
      <c r="A59" s="4" t="s">
        <v>493</v>
      </c>
      <c r="B59" s="5" t="str">
        <f>IF(COUNTIF($A$2:A59,A59)=1,"Original","Duplicate")</f>
        <v>Original</v>
      </c>
      <c r="C59" s="7">
        <v>45032</v>
      </c>
      <c r="D59" s="7">
        <v>45035</v>
      </c>
      <c r="E59" s="7" t="str">
        <f t="shared" si="0"/>
        <v>Valid</v>
      </c>
      <c r="F59" s="7">
        <f t="shared" si="1"/>
        <v>45035</v>
      </c>
      <c r="G59">
        <f t="shared" si="2"/>
        <v>3</v>
      </c>
      <c r="H59" t="s">
        <v>649</v>
      </c>
      <c r="I59" t="s">
        <v>656</v>
      </c>
      <c r="J59" t="s">
        <v>684</v>
      </c>
      <c r="K59" t="str">
        <f t="shared" si="3"/>
        <v>Munich</v>
      </c>
      <c r="L59" t="s">
        <v>701</v>
      </c>
      <c r="M59" t="s">
        <v>711</v>
      </c>
      <c r="N59" t="str">
        <f t="shared" si="4"/>
        <v>Direct</v>
      </c>
      <c r="O59" t="s">
        <v>717</v>
      </c>
      <c r="P59" t="str">
        <f t="shared" si="5"/>
        <v>B. Chen</v>
      </c>
      <c r="Q59" t="s">
        <v>733</v>
      </c>
      <c r="R59" t="s">
        <v>1212</v>
      </c>
      <c r="S59" s="23">
        <v>553.61</v>
      </c>
      <c r="T59" s="23">
        <v>699.47</v>
      </c>
      <c r="U59" s="23">
        <f t="shared" si="6"/>
        <v>699.47</v>
      </c>
      <c r="V59" s="8">
        <v>0.02</v>
      </c>
      <c r="W59" s="8">
        <f t="shared" si="7"/>
        <v>0.02</v>
      </c>
      <c r="X59">
        <v>33</v>
      </c>
    </row>
    <row r="60" spans="1:24" x14ac:dyDescent="0.35">
      <c r="A60" s="4" t="s">
        <v>624</v>
      </c>
      <c r="B60" s="5" t="str">
        <f>IF(COUNTIF($A$2:A60,A60)=1,"Original","Duplicate")</f>
        <v>Original</v>
      </c>
      <c r="C60" s="7">
        <v>45032</v>
      </c>
      <c r="D60" s="7">
        <v>45039</v>
      </c>
      <c r="E60" s="7" t="str">
        <f t="shared" si="0"/>
        <v>Valid</v>
      </c>
      <c r="F60" s="7">
        <f t="shared" si="1"/>
        <v>45039</v>
      </c>
      <c r="G60">
        <f t="shared" si="2"/>
        <v>7</v>
      </c>
      <c r="H60" t="s">
        <v>648</v>
      </c>
      <c r="I60" t="s">
        <v>660</v>
      </c>
      <c r="J60" t="s">
        <v>697</v>
      </c>
      <c r="K60" t="str">
        <f t="shared" si="3"/>
        <v>Austin</v>
      </c>
      <c r="L60" t="s">
        <v>701</v>
      </c>
      <c r="M60" t="s">
        <v>710</v>
      </c>
      <c r="N60" t="str">
        <f t="shared" si="4"/>
        <v>Distributor</v>
      </c>
      <c r="O60" t="s">
        <v>719</v>
      </c>
      <c r="P60" t="str">
        <f t="shared" si="5"/>
        <v>O. Wang</v>
      </c>
      <c r="Q60" t="s">
        <v>728</v>
      </c>
      <c r="R60" t="s">
        <v>1342</v>
      </c>
      <c r="S60" s="23">
        <v>1099.1500000000001</v>
      </c>
      <c r="T60" s="23">
        <v>1431.37</v>
      </c>
      <c r="U60" s="23">
        <f t="shared" si="6"/>
        <v>1431.37</v>
      </c>
      <c r="V60" s="8">
        <v>0.104</v>
      </c>
      <c r="W60" s="8">
        <f t="shared" si="7"/>
        <v>0.104</v>
      </c>
      <c r="X60">
        <v>8</v>
      </c>
    </row>
    <row r="61" spans="1:24" x14ac:dyDescent="0.35">
      <c r="A61" s="4" t="s">
        <v>181</v>
      </c>
      <c r="B61" s="5" t="str">
        <f>IF(COUNTIF($A$2:A61,A61)=1,"Original","Duplicate")</f>
        <v>Original</v>
      </c>
      <c r="C61" s="7">
        <v>45034</v>
      </c>
      <c r="D61" s="7">
        <v>45064</v>
      </c>
      <c r="E61" s="7" t="str">
        <f t="shared" si="0"/>
        <v>Valid</v>
      </c>
      <c r="F61" s="7">
        <f t="shared" si="1"/>
        <v>45064</v>
      </c>
      <c r="G61">
        <f t="shared" si="2"/>
        <v>30</v>
      </c>
      <c r="H61" t="s">
        <v>647</v>
      </c>
      <c r="I61" t="s">
        <v>659</v>
      </c>
      <c r="J61" t="s">
        <v>676</v>
      </c>
      <c r="K61" t="str">
        <f t="shared" si="3"/>
        <v>Shenzhen</v>
      </c>
      <c r="L61" t="s">
        <v>703</v>
      </c>
      <c r="M61" t="s">
        <v>707</v>
      </c>
      <c r="N61" t="str">
        <f t="shared" si="4"/>
        <v>Retail</v>
      </c>
      <c r="O61" t="s">
        <v>722</v>
      </c>
      <c r="P61" t="str">
        <f t="shared" si="5"/>
        <v>H. Kim</v>
      </c>
      <c r="Q61" t="s">
        <v>731</v>
      </c>
      <c r="R61" t="s">
        <v>900</v>
      </c>
      <c r="S61" s="23">
        <v>329.03</v>
      </c>
      <c r="T61" s="23">
        <v>391.15</v>
      </c>
      <c r="U61" s="23">
        <f t="shared" si="6"/>
        <v>391.15</v>
      </c>
      <c r="V61" s="8">
        <v>0.19700000000000001</v>
      </c>
      <c r="W61" s="8">
        <f t="shared" si="7"/>
        <v>0.19700000000000001</v>
      </c>
      <c r="X61">
        <v>46</v>
      </c>
    </row>
    <row r="62" spans="1:24" x14ac:dyDescent="0.35">
      <c r="A62" s="4" t="s">
        <v>60</v>
      </c>
      <c r="B62" s="5" t="str">
        <f>IF(COUNTIF($A$2:A62,A62)=1,"Original","Duplicate")</f>
        <v>Original</v>
      </c>
      <c r="C62" s="7">
        <v>45035</v>
      </c>
      <c r="D62" s="7">
        <v>45046</v>
      </c>
      <c r="E62" s="7" t="str">
        <f t="shared" si="0"/>
        <v>Valid</v>
      </c>
      <c r="F62" s="7">
        <f t="shared" si="1"/>
        <v>45046</v>
      </c>
      <c r="G62">
        <f t="shared" si="2"/>
        <v>11</v>
      </c>
      <c r="H62" t="s">
        <v>647</v>
      </c>
      <c r="I62" t="s">
        <v>654</v>
      </c>
      <c r="J62" t="s">
        <v>680</v>
      </c>
      <c r="K62" t="str">
        <f t="shared" si="3"/>
        <v>Delhi</v>
      </c>
      <c r="L62" t="s">
        <v>705</v>
      </c>
      <c r="M62" t="s">
        <v>707</v>
      </c>
      <c r="N62" t="str">
        <f t="shared" si="4"/>
        <v>Retail</v>
      </c>
      <c r="O62" t="s">
        <v>720</v>
      </c>
      <c r="P62" t="str">
        <f t="shared" si="5"/>
        <v>A. Patel</v>
      </c>
      <c r="Q62" t="s">
        <v>729</v>
      </c>
      <c r="R62" t="s">
        <v>779</v>
      </c>
      <c r="S62" s="23">
        <v>826.55</v>
      </c>
      <c r="T62" s="23">
        <v>1397.05</v>
      </c>
      <c r="U62" s="23">
        <f t="shared" si="6"/>
        <v>1397.05</v>
      </c>
      <c r="V62" s="8">
        <v>0.16900000000000001</v>
      </c>
      <c r="W62" s="8">
        <f t="shared" si="7"/>
        <v>0.16900000000000001</v>
      </c>
      <c r="X62">
        <v>28</v>
      </c>
    </row>
    <row r="63" spans="1:24" x14ac:dyDescent="0.35">
      <c r="A63" s="4" t="s">
        <v>219</v>
      </c>
      <c r="B63" s="5" t="str">
        <f>IF(COUNTIF($A$2:A63,A63)=1,"Original","Duplicate")</f>
        <v>Original</v>
      </c>
      <c r="C63" s="7">
        <v>45035</v>
      </c>
      <c r="D63" s="7">
        <v>45044</v>
      </c>
      <c r="E63" s="7" t="str">
        <f t="shared" si="0"/>
        <v>Valid</v>
      </c>
      <c r="F63" s="7">
        <f t="shared" si="1"/>
        <v>45044</v>
      </c>
      <c r="G63">
        <f t="shared" si="2"/>
        <v>9</v>
      </c>
      <c r="H63" t="s">
        <v>649</v>
      </c>
      <c r="I63" t="s">
        <v>656</v>
      </c>
      <c r="J63" t="s">
        <v>671</v>
      </c>
      <c r="K63" t="str">
        <f t="shared" si="3"/>
        <v>Berlin</v>
      </c>
      <c r="L63" t="s">
        <v>702</v>
      </c>
      <c r="M63" t="s">
        <v>708</v>
      </c>
      <c r="N63" t="str">
        <f t="shared" si="4"/>
        <v>Online</v>
      </c>
      <c r="O63" t="s">
        <v>718</v>
      </c>
      <c r="P63" t="str">
        <f t="shared" si="5"/>
        <v>E. Garcia</v>
      </c>
      <c r="Q63" t="s">
        <v>732</v>
      </c>
      <c r="R63" t="s">
        <v>939</v>
      </c>
      <c r="S63" s="23">
        <v>1178.42</v>
      </c>
      <c r="T63" s="23">
        <v>2446.56</v>
      </c>
      <c r="U63" s="23">
        <f t="shared" si="6"/>
        <v>2446.56</v>
      </c>
      <c r="V63" s="8">
        <v>2.9000000000000001E-2</v>
      </c>
      <c r="W63" s="8">
        <f t="shared" si="7"/>
        <v>2.9000000000000001E-2</v>
      </c>
      <c r="X63">
        <v>11</v>
      </c>
    </row>
    <row r="64" spans="1:24" x14ac:dyDescent="0.35">
      <c r="A64" s="4" t="s">
        <v>238</v>
      </c>
      <c r="B64" s="5" t="str">
        <f>IF(COUNTIF($A$2:A64,A64)=1,"Original","Duplicate")</f>
        <v>Original</v>
      </c>
      <c r="C64" s="7">
        <v>45035</v>
      </c>
      <c r="D64" s="7">
        <v>45053</v>
      </c>
      <c r="E64" s="7" t="str">
        <f t="shared" si="0"/>
        <v>Valid</v>
      </c>
      <c r="F64" s="7">
        <f t="shared" si="1"/>
        <v>45053</v>
      </c>
      <c r="G64">
        <f t="shared" si="2"/>
        <v>18</v>
      </c>
      <c r="H64" t="s">
        <v>649</v>
      </c>
      <c r="I64" t="s">
        <v>658</v>
      </c>
      <c r="J64" t="s">
        <v>674</v>
      </c>
      <c r="K64" t="str">
        <f t="shared" si="3"/>
        <v>Birmingham</v>
      </c>
      <c r="L64" t="s">
        <v>706</v>
      </c>
      <c r="M64" t="s">
        <v>707</v>
      </c>
      <c r="N64" t="str">
        <f t="shared" si="4"/>
        <v>Retail</v>
      </c>
      <c r="O64" t="s">
        <v>725</v>
      </c>
      <c r="P64" t="str">
        <f t="shared" si="5"/>
        <v>N. Brown</v>
      </c>
      <c r="Q64" t="s">
        <v>731</v>
      </c>
      <c r="R64" t="s">
        <v>958</v>
      </c>
      <c r="S64" s="23">
        <v>1089.1500000000001</v>
      </c>
      <c r="T64" s="23">
        <v>1088.2</v>
      </c>
      <c r="U64" s="23">
        <f t="shared" si="6"/>
        <v>1088.2</v>
      </c>
      <c r="V64" s="8">
        <v>5.0999999999999997E-2</v>
      </c>
      <c r="W64" s="8">
        <f t="shared" si="7"/>
        <v>5.0999999999999997E-2</v>
      </c>
      <c r="X64">
        <v>15</v>
      </c>
    </row>
    <row r="65" spans="1:24" x14ac:dyDescent="0.35">
      <c r="A65" s="4" t="s">
        <v>258</v>
      </c>
      <c r="B65" s="5" t="str">
        <f>IF(COUNTIF($A$2:A65,A65)=1,"Original","Duplicate")</f>
        <v>Original</v>
      </c>
      <c r="C65" s="7">
        <v>45035</v>
      </c>
      <c r="D65" s="7">
        <v>45044</v>
      </c>
      <c r="E65" s="7" t="str">
        <f t="shared" si="0"/>
        <v>Valid</v>
      </c>
      <c r="F65" s="7">
        <f t="shared" si="1"/>
        <v>45044</v>
      </c>
      <c r="G65">
        <f t="shared" si="2"/>
        <v>9</v>
      </c>
      <c r="H65" t="s">
        <v>648</v>
      </c>
      <c r="I65" t="s">
        <v>655</v>
      </c>
      <c r="J65" t="s">
        <v>692</v>
      </c>
      <c r="K65" t="str">
        <f t="shared" si="3"/>
        <v>Rio de Janeiro</v>
      </c>
      <c r="L65" t="s">
        <v>701</v>
      </c>
      <c r="M65" t="s">
        <v>710</v>
      </c>
      <c r="N65" t="str">
        <f t="shared" si="4"/>
        <v>Distributor</v>
      </c>
      <c r="O65" t="s">
        <v>724</v>
      </c>
      <c r="P65" t="str">
        <f t="shared" si="5"/>
        <v>M. Rossi</v>
      </c>
      <c r="Q65" t="s">
        <v>730</v>
      </c>
      <c r="R65" t="s">
        <v>978</v>
      </c>
      <c r="S65" s="23">
        <v>1013.54</v>
      </c>
      <c r="T65" s="23">
        <v>927.93</v>
      </c>
      <c r="U65" s="23">
        <f t="shared" si="6"/>
        <v>927.93</v>
      </c>
      <c r="V65" s="8">
        <v>0.17499999999999999</v>
      </c>
      <c r="W65" s="8">
        <f t="shared" si="7"/>
        <v>0.17499999999999999</v>
      </c>
      <c r="X65">
        <v>16</v>
      </c>
    </row>
    <row r="66" spans="1:24" x14ac:dyDescent="0.35">
      <c r="A66" s="4" t="s">
        <v>271</v>
      </c>
      <c r="B66" s="5" t="str">
        <f>IF(COUNTIF($A$2:A66,A66)=1,"Original","Duplicate")</f>
        <v>Original</v>
      </c>
      <c r="C66" s="7">
        <v>45035</v>
      </c>
      <c r="D66" s="7">
        <v>45053</v>
      </c>
      <c r="E66" s="7" t="str">
        <f t="shared" si="0"/>
        <v>Valid</v>
      </c>
      <c r="F66" s="7">
        <f t="shared" si="1"/>
        <v>45053</v>
      </c>
      <c r="G66">
        <f t="shared" si="2"/>
        <v>18</v>
      </c>
      <c r="H66" t="s">
        <v>649</v>
      </c>
      <c r="I66" t="s">
        <v>658</v>
      </c>
      <c r="J66" t="s">
        <v>683</v>
      </c>
      <c r="K66" t="str">
        <f t="shared" si="3"/>
        <v>London</v>
      </c>
      <c r="L66" t="s">
        <v>703</v>
      </c>
      <c r="M66" t="s">
        <v>711</v>
      </c>
      <c r="N66" t="str">
        <f t="shared" si="4"/>
        <v>Direct</v>
      </c>
      <c r="O66" t="s">
        <v>722</v>
      </c>
      <c r="P66" t="str">
        <f t="shared" si="5"/>
        <v>H. Kim</v>
      </c>
      <c r="Q66" t="s">
        <v>729</v>
      </c>
      <c r="R66" t="s">
        <v>991</v>
      </c>
      <c r="S66" s="23">
        <v>516.96</v>
      </c>
      <c r="T66" s="23">
        <v>745.38</v>
      </c>
      <c r="U66" s="23">
        <f t="shared" si="6"/>
        <v>745.38</v>
      </c>
      <c r="V66" s="8">
        <v>0.19700000000000001</v>
      </c>
      <c r="W66" s="8">
        <f t="shared" si="7"/>
        <v>0.19700000000000001</v>
      </c>
      <c r="X66">
        <v>4</v>
      </c>
    </row>
    <row r="67" spans="1:24" x14ac:dyDescent="0.35">
      <c r="A67" s="4" t="s">
        <v>84</v>
      </c>
      <c r="B67" s="5" t="str">
        <f>IF(COUNTIF($A$2:A67,A67)=1,"Original","Duplicate")</f>
        <v>Original</v>
      </c>
      <c r="C67" s="7">
        <v>45037</v>
      </c>
      <c r="D67" s="7">
        <v>45056</v>
      </c>
      <c r="E67" s="7" t="str">
        <f t="shared" ref="E67:E130" si="8">IF(D67&lt;C67,"Invalid","Valid")</f>
        <v>Valid</v>
      </c>
      <c r="F67" s="7">
        <f t="shared" ref="F67:F130" si="9">IF(D67&gt;C67,D67,WORKDAY(C67,5))</f>
        <v>45056</v>
      </c>
      <c r="G67">
        <f t="shared" ref="G67:G130" si="10">F67-C67</f>
        <v>19</v>
      </c>
      <c r="H67" t="s">
        <v>647</v>
      </c>
      <c r="I67" t="s">
        <v>659</v>
      </c>
      <c r="J67" t="s">
        <v>685</v>
      </c>
      <c r="K67" t="str">
        <f t="shared" ref="K67:K130" si="11">IF(J67="", "Unknown", J67)</f>
        <v>Shanghai</v>
      </c>
      <c r="L67" t="s">
        <v>701</v>
      </c>
      <c r="M67" t="s">
        <v>707</v>
      </c>
      <c r="N67" t="str">
        <f t="shared" ref="N67:N130" si="12">IF(M67="", "Unknown", M67)</f>
        <v>Retail</v>
      </c>
      <c r="O67" t="s">
        <v>720</v>
      </c>
      <c r="P67" t="str">
        <f t="shared" ref="P67:P130" si="13">IF(O67="","Unassigned",O67)</f>
        <v>A. Patel</v>
      </c>
      <c r="Q67" t="s">
        <v>727</v>
      </c>
      <c r="R67" t="s">
        <v>803</v>
      </c>
      <c r="S67" s="23">
        <v>882.33</v>
      </c>
      <c r="T67" s="23">
        <v>1880.15</v>
      </c>
      <c r="U67" s="23">
        <f t="shared" ref="U67:U130" si="14">IF(T67&gt;0,T67,S67*1.2)</f>
        <v>1880.15</v>
      </c>
      <c r="V67" s="8">
        <v>0.05</v>
      </c>
      <c r="W67" s="8">
        <f t="shared" ref="W67:W130" si="15">IF(V67&lt;0.3,V67,0.3)</f>
        <v>0.05</v>
      </c>
      <c r="X67">
        <v>5</v>
      </c>
    </row>
    <row r="68" spans="1:24" x14ac:dyDescent="0.35">
      <c r="A68" s="4" t="s">
        <v>451</v>
      </c>
      <c r="B68" s="5" t="str">
        <f>IF(COUNTIF($A$2:A68,A68)=1,"Original","Duplicate")</f>
        <v>Original</v>
      </c>
      <c r="C68" s="7">
        <v>45037</v>
      </c>
      <c r="D68" s="7">
        <v>45035</v>
      </c>
      <c r="E68" s="7" t="str">
        <f t="shared" si="8"/>
        <v>Invalid</v>
      </c>
      <c r="F68" s="7">
        <f t="shared" si="9"/>
        <v>45044</v>
      </c>
      <c r="G68">
        <f t="shared" si="10"/>
        <v>7</v>
      </c>
      <c r="H68" t="s">
        <v>647</v>
      </c>
      <c r="I68" t="s">
        <v>652</v>
      </c>
      <c r="J68" t="s">
        <v>694</v>
      </c>
      <c r="K68" t="str">
        <f t="shared" si="11"/>
        <v>Nagoya</v>
      </c>
      <c r="L68" t="s">
        <v>705</v>
      </c>
      <c r="M68" t="s">
        <v>711</v>
      </c>
      <c r="N68" t="str">
        <f t="shared" si="12"/>
        <v>Direct</v>
      </c>
      <c r="O68" t="s">
        <v>724</v>
      </c>
      <c r="P68" t="str">
        <f t="shared" si="13"/>
        <v>M. Rossi</v>
      </c>
      <c r="Q68" t="s">
        <v>727</v>
      </c>
      <c r="R68" t="s">
        <v>1170</v>
      </c>
      <c r="S68" s="23">
        <v>607.04</v>
      </c>
      <c r="T68" s="23">
        <v>1229.3399999999999</v>
      </c>
      <c r="U68" s="23">
        <f t="shared" si="14"/>
        <v>1229.3399999999999</v>
      </c>
      <c r="V68" s="8">
        <v>0.14699999999999999</v>
      </c>
      <c r="W68" s="8">
        <f t="shared" si="15"/>
        <v>0.14699999999999999</v>
      </c>
      <c r="X68">
        <v>7</v>
      </c>
    </row>
    <row r="69" spans="1:24" x14ac:dyDescent="0.35">
      <c r="A69" s="4" t="s">
        <v>620</v>
      </c>
      <c r="B69" s="5" t="str">
        <f>IF(COUNTIF($A$2:A69,A69)=1,"Original","Duplicate")</f>
        <v>Original</v>
      </c>
      <c r="C69" s="7">
        <v>45038</v>
      </c>
      <c r="D69" s="7">
        <v>45060</v>
      </c>
      <c r="E69" s="7" t="str">
        <f t="shared" si="8"/>
        <v>Valid</v>
      </c>
      <c r="F69" s="7">
        <f t="shared" si="9"/>
        <v>45060</v>
      </c>
      <c r="G69">
        <f t="shared" si="10"/>
        <v>22</v>
      </c>
      <c r="H69" t="s">
        <v>647</v>
      </c>
      <c r="I69" t="s">
        <v>652</v>
      </c>
      <c r="J69" t="s">
        <v>694</v>
      </c>
      <c r="K69" t="str">
        <f t="shared" si="11"/>
        <v>Nagoya</v>
      </c>
      <c r="L69" t="s">
        <v>706</v>
      </c>
      <c r="M69" t="s">
        <v>707</v>
      </c>
      <c r="N69" t="str">
        <f t="shared" si="12"/>
        <v>Retail</v>
      </c>
      <c r="O69" t="s">
        <v>720</v>
      </c>
      <c r="P69" t="str">
        <f t="shared" si="13"/>
        <v>A. Patel</v>
      </c>
      <c r="Q69" t="s">
        <v>733</v>
      </c>
      <c r="R69" t="s">
        <v>1338</v>
      </c>
      <c r="S69" s="23">
        <v>1209.22</v>
      </c>
      <c r="T69" s="23">
        <v>1404.33</v>
      </c>
      <c r="U69" s="23">
        <f t="shared" si="14"/>
        <v>1404.33</v>
      </c>
      <c r="V69" s="8">
        <v>0.10299999999999999</v>
      </c>
      <c r="W69" s="8">
        <f t="shared" si="15"/>
        <v>0.10299999999999999</v>
      </c>
      <c r="X69">
        <v>11</v>
      </c>
    </row>
    <row r="70" spans="1:24" x14ac:dyDescent="0.35">
      <c r="A70" s="4" t="s">
        <v>30</v>
      </c>
      <c r="B70" s="5" t="str">
        <f>IF(COUNTIF($A$2:A70,A70)=1,"Original","Duplicate")</f>
        <v>Original</v>
      </c>
      <c r="C70" s="7">
        <v>45039</v>
      </c>
      <c r="D70" s="7">
        <v>45038</v>
      </c>
      <c r="E70" s="7" t="str">
        <f t="shared" si="8"/>
        <v>Invalid</v>
      </c>
      <c r="F70" s="7">
        <f t="shared" si="9"/>
        <v>45044</v>
      </c>
      <c r="G70">
        <f t="shared" si="10"/>
        <v>5</v>
      </c>
      <c r="H70" t="s">
        <v>646</v>
      </c>
      <c r="I70" t="s">
        <v>650</v>
      </c>
      <c r="J70" t="s">
        <v>664</v>
      </c>
      <c r="K70" t="str">
        <f t="shared" si="11"/>
        <v>Nairobi</v>
      </c>
      <c r="L70" t="s">
        <v>705</v>
      </c>
      <c r="M70" t="s">
        <v>711</v>
      </c>
      <c r="N70" t="str">
        <f t="shared" si="12"/>
        <v>Direct</v>
      </c>
      <c r="O70" t="s">
        <v>718</v>
      </c>
      <c r="P70" t="str">
        <f t="shared" si="13"/>
        <v>E. Garcia</v>
      </c>
      <c r="Q70" t="s">
        <v>731</v>
      </c>
      <c r="R70" t="s">
        <v>749</v>
      </c>
      <c r="S70" s="23">
        <v>756.51</v>
      </c>
      <c r="T70" s="23">
        <v>850.8</v>
      </c>
      <c r="U70" s="23">
        <f t="shared" si="14"/>
        <v>850.8</v>
      </c>
      <c r="V70" s="8">
        <v>7.3999999999999996E-2</v>
      </c>
      <c r="W70" s="8">
        <f t="shared" si="15"/>
        <v>7.3999999999999996E-2</v>
      </c>
      <c r="X70">
        <v>9</v>
      </c>
    </row>
    <row r="71" spans="1:24" x14ac:dyDescent="0.35">
      <c r="A71" s="4" t="s">
        <v>589</v>
      </c>
      <c r="B71" s="5" t="str">
        <f>IF(COUNTIF($A$2:A71,A71)=1,"Original","Duplicate")</f>
        <v>Original</v>
      </c>
      <c r="C71" s="7">
        <v>45042</v>
      </c>
      <c r="D71" s="7">
        <v>45042</v>
      </c>
      <c r="E71" s="7" t="str">
        <f t="shared" si="8"/>
        <v>Valid</v>
      </c>
      <c r="F71" s="7">
        <f t="shared" si="9"/>
        <v>45049</v>
      </c>
      <c r="G71">
        <f t="shared" si="10"/>
        <v>7</v>
      </c>
      <c r="H71" t="s">
        <v>649</v>
      </c>
      <c r="I71" t="s">
        <v>657</v>
      </c>
      <c r="J71" t="s">
        <v>673</v>
      </c>
      <c r="K71" t="str">
        <f t="shared" si="11"/>
        <v>Marseille</v>
      </c>
      <c r="L71" t="s">
        <v>704</v>
      </c>
      <c r="M71" t="s">
        <v>711</v>
      </c>
      <c r="N71" t="str">
        <f t="shared" si="12"/>
        <v>Direct</v>
      </c>
      <c r="O71" t="s">
        <v>724</v>
      </c>
      <c r="P71" t="str">
        <f t="shared" si="13"/>
        <v>M. Rossi</v>
      </c>
      <c r="Q71" t="s">
        <v>727</v>
      </c>
      <c r="R71" t="s">
        <v>1307</v>
      </c>
      <c r="S71" s="23">
        <v>81.489999999999995</v>
      </c>
      <c r="T71" s="23">
        <v>113.08</v>
      </c>
      <c r="U71" s="23">
        <f t="shared" si="14"/>
        <v>113.08</v>
      </c>
      <c r="V71" s="8">
        <v>0.121</v>
      </c>
      <c r="W71" s="8">
        <f t="shared" si="15"/>
        <v>0.121</v>
      </c>
      <c r="X71">
        <v>5</v>
      </c>
    </row>
    <row r="72" spans="1:24" x14ac:dyDescent="0.35">
      <c r="A72" s="4" t="s">
        <v>533</v>
      </c>
      <c r="B72" s="5" t="str">
        <f>IF(COUNTIF($A$2:A72,A72)=1,"Original","Duplicate")</f>
        <v>Original</v>
      </c>
      <c r="C72" s="7">
        <v>45047</v>
      </c>
      <c r="D72" s="7">
        <v>45064</v>
      </c>
      <c r="E72" s="7" t="str">
        <f t="shared" si="8"/>
        <v>Valid</v>
      </c>
      <c r="F72" s="7">
        <f t="shared" si="9"/>
        <v>45064</v>
      </c>
      <c r="G72">
        <f t="shared" si="10"/>
        <v>17</v>
      </c>
      <c r="H72" t="s">
        <v>646</v>
      </c>
      <c r="I72" t="s">
        <v>651</v>
      </c>
      <c r="J72" t="s">
        <v>663</v>
      </c>
      <c r="K72" t="str">
        <f t="shared" si="11"/>
        <v>Port Harcourt</v>
      </c>
      <c r="L72" t="s">
        <v>701</v>
      </c>
      <c r="M72" t="s">
        <v>711</v>
      </c>
      <c r="N72" t="str">
        <f t="shared" si="12"/>
        <v>Direct</v>
      </c>
      <c r="O72" t="s">
        <v>721</v>
      </c>
      <c r="P72" t="str">
        <f t="shared" si="13"/>
        <v>F. Müller</v>
      </c>
      <c r="Q72" t="s">
        <v>727</v>
      </c>
      <c r="R72" t="s">
        <v>1252</v>
      </c>
      <c r="S72" s="23">
        <v>327.97</v>
      </c>
      <c r="T72" s="23">
        <v>299.94</v>
      </c>
      <c r="U72" s="23">
        <f t="shared" si="14"/>
        <v>299.94</v>
      </c>
      <c r="V72" s="8">
        <v>4.9000000000000002E-2</v>
      </c>
      <c r="W72" s="8">
        <f t="shared" si="15"/>
        <v>4.9000000000000002E-2</v>
      </c>
      <c r="X72">
        <v>3</v>
      </c>
    </row>
    <row r="73" spans="1:24" x14ac:dyDescent="0.35">
      <c r="A73" s="4" t="s">
        <v>155</v>
      </c>
      <c r="B73" s="5" t="str">
        <f>IF(COUNTIF($A$2:A73,A73)=1,"Original","Duplicate")</f>
        <v>Original</v>
      </c>
      <c r="C73" s="7">
        <v>45048</v>
      </c>
      <c r="D73" s="7">
        <v>45064</v>
      </c>
      <c r="E73" s="7" t="str">
        <f t="shared" si="8"/>
        <v>Valid</v>
      </c>
      <c r="F73" s="7">
        <f t="shared" si="9"/>
        <v>45064</v>
      </c>
      <c r="G73">
        <f t="shared" si="10"/>
        <v>16</v>
      </c>
      <c r="H73" t="s">
        <v>647</v>
      </c>
      <c r="I73" t="s">
        <v>654</v>
      </c>
      <c r="J73" t="s">
        <v>680</v>
      </c>
      <c r="K73" t="str">
        <f t="shared" si="11"/>
        <v>Delhi</v>
      </c>
      <c r="L73" t="s">
        <v>705</v>
      </c>
      <c r="M73" t="s">
        <v>709</v>
      </c>
      <c r="N73" t="str">
        <f t="shared" si="12"/>
        <v>Marketplace</v>
      </c>
      <c r="O73" t="s">
        <v>723</v>
      </c>
      <c r="P73" t="str">
        <f t="shared" si="13"/>
        <v>K. Singh</v>
      </c>
      <c r="Q73" t="s">
        <v>732</v>
      </c>
      <c r="R73" t="s">
        <v>874</v>
      </c>
      <c r="S73" s="23">
        <v>1463.92</v>
      </c>
      <c r="T73" s="23">
        <v>2252.2399999999998</v>
      </c>
      <c r="U73" s="23">
        <f t="shared" si="14"/>
        <v>2252.2399999999998</v>
      </c>
      <c r="V73" s="8">
        <v>0.11799999999999999</v>
      </c>
      <c r="W73" s="8">
        <f t="shared" si="15"/>
        <v>0.11799999999999999</v>
      </c>
      <c r="X73">
        <v>44</v>
      </c>
    </row>
    <row r="74" spans="1:24" x14ac:dyDescent="0.35">
      <c r="A74" s="4" t="s">
        <v>471</v>
      </c>
      <c r="B74" s="5" t="str">
        <f>IF(COUNTIF($A$2:A74,A74)=1,"Original","Duplicate")</f>
        <v>Original</v>
      </c>
      <c r="C74" s="7">
        <v>45048</v>
      </c>
      <c r="D74" s="7">
        <v>45065</v>
      </c>
      <c r="E74" s="7" t="str">
        <f t="shared" si="8"/>
        <v>Valid</v>
      </c>
      <c r="F74" s="7">
        <f t="shared" si="9"/>
        <v>45065</v>
      </c>
      <c r="G74">
        <f t="shared" si="10"/>
        <v>17</v>
      </c>
      <c r="H74" t="s">
        <v>647</v>
      </c>
      <c r="I74" t="s">
        <v>659</v>
      </c>
      <c r="J74" t="s">
        <v>685</v>
      </c>
      <c r="K74" t="str">
        <f t="shared" si="11"/>
        <v>Shanghai</v>
      </c>
      <c r="L74" t="s">
        <v>703</v>
      </c>
      <c r="M74" t="s">
        <v>711</v>
      </c>
      <c r="N74" t="str">
        <f t="shared" si="12"/>
        <v>Direct</v>
      </c>
      <c r="O74" t="s">
        <v>713</v>
      </c>
      <c r="P74" t="str">
        <f t="shared" si="13"/>
        <v>J. Njeri</v>
      </c>
      <c r="Q74" t="s">
        <v>732</v>
      </c>
      <c r="R74" t="s">
        <v>1190</v>
      </c>
      <c r="S74" s="23">
        <v>714.28</v>
      </c>
      <c r="T74" s="23">
        <v>757.59</v>
      </c>
      <c r="U74" s="23">
        <f t="shared" si="14"/>
        <v>757.59</v>
      </c>
      <c r="V74" s="8">
        <v>0.13600000000000001</v>
      </c>
      <c r="W74" s="8">
        <f t="shared" si="15"/>
        <v>0.13600000000000001</v>
      </c>
      <c r="X74">
        <v>12</v>
      </c>
    </row>
    <row r="75" spans="1:24" x14ac:dyDescent="0.35">
      <c r="A75" s="4" t="s">
        <v>514</v>
      </c>
      <c r="B75" s="5" t="str">
        <f>IF(COUNTIF($A$2:A75,A75)=1,"Original","Duplicate")</f>
        <v>Original</v>
      </c>
      <c r="C75" s="7">
        <v>45048</v>
      </c>
      <c r="D75" s="7">
        <v>45062</v>
      </c>
      <c r="E75" s="7" t="str">
        <f t="shared" si="8"/>
        <v>Valid</v>
      </c>
      <c r="F75" s="7">
        <f t="shared" si="9"/>
        <v>45062</v>
      </c>
      <c r="G75">
        <f t="shared" si="10"/>
        <v>14</v>
      </c>
      <c r="H75" t="s">
        <v>647</v>
      </c>
      <c r="I75" t="s">
        <v>654</v>
      </c>
      <c r="J75" t="s">
        <v>668</v>
      </c>
      <c r="K75" t="str">
        <f t="shared" si="11"/>
        <v>Bengaluru</v>
      </c>
      <c r="L75" t="s">
        <v>703</v>
      </c>
      <c r="M75" t="s">
        <v>707</v>
      </c>
      <c r="N75" t="str">
        <f t="shared" si="12"/>
        <v>Retail</v>
      </c>
      <c r="O75" t="s">
        <v>716</v>
      </c>
      <c r="P75" t="str">
        <f t="shared" si="13"/>
        <v>L. Okafor</v>
      </c>
      <c r="Q75" t="s">
        <v>732</v>
      </c>
      <c r="R75" t="s">
        <v>1233</v>
      </c>
      <c r="S75" s="23">
        <v>475.37</v>
      </c>
      <c r="T75" s="23">
        <v>963.73</v>
      </c>
      <c r="U75" s="23">
        <f t="shared" si="14"/>
        <v>963.73</v>
      </c>
      <c r="V75" s="8">
        <v>4.1000000000000002E-2</v>
      </c>
      <c r="W75" s="8">
        <f t="shared" si="15"/>
        <v>4.1000000000000002E-2</v>
      </c>
      <c r="X75">
        <v>22</v>
      </c>
    </row>
    <row r="76" spans="1:24" x14ac:dyDescent="0.35">
      <c r="A76" s="4" t="s">
        <v>600</v>
      </c>
      <c r="B76" s="5" t="str">
        <f>IF(COUNTIF($A$2:A76,A76)=1,"Original","Duplicate")</f>
        <v>Original</v>
      </c>
      <c r="C76" s="7">
        <v>45049</v>
      </c>
      <c r="D76" s="7">
        <v>45062</v>
      </c>
      <c r="E76" s="7" t="str">
        <f t="shared" si="8"/>
        <v>Valid</v>
      </c>
      <c r="F76" s="7">
        <f t="shared" si="9"/>
        <v>45062</v>
      </c>
      <c r="G76">
        <f t="shared" si="10"/>
        <v>13</v>
      </c>
      <c r="H76" t="s">
        <v>648</v>
      </c>
      <c r="I76" t="s">
        <v>660</v>
      </c>
      <c r="J76" t="s">
        <v>700</v>
      </c>
      <c r="K76" t="str">
        <f t="shared" si="11"/>
        <v>New York</v>
      </c>
      <c r="L76" t="s">
        <v>701</v>
      </c>
      <c r="M76" t="s">
        <v>709</v>
      </c>
      <c r="N76" t="str">
        <f t="shared" si="12"/>
        <v>Marketplace</v>
      </c>
      <c r="O76" t="s">
        <v>716</v>
      </c>
      <c r="P76" t="str">
        <f t="shared" si="13"/>
        <v>L. Okafor</v>
      </c>
      <c r="Q76" t="s">
        <v>730</v>
      </c>
      <c r="R76" t="s">
        <v>1318</v>
      </c>
      <c r="S76" s="23">
        <v>64.5</v>
      </c>
      <c r="T76" s="23">
        <v>123.62</v>
      </c>
      <c r="U76" s="23">
        <f t="shared" si="14"/>
        <v>123.62</v>
      </c>
      <c r="V76" s="8">
        <v>0</v>
      </c>
      <c r="W76" s="8">
        <f t="shared" si="15"/>
        <v>0</v>
      </c>
      <c r="X76">
        <v>3</v>
      </c>
    </row>
    <row r="77" spans="1:24" x14ac:dyDescent="0.35">
      <c r="A77" s="4" t="s">
        <v>208</v>
      </c>
      <c r="B77" s="5" t="str">
        <f>IF(COUNTIF($A$2:A77,A77)=1,"Original","Duplicate")</f>
        <v>Original</v>
      </c>
      <c r="C77" s="7">
        <v>45050</v>
      </c>
      <c r="D77" s="7">
        <v>45072</v>
      </c>
      <c r="E77" s="7" t="str">
        <f t="shared" si="8"/>
        <v>Valid</v>
      </c>
      <c r="F77" s="7">
        <f t="shared" si="9"/>
        <v>45072</v>
      </c>
      <c r="G77">
        <f t="shared" si="10"/>
        <v>22</v>
      </c>
      <c r="H77" t="s">
        <v>648</v>
      </c>
      <c r="I77" t="s">
        <v>660</v>
      </c>
      <c r="J77" t="s">
        <v>686</v>
      </c>
      <c r="K77" t="str">
        <f t="shared" si="11"/>
        <v>San Francisco</v>
      </c>
      <c r="L77" t="s">
        <v>706</v>
      </c>
      <c r="M77" t="s">
        <v>708</v>
      </c>
      <c r="N77" t="str">
        <f t="shared" si="12"/>
        <v>Online</v>
      </c>
      <c r="O77" t="s">
        <v>713</v>
      </c>
      <c r="P77" t="str">
        <f t="shared" si="13"/>
        <v>J. Njeri</v>
      </c>
      <c r="Q77" t="s">
        <v>729</v>
      </c>
      <c r="R77" t="s">
        <v>928</v>
      </c>
      <c r="S77" s="23">
        <v>249.71</v>
      </c>
      <c r="T77" s="23">
        <v>361.33</v>
      </c>
      <c r="U77" s="23">
        <f t="shared" si="14"/>
        <v>361.33</v>
      </c>
      <c r="V77" s="8">
        <v>9.4E-2</v>
      </c>
      <c r="W77" s="8">
        <f t="shared" si="15"/>
        <v>9.4E-2</v>
      </c>
      <c r="X77">
        <v>12</v>
      </c>
    </row>
    <row r="78" spans="1:24" x14ac:dyDescent="0.35">
      <c r="A78" s="4" t="s">
        <v>361</v>
      </c>
      <c r="B78" s="5" t="str">
        <f>IF(COUNTIF($A$2:A78,A78)=1,"Original","Duplicate")</f>
        <v>Original</v>
      </c>
      <c r="C78" s="7">
        <v>45050</v>
      </c>
      <c r="D78" s="7">
        <v>45062</v>
      </c>
      <c r="E78" s="7" t="str">
        <f t="shared" si="8"/>
        <v>Valid</v>
      </c>
      <c r="F78" s="7">
        <f t="shared" si="9"/>
        <v>45062</v>
      </c>
      <c r="G78">
        <f t="shared" si="10"/>
        <v>12</v>
      </c>
      <c r="H78" t="s">
        <v>646</v>
      </c>
      <c r="I78" t="s">
        <v>651</v>
      </c>
      <c r="J78" t="s">
        <v>669</v>
      </c>
      <c r="K78" t="str">
        <f t="shared" si="11"/>
        <v>Abuja</v>
      </c>
      <c r="L78" t="s">
        <v>705</v>
      </c>
      <c r="M78" t="s">
        <v>709</v>
      </c>
      <c r="N78" t="str">
        <f t="shared" si="12"/>
        <v>Marketplace</v>
      </c>
      <c r="O78" t="s">
        <v>713</v>
      </c>
      <c r="P78" t="str">
        <f t="shared" si="13"/>
        <v>J. Njeri</v>
      </c>
      <c r="Q78" t="s">
        <v>730</v>
      </c>
      <c r="R78" t="s">
        <v>1081</v>
      </c>
      <c r="S78" s="23">
        <v>77.739999999999995</v>
      </c>
      <c r="T78" s="23">
        <v>147.12</v>
      </c>
      <c r="U78" s="23">
        <f t="shared" si="14"/>
        <v>147.12</v>
      </c>
      <c r="V78" s="8">
        <v>0</v>
      </c>
      <c r="W78" s="8">
        <f t="shared" si="15"/>
        <v>0</v>
      </c>
      <c r="X78">
        <v>15</v>
      </c>
    </row>
    <row r="79" spans="1:24" x14ac:dyDescent="0.35">
      <c r="A79" s="4" t="s">
        <v>330</v>
      </c>
      <c r="B79" s="5" t="str">
        <f>IF(COUNTIF($A$2:A79,A79)=1,"Original","Duplicate")</f>
        <v>Original</v>
      </c>
      <c r="C79" s="7">
        <v>45052</v>
      </c>
      <c r="D79" s="7">
        <v>45060</v>
      </c>
      <c r="E79" s="7" t="str">
        <f t="shared" si="8"/>
        <v>Valid</v>
      </c>
      <c r="F79" s="7">
        <f t="shared" si="9"/>
        <v>45060</v>
      </c>
      <c r="G79">
        <f t="shared" si="10"/>
        <v>8</v>
      </c>
      <c r="H79" t="s">
        <v>647</v>
      </c>
      <c r="I79" t="s">
        <v>652</v>
      </c>
      <c r="J79" t="s">
        <v>666</v>
      </c>
      <c r="K79" t="str">
        <f t="shared" si="11"/>
        <v>Osaka</v>
      </c>
      <c r="L79" t="s">
        <v>706</v>
      </c>
      <c r="M79" t="s">
        <v>709</v>
      </c>
      <c r="N79" t="str">
        <f t="shared" si="12"/>
        <v>Marketplace</v>
      </c>
      <c r="O79" t="s">
        <v>717</v>
      </c>
      <c r="P79" t="str">
        <f t="shared" si="13"/>
        <v>B. Chen</v>
      </c>
      <c r="Q79" t="s">
        <v>730</v>
      </c>
      <c r="R79" t="s">
        <v>1050</v>
      </c>
      <c r="S79" s="23">
        <v>291.18</v>
      </c>
      <c r="T79" s="23">
        <v>479.54</v>
      </c>
      <c r="U79" s="23">
        <f t="shared" si="14"/>
        <v>479.54</v>
      </c>
      <c r="V79" s="8">
        <v>0.14099999999999999</v>
      </c>
      <c r="W79" s="8">
        <f t="shared" si="15"/>
        <v>0.14099999999999999</v>
      </c>
      <c r="X79">
        <v>22</v>
      </c>
    </row>
    <row r="80" spans="1:24" x14ac:dyDescent="0.35">
      <c r="A80" s="4" t="s">
        <v>281</v>
      </c>
      <c r="B80" s="5" t="str">
        <f>IF(COUNTIF($A$2:A80,A80)=1,"Original","Duplicate")</f>
        <v>Original</v>
      </c>
      <c r="C80" s="7">
        <v>45053</v>
      </c>
      <c r="D80" s="7">
        <v>45051</v>
      </c>
      <c r="E80" s="7" t="str">
        <f t="shared" si="8"/>
        <v>Invalid</v>
      </c>
      <c r="F80" s="7">
        <f t="shared" si="9"/>
        <v>45058</v>
      </c>
      <c r="G80">
        <f t="shared" si="10"/>
        <v>5</v>
      </c>
      <c r="H80" t="s">
        <v>646</v>
      </c>
      <c r="I80" t="s">
        <v>651</v>
      </c>
      <c r="J80" t="s">
        <v>663</v>
      </c>
      <c r="K80" t="str">
        <f t="shared" si="11"/>
        <v>Port Harcourt</v>
      </c>
      <c r="L80" t="s">
        <v>703</v>
      </c>
      <c r="M80" t="s">
        <v>709</v>
      </c>
      <c r="N80" t="str">
        <f t="shared" si="12"/>
        <v>Marketplace</v>
      </c>
      <c r="O80" t="s">
        <v>720</v>
      </c>
      <c r="P80" t="str">
        <f t="shared" si="13"/>
        <v>A. Patel</v>
      </c>
      <c r="Q80" t="s">
        <v>727</v>
      </c>
      <c r="R80" t="s">
        <v>1001</v>
      </c>
      <c r="S80" s="23">
        <v>1269.6500000000001</v>
      </c>
      <c r="T80" s="23">
        <v>2462.77</v>
      </c>
      <c r="U80" s="23">
        <f t="shared" si="14"/>
        <v>2462.77</v>
      </c>
      <c r="V80" s="8">
        <v>0.107</v>
      </c>
      <c r="W80" s="8">
        <f t="shared" si="15"/>
        <v>0.107</v>
      </c>
      <c r="X80">
        <v>8</v>
      </c>
    </row>
    <row r="81" spans="1:24" x14ac:dyDescent="0.35">
      <c r="A81" s="4" t="s">
        <v>339</v>
      </c>
      <c r="B81" s="5" t="str">
        <f>IF(COUNTIF($A$2:A81,A81)=1,"Original","Duplicate")</f>
        <v>Original</v>
      </c>
      <c r="C81" s="7">
        <v>45053</v>
      </c>
      <c r="D81" s="7">
        <v>45075</v>
      </c>
      <c r="E81" s="7" t="str">
        <f t="shared" si="8"/>
        <v>Valid</v>
      </c>
      <c r="F81" s="7">
        <f t="shared" si="9"/>
        <v>45075</v>
      </c>
      <c r="G81">
        <f t="shared" si="10"/>
        <v>22</v>
      </c>
      <c r="H81" t="s">
        <v>646</v>
      </c>
      <c r="I81" t="s">
        <v>661</v>
      </c>
      <c r="J81" t="s">
        <v>687</v>
      </c>
      <c r="K81" t="str">
        <f t="shared" si="11"/>
        <v>Durban</v>
      </c>
      <c r="L81" t="s">
        <v>702</v>
      </c>
      <c r="M81" t="s">
        <v>710</v>
      </c>
      <c r="N81" t="str">
        <f t="shared" si="12"/>
        <v>Distributor</v>
      </c>
      <c r="O81" t="s">
        <v>723</v>
      </c>
      <c r="P81" t="str">
        <f t="shared" si="13"/>
        <v>K. Singh</v>
      </c>
      <c r="Q81" t="s">
        <v>733</v>
      </c>
      <c r="R81" t="s">
        <v>1059</v>
      </c>
      <c r="S81" s="23">
        <v>653.86</v>
      </c>
      <c r="T81" s="23">
        <v>931.84</v>
      </c>
      <c r="U81" s="23">
        <f t="shared" si="14"/>
        <v>931.84</v>
      </c>
      <c r="V81" s="8">
        <v>0.121</v>
      </c>
      <c r="W81" s="8">
        <f t="shared" si="15"/>
        <v>0.121</v>
      </c>
      <c r="X81">
        <v>12</v>
      </c>
    </row>
    <row r="82" spans="1:24" x14ac:dyDescent="0.35">
      <c r="A82" s="4" t="s">
        <v>570</v>
      </c>
      <c r="B82" s="5" t="str">
        <f>IF(COUNTIF($A$2:A82,A82)=1,"Original","Duplicate")</f>
        <v>Original</v>
      </c>
      <c r="C82" s="7">
        <v>45053</v>
      </c>
      <c r="D82" s="7">
        <v>45066</v>
      </c>
      <c r="E82" s="7" t="str">
        <f t="shared" si="8"/>
        <v>Valid</v>
      </c>
      <c r="F82" s="7">
        <f t="shared" si="9"/>
        <v>45066</v>
      </c>
      <c r="G82">
        <f t="shared" si="10"/>
        <v>13</v>
      </c>
      <c r="H82" t="s">
        <v>647</v>
      </c>
      <c r="I82" t="s">
        <v>654</v>
      </c>
      <c r="J82" t="s">
        <v>691</v>
      </c>
      <c r="K82" t="str">
        <f t="shared" si="11"/>
        <v>Mumbai</v>
      </c>
      <c r="L82" t="s">
        <v>706</v>
      </c>
      <c r="M82" t="s">
        <v>707</v>
      </c>
      <c r="N82" t="str">
        <f t="shared" si="12"/>
        <v>Retail</v>
      </c>
      <c r="O82" t="s">
        <v>726</v>
      </c>
      <c r="P82" t="str">
        <f t="shared" si="13"/>
        <v>D. Smith</v>
      </c>
      <c r="Q82" t="s">
        <v>733</v>
      </c>
      <c r="R82" t="s">
        <v>1288</v>
      </c>
      <c r="S82" s="23">
        <v>1443.28</v>
      </c>
      <c r="T82" s="23">
        <v>2580.5700000000002</v>
      </c>
      <c r="U82" s="23">
        <f t="shared" si="14"/>
        <v>2580.5700000000002</v>
      </c>
      <c r="V82" s="8">
        <v>0</v>
      </c>
      <c r="W82" s="8">
        <f t="shared" si="15"/>
        <v>0</v>
      </c>
      <c r="X82">
        <v>18</v>
      </c>
    </row>
    <row r="83" spans="1:24" x14ac:dyDescent="0.35">
      <c r="A83" s="4" t="s">
        <v>524</v>
      </c>
      <c r="B83" s="5" t="str">
        <f>IF(COUNTIF($A$2:A83,A83)=1,"Original","Duplicate")</f>
        <v>Original</v>
      </c>
      <c r="C83" s="7">
        <v>45056</v>
      </c>
      <c r="D83" s="7">
        <v>45060</v>
      </c>
      <c r="E83" s="7" t="str">
        <f t="shared" si="8"/>
        <v>Valid</v>
      </c>
      <c r="F83" s="7">
        <f t="shared" si="9"/>
        <v>45060</v>
      </c>
      <c r="G83">
        <f t="shared" si="10"/>
        <v>4</v>
      </c>
      <c r="H83" t="s">
        <v>647</v>
      </c>
      <c r="I83" t="s">
        <v>654</v>
      </c>
      <c r="J83" t="s">
        <v>680</v>
      </c>
      <c r="K83" t="str">
        <f t="shared" si="11"/>
        <v>Delhi</v>
      </c>
      <c r="L83" t="s">
        <v>703</v>
      </c>
      <c r="M83" t="s">
        <v>710</v>
      </c>
      <c r="N83" t="str">
        <f t="shared" si="12"/>
        <v>Distributor</v>
      </c>
      <c r="O83" t="s">
        <v>712</v>
      </c>
      <c r="P83" t="str">
        <f t="shared" si="13"/>
        <v>C. Otieno</v>
      </c>
      <c r="Q83" t="s">
        <v>732</v>
      </c>
      <c r="R83" t="s">
        <v>1243</v>
      </c>
      <c r="S83" s="23">
        <v>622.6</v>
      </c>
      <c r="T83" s="23">
        <v>833.69</v>
      </c>
      <c r="U83" s="23">
        <f t="shared" si="14"/>
        <v>833.69</v>
      </c>
      <c r="V83" s="8">
        <v>0.20899999999999999</v>
      </c>
      <c r="W83" s="8">
        <f t="shared" si="15"/>
        <v>0.20899999999999999</v>
      </c>
      <c r="X83">
        <v>14</v>
      </c>
    </row>
    <row r="84" spans="1:24" x14ac:dyDescent="0.35">
      <c r="A84" s="4" t="s">
        <v>535</v>
      </c>
      <c r="B84" s="5" t="str">
        <f>IF(COUNTIF($A$2:A84,A84)=1,"Original","Duplicate")</f>
        <v>Original</v>
      </c>
      <c r="C84" s="7">
        <v>45056</v>
      </c>
      <c r="D84" s="7">
        <v>45073</v>
      </c>
      <c r="E84" s="7" t="str">
        <f t="shared" si="8"/>
        <v>Valid</v>
      </c>
      <c r="F84" s="7">
        <f t="shared" si="9"/>
        <v>45073</v>
      </c>
      <c r="G84">
        <f t="shared" si="10"/>
        <v>17</v>
      </c>
      <c r="H84" t="s">
        <v>647</v>
      </c>
      <c r="I84" t="s">
        <v>654</v>
      </c>
      <c r="J84" t="s">
        <v>691</v>
      </c>
      <c r="K84" t="str">
        <f t="shared" si="11"/>
        <v>Mumbai</v>
      </c>
      <c r="L84" t="s">
        <v>704</v>
      </c>
      <c r="M84" t="s">
        <v>707</v>
      </c>
      <c r="N84" t="str">
        <f t="shared" si="12"/>
        <v>Retail</v>
      </c>
      <c r="O84" t="s">
        <v>724</v>
      </c>
      <c r="P84" t="str">
        <f t="shared" si="13"/>
        <v>M. Rossi</v>
      </c>
      <c r="Q84" t="s">
        <v>731</v>
      </c>
      <c r="R84" t="s">
        <v>1254</v>
      </c>
      <c r="S84" s="23">
        <v>1286.1600000000001</v>
      </c>
      <c r="T84" s="23">
        <v>3101.11</v>
      </c>
      <c r="U84" s="23">
        <f t="shared" si="14"/>
        <v>3101.11</v>
      </c>
      <c r="V84" s="8">
        <v>0.1</v>
      </c>
      <c r="W84" s="8">
        <f t="shared" si="15"/>
        <v>0.1</v>
      </c>
      <c r="X84">
        <v>23</v>
      </c>
    </row>
    <row r="85" spans="1:24" x14ac:dyDescent="0.35">
      <c r="A85" s="4" t="s">
        <v>36</v>
      </c>
      <c r="B85" s="5" t="str">
        <f>IF(COUNTIF($A$2:A85,A85)=1,"Original","Duplicate")</f>
        <v>Original</v>
      </c>
      <c r="C85" s="7">
        <v>45057</v>
      </c>
      <c r="D85" s="7">
        <v>45074</v>
      </c>
      <c r="E85" s="7" t="str">
        <f t="shared" si="8"/>
        <v>Valid</v>
      </c>
      <c r="F85" s="7">
        <f t="shared" si="9"/>
        <v>45074</v>
      </c>
      <c r="G85">
        <f t="shared" si="10"/>
        <v>17</v>
      </c>
      <c r="H85" t="s">
        <v>647</v>
      </c>
      <c r="I85" t="s">
        <v>659</v>
      </c>
      <c r="J85" t="s">
        <v>676</v>
      </c>
      <c r="K85" t="str">
        <f t="shared" si="11"/>
        <v>Shenzhen</v>
      </c>
      <c r="L85" t="s">
        <v>706</v>
      </c>
      <c r="M85" t="s">
        <v>709</v>
      </c>
      <c r="N85" t="str">
        <f t="shared" si="12"/>
        <v>Marketplace</v>
      </c>
      <c r="O85" t="s">
        <v>718</v>
      </c>
      <c r="P85" t="str">
        <f t="shared" si="13"/>
        <v>E. Garcia</v>
      </c>
      <c r="Q85" t="s">
        <v>729</v>
      </c>
      <c r="R85" t="s">
        <v>755</v>
      </c>
      <c r="S85" s="23">
        <v>1331.19</v>
      </c>
      <c r="T85" s="23">
        <v>2903.09</v>
      </c>
      <c r="U85" s="23">
        <f t="shared" si="14"/>
        <v>2903.09</v>
      </c>
      <c r="V85" s="8">
        <v>0.14299999999999999</v>
      </c>
      <c r="W85" s="8">
        <f t="shared" si="15"/>
        <v>0.14299999999999999</v>
      </c>
      <c r="X85">
        <v>8</v>
      </c>
    </row>
    <row r="86" spans="1:24" x14ac:dyDescent="0.35">
      <c r="A86" s="4" t="s">
        <v>121</v>
      </c>
      <c r="B86" s="5" t="str">
        <f>IF(COUNTIF($A$2:A86,A86)=1,"Original","Duplicate")</f>
        <v>Original</v>
      </c>
      <c r="C86" s="7">
        <v>45057</v>
      </c>
      <c r="D86" s="7">
        <v>45084</v>
      </c>
      <c r="E86" s="7" t="str">
        <f t="shared" si="8"/>
        <v>Valid</v>
      </c>
      <c r="F86" s="7">
        <f t="shared" si="9"/>
        <v>45084</v>
      </c>
      <c r="G86">
        <f t="shared" si="10"/>
        <v>27</v>
      </c>
      <c r="H86" t="s">
        <v>646</v>
      </c>
      <c r="I86" t="s">
        <v>650</v>
      </c>
      <c r="J86" t="s">
        <v>675</v>
      </c>
      <c r="K86" t="str">
        <f t="shared" si="11"/>
        <v>Mombasa</v>
      </c>
      <c r="L86" t="s">
        <v>701</v>
      </c>
      <c r="M86" t="s">
        <v>708</v>
      </c>
      <c r="N86" t="str">
        <f t="shared" si="12"/>
        <v>Online</v>
      </c>
      <c r="O86" t="s">
        <v>713</v>
      </c>
      <c r="P86" t="str">
        <f t="shared" si="13"/>
        <v>J. Njeri</v>
      </c>
      <c r="Q86" t="s">
        <v>730</v>
      </c>
      <c r="R86" t="s">
        <v>840</v>
      </c>
      <c r="S86" s="23">
        <v>12.85</v>
      </c>
      <c r="T86" s="23">
        <v>15.41</v>
      </c>
      <c r="U86" s="23">
        <f t="shared" si="14"/>
        <v>15.41</v>
      </c>
      <c r="V86" s="8">
        <v>0.13700000000000001</v>
      </c>
      <c r="W86" s="8">
        <f t="shared" si="15"/>
        <v>0.13700000000000001</v>
      </c>
      <c r="X86">
        <v>39</v>
      </c>
    </row>
    <row r="87" spans="1:24" x14ac:dyDescent="0.35">
      <c r="A87" s="4" t="s">
        <v>484</v>
      </c>
      <c r="B87" s="5" t="str">
        <f>IF(COUNTIF($A$2:A87,A87)=1,"Original","Duplicate")</f>
        <v>Original</v>
      </c>
      <c r="C87" s="7">
        <v>45060</v>
      </c>
      <c r="D87" s="7">
        <v>45068</v>
      </c>
      <c r="E87" s="7" t="str">
        <f t="shared" si="8"/>
        <v>Valid</v>
      </c>
      <c r="F87" s="7">
        <f t="shared" si="9"/>
        <v>45068</v>
      </c>
      <c r="G87">
        <f t="shared" si="10"/>
        <v>8</v>
      </c>
      <c r="H87" t="s">
        <v>646</v>
      </c>
      <c r="I87" t="s">
        <v>650</v>
      </c>
      <c r="J87" t="s">
        <v>675</v>
      </c>
      <c r="K87" t="str">
        <f t="shared" si="11"/>
        <v>Mombasa</v>
      </c>
      <c r="L87" t="s">
        <v>705</v>
      </c>
      <c r="M87" t="s">
        <v>710</v>
      </c>
      <c r="N87" t="str">
        <f t="shared" si="12"/>
        <v>Distributor</v>
      </c>
      <c r="O87" t="s">
        <v>721</v>
      </c>
      <c r="P87" t="str">
        <f t="shared" si="13"/>
        <v>F. Müller</v>
      </c>
      <c r="Q87" t="s">
        <v>728</v>
      </c>
      <c r="R87" t="s">
        <v>1203</v>
      </c>
      <c r="S87" s="23">
        <v>432.01</v>
      </c>
      <c r="T87" s="23">
        <v>913.78</v>
      </c>
      <c r="U87" s="23">
        <f t="shared" si="14"/>
        <v>913.78</v>
      </c>
      <c r="V87" s="8">
        <v>4.9000000000000002E-2</v>
      </c>
      <c r="W87" s="8">
        <f t="shared" si="15"/>
        <v>4.9000000000000002E-2</v>
      </c>
      <c r="X87">
        <v>12</v>
      </c>
    </row>
    <row r="88" spans="1:24" x14ac:dyDescent="0.35">
      <c r="A88" s="4" t="s">
        <v>454</v>
      </c>
      <c r="B88" s="5" t="str">
        <f>IF(COUNTIF($A$2:A88,A88)=1,"Original","Duplicate")</f>
        <v>Original</v>
      </c>
      <c r="C88" s="7">
        <v>45063</v>
      </c>
      <c r="D88" s="7">
        <v>45080</v>
      </c>
      <c r="E88" s="7" t="str">
        <f t="shared" si="8"/>
        <v>Valid</v>
      </c>
      <c r="F88" s="7">
        <f t="shared" si="9"/>
        <v>45080</v>
      </c>
      <c r="G88">
        <f t="shared" si="10"/>
        <v>17</v>
      </c>
      <c r="H88" t="s">
        <v>647</v>
      </c>
      <c r="I88" t="s">
        <v>659</v>
      </c>
      <c r="J88" t="s">
        <v>699</v>
      </c>
      <c r="K88" t="str">
        <f t="shared" si="11"/>
        <v>Beijing</v>
      </c>
      <c r="L88" t="s">
        <v>703</v>
      </c>
      <c r="M88" t="s">
        <v>710</v>
      </c>
      <c r="N88" t="str">
        <f t="shared" si="12"/>
        <v>Distributor</v>
      </c>
      <c r="O88" t="s">
        <v>724</v>
      </c>
      <c r="P88" t="str">
        <f t="shared" si="13"/>
        <v>M. Rossi</v>
      </c>
      <c r="Q88" t="s">
        <v>728</v>
      </c>
      <c r="R88" t="s">
        <v>1173</v>
      </c>
      <c r="S88" s="23">
        <v>979.59</v>
      </c>
      <c r="T88" s="23">
        <v>2210.94</v>
      </c>
      <c r="U88" s="23">
        <f t="shared" si="14"/>
        <v>2210.94</v>
      </c>
      <c r="V88" s="8">
        <v>0.15</v>
      </c>
      <c r="W88" s="8">
        <f t="shared" si="15"/>
        <v>0.15</v>
      </c>
      <c r="X88">
        <v>11</v>
      </c>
    </row>
    <row r="89" spans="1:24" x14ac:dyDescent="0.35">
      <c r="A89" s="4" t="s">
        <v>475</v>
      </c>
      <c r="B89" s="5" t="str">
        <f>IF(COUNTIF($A$2:A89,A89)=1,"Original","Duplicate")</f>
        <v>Original</v>
      </c>
      <c r="C89" s="7">
        <v>45063</v>
      </c>
      <c r="D89" s="7">
        <v>45092</v>
      </c>
      <c r="E89" s="7" t="str">
        <f t="shared" si="8"/>
        <v>Valid</v>
      </c>
      <c r="F89" s="7">
        <f t="shared" si="9"/>
        <v>45092</v>
      </c>
      <c r="G89">
        <f t="shared" si="10"/>
        <v>29</v>
      </c>
      <c r="H89" t="s">
        <v>646</v>
      </c>
      <c r="I89" t="s">
        <v>661</v>
      </c>
      <c r="J89" t="s">
        <v>687</v>
      </c>
      <c r="K89" t="str">
        <f t="shared" si="11"/>
        <v>Durban</v>
      </c>
      <c r="L89" t="s">
        <v>706</v>
      </c>
      <c r="M89" t="s">
        <v>707</v>
      </c>
      <c r="N89" t="str">
        <f t="shared" si="12"/>
        <v>Retail</v>
      </c>
      <c r="O89" t="s">
        <v>723</v>
      </c>
      <c r="P89" t="str">
        <f t="shared" si="13"/>
        <v>K. Singh</v>
      </c>
      <c r="Q89" t="s">
        <v>733</v>
      </c>
      <c r="R89" t="s">
        <v>1194</v>
      </c>
      <c r="S89" s="23">
        <v>40.89</v>
      </c>
      <c r="T89" s="23">
        <v>62.82</v>
      </c>
      <c r="U89" s="23">
        <f t="shared" si="14"/>
        <v>62.82</v>
      </c>
      <c r="V89" s="8">
        <v>0.129</v>
      </c>
      <c r="W89" s="8">
        <f t="shared" si="15"/>
        <v>0.129</v>
      </c>
      <c r="X89">
        <v>17</v>
      </c>
    </row>
    <row r="90" spans="1:24" x14ac:dyDescent="0.35">
      <c r="A90" s="4" t="s">
        <v>89</v>
      </c>
      <c r="B90" s="5" t="str">
        <f>IF(COUNTIF($A$2:A90,A90)=1,"Original","Duplicate")</f>
        <v>Original</v>
      </c>
      <c r="C90" s="7">
        <v>45066</v>
      </c>
      <c r="D90" s="7">
        <v>45064</v>
      </c>
      <c r="E90" s="7" t="str">
        <f t="shared" si="8"/>
        <v>Invalid</v>
      </c>
      <c r="F90" s="7">
        <f t="shared" si="9"/>
        <v>45072</v>
      </c>
      <c r="G90">
        <f t="shared" si="10"/>
        <v>6</v>
      </c>
      <c r="H90" t="s">
        <v>646</v>
      </c>
      <c r="I90" t="s">
        <v>661</v>
      </c>
      <c r="J90" t="s">
        <v>687</v>
      </c>
      <c r="K90" t="str">
        <f t="shared" si="11"/>
        <v>Durban</v>
      </c>
      <c r="L90" t="s">
        <v>701</v>
      </c>
      <c r="M90" t="s">
        <v>710</v>
      </c>
      <c r="N90" t="str">
        <f t="shared" si="12"/>
        <v>Distributor</v>
      </c>
      <c r="O90" t="s">
        <v>720</v>
      </c>
      <c r="P90" t="str">
        <f t="shared" si="13"/>
        <v>A. Patel</v>
      </c>
      <c r="Q90" t="s">
        <v>727</v>
      </c>
      <c r="R90" t="s">
        <v>808</v>
      </c>
      <c r="S90" s="23">
        <v>917.88</v>
      </c>
      <c r="T90" s="23">
        <v>1347.92</v>
      </c>
      <c r="U90" s="23">
        <f t="shared" si="14"/>
        <v>1347.92</v>
      </c>
      <c r="V90" s="8">
        <v>0.34300000000000003</v>
      </c>
      <c r="W90" s="8">
        <f t="shared" si="15"/>
        <v>0.3</v>
      </c>
      <c r="X90">
        <v>5</v>
      </c>
    </row>
    <row r="91" spans="1:24" x14ac:dyDescent="0.35">
      <c r="A91" s="4" t="s">
        <v>274</v>
      </c>
      <c r="B91" s="5" t="str">
        <f>IF(COUNTIF($A$2:A91,A91)=1,"Original","Duplicate")</f>
        <v>Original</v>
      </c>
      <c r="C91" s="7">
        <v>45066</v>
      </c>
      <c r="D91" s="7">
        <v>45084</v>
      </c>
      <c r="E91" s="7" t="str">
        <f t="shared" si="8"/>
        <v>Valid</v>
      </c>
      <c r="F91" s="7">
        <f t="shared" si="9"/>
        <v>45084</v>
      </c>
      <c r="G91">
        <f t="shared" si="10"/>
        <v>18</v>
      </c>
      <c r="H91" t="s">
        <v>646</v>
      </c>
      <c r="I91" t="s">
        <v>651</v>
      </c>
      <c r="J91" t="s">
        <v>663</v>
      </c>
      <c r="K91" t="str">
        <f t="shared" si="11"/>
        <v>Port Harcourt</v>
      </c>
      <c r="L91" t="s">
        <v>706</v>
      </c>
      <c r="M91" t="s">
        <v>710</v>
      </c>
      <c r="N91" t="str">
        <f t="shared" si="12"/>
        <v>Distributor</v>
      </c>
      <c r="O91" t="s">
        <v>718</v>
      </c>
      <c r="P91" t="str">
        <f t="shared" si="13"/>
        <v>E. Garcia</v>
      </c>
      <c r="Q91" t="s">
        <v>727</v>
      </c>
      <c r="R91" t="s">
        <v>994</v>
      </c>
      <c r="S91" s="23">
        <v>1120.06</v>
      </c>
      <c r="T91" s="23">
        <v>2068.21</v>
      </c>
      <c r="U91" s="23">
        <f t="shared" si="14"/>
        <v>2068.21</v>
      </c>
      <c r="V91" s="8">
        <v>7.8E-2</v>
      </c>
      <c r="W91" s="8">
        <f t="shared" si="15"/>
        <v>7.8E-2</v>
      </c>
      <c r="X91">
        <v>12</v>
      </c>
    </row>
    <row r="92" spans="1:24" x14ac:dyDescent="0.35">
      <c r="A92" s="4" t="s">
        <v>399</v>
      </c>
      <c r="B92" s="5" t="str">
        <f>IF(COUNTIF($A$2:A92,A92)=1,"Original","Duplicate")</f>
        <v>Original</v>
      </c>
      <c r="C92" s="7">
        <v>45066</v>
      </c>
      <c r="D92" s="7">
        <v>45096</v>
      </c>
      <c r="E92" s="7" t="str">
        <f t="shared" si="8"/>
        <v>Valid</v>
      </c>
      <c r="F92" s="7">
        <f t="shared" si="9"/>
        <v>45096</v>
      </c>
      <c r="G92">
        <f t="shared" si="10"/>
        <v>30</v>
      </c>
      <c r="H92" t="s">
        <v>647</v>
      </c>
      <c r="I92" t="s">
        <v>654</v>
      </c>
      <c r="J92" t="s">
        <v>680</v>
      </c>
      <c r="K92" t="str">
        <f t="shared" si="11"/>
        <v>Delhi</v>
      </c>
      <c r="L92" t="s">
        <v>703</v>
      </c>
      <c r="M92" t="s">
        <v>709</v>
      </c>
      <c r="N92" t="str">
        <f t="shared" si="12"/>
        <v>Marketplace</v>
      </c>
      <c r="O92" t="s">
        <v>722</v>
      </c>
      <c r="P92" t="str">
        <f t="shared" si="13"/>
        <v>H. Kim</v>
      </c>
      <c r="Q92" t="s">
        <v>731</v>
      </c>
      <c r="R92" t="s">
        <v>1118</v>
      </c>
      <c r="S92" s="23">
        <v>1161.2</v>
      </c>
      <c r="T92" s="23">
        <v>878.73</v>
      </c>
      <c r="U92" s="23">
        <f t="shared" si="14"/>
        <v>878.73</v>
      </c>
      <c r="V92" s="8">
        <v>0.19</v>
      </c>
      <c r="W92" s="8">
        <f t="shared" si="15"/>
        <v>0.19</v>
      </c>
      <c r="X92">
        <v>31</v>
      </c>
    </row>
    <row r="93" spans="1:24" x14ac:dyDescent="0.35">
      <c r="A93" s="4" t="s">
        <v>244</v>
      </c>
      <c r="B93" s="5" t="str">
        <f>IF(COUNTIF($A$2:A93,A93)=1,"Original","Duplicate")</f>
        <v>Original</v>
      </c>
      <c r="C93" s="7">
        <v>45069</v>
      </c>
      <c r="D93" s="7">
        <v>45087</v>
      </c>
      <c r="E93" s="7" t="str">
        <f t="shared" si="8"/>
        <v>Valid</v>
      </c>
      <c r="F93" s="7">
        <f t="shared" si="9"/>
        <v>45087</v>
      </c>
      <c r="G93">
        <f t="shared" si="10"/>
        <v>18</v>
      </c>
      <c r="H93" t="s">
        <v>647</v>
      </c>
      <c r="I93" t="s">
        <v>659</v>
      </c>
      <c r="J93" t="s">
        <v>685</v>
      </c>
      <c r="K93" t="str">
        <f t="shared" si="11"/>
        <v>Shanghai</v>
      </c>
      <c r="L93" t="s">
        <v>701</v>
      </c>
      <c r="M93" t="s">
        <v>710</v>
      </c>
      <c r="N93" t="str">
        <f t="shared" si="12"/>
        <v>Distributor</v>
      </c>
      <c r="O93" t="s">
        <v>718</v>
      </c>
      <c r="P93" t="str">
        <f t="shared" si="13"/>
        <v>E. Garcia</v>
      </c>
      <c r="Q93" t="s">
        <v>727</v>
      </c>
      <c r="R93" t="s">
        <v>964</v>
      </c>
      <c r="S93" s="23">
        <v>54.62</v>
      </c>
      <c r="T93" s="23">
        <v>48.94</v>
      </c>
      <c r="U93" s="23">
        <f t="shared" si="14"/>
        <v>48.94</v>
      </c>
      <c r="V93" s="8">
        <v>0.14799999999999999</v>
      </c>
      <c r="W93" s="8">
        <f t="shared" si="15"/>
        <v>0.14799999999999999</v>
      </c>
      <c r="X93">
        <v>16</v>
      </c>
    </row>
    <row r="94" spans="1:24" x14ac:dyDescent="0.35">
      <c r="A94" s="4" t="s">
        <v>489</v>
      </c>
      <c r="B94" s="5" t="str">
        <f>IF(COUNTIF($A$2:A94,A94)=1,"Original","Duplicate")</f>
        <v>Original</v>
      </c>
      <c r="C94" s="7">
        <v>45069</v>
      </c>
      <c r="D94" s="7">
        <v>45071</v>
      </c>
      <c r="E94" s="7" t="str">
        <f t="shared" si="8"/>
        <v>Valid</v>
      </c>
      <c r="F94" s="7">
        <f t="shared" si="9"/>
        <v>45071</v>
      </c>
      <c r="G94">
        <f t="shared" si="10"/>
        <v>2</v>
      </c>
      <c r="H94" t="s">
        <v>648</v>
      </c>
      <c r="I94" t="s">
        <v>655</v>
      </c>
      <c r="J94" t="s">
        <v>692</v>
      </c>
      <c r="K94" t="str">
        <f t="shared" si="11"/>
        <v>Rio de Janeiro</v>
      </c>
      <c r="L94" t="s">
        <v>706</v>
      </c>
      <c r="M94" t="s">
        <v>707</v>
      </c>
      <c r="N94" t="str">
        <f t="shared" si="12"/>
        <v>Retail</v>
      </c>
      <c r="O94" t="s">
        <v>724</v>
      </c>
      <c r="P94" t="str">
        <f t="shared" si="13"/>
        <v>M. Rossi</v>
      </c>
      <c r="Q94" t="s">
        <v>728</v>
      </c>
      <c r="R94" t="s">
        <v>1208</v>
      </c>
      <c r="S94" s="23">
        <v>690.49</v>
      </c>
      <c r="T94" s="23">
        <v>1290.29</v>
      </c>
      <c r="U94" s="23">
        <f t="shared" si="14"/>
        <v>1290.29</v>
      </c>
      <c r="V94" s="8">
        <v>4.2000000000000003E-2</v>
      </c>
      <c r="W94" s="8">
        <f t="shared" si="15"/>
        <v>4.2000000000000003E-2</v>
      </c>
      <c r="X94">
        <v>22</v>
      </c>
    </row>
    <row r="95" spans="1:24" x14ac:dyDescent="0.35">
      <c r="A95" s="4" t="s">
        <v>468</v>
      </c>
      <c r="B95" s="5" t="str">
        <f>IF(COUNTIF($A$2:A95,A95)=1,"Original","Duplicate")</f>
        <v>Original</v>
      </c>
      <c r="C95" s="7">
        <v>45070</v>
      </c>
      <c r="D95" s="7">
        <v>45098</v>
      </c>
      <c r="E95" s="7" t="str">
        <f t="shared" si="8"/>
        <v>Valid</v>
      </c>
      <c r="F95" s="7">
        <f t="shared" si="9"/>
        <v>45098</v>
      </c>
      <c r="G95">
        <f t="shared" si="10"/>
        <v>28</v>
      </c>
      <c r="H95" t="s">
        <v>648</v>
      </c>
      <c r="I95" t="s">
        <v>660</v>
      </c>
      <c r="J95" t="s">
        <v>697</v>
      </c>
      <c r="K95" t="str">
        <f t="shared" si="11"/>
        <v>Austin</v>
      </c>
      <c r="L95" t="s">
        <v>705</v>
      </c>
      <c r="M95" t="s">
        <v>709</v>
      </c>
      <c r="N95" t="str">
        <f t="shared" si="12"/>
        <v>Marketplace</v>
      </c>
      <c r="O95" t="s">
        <v>715</v>
      </c>
      <c r="P95" t="str">
        <f t="shared" si="13"/>
        <v>G. Dubois</v>
      </c>
      <c r="Q95" t="s">
        <v>732</v>
      </c>
      <c r="R95" t="s">
        <v>1187</v>
      </c>
      <c r="S95" s="23">
        <v>813.97</v>
      </c>
      <c r="T95" s="23">
        <v>1568.83</v>
      </c>
      <c r="U95" s="23">
        <f t="shared" si="14"/>
        <v>1568.83</v>
      </c>
      <c r="V95" s="8">
        <v>1.7000000000000001E-2</v>
      </c>
      <c r="W95" s="8">
        <f t="shared" si="15"/>
        <v>1.7000000000000001E-2</v>
      </c>
      <c r="X95">
        <v>15</v>
      </c>
    </row>
    <row r="96" spans="1:24" x14ac:dyDescent="0.35">
      <c r="A96" s="4" t="s">
        <v>275</v>
      </c>
      <c r="B96" s="5" t="str">
        <f>IF(COUNTIF($A$2:A96,A96)=1,"Original","Duplicate")</f>
        <v>Original</v>
      </c>
      <c r="C96" s="7">
        <v>45073</v>
      </c>
      <c r="D96" s="7">
        <v>45096</v>
      </c>
      <c r="E96" s="7" t="str">
        <f t="shared" si="8"/>
        <v>Valid</v>
      </c>
      <c r="F96" s="7">
        <f t="shared" si="9"/>
        <v>45096</v>
      </c>
      <c r="G96">
        <f t="shared" si="10"/>
        <v>23</v>
      </c>
      <c r="H96" t="s">
        <v>649</v>
      </c>
      <c r="I96" t="s">
        <v>656</v>
      </c>
      <c r="J96" t="s">
        <v>671</v>
      </c>
      <c r="K96" t="str">
        <f t="shared" si="11"/>
        <v>Berlin</v>
      </c>
      <c r="L96" t="s">
        <v>702</v>
      </c>
      <c r="M96" t="s">
        <v>707</v>
      </c>
      <c r="N96" t="str">
        <f t="shared" si="12"/>
        <v>Retail</v>
      </c>
      <c r="O96" t="s">
        <v>719</v>
      </c>
      <c r="P96" t="str">
        <f t="shared" si="13"/>
        <v>O. Wang</v>
      </c>
      <c r="Q96" t="s">
        <v>733</v>
      </c>
      <c r="R96" t="s">
        <v>995</v>
      </c>
      <c r="S96" s="23">
        <v>1471.58</v>
      </c>
      <c r="T96" s="23">
        <v>2576.65</v>
      </c>
      <c r="U96" s="23">
        <f t="shared" si="14"/>
        <v>2576.65</v>
      </c>
      <c r="V96" s="8">
        <v>4.0000000000000001E-3</v>
      </c>
      <c r="W96" s="8">
        <f t="shared" si="15"/>
        <v>4.0000000000000001E-3</v>
      </c>
      <c r="X96">
        <v>7</v>
      </c>
    </row>
    <row r="97" spans="1:24" x14ac:dyDescent="0.35">
      <c r="A97" s="4" t="s">
        <v>408</v>
      </c>
      <c r="B97" s="5" t="str">
        <f>IF(COUNTIF($A$2:A97,A97)=1,"Original","Duplicate")</f>
        <v>Original</v>
      </c>
      <c r="C97" s="7">
        <v>45075</v>
      </c>
      <c r="D97" s="7">
        <v>45097</v>
      </c>
      <c r="E97" s="7" t="str">
        <f t="shared" si="8"/>
        <v>Valid</v>
      </c>
      <c r="F97" s="7">
        <f t="shared" si="9"/>
        <v>45097</v>
      </c>
      <c r="G97">
        <f t="shared" si="10"/>
        <v>22</v>
      </c>
      <c r="H97" t="s">
        <v>649</v>
      </c>
      <c r="I97" t="s">
        <v>658</v>
      </c>
      <c r="J97" t="s">
        <v>683</v>
      </c>
      <c r="K97" t="str">
        <f t="shared" si="11"/>
        <v>London</v>
      </c>
      <c r="L97" t="s">
        <v>705</v>
      </c>
      <c r="M97" t="s">
        <v>711</v>
      </c>
      <c r="N97" t="str">
        <f t="shared" si="12"/>
        <v>Direct</v>
      </c>
      <c r="O97" t="s">
        <v>723</v>
      </c>
      <c r="P97" t="str">
        <f t="shared" si="13"/>
        <v>K. Singh</v>
      </c>
      <c r="Q97" t="s">
        <v>727</v>
      </c>
      <c r="R97" t="s">
        <v>1127</v>
      </c>
      <c r="S97" s="23">
        <v>1295.3900000000001</v>
      </c>
      <c r="T97" s="23">
        <v>2905.06</v>
      </c>
      <c r="U97" s="23">
        <f t="shared" si="14"/>
        <v>2905.06</v>
      </c>
      <c r="V97" s="8">
        <v>0.14799999999999999</v>
      </c>
      <c r="W97" s="8">
        <f t="shared" si="15"/>
        <v>0.14799999999999999</v>
      </c>
      <c r="X97">
        <v>8</v>
      </c>
    </row>
    <row r="98" spans="1:24" x14ac:dyDescent="0.35">
      <c r="A98" s="4" t="s">
        <v>527</v>
      </c>
      <c r="B98" s="5" t="str">
        <f>IF(COUNTIF($A$2:A98,A98)=1,"Original","Duplicate")</f>
        <v>Original</v>
      </c>
      <c r="C98" s="7">
        <v>45078</v>
      </c>
      <c r="D98" s="7">
        <v>45085</v>
      </c>
      <c r="E98" s="7" t="str">
        <f t="shared" si="8"/>
        <v>Valid</v>
      </c>
      <c r="F98" s="7">
        <f t="shared" si="9"/>
        <v>45085</v>
      </c>
      <c r="G98">
        <f t="shared" si="10"/>
        <v>7</v>
      </c>
      <c r="H98" t="s">
        <v>649</v>
      </c>
      <c r="I98" t="s">
        <v>656</v>
      </c>
      <c r="J98" t="s">
        <v>698</v>
      </c>
      <c r="K98" t="str">
        <f t="shared" si="11"/>
        <v>Frankfurt</v>
      </c>
      <c r="L98" t="s">
        <v>704</v>
      </c>
      <c r="M98" t="s">
        <v>708</v>
      </c>
      <c r="N98" t="str">
        <f t="shared" si="12"/>
        <v>Online</v>
      </c>
      <c r="O98" t="s">
        <v>720</v>
      </c>
      <c r="P98" t="str">
        <f t="shared" si="13"/>
        <v>A. Patel</v>
      </c>
      <c r="Q98" t="s">
        <v>730</v>
      </c>
      <c r="R98" t="s">
        <v>1246</v>
      </c>
      <c r="S98" s="23">
        <v>804.17</v>
      </c>
      <c r="T98" s="23">
        <v>1072.29</v>
      </c>
      <c r="U98" s="23">
        <f t="shared" si="14"/>
        <v>1072.29</v>
      </c>
      <c r="V98" s="8">
        <v>3.2000000000000001E-2</v>
      </c>
      <c r="W98" s="8">
        <f t="shared" si="15"/>
        <v>3.2000000000000001E-2</v>
      </c>
      <c r="X98">
        <v>5</v>
      </c>
    </row>
    <row r="99" spans="1:24" x14ac:dyDescent="0.35">
      <c r="A99" s="4" t="s">
        <v>585</v>
      </c>
      <c r="B99" s="5" t="str">
        <f>IF(COUNTIF($A$2:A99,A99)=1,"Original","Duplicate")</f>
        <v>Original</v>
      </c>
      <c r="C99" s="7">
        <v>45078</v>
      </c>
      <c r="D99" s="7">
        <v>45078</v>
      </c>
      <c r="E99" s="7" t="str">
        <f t="shared" si="8"/>
        <v>Valid</v>
      </c>
      <c r="F99" s="7">
        <f t="shared" si="9"/>
        <v>45085</v>
      </c>
      <c r="G99">
        <f t="shared" si="10"/>
        <v>7</v>
      </c>
      <c r="H99" t="s">
        <v>647</v>
      </c>
      <c r="I99" t="s">
        <v>654</v>
      </c>
      <c r="J99" t="s">
        <v>668</v>
      </c>
      <c r="K99" t="str">
        <f t="shared" si="11"/>
        <v>Bengaluru</v>
      </c>
      <c r="L99" t="s">
        <v>701</v>
      </c>
      <c r="M99" t="s">
        <v>707</v>
      </c>
      <c r="N99" t="str">
        <f t="shared" si="12"/>
        <v>Retail</v>
      </c>
      <c r="O99" t="s">
        <v>718</v>
      </c>
      <c r="P99" t="str">
        <f t="shared" si="13"/>
        <v>E. Garcia</v>
      </c>
      <c r="Q99" t="s">
        <v>733</v>
      </c>
      <c r="R99" t="s">
        <v>1303</v>
      </c>
      <c r="S99" s="23">
        <v>669.37</v>
      </c>
      <c r="T99" s="23">
        <v>997.2</v>
      </c>
      <c r="U99" s="23">
        <f t="shared" si="14"/>
        <v>997.2</v>
      </c>
      <c r="V99" s="8">
        <v>8.2000000000000003E-2</v>
      </c>
      <c r="W99" s="8">
        <f t="shared" si="15"/>
        <v>8.2000000000000003E-2</v>
      </c>
      <c r="X99">
        <v>5</v>
      </c>
    </row>
    <row r="100" spans="1:24" x14ac:dyDescent="0.35">
      <c r="A100" s="4" t="s">
        <v>595</v>
      </c>
      <c r="B100" s="5" t="str">
        <f>IF(COUNTIF($A$2:A100,A100)=1,"Original","Duplicate")</f>
        <v>Original</v>
      </c>
      <c r="C100" s="7">
        <v>45080</v>
      </c>
      <c r="D100" s="7">
        <v>45108</v>
      </c>
      <c r="E100" s="7" t="str">
        <f t="shared" si="8"/>
        <v>Valid</v>
      </c>
      <c r="F100" s="7">
        <f t="shared" si="9"/>
        <v>45108</v>
      </c>
      <c r="G100">
        <f t="shared" si="10"/>
        <v>28</v>
      </c>
      <c r="H100" t="s">
        <v>648</v>
      </c>
      <c r="I100" t="s">
        <v>655</v>
      </c>
      <c r="J100" t="s">
        <v>672</v>
      </c>
      <c r="K100" t="str">
        <f t="shared" si="11"/>
        <v>Brasília</v>
      </c>
      <c r="L100" t="s">
        <v>705</v>
      </c>
      <c r="M100" t="s">
        <v>709</v>
      </c>
      <c r="N100" t="str">
        <f t="shared" si="12"/>
        <v>Marketplace</v>
      </c>
      <c r="O100" t="s">
        <v>720</v>
      </c>
      <c r="P100" t="str">
        <f t="shared" si="13"/>
        <v>A. Patel</v>
      </c>
      <c r="Q100" t="s">
        <v>727</v>
      </c>
      <c r="R100" t="s">
        <v>1313</v>
      </c>
      <c r="S100" s="23">
        <v>860.4</v>
      </c>
      <c r="T100" s="23">
        <v>2066.6</v>
      </c>
      <c r="U100" s="23">
        <f t="shared" si="14"/>
        <v>2066.6</v>
      </c>
      <c r="V100" s="8">
        <v>0.01</v>
      </c>
      <c r="W100" s="8">
        <f t="shared" si="15"/>
        <v>0.01</v>
      </c>
      <c r="X100">
        <v>3</v>
      </c>
    </row>
    <row r="101" spans="1:24" x14ac:dyDescent="0.35">
      <c r="A101" s="4" t="s">
        <v>378</v>
      </c>
      <c r="B101" s="5" t="str">
        <f>IF(COUNTIF($A$2:A101,A101)=1,"Original","Duplicate")</f>
        <v>Original</v>
      </c>
      <c r="C101" s="7">
        <v>45082</v>
      </c>
      <c r="D101" s="7">
        <v>45105</v>
      </c>
      <c r="E101" s="7" t="str">
        <f t="shared" si="8"/>
        <v>Valid</v>
      </c>
      <c r="F101" s="7">
        <f t="shared" si="9"/>
        <v>45105</v>
      </c>
      <c r="G101">
        <f t="shared" si="10"/>
        <v>23</v>
      </c>
      <c r="H101" t="s">
        <v>649</v>
      </c>
      <c r="I101" t="s">
        <v>658</v>
      </c>
      <c r="J101" t="s">
        <v>674</v>
      </c>
      <c r="K101" t="str">
        <f t="shared" si="11"/>
        <v>Birmingham</v>
      </c>
      <c r="L101" t="s">
        <v>701</v>
      </c>
      <c r="M101" t="s">
        <v>711</v>
      </c>
      <c r="N101" t="str">
        <f t="shared" si="12"/>
        <v>Direct</v>
      </c>
      <c r="O101" t="s">
        <v>723</v>
      </c>
      <c r="P101" t="str">
        <f t="shared" si="13"/>
        <v>K. Singh</v>
      </c>
      <c r="Q101" t="s">
        <v>728</v>
      </c>
      <c r="R101" t="s">
        <v>1098</v>
      </c>
      <c r="S101" s="23">
        <v>605.82000000000005</v>
      </c>
      <c r="T101" s="23">
        <v>771.12</v>
      </c>
      <c r="U101" s="23">
        <f t="shared" si="14"/>
        <v>771.12</v>
      </c>
      <c r="V101" s="8">
        <v>0.13200000000000001</v>
      </c>
      <c r="W101" s="8">
        <f t="shared" si="15"/>
        <v>0.13200000000000001</v>
      </c>
      <c r="X101">
        <v>19</v>
      </c>
    </row>
    <row r="102" spans="1:24" x14ac:dyDescent="0.35">
      <c r="A102" s="4" t="s">
        <v>133</v>
      </c>
      <c r="B102" s="5" t="str">
        <f>IF(COUNTIF($A$2:A102,A102)=1,"Original","Duplicate")</f>
        <v>Original</v>
      </c>
      <c r="C102" s="7">
        <v>45086</v>
      </c>
      <c r="D102" s="7">
        <v>45096</v>
      </c>
      <c r="E102" s="7" t="str">
        <f t="shared" si="8"/>
        <v>Valid</v>
      </c>
      <c r="F102" s="7">
        <f t="shared" si="9"/>
        <v>45096</v>
      </c>
      <c r="G102">
        <f t="shared" si="10"/>
        <v>10</v>
      </c>
      <c r="H102" t="s">
        <v>647</v>
      </c>
      <c r="I102" t="s">
        <v>659</v>
      </c>
      <c r="J102" t="s">
        <v>699</v>
      </c>
      <c r="K102" t="str">
        <f t="shared" si="11"/>
        <v>Beijing</v>
      </c>
      <c r="L102" t="s">
        <v>706</v>
      </c>
      <c r="M102" t="s">
        <v>707</v>
      </c>
      <c r="N102" t="str">
        <f t="shared" si="12"/>
        <v>Retail</v>
      </c>
      <c r="O102" t="s">
        <v>721</v>
      </c>
      <c r="P102" t="str">
        <f t="shared" si="13"/>
        <v>F. Müller</v>
      </c>
      <c r="Q102" t="s">
        <v>732</v>
      </c>
      <c r="R102" t="s">
        <v>852</v>
      </c>
      <c r="S102" s="23">
        <v>339.61</v>
      </c>
      <c r="T102" s="23">
        <v>621.02</v>
      </c>
      <c r="U102" s="23">
        <f t="shared" si="14"/>
        <v>621.02</v>
      </c>
      <c r="V102" s="8">
        <v>7.0999999999999994E-2</v>
      </c>
      <c r="W102" s="8">
        <f t="shared" si="15"/>
        <v>7.0999999999999994E-2</v>
      </c>
      <c r="X102">
        <v>10</v>
      </c>
    </row>
    <row r="103" spans="1:24" x14ac:dyDescent="0.35">
      <c r="A103" s="4" t="s">
        <v>341</v>
      </c>
      <c r="B103" s="5" t="str">
        <f>IF(COUNTIF($A$2:A103,A103)=1,"Original","Duplicate")</f>
        <v>Original</v>
      </c>
      <c r="C103" s="7">
        <v>45087</v>
      </c>
      <c r="D103" s="7">
        <v>45095</v>
      </c>
      <c r="E103" s="7" t="str">
        <f t="shared" si="8"/>
        <v>Valid</v>
      </c>
      <c r="F103" s="7">
        <f t="shared" si="9"/>
        <v>45095</v>
      </c>
      <c r="G103">
        <f t="shared" si="10"/>
        <v>8</v>
      </c>
      <c r="H103" t="s">
        <v>646</v>
      </c>
      <c r="I103" t="s">
        <v>650</v>
      </c>
      <c r="J103" t="s">
        <v>678</v>
      </c>
      <c r="K103" t="str">
        <f t="shared" si="11"/>
        <v>Nakuru</v>
      </c>
      <c r="L103" t="s">
        <v>706</v>
      </c>
      <c r="M103" t="s">
        <v>711</v>
      </c>
      <c r="N103" t="str">
        <f t="shared" si="12"/>
        <v>Direct</v>
      </c>
      <c r="O103" t="s">
        <v>722</v>
      </c>
      <c r="P103" t="str">
        <f t="shared" si="13"/>
        <v>H. Kim</v>
      </c>
      <c r="Q103" t="s">
        <v>730</v>
      </c>
      <c r="R103" t="s">
        <v>1061</v>
      </c>
      <c r="S103" s="23">
        <v>894.23</v>
      </c>
      <c r="T103" s="23">
        <v>1421.55</v>
      </c>
      <c r="U103" s="23">
        <f t="shared" si="14"/>
        <v>1421.55</v>
      </c>
      <c r="V103" s="8">
        <v>0.109</v>
      </c>
      <c r="W103" s="8">
        <f t="shared" si="15"/>
        <v>0.109</v>
      </c>
      <c r="X103">
        <v>3</v>
      </c>
    </row>
    <row r="104" spans="1:24" x14ac:dyDescent="0.35">
      <c r="A104" s="4" t="s">
        <v>459</v>
      </c>
      <c r="B104" s="5" t="str">
        <f>IF(COUNTIF($A$2:A104,A104)=1,"Original","Duplicate")</f>
        <v>Original</v>
      </c>
      <c r="C104" s="7">
        <v>45090</v>
      </c>
      <c r="D104" s="7">
        <v>45101</v>
      </c>
      <c r="E104" s="7" t="str">
        <f t="shared" si="8"/>
        <v>Valid</v>
      </c>
      <c r="F104" s="7">
        <f t="shared" si="9"/>
        <v>45101</v>
      </c>
      <c r="G104">
        <f t="shared" si="10"/>
        <v>11</v>
      </c>
      <c r="H104" t="s">
        <v>648</v>
      </c>
      <c r="I104" t="s">
        <v>653</v>
      </c>
      <c r="J104" t="s">
        <v>667</v>
      </c>
      <c r="K104" t="str">
        <f t="shared" si="11"/>
        <v>Toronto</v>
      </c>
      <c r="L104" t="s">
        <v>701</v>
      </c>
      <c r="M104" t="s">
        <v>708</v>
      </c>
      <c r="N104" t="str">
        <f t="shared" si="12"/>
        <v>Online</v>
      </c>
      <c r="O104" t="s">
        <v>712</v>
      </c>
      <c r="P104" t="str">
        <f t="shared" si="13"/>
        <v>C. Otieno</v>
      </c>
      <c r="Q104" t="s">
        <v>728</v>
      </c>
      <c r="R104" t="s">
        <v>1178</v>
      </c>
      <c r="S104" s="23">
        <v>247.07</v>
      </c>
      <c r="T104" s="23">
        <v>495.19</v>
      </c>
      <c r="U104" s="23">
        <f t="shared" si="14"/>
        <v>495.19</v>
      </c>
      <c r="V104" s="8">
        <v>2.8000000000000001E-2</v>
      </c>
      <c r="W104" s="8">
        <f t="shared" si="15"/>
        <v>2.8000000000000001E-2</v>
      </c>
      <c r="X104">
        <v>4</v>
      </c>
    </row>
    <row r="105" spans="1:24" x14ac:dyDescent="0.35">
      <c r="A105" s="4" t="s">
        <v>93</v>
      </c>
      <c r="B105" s="5" t="str">
        <f>IF(COUNTIF($A$2:A105,A105)=1,"Original","Duplicate")</f>
        <v>Original</v>
      </c>
      <c r="C105" s="7">
        <v>45091</v>
      </c>
      <c r="D105" s="7">
        <v>45093</v>
      </c>
      <c r="E105" s="7" t="str">
        <f t="shared" si="8"/>
        <v>Valid</v>
      </c>
      <c r="F105" s="7">
        <f t="shared" si="9"/>
        <v>45093</v>
      </c>
      <c r="G105">
        <f t="shared" si="10"/>
        <v>2</v>
      </c>
      <c r="H105" t="s">
        <v>649</v>
      </c>
      <c r="I105" t="s">
        <v>658</v>
      </c>
      <c r="J105" t="s">
        <v>693</v>
      </c>
      <c r="K105" t="str">
        <f t="shared" si="11"/>
        <v>Manchester</v>
      </c>
      <c r="L105" t="s">
        <v>703</v>
      </c>
      <c r="M105" t="s">
        <v>711</v>
      </c>
      <c r="N105" t="str">
        <f t="shared" si="12"/>
        <v>Direct</v>
      </c>
      <c r="O105" t="s">
        <v>723</v>
      </c>
      <c r="P105" t="str">
        <f t="shared" si="13"/>
        <v>K. Singh</v>
      </c>
      <c r="Q105" t="s">
        <v>727</v>
      </c>
      <c r="R105" t="s">
        <v>812</v>
      </c>
      <c r="S105" s="23">
        <v>357.36</v>
      </c>
      <c r="T105" s="23">
        <v>703.62</v>
      </c>
      <c r="U105" s="23">
        <f t="shared" si="14"/>
        <v>703.62</v>
      </c>
      <c r="V105" s="8">
        <v>0.25700000000000001</v>
      </c>
      <c r="W105" s="8">
        <f t="shared" si="15"/>
        <v>0.25700000000000001</v>
      </c>
      <c r="X105">
        <v>20</v>
      </c>
    </row>
    <row r="106" spans="1:24" x14ac:dyDescent="0.35">
      <c r="A106" s="4" t="s">
        <v>294</v>
      </c>
      <c r="B106" s="5" t="str">
        <f>IF(COUNTIF($A$2:A106,A106)=1,"Original","Duplicate")</f>
        <v>Original</v>
      </c>
      <c r="C106" s="7">
        <v>45092</v>
      </c>
      <c r="D106" s="7">
        <v>45100</v>
      </c>
      <c r="E106" s="7" t="str">
        <f t="shared" si="8"/>
        <v>Valid</v>
      </c>
      <c r="F106" s="7">
        <f t="shared" si="9"/>
        <v>45100</v>
      </c>
      <c r="G106">
        <f t="shared" si="10"/>
        <v>8</v>
      </c>
      <c r="H106" t="s">
        <v>648</v>
      </c>
      <c r="I106" t="s">
        <v>660</v>
      </c>
      <c r="J106" t="s">
        <v>686</v>
      </c>
      <c r="K106" t="str">
        <f t="shared" si="11"/>
        <v>San Francisco</v>
      </c>
      <c r="L106" t="s">
        <v>704</v>
      </c>
      <c r="M106" t="s">
        <v>710</v>
      </c>
      <c r="N106" t="str">
        <f t="shared" si="12"/>
        <v>Distributor</v>
      </c>
      <c r="O106" t="s">
        <v>719</v>
      </c>
      <c r="P106" t="str">
        <f t="shared" si="13"/>
        <v>O. Wang</v>
      </c>
      <c r="Q106" t="s">
        <v>732</v>
      </c>
      <c r="R106" t="s">
        <v>1014</v>
      </c>
      <c r="S106" s="23">
        <v>1097.0899999999999</v>
      </c>
      <c r="T106" s="23">
        <v>2182.31</v>
      </c>
      <c r="U106" s="23">
        <f t="shared" si="14"/>
        <v>2182.31</v>
      </c>
      <c r="V106" s="8">
        <v>0.112</v>
      </c>
      <c r="W106" s="8">
        <f t="shared" si="15"/>
        <v>0.112</v>
      </c>
      <c r="X106">
        <v>9</v>
      </c>
    </row>
    <row r="107" spans="1:24" x14ac:dyDescent="0.35">
      <c r="A107" s="4" t="s">
        <v>592</v>
      </c>
      <c r="B107" s="5" t="str">
        <f>IF(COUNTIF($A$2:A107,A107)=1,"Original","Duplicate")</f>
        <v>Original</v>
      </c>
      <c r="C107" s="7">
        <v>45092</v>
      </c>
      <c r="D107" s="7">
        <v>45119</v>
      </c>
      <c r="E107" s="7" t="str">
        <f t="shared" si="8"/>
        <v>Valid</v>
      </c>
      <c r="F107" s="7">
        <f t="shared" si="9"/>
        <v>45119</v>
      </c>
      <c r="G107">
        <f t="shared" si="10"/>
        <v>27</v>
      </c>
      <c r="H107" t="s">
        <v>649</v>
      </c>
      <c r="I107" t="s">
        <v>658</v>
      </c>
      <c r="J107" t="s">
        <v>693</v>
      </c>
      <c r="K107" t="str">
        <f t="shared" si="11"/>
        <v>Manchester</v>
      </c>
      <c r="L107" t="s">
        <v>704</v>
      </c>
      <c r="M107" t="s">
        <v>711</v>
      </c>
      <c r="N107" t="str">
        <f t="shared" si="12"/>
        <v>Direct</v>
      </c>
      <c r="O107" t="s">
        <v>714</v>
      </c>
      <c r="P107" t="str">
        <f t="shared" si="13"/>
        <v>I. Johnson</v>
      </c>
      <c r="Q107" t="s">
        <v>733</v>
      </c>
      <c r="R107" t="s">
        <v>1310</v>
      </c>
      <c r="S107" s="23">
        <v>751.28</v>
      </c>
      <c r="T107" s="23">
        <v>1111.8800000000001</v>
      </c>
      <c r="U107" s="23">
        <f t="shared" si="14"/>
        <v>1111.8800000000001</v>
      </c>
      <c r="V107" s="8">
        <v>0.13500000000000001</v>
      </c>
      <c r="W107" s="8">
        <f t="shared" si="15"/>
        <v>0.13500000000000001</v>
      </c>
      <c r="X107">
        <v>7</v>
      </c>
    </row>
    <row r="108" spans="1:24" x14ac:dyDescent="0.35">
      <c r="A108" s="4" t="s">
        <v>54</v>
      </c>
      <c r="B108" s="5" t="str">
        <f>IF(COUNTIF($A$2:A108,A108)=1,"Original","Duplicate")</f>
        <v>Original</v>
      </c>
      <c r="C108" s="7">
        <v>45094</v>
      </c>
      <c r="D108" s="7">
        <v>45101</v>
      </c>
      <c r="E108" s="7" t="str">
        <f t="shared" si="8"/>
        <v>Valid</v>
      </c>
      <c r="F108" s="7">
        <f t="shared" si="9"/>
        <v>45101</v>
      </c>
      <c r="G108">
        <f t="shared" si="10"/>
        <v>7</v>
      </c>
      <c r="H108" t="s">
        <v>648</v>
      </c>
      <c r="I108" t="s">
        <v>660</v>
      </c>
      <c r="J108" t="s">
        <v>686</v>
      </c>
      <c r="K108" t="str">
        <f t="shared" si="11"/>
        <v>San Francisco</v>
      </c>
      <c r="L108" t="s">
        <v>701</v>
      </c>
      <c r="M108" t="s">
        <v>707</v>
      </c>
      <c r="N108" t="str">
        <f t="shared" si="12"/>
        <v>Retail</v>
      </c>
      <c r="O108" t="s">
        <v>714</v>
      </c>
      <c r="P108" t="str">
        <f t="shared" si="13"/>
        <v>I. Johnson</v>
      </c>
      <c r="Q108" t="s">
        <v>728</v>
      </c>
      <c r="R108" t="s">
        <v>773</v>
      </c>
      <c r="S108" s="23">
        <v>313.99</v>
      </c>
      <c r="T108" s="23">
        <v>454.42</v>
      </c>
      <c r="U108" s="23">
        <f t="shared" si="14"/>
        <v>454.42</v>
      </c>
      <c r="V108" s="8">
        <v>0.129</v>
      </c>
      <c r="W108" s="8">
        <f t="shared" si="15"/>
        <v>0.129</v>
      </c>
      <c r="X108">
        <v>9</v>
      </c>
    </row>
    <row r="109" spans="1:24" x14ac:dyDescent="0.35">
      <c r="A109" s="4" t="s">
        <v>311</v>
      </c>
      <c r="B109" s="5" t="str">
        <f>IF(COUNTIF($A$2:A109,A109)=1,"Original","Duplicate")</f>
        <v>Original</v>
      </c>
      <c r="C109" s="7">
        <v>45097</v>
      </c>
      <c r="D109" s="7">
        <v>45115</v>
      </c>
      <c r="E109" s="7" t="str">
        <f t="shared" si="8"/>
        <v>Valid</v>
      </c>
      <c r="F109" s="7">
        <f t="shared" si="9"/>
        <v>45115</v>
      </c>
      <c r="G109">
        <f t="shared" si="10"/>
        <v>18</v>
      </c>
      <c r="H109" t="s">
        <v>648</v>
      </c>
      <c r="I109" t="s">
        <v>660</v>
      </c>
      <c r="J109" t="s">
        <v>697</v>
      </c>
      <c r="K109" t="str">
        <f t="shared" si="11"/>
        <v>Austin</v>
      </c>
      <c r="L109" t="s">
        <v>703</v>
      </c>
      <c r="M109" t="s">
        <v>711</v>
      </c>
      <c r="N109" t="str">
        <f t="shared" si="12"/>
        <v>Direct</v>
      </c>
      <c r="O109" t="s">
        <v>721</v>
      </c>
      <c r="P109" t="str">
        <f t="shared" si="13"/>
        <v>F. Müller</v>
      </c>
      <c r="Q109" t="s">
        <v>732</v>
      </c>
      <c r="R109" t="s">
        <v>1031</v>
      </c>
      <c r="S109" s="23">
        <v>337</v>
      </c>
      <c r="T109" s="23">
        <v>511.03</v>
      </c>
      <c r="U109" s="23">
        <f t="shared" si="14"/>
        <v>511.03</v>
      </c>
      <c r="V109" s="8">
        <v>0.108</v>
      </c>
      <c r="W109" s="8">
        <f t="shared" si="15"/>
        <v>0.108</v>
      </c>
      <c r="X109">
        <v>7</v>
      </c>
    </row>
    <row r="110" spans="1:24" x14ac:dyDescent="0.35">
      <c r="A110" s="4" t="s">
        <v>397</v>
      </c>
      <c r="B110" s="5" t="str">
        <f>IF(COUNTIF($A$2:A110,A110)=1,"Original","Duplicate")</f>
        <v>Original</v>
      </c>
      <c r="C110" s="7">
        <v>45097</v>
      </c>
      <c r="D110" s="7">
        <v>45115</v>
      </c>
      <c r="E110" s="7" t="str">
        <f t="shared" si="8"/>
        <v>Valid</v>
      </c>
      <c r="F110" s="7">
        <f t="shared" si="9"/>
        <v>45115</v>
      </c>
      <c r="G110">
        <f t="shared" si="10"/>
        <v>18</v>
      </c>
      <c r="H110" t="s">
        <v>648</v>
      </c>
      <c r="I110" t="s">
        <v>660</v>
      </c>
      <c r="J110" t="s">
        <v>700</v>
      </c>
      <c r="K110" t="str">
        <f t="shared" si="11"/>
        <v>New York</v>
      </c>
      <c r="L110" t="s">
        <v>704</v>
      </c>
      <c r="M110" t="s">
        <v>709</v>
      </c>
      <c r="N110" t="str">
        <f t="shared" si="12"/>
        <v>Marketplace</v>
      </c>
      <c r="O110" t="s">
        <v>719</v>
      </c>
      <c r="P110" t="str">
        <f t="shared" si="13"/>
        <v>O. Wang</v>
      </c>
      <c r="Q110" t="s">
        <v>729</v>
      </c>
      <c r="R110" t="s">
        <v>1116</v>
      </c>
      <c r="S110" s="23">
        <v>1145.53</v>
      </c>
      <c r="T110" s="23">
        <v>1278.3</v>
      </c>
      <c r="U110" s="23">
        <f t="shared" si="14"/>
        <v>1278.3</v>
      </c>
      <c r="V110" s="8">
        <v>0.09</v>
      </c>
      <c r="W110" s="8">
        <f t="shared" si="15"/>
        <v>0.09</v>
      </c>
      <c r="X110">
        <v>41</v>
      </c>
    </row>
    <row r="111" spans="1:24" x14ac:dyDescent="0.35">
      <c r="A111" s="4" t="s">
        <v>510</v>
      </c>
      <c r="B111" s="5" t="str">
        <f>IF(COUNTIF($A$2:A111,A111)=1,"Original","Duplicate")</f>
        <v>Original</v>
      </c>
      <c r="C111" s="7">
        <v>45097</v>
      </c>
      <c r="D111" s="7">
        <v>45111</v>
      </c>
      <c r="E111" s="7" t="str">
        <f t="shared" si="8"/>
        <v>Valid</v>
      </c>
      <c r="F111" s="7">
        <f t="shared" si="9"/>
        <v>45111</v>
      </c>
      <c r="G111">
        <f t="shared" si="10"/>
        <v>14</v>
      </c>
      <c r="H111" t="s">
        <v>648</v>
      </c>
      <c r="I111" t="s">
        <v>655</v>
      </c>
      <c r="J111" t="s">
        <v>672</v>
      </c>
      <c r="K111" t="str">
        <f t="shared" si="11"/>
        <v>Brasília</v>
      </c>
      <c r="L111" t="s">
        <v>703</v>
      </c>
      <c r="M111" t="s">
        <v>711</v>
      </c>
      <c r="N111" t="str">
        <f t="shared" si="12"/>
        <v>Direct</v>
      </c>
      <c r="O111" t="s">
        <v>712</v>
      </c>
      <c r="P111" t="str">
        <f t="shared" si="13"/>
        <v>C. Otieno</v>
      </c>
      <c r="Q111" t="s">
        <v>729</v>
      </c>
      <c r="R111" t="s">
        <v>1229</v>
      </c>
      <c r="S111" s="23">
        <v>1292.8599999999999</v>
      </c>
      <c r="T111" s="23">
        <v>2981.01</v>
      </c>
      <c r="U111" s="23">
        <f t="shared" si="14"/>
        <v>2981.01</v>
      </c>
      <c r="V111" s="8">
        <v>0.14199999999999999</v>
      </c>
      <c r="W111" s="8">
        <f t="shared" si="15"/>
        <v>0.14199999999999999</v>
      </c>
      <c r="X111">
        <v>12</v>
      </c>
    </row>
    <row r="112" spans="1:24" x14ac:dyDescent="0.35">
      <c r="A112" s="4" t="s">
        <v>200</v>
      </c>
      <c r="B112" s="5" t="str">
        <f>IF(COUNTIF($A$2:A112,A112)=1,"Original","Duplicate")</f>
        <v>Original</v>
      </c>
      <c r="C112" s="7">
        <v>45099</v>
      </c>
      <c r="D112" s="7">
        <v>45128</v>
      </c>
      <c r="E112" s="7" t="str">
        <f t="shared" si="8"/>
        <v>Valid</v>
      </c>
      <c r="F112" s="7">
        <f t="shared" si="9"/>
        <v>45128</v>
      </c>
      <c r="G112">
        <f t="shared" si="10"/>
        <v>29</v>
      </c>
      <c r="H112" t="s">
        <v>649</v>
      </c>
      <c r="I112" t="s">
        <v>657</v>
      </c>
      <c r="J112" t="s">
        <v>679</v>
      </c>
      <c r="K112" t="str">
        <f t="shared" si="11"/>
        <v>Lyon</v>
      </c>
      <c r="L112" t="s">
        <v>701</v>
      </c>
      <c r="M112" t="s">
        <v>707</v>
      </c>
      <c r="N112" t="str">
        <f t="shared" si="12"/>
        <v>Retail</v>
      </c>
      <c r="O112" t="s">
        <v>713</v>
      </c>
      <c r="P112" t="str">
        <f t="shared" si="13"/>
        <v>J. Njeri</v>
      </c>
      <c r="Q112" t="s">
        <v>733</v>
      </c>
      <c r="R112" t="s">
        <v>919</v>
      </c>
      <c r="S112" s="23">
        <v>734.34</v>
      </c>
      <c r="T112" s="23">
        <v>887.9</v>
      </c>
      <c r="U112" s="23">
        <f t="shared" si="14"/>
        <v>887.9</v>
      </c>
      <c r="V112" s="8">
        <v>2.5000000000000001E-2</v>
      </c>
      <c r="W112" s="8">
        <f t="shared" si="15"/>
        <v>2.5000000000000001E-2</v>
      </c>
      <c r="X112">
        <v>12</v>
      </c>
    </row>
    <row r="113" spans="1:24" x14ac:dyDescent="0.35">
      <c r="A113" s="4" t="s">
        <v>61</v>
      </c>
      <c r="B113" s="5" t="str">
        <f>IF(COUNTIF($A$2:A113,A113)=1,"Original","Duplicate")</f>
        <v>Original</v>
      </c>
      <c r="C113" s="7">
        <v>45100</v>
      </c>
      <c r="D113" s="7">
        <v>45110</v>
      </c>
      <c r="E113" s="7" t="str">
        <f t="shared" si="8"/>
        <v>Valid</v>
      </c>
      <c r="F113" s="7">
        <f t="shared" si="9"/>
        <v>45110</v>
      </c>
      <c r="G113">
        <f t="shared" si="10"/>
        <v>10</v>
      </c>
      <c r="H113" t="s">
        <v>646</v>
      </c>
      <c r="I113" t="s">
        <v>651</v>
      </c>
      <c r="J113" t="s">
        <v>669</v>
      </c>
      <c r="K113" t="str">
        <f t="shared" si="11"/>
        <v>Abuja</v>
      </c>
      <c r="L113" t="s">
        <v>704</v>
      </c>
      <c r="M113" t="s">
        <v>708</v>
      </c>
      <c r="N113" t="str">
        <f t="shared" si="12"/>
        <v>Online</v>
      </c>
      <c r="O113" t="s">
        <v>713</v>
      </c>
      <c r="P113" t="str">
        <f t="shared" si="13"/>
        <v>J. Njeri</v>
      </c>
      <c r="Q113" t="s">
        <v>728</v>
      </c>
      <c r="R113" t="s">
        <v>780</v>
      </c>
      <c r="S113" s="23">
        <v>337.75</v>
      </c>
      <c r="T113" s="23">
        <v>548.89</v>
      </c>
      <c r="U113" s="23">
        <f t="shared" si="14"/>
        <v>548.89</v>
      </c>
      <c r="V113" s="8">
        <v>0</v>
      </c>
      <c r="W113" s="8">
        <f t="shared" si="15"/>
        <v>0</v>
      </c>
      <c r="X113">
        <v>13</v>
      </c>
    </row>
    <row r="114" spans="1:24" x14ac:dyDescent="0.35">
      <c r="A114" s="4" t="s">
        <v>642</v>
      </c>
      <c r="B114" s="5" t="str">
        <f>IF(COUNTIF($A$2:A114,A114)=1,"Original","Duplicate")</f>
        <v>Original</v>
      </c>
      <c r="C114" s="7">
        <v>45100</v>
      </c>
      <c r="D114" s="7">
        <v>45125</v>
      </c>
      <c r="E114" s="7" t="str">
        <f t="shared" si="8"/>
        <v>Valid</v>
      </c>
      <c r="F114" s="7">
        <f t="shared" si="9"/>
        <v>45125</v>
      </c>
      <c r="G114">
        <f t="shared" si="10"/>
        <v>25</v>
      </c>
      <c r="H114" t="s">
        <v>648</v>
      </c>
      <c r="I114" t="s">
        <v>653</v>
      </c>
      <c r="J114" t="s">
        <v>688</v>
      </c>
      <c r="K114" t="str">
        <f t="shared" si="11"/>
        <v>Vancouver</v>
      </c>
      <c r="L114" t="s">
        <v>706</v>
      </c>
      <c r="M114" t="s">
        <v>708</v>
      </c>
      <c r="N114" t="str">
        <f t="shared" si="12"/>
        <v>Online</v>
      </c>
      <c r="O114" t="s">
        <v>725</v>
      </c>
      <c r="P114" t="str">
        <f t="shared" si="13"/>
        <v>N. Brown</v>
      </c>
      <c r="Q114" t="s">
        <v>730</v>
      </c>
      <c r="R114" t="s">
        <v>1360</v>
      </c>
      <c r="S114" s="23">
        <v>807.02</v>
      </c>
      <c r="T114" s="23">
        <v>1435.54</v>
      </c>
      <c r="U114" s="23">
        <f t="shared" si="14"/>
        <v>1435.54</v>
      </c>
      <c r="V114" s="8">
        <v>0</v>
      </c>
      <c r="W114" s="8">
        <f t="shared" si="15"/>
        <v>0</v>
      </c>
      <c r="X114">
        <v>23</v>
      </c>
    </row>
    <row r="115" spans="1:24" x14ac:dyDescent="0.35">
      <c r="A115" s="4" t="s">
        <v>107</v>
      </c>
      <c r="B115" s="5" t="str">
        <f>IF(COUNTIF($A$2:A115,A115)=1,"Original","Duplicate")</f>
        <v>Original</v>
      </c>
      <c r="C115" s="7">
        <v>45101</v>
      </c>
      <c r="D115" s="7">
        <v>45100</v>
      </c>
      <c r="E115" s="7" t="str">
        <f t="shared" si="8"/>
        <v>Invalid</v>
      </c>
      <c r="F115" s="7">
        <f t="shared" si="9"/>
        <v>45107</v>
      </c>
      <c r="G115">
        <f t="shared" si="10"/>
        <v>6</v>
      </c>
      <c r="H115" t="s">
        <v>648</v>
      </c>
      <c r="I115" t="s">
        <v>655</v>
      </c>
      <c r="J115" t="s">
        <v>692</v>
      </c>
      <c r="K115" t="str">
        <f t="shared" si="11"/>
        <v>Rio de Janeiro</v>
      </c>
      <c r="L115" t="s">
        <v>703</v>
      </c>
      <c r="M115" t="s">
        <v>707</v>
      </c>
      <c r="N115" t="str">
        <f t="shared" si="12"/>
        <v>Retail</v>
      </c>
      <c r="O115" t="s">
        <v>718</v>
      </c>
      <c r="P115" t="str">
        <f t="shared" si="13"/>
        <v>E. Garcia</v>
      </c>
      <c r="Q115" t="s">
        <v>728</v>
      </c>
      <c r="R115" t="s">
        <v>826</v>
      </c>
      <c r="S115" s="23">
        <v>804.01</v>
      </c>
      <c r="T115" s="23">
        <v>1405.07</v>
      </c>
      <c r="U115" s="23">
        <f t="shared" si="14"/>
        <v>1405.07</v>
      </c>
      <c r="V115" s="8">
        <v>9.6000000000000002E-2</v>
      </c>
      <c r="W115" s="8">
        <f t="shared" si="15"/>
        <v>9.6000000000000002E-2</v>
      </c>
      <c r="X115">
        <v>8</v>
      </c>
    </row>
    <row r="116" spans="1:24" x14ac:dyDescent="0.35">
      <c r="A116" s="4" t="s">
        <v>299</v>
      </c>
      <c r="B116" s="5" t="str">
        <f>IF(COUNTIF($A$2:A116,A116)=1,"Original","Duplicate")</f>
        <v>Original</v>
      </c>
      <c r="C116" s="7">
        <v>45101</v>
      </c>
      <c r="D116" s="7">
        <v>45128</v>
      </c>
      <c r="E116" s="7" t="str">
        <f t="shared" si="8"/>
        <v>Valid</v>
      </c>
      <c r="F116" s="7">
        <f t="shared" si="9"/>
        <v>45128</v>
      </c>
      <c r="G116">
        <f t="shared" si="10"/>
        <v>27</v>
      </c>
      <c r="H116" t="s">
        <v>647</v>
      </c>
      <c r="I116" t="s">
        <v>652</v>
      </c>
      <c r="J116" t="s">
        <v>694</v>
      </c>
      <c r="K116" t="str">
        <f t="shared" si="11"/>
        <v>Nagoya</v>
      </c>
      <c r="L116" t="s">
        <v>704</v>
      </c>
      <c r="M116" t="s">
        <v>709</v>
      </c>
      <c r="N116" t="str">
        <f t="shared" si="12"/>
        <v>Marketplace</v>
      </c>
      <c r="O116" t="s">
        <v>713</v>
      </c>
      <c r="P116" t="str">
        <f t="shared" si="13"/>
        <v>J. Njeri</v>
      </c>
      <c r="Q116" t="s">
        <v>730</v>
      </c>
      <c r="R116" t="s">
        <v>1019</v>
      </c>
      <c r="S116" s="23">
        <v>554.76</v>
      </c>
      <c r="T116" s="23">
        <v>728.69</v>
      </c>
      <c r="U116" s="23">
        <f t="shared" si="14"/>
        <v>728.69</v>
      </c>
      <c r="V116" s="8">
        <v>0.22</v>
      </c>
      <c r="W116" s="8">
        <f t="shared" si="15"/>
        <v>0.22</v>
      </c>
      <c r="X116">
        <v>7</v>
      </c>
    </row>
    <row r="117" spans="1:24" x14ac:dyDescent="0.35">
      <c r="A117" s="4" t="s">
        <v>326</v>
      </c>
      <c r="B117" s="5" t="str">
        <f>IF(COUNTIF($A$2:A117,A117)=1,"Original","Duplicate")</f>
        <v>Original</v>
      </c>
      <c r="C117" s="7">
        <v>45101</v>
      </c>
      <c r="D117" s="7">
        <v>45099</v>
      </c>
      <c r="E117" s="7" t="str">
        <f t="shared" si="8"/>
        <v>Invalid</v>
      </c>
      <c r="F117" s="7">
        <f t="shared" si="9"/>
        <v>45107</v>
      </c>
      <c r="G117">
        <f t="shared" si="10"/>
        <v>6</v>
      </c>
      <c r="H117" t="s">
        <v>648</v>
      </c>
      <c r="I117" t="s">
        <v>653</v>
      </c>
      <c r="J117" t="s">
        <v>667</v>
      </c>
      <c r="K117" t="str">
        <f t="shared" si="11"/>
        <v>Toronto</v>
      </c>
      <c r="L117" t="s">
        <v>703</v>
      </c>
      <c r="M117" t="s">
        <v>707</v>
      </c>
      <c r="N117" t="str">
        <f t="shared" si="12"/>
        <v>Retail</v>
      </c>
      <c r="O117" t="s">
        <v>724</v>
      </c>
      <c r="P117" t="str">
        <f t="shared" si="13"/>
        <v>M. Rossi</v>
      </c>
      <c r="Q117" t="s">
        <v>733</v>
      </c>
      <c r="R117" t="s">
        <v>1046</v>
      </c>
      <c r="S117" s="23">
        <v>471.42</v>
      </c>
      <c r="T117" s="23">
        <v>824.81</v>
      </c>
      <c r="U117" s="23">
        <f t="shared" si="14"/>
        <v>824.81</v>
      </c>
      <c r="V117" s="8">
        <v>8.7999999999999995E-2</v>
      </c>
      <c r="W117" s="8">
        <f t="shared" si="15"/>
        <v>8.7999999999999995E-2</v>
      </c>
      <c r="X117">
        <v>15</v>
      </c>
    </row>
    <row r="118" spans="1:24" x14ac:dyDescent="0.35">
      <c r="A118" s="4" t="s">
        <v>104</v>
      </c>
      <c r="B118" s="5" t="str">
        <f>IF(COUNTIF($A$2:A118,A118)=1,"Original","Duplicate")</f>
        <v>Original</v>
      </c>
      <c r="C118" s="7">
        <v>45106</v>
      </c>
      <c r="D118" s="7">
        <v>45109</v>
      </c>
      <c r="E118" s="7" t="str">
        <f t="shared" si="8"/>
        <v>Valid</v>
      </c>
      <c r="F118" s="7">
        <f t="shared" si="9"/>
        <v>45109</v>
      </c>
      <c r="G118">
        <f t="shared" si="10"/>
        <v>3</v>
      </c>
      <c r="H118" t="s">
        <v>647</v>
      </c>
      <c r="I118" t="s">
        <v>652</v>
      </c>
      <c r="J118" t="s">
        <v>694</v>
      </c>
      <c r="K118" t="str">
        <f t="shared" si="11"/>
        <v>Nagoya</v>
      </c>
      <c r="L118" t="s">
        <v>702</v>
      </c>
      <c r="M118" t="s">
        <v>709</v>
      </c>
      <c r="N118" t="str">
        <f t="shared" si="12"/>
        <v>Marketplace</v>
      </c>
      <c r="O118" t="s">
        <v>721</v>
      </c>
      <c r="P118" t="str">
        <f t="shared" si="13"/>
        <v>F. Müller</v>
      </c>
      <c r="Q118" t="s">
        <v>732</v>
      </c>
      <c r="R118" t="s">
        <v>823</v>
      </c>
      <c r="S118" s="23">
        <v>55.65</v>
      </c>
      <c r="T118" s="23">
        <v>83.57</v>
      </c>
      <c r="U118" s="23">
        <f t="shared" si="14"/>
        <v>83.57</v>
      </c>
      <c r="V118" s="8">
        <v>6.6000000000000003E-2</v>
      </c>
      <c r="W118" s="8">
        <f t="shared" si="15"/>
        <v>6.6000000000000003E-2</v>
      </c>
      <c r="X118">
        <v>8</v>
      </c>
    </row>
    <row r="119" spans="1:24" x14ac:dyDescent="0.35">
      <c r="A119" s="4" t="s">
        <v>376</v>
      </c>
      <c r="B119" s="5" t="str">
        <f>IF(COUNTIF($A$2:A119,A119)=1,"Original","Duplicate")</f>
        <v>Original</v>
      </c>
      <c r="C119" s="7">
        <v>45108</v>
      </c>
      <c r="D119" s="7">
        <v>45115</v>
      </c>
      <c r="E119" s="7" t="str">
        <f t="shared" si="8"/>
        <v>Valid</v>
      </c>
      <c r="F119" s="7">
        <f t="shared" si="9"/>
        <v>45115</v>
      </c>
      <c r="G119">
        <f t="shared" si="10"/>
        <v>7</v>
      </c>
      <c r="H119" t="s">
        <v>646</v>
      </c>
      <c r="I119" t="s">
        <v>651</v>
      </c>
      <c r="J119" t="s">
        <v>663</v>
      </c>
      <c r="K119" t="str">
        <f t="shared" si="11"/>
        <v>Port Harcourt</v>
      </c>
      <c r="L119" t="s">
        <v>701</v>
      </c>
      <c r="M119" t="s">
        <v>707</v>
      </c>
      <c r="N119" t="str">
        <f t="shared" si="12"/>
        <v>Retail</v>
      </c>
      <c r="O119" t="s">
        <v>720</v>
      </c>
      <c r="P119" t="str">
        <f t="shared" si="13"/>
        <v>A. Patel</v>
      </c>
      <c r="Q119" t="s">
        <v>731</v>
      </c>
      <c r="R119" t="s">
        <v>1096</v>
      </c>
      <c r="S119" s="23">
        <v>834.26</v>
      </c>
      <c r="T119" s="23">
        <v>1780.56</v>
      </c>
      <c r="U119" s="23">
        <f t="shared" si="14"/>
        <v>1780.56</v>
      </c>
      <c r="V119" s="8">
        <v>1.4E-2</v>
      </c>
      <c r="W119" s="8">
        <f t="shared" si="15"/>
        <v>1.4E-2</v>
      </c>
      <c r="X119">
        <v>47</v>
      </c>
    </row>
    <row r="120" spans="1:24" x14ac:dyDescent="0.35">
      <c r="A120" s="4" t="s">
        <v>550</v>
      </c>
      <c r="B120" s="5" t="str">
        <f>IF(COUNTIF($A$2:A120,A120)=1,"Original","Duplicate")</f>
        <v>Original</v>
      </c>
      <c r="C120" s="7">
        <v>45108</v>
      </c>
      <c r="D120" s="7">
        <v>45118</v>
      </c>
      <c r="E120" s="7" t="str">
        <f t="shared" si="8"/>
        <v>Valid</v>
      </c>
      <c r="F120" s="7">
        <f t="shared" si="9"/>
        <v>45118</v>
      </c>
      <c r="G120">
        <f t="shared" si="10"/>
        <v>10</v>
      </c>
      <c r="H120" t="s">
        <v>649</v>
      </c>
      <c r="I120" t="s">
        <v>657</v>
      </c>
      <c r="J120" t="s">
        <v>690</v>
      </c>
      <c r="K120" t="str">
        <f t="shared" si="11"/>
        <v>Paris</v>
      </c>
      <c r="L120" t="s">
        <v>701</v>
      </c>
      <c r="M120" t="s">
        <v>711</v>
      </c>
      <c r="N120" t="str">
        <f t="shared" si="12"/>
        <v>Direct</v>
      </c>
      <c r="O120" t="s">
        <v>721</v>
      </c>
      <c r="P120" t="str">
        <f t="shared" si="13"/>
        <v>F. Müller</v>
      </c>
      <c r="Q120" t="s">
        <v>729</v>
      </c>
      <c r="R120" t="s">
        <v>1269</v>
      </c>
      <c r="S120" s="23">
        <v>479.5</v>
      </c>
      <c r="T120" s="23">
        <v>656.66</v>
      </c>
      <c r="U120" s="23">
        <f t="shared" si="14"/>
        <v>656.66</v>
      </c>
      <c r="V120" s="8">
        <v>0.14899999999999999</v>
      </c>
      <c r="W120" s="8">
        <f t="shared" si="15"/>
        <v>0.14899999999999999</v>
      </c>
      <c r="X120">
        <v>14</v>
      </c>
    </row>
    <row r="121" spans="1:24" x14ac:dyDescent="0.35">
      <c r="A121" s="4" t="s">
        <v>558</v>
      </c>
      <c r="B121" s="5" t="str">
        <f>IF(COUNTIF($A$2:A121,A121)=1,"Original","Duplicate")</f>
        <v>Original</v>
      </c>
      <c r="C121" s="7">
        <v>45108</v>
      </c>
      <c r="D121" s="7">
        <v>45115</v>
      </c>
      <c r="E121" s="7" t="str">
        <f t="shared" si="8"/>
        <v>Valid</v>
      </c>
      <c r="F121" s="7">
        <f t="shared" si="9"/>
        <v>45115</v>
      </c>
      <c r="G121">
        <f t="shared" si="10"/>
        <v>7</v>
      </c>
      <c r="H121" t="s">
        <v>649</v>
      </c>
      <c r="I121" t="s">
        <v>656</v>
      </c>
      <c r="J121" t="s">
        <v>698</v>
      </c>
      <c r="K121" t="str">
        <f t="shared" si="11"/>
        <v>Frankfurt</v>
      </c>
      <c r="L121" t="s">
        <v>705</v>
      </c>
      <c r="M121" t="s">
        <v>710</v>
      </c>
      <c r="N121" t="str">
        <f t="shared" si="12"/>
        <v>Distributor</v>
      </c>
      <c r="O121" t="s">
        <v>725</v>
      </c>
      <c r="P121" t="str">
        <f t="shared" si="13"/>
        <v>N. Brown</v>
      </c>
      <c r="Q121" t="s">
        <v>731</v>
      </c>
      <c r="R121" t="s">
        <v>1276</v>
      </c>
      <c r="S121" s="23">
        <v>460.21</v>
      </c>
      <c r="T121" s="23">
        <v>1139.1500000000001</v>
      </c>
      <c r="U121" s="23">
        <f t="shared" si="14"/>
        <v>1139.1500000000001</v>
      </c>
      <c r="V121" s="8">
        <v>0.115</v>
      </c>
      <c r="W121" s="8">
        <f t="shared" si="15"/>
        <v>0.115</v>
      </c>
      <c r="X121">
        <v>14</v>
      </c>
    </row>
    <row r="122" spans="1:24" x14ac:dyDescent="0.35">
      <c r="A122" s="4" t="s">
        <v>220</v>
      </c>
      <c r="B122" s="5" t="str">
        <f>IF(COUNTIF($A$2:A122,A122)=1,"Original","Duplicate")</f>
        <v>Original</v>
      </c>
      <c r="C122" s="7">
        <v>45109</v>
      </c>
      <c r="D122" s="7">
        <v>45139</v>
      </c>
      <c r="E122" s="7" t="str">
        <f t="shared" si="8"/>
        <v>Valid</v>
      </c>
      <c r="F122" s="7">
        <f t="shared" si="9"/>
        <v>45139</v>
      </c>
      <c r="G122">
        <f t="shared" si="10"/>
        <v>30</v>
      </c>
      <c r="H122" t="s">
        <v>649</v>
      </c>
      <c r="I122" t="s">
        <v>658</v>
      </c>
      <c r="J122" t="s">
        <v>674</v>
      </c>
      <c r="K122" t="str">
        <f t="shared" si="11"/>
        <v>Birmingham</v>
      </c>
      <c r="L122" t="s">
        <v>705</v>
      </c>
      <c r="M122" t="s">
        <v>707</v>
      </c>
      <c r="N122" t="str">
        <f t="shared" si="12"/>
        <v>Retail</v>
      </c>
      <c r="O122" t="s">
        <v>717</v>
      </c>
      <c r="P122" t="str">
        <f t="shared" si="13"/>
        <v>B. Chen</v>
      </c>
      <c r="Q122" t="s">
        <v>727</v>
      </c>
      <c r="R122" t="s">
        <v>940</v>
      </c>
      <c r="S122" s="23">
        <v>137.46</v>
      </c>
      <c r="T122" s="23">
        <v>188.3</v>
      </c>
      <c r="U122" s="23">
        <f t="shared" si="14"/>
        <v>188.3</v>
      </c>
      <c r="V122" s="8">
        <v>3.7999999999999999E-2</v>
      </c>
      <c r="W122" s="8">
        <f t="shared" si="15"/>
        <v>3.7999999999999999E-2</v>
      </c>
      <c r="X122">
        <v>37</v>
      </c>
    </row>
    <row r="123" spans="1:24" x14ac:dyDescent="0.35">
      <c r="A123" s="4" t="s">
        <v>166</v>
      </c>
      <c r="B123" s="5" t="str">
        <f>IF(COUNTIF($A$2:A123,A123)=1,"Original","Duplicate")</f>
        <v>Original</v>
      </c>
      <c r="C123" s="7">
        <v>45110</v>
      </c>
      <c r="D123" s="7">
        <v>45130</v>
      </c>
      <c r="E123" s="7" t="str">
        <f t="shared" si="8"/>
        <v>Valid</v>
      </c>
      <c r="F123" s="7">
        <f t="shared" si="9"/>
        <v>45130</v>
      </c>
      <c r="G123">
        <f t="shared" si="10"/>
        <v>20</v>
      </c>
      <c r="H123" t="s">
        <v>646</v>
      </c>
      <c r="I123" t="s">
        <v>661</v>
      </c>
      <c r="J123" t="s">
        <v>682</v>
      </c>
      <c r="K123" t="str">
        <f t="shared" si="11"/>
        <v>Johannesburg</v>
      </c>
      <c r="L123" t="s">
        <v>705</v>
      </c>
      <c r="M123" t="s">
        <v>710</v>
      </c>
      <c r="N123" t="str">
        <f t="shared" si="12"/>
        <v>Distributor</v>
      </c>
      <c r="O123" t="s">
        <v>721</v>
      </c>
      <c r="P123" t="str">
        <f t="shared" si="13"/>
        <v>F. Müller</v>
      </c>
      <c r="Q123" t="s">
        <v>731</v>
      </c>
      <c r="R123" t="s">
        <v>885</v>
      </c>
      <c r="S123" s="23">
        <v>1001.96</v>
      </c>
      <c r="T123" s="23">
        <v>1254.95</v>
      </c>
      <c r="U123" s="23">
        <f t="shared" si="14"/>
        <v>1254.95</v>
      </c>
      <c r="V123" s="8">
        <v>4.4999999999999998E-2</v>
      </c>
      <c r="W123" s="8">
        <f t="shared" si="15"/>
        <v>4.4999999999999998E-2</v>
      </c>
      <c r="X123">
        <v>18</v>
      </c>
    </row>
    <row r="124" spans="1:24" x14ac:dyDescent="0.35">
      <c r="A124" s="4" t="s">
        <v>159</v>
      </c>
      <c r="B124" s="5" t="str">
        <f>IF(COUNTIF($A$2:A124,A124)=1,"Original","Duplicate")</f>
        <v>Original</v>
      </c>
      <c r="C124" s="7">
        <v>45112</v>
      </c>
      <c r="D124" s="7">
        <v>45121</v>
      </c>
      <c r="E124" s="7" t="str">
        <f t="shared" si="8"/>
        <v>Valid</v>
      </c>
      <c r="F124" s="7">
        <f t="shared" si="9"/>
        <v>45121</v>
      </c>
      <c r="G124">
        <f t="shared" si="10"/>
        <v>9</v>
      </c>
      <c r="H124" t="s">
        <v>648</v>
      </c>
      <c r="I124" t="s">
        <v>655</v>
      </c>
      <c r="J124" t="s">
        <v>672</v>
      </c>
      <c r="K124" t="str">
        <f t="shared" si="11"/>
        <v>Brasília</v>
      </c>
      <c r="L124" t="s">
        <v>706</v>
      </c>
      <c r="M124" t="s">
        <v>711</v>
      </c>
      <c r="N124" t="str">
        <f t="shared" si="12"/>
        <v>Direct</v>
      </c>
      <c r="O124" t="s">
        <v>717</v>
      </c>
      <c r="P124" t="str">
        <f t="shared" si="13"/>
        <v>B. Chen</v>
      </c>
      <c r="Q124" t="s">
        <v>729</v>
      </c>
      <c r="R124" t="s">
        <v>878</v>
      </c>
      <c r="S124" s="23">
        <v>578.85</v>
      </c>
      <c r="T124" s="23">
        <v>998.76</v>
      </c>
      <c r="U124" s="23">
        <f t="shared" si="14"/>
        <v>998.76</v>
      </c>
      <c r="V124" s="8">
        <v>8.2000000000000003E-2</v>
      </c>
      <c r="W124" s="8">
        <f t="shared" si="15"/>
        <v>8.2000000000000003E-2</v>
      </c>
      <c r="X124">
        <v>28</v>
      </c>
    </row>
    <row r="125" spans="1:24" x14ac:dyDescent="0.35">
      <c r="A125" s="4" t="s">
        <v>552</v>
      </c>
      <c r="B125" s="5" t="str">
        <f>IF(COUNTIF($A$2:A125,A125)=1,"Original","Duplicate")</f>
        <v>Original</v>
      </c>
      <c r="C125" s="7">
        <v>45114</v>
      </c>
      <c r="D125" s="7">
        <v>45120</v>
      </c>
      <c r="E125" s="7" t="str">
        <f t="shared" si="8"/>
        <v>Valid</v>
      </c>
      <c r="F125" s="7">
        <f t="shared" si="9"/>
        <v>45120</v>
      </c>
      <c r="G125">
        <f t="shared" si="10"/>
        <v>6</v>
      </c>
      <c r="H125" t="s">
        <v>646</v>
      </c>
      <c r="I125" t="s">
        <v>661</v>
      </c>
      <c r="J125" t="s">
        <v>695</v>
      </c>
      <c r="K125" t="str">
        <f t="shared" si="11"/>
        <v>Cape Town</v>
      </c>
      <c r="L125" t="s">
        <v>705</v>
      </c>
      <c r="M125" t="s">
        <v>709</v>
      </c>
      <c r="N125" t="str">
        <f t="shared" si="12"/>
        <v>Marketplace</v>
      </c>
      <c r="O125" t="s">
        <v>717</v>
      </c>
      <c r="P125" t="str">
        <f t="shared" si="13"/>
        <v>B. Chen</v>
      </c>
      <c r="Q125" t="s">
        <v>733</v>
      </c>
      <c r="R125" t="s">
        <v>1270</v>
      </c>
      <c r="S125" s="23">
        <v>612.59</v>
      </c>
      <c r="T125" s="23">
        <v>1424.74</v>
      </c>
      <c r="U125" s="23">
        <f t="shared" si="14"/>
        <v>1424.74</v>
      </c>
      <c r="V125" s="8">
        <v>4.3999999999999997E-2</v>
      </c>
      <c r="W125" s="8">
        <f t="shared" si="15"/>
        <v>4.3999999999999997E-2</v>
      </c>
      <c r="X125">
        <v>15</v>
      </c>
    </row>
    <row r="126" spans="1:24" x14ac:dyDescent="0.35">
      <c r="A126" s="4" t="s">
        <v>555</v>
      </c>
      <c r="B126" s="5" t="str">
        <f>IF(COUNTIF($A$2:A126,A126)=1,"Original","Duplicate")</f>
        <v>Original</v>
      </c>
      <c r="C126" s="7">
        <v>45115</v>
      </c>
      <c r="D126" s="7">
        <v>45116</v>
      </c>
      <c r="E126" s="7" t="str">
        <f t="shared" si="8"/>
        <v>Valid</v>
      </c>
      <c r="F126" s="7">
        <f t="shared" si="9"/>
        <v>45116</v>
      </c>
      <c r="G126">
        <f t="shared" si="10"/>
        <v>1</v>
      </c>
      <c r="H126" t="s">
        <v>646</v>
      </c>
      <c r="I126" t="s">
        <v>650</v>
      </c>
      <c r="J126" t="s">
        <v>664</v>
      </c>
      <c r="K126" t="str">
        <f t="shared" si="11"/>
        <v>Nairobi</v>
      </c>
      <c r="L126" t="s">
        <v>704</v>
      </c>
      <c r="M126" t="s">
        <v>708</v>
      </c>
      <c r="N126" t="str">
        <f t="shared" si="12"/>
        <v>Online</v>
      </c>
      <c r="O126" t="s">
        <v>726</v>
      </c>
      <c r="P126" t="str">
        <f t="shared" si="13"/>
        <v>D. Smith</v>
      </c>
      <c r="Q126" t="s">
        <v>731</v>
      </c>
      <c r="R126" t="s">
        <v>1273</v>
      </c>
      <c r="S126" s="23">
        <v>1258.72</v>
      </c>
      <c r="T126" s="23">
        <v>2797.41</v>
      </c>
      <c r="U126" s="23">
        <f t="shared" si="14"/>
        <v>2797.41</v>
      </c>
      <c r="V126" s="8">
        <v>0</v>
      </c>
      <c r="W126" s="8">
        <f t="shared" si="15"/>
        <v>0</v>
      </c>
      <c r="X126">
        <v>7</v>
      </c>
    </row>
    <row r="127" spans="1:24" x14ac:dyDescent="0.35">
      <c r="A127" s="4" t="s">
        <v>474</v>
      </c>
      <c r="B127" s="5" t="str">
        <f>IF(COUNTIF($A$2:A127,A127)=1,"Original","Duplicate")</f>
        <v>Original</v>
      </c>
      <c r="C127" s="7">
        <v>45116</v>
      </c>
      <c r="D127" s="7">
        <v>45126</v>
      </c>
      <c r="E127" s="7" t="str">
        <f t="shared" si="8"/>
        <v>Valid</v>
      </c>
      <c r="F127" s="7">
        <f t="shared" si="9"/>
        <v>45126</v>
      </c>
      <c r="G127">
        <f t="shared" si="10"/>
        <v>10</v>
      </c>
      <c r="H127" t="s">
        <v>647</v>
      </c>
      <c r="I127" t="s">
        <v>652</v>
      </c>
      <c r="J127" t="s">
        <v>689</v>
      </c>
      <c r="K127" t="str">
        <f t="shared" si="11"/>
        <v>Tokyo</v>
      </c>
      <c r="L127" t="s">
        <v>706</v>
      </c>
      <c r="M127" t="s">
        <v>710</v>
      </c>
      <c r="N127" t="str">
        <f t="shared" si="12"/>
        <v>Distributor</v>
      </c>
      <c r="O127" t="s">
        <v>725</v>
      </c>
      <c r="P127" t="str">
        <f t="shared" si="13"/>
        <v>N. Brown</v>
      </c>
      <c r="Q127" t="s">
        <v>727</v>
      </c>
      <c r="R127" t="s">
        <v>1193</v>
      </c>
      <c r="S127" s="23">
        <v>141.26</v>
      </c>
      <c r="T127" s="23">
        <v>206.88</v>
      </c>
      <c r="U127" s="23">
        <f t="shared" si="14"/>
        <v>206.88</v>
      </c>
      <c r="V127" s="8">
        <v>0.107</v>
      </c>
      <c r="W127" s="8">
        <f t="shared" si="15"/>
        <v>0.107</v>
      </c>
      <c r="X127">
        <v>9</v>
      </c>
    </row>
    <row r="128" spans="1:24" x14ac:dyDescent="0.35">
      <c r="A128" s="4" t="s">
        <v>64</v>
      </c>
      <c r="B128" s="5" t="str">
        <f>IF(COUNTIF($A$2:A128,A128)=1,"Original","Duplicate")</f>
        <v>Original</v>
      </c>
      <c r="C128" s="7">
        <v>45117</v>
      </c>
      <c r="D128" s="7">
        <v>45139</v>
      </c>
      <c r="E128" s="7" t="str">
        <f t="shared" si="8"/>
        <v>Valid</v>
      </c>
      <c r="F128" s="7">
        <f t="shared" si="9"/>
        <v>45139</v>
      </c>
      <c r="G128">
        <f t="shared" si="10"/>
        <v>22</v>
      </c>
      <c r="H128" t="s">
        <v>649</v>
      </c>
      <c r="I128" t="s">
        <v>657</v>
      </c>
      <c r="J128" t="s">
        <v>673</v>
      </c>
      <c r="K128" t="str">
        <f t="shared" si="11"/>
        <v>Marseille</v>
      </c>
      <c r="L128" t="s">
        <v>704</v>
      </c>
      <c r="M128" t="s">
        <v>709</v>
      </c>
      <c r="N128" t="str">
        <f t="shared" si="12"/>
        <v>Marketplace</v>
      </c>
      <c r="O128" t="s">
        <v>717</v>
      </c>
      <c r="P128" t="str">
        <f t="shared" si="13"/>
        <v>B. Chen</v>
      </c>
      <c r="Q128" t="s">
        <v>728</v>
      </c>
      <c r="R128" t="s">
        <v>783</v>
      </c>
      <c r="S128" s="23">
        <v>1303.56</v>
      </c>
      <c r="T128" s="23">
        <v>1791.37</v>
      </c>
      <c r="U128" s="23">
        <f t="shared" si="14"/>
        <v>1791.37</v>
      </c>
      <c r="V128" s="8">
        <v>0.126</v>
      </c>
      <c r="W128" s="8">
        <f t="shared" si="15"/>
        <v>0.126</v>
      </c>
      <c r="X128">
        <v>22</v>
      </c>
    </row>
    <row r="129" spans="1:24" x14ac:dyDescent="0.35">
      <c r="A129" s="4" t="s">
        <v>353</v>
      </c>
      <c r="B129" s="5" t="str">
        <f>IF(COUNTIF($A$2:A129,A129)=1,"Original","Duplicate")</f>
        <v>Original</v>
      </c>
      <c r="C129" s="7">
        <v>45121</v>
      </c>
      <c r="D129" s="7">
        <v>45128</v>
      </c>
      <c r="E129" s="7" t="str">
        <f t="shared" si="8"/>
        <v>Valid</v>
      </c>
      <c r="F129" s="7">
        <f t="shared" si="9"/>
        <v>45128</v>
      </c>
      <c r="G129">
        <f t="shared" si="10"/>
        <v>7</v>
      </c>
      <c r="H129" t="s">
        <v>646</v>
      </c>
      <c r="I129" t="s">
        <v>661</v>
      </c>
      <c r="J129" t="s">
        <v>687</v>
      </c>
      <c r="K129" t="str">
        <f t="shared" si="11"/>
        <v>Durban</v>
      </c>
      <c r="L129" t="s">
        <v>706</v>
      </c>
      <c r="M129" t="s">
        <v>709</v>
      </c>
      <c r="N129" t="str">
        <f t="shared" si="12"/>
        <v>Marketplace</v>
      </c>
      <c r="P129" t="str">
        <f t="shared" si="13"/>
        <v>Unassigned</v>
      </c>
      <c r="Q129" t="s">
        <v>732</v>
      </c>
      <c r="R129" t="s">
        <v>1073</v>
      </c>
      <c r="S129" s="23">
        <v>620.74</v>
      </c>
      <c r="T129" s="23">
        <v>1330.07</v>
      </c>
      <c r="U129" s="23">
        <f t="shared" si="14"/>
        <v>1330.07</v>
      </c>
      <c r="V129" s="8">
        <v>0.29899999999999999</v>
      </c>
      <c r="W129" s="8">
        <f t="shared" si="15"/>
        <v>0.29899999999999999</v>
      </c>
      <c r="X129">
        <v>28</v>
      </c>
    </row>
    <row r="130" spans="1:24" x14ac:dyDescent="0.35">
      <c r="A130" s="4" t="s">
        <v>366</v>
      </c>
      <c r="B130" s="5" t="str">
        <f>IF(COUNTIF($A$2:A130,A130)=1,"Original","Duplicate")</f>
        <v>Original</v>
      </c>
      <c r="C130" s="7">
        <v>45121</v>
      </c>
      <c r="D130" s="7">
        <v>45121</v>
      </c>
      <c r="E130" s="7" t="str">
        <f t="shared" si="8"/>
        <v>Valid</v>
      </c>
      <c r="F130" s="7">
        <f t="shared" si="9"/>
        <v>45128</v>
      </c>
      <c r="G130">
        <f t="shared" si="10"/>
        <v>7</v>
      </c>
      <c r="H130" t="s">
        <v>646</v>
      </c>
      <c r="I130" t="s">
        <v>651</v>
      </c>
      <c r="J130" t="s">
        <v>665</v>
      </c>
      <c r="K130" t="str">
        <f t="shared" si="11"/>
        <v>Lagos</v>
      </c>
      <c r="L130" t="s">
        <v>702</v>
      </c>
      <c r="M130" t="s">
        <v>707</v>
      </c>
      <c r="N130" t="str">
        <f t="shared" si="12"/>
        <v>Retail</v>
      </c>
      <c r="O130" t="s">
        <v>714</v>
      </c>
      <c r="P130" t="str">
        <f t="shared" si="13"/>
        <v>I. Johnson</v>
      </c>
      <c r="Q130" t="s">
        <v>733</v>
      </c>
      <c r="R130" t="s">
        <v>1086</v>
      </c>
      <c r="S130" s="23">
        <v>956.38</v>
      </c>
      <c r="T130" s="23">
        <v>1454.22</v>
      </c>
      <c r="U130" s="23">
        <f t="shared" si="14"/>
        <v>1454.22</v>
      </c>
      <c r="V130" s="8">
        <v>3.9E-2</v>
      </c>
      <c r="W130" s="8">
        <f t="shared" si="15"/>
        <v>3.9E-2</v>
      </c>
      <c r="X130">
        <v>19</v>
      </c>
    </row>
    <row r="131" spans="1:24" x14ac:dyDescent="0.35">
      <c r="A131" s="4" t="s">
        <v>492</v>
      </c>
      <c r="B131" s="5" t="str">
        <f>IF(COUNTIF($A$2:A131,A131)=1,"Original","Duplicate")</f>
        <v>Original</v>
      </c>
      <c r="C131" s="7">
        <v>45123</v>
      </c>
      <c r="D131" s="7">
        <v>45151</v>
      </c>
      <c r="E131" s="7" t="str">
        <f t="shared" ref="E131:E194" si="16">IF(D131&lt;C131,"Invalid","Valid")</f>
        <v>Valid</v>
      </c>
      <c r="F131" s="7">
        <f t="shared" ref="F131:F194" si="17">IF(D131&gt;C131,D131,WORKDAY(C131,5))</f>
        <v>45151</v>
      </c>
      <c r="G131">
        <f t="shared" ref="G131:G194" si="18">F131-C131</f>
        <v>28</v>
      </c>
      <c r="H131" t="s">
        <v>649</v>
      </c>
      <c r="I131" t="s">
        <v>658</v>
      </c>
      <c r="J131" t="s">
        <v>693</v>
      </c>
      <c r="K131" t="str">
        <f t="shared" ref="K131:K194" si="19">IF(J131="", "Unknown", J131)</f>
        <v>Manchester</v>
      </c>
      <c r="L131" t="s">
        <v>703</v>
      </c>
      <c r="M131" t="s">
        <v>708</v>
      </c>
      <c r="N131" t="str">
        <f t="shared" ref="N131:N194" si="20">IF(M131="", "Unknown", M131)</f>
        <v>Online</v>
      </c>
      <c r="O131" t="s">
        <v>713</v>
      </c>
      <c r="P131" t="str">
        <f t="shared" ref="P131:P194" si="21">IF(O131="","Unassigned",O131)</f>
        <v>J. Njeri</v>
      </c>
      <c r="Q131" t="s">
        <v>731</v>
      </c>
      <c r="R131" t="s">
        <v>1211</v>
      </c>
      <c r="S131" s="23">
        <v>1039.03</v>
      </c>
      <c r="T131" s="23">
        <v>2545.81</v>
      </c>
      <c r="U131" s="23">
        <f t="shared" ref="U131:U194" si="22">IF(T131&gt;0,T131,S131*1.2)</f>
        <v>2545.81</v>
      </c>
      <c r="V131" s="8">
        <v>0.216</v>
      </c>
      <c r="W131" s="8">
        <f t="shared" ref="W131:W194" si="23">IF(V131&lt;0.3,V131,0.3)</f>
        <v>0.216</v>
      </c>
      <c r="X131">
        <v>21</v>
      </c>
    </row>
    <row r="132" spans="1:24" x14ac:dyDescent="0.35">
      <c r="A132" s="4" t="s">
        <v>303</v>
      </c>
      <c r="B132" s="5" t="str">
        <f>IF(COUNTIF($A$2:A132,A132)=1,"Original","Duplicate")</f>
        <v>Original</v>
      </c>
      <c r="C132" s="7">
        <v>45125</v>
      </c>
      <c r="D132" s="7">
        <v>45148</v>
      </c>
      <c r="E132" s="7" t="str">
        <f t="shared" si="16"/>
        <v>Valid</v>
      </c>
      <c r="F132" s="7">
        <f t="shared" si="17"/>
        <v>45148</v>
      </c>
      <c r="G132">
        <f t="shared" si="18"/>
        <v>23</v>
      </c>
      <c r="H132" t="s">
        <v>646</v>
      </c>
      <c r="I132" t="s">
        <v>661</v>
      </c>
      <c r="J132" t="s">
        <v>682</v>
      </c>
      <c r="K132" t="str">
        <f t="shared" si="19"/>
        <v>Johannesburg</v>
      </c>
      <c r="L132" t="s">
        <v>705</v>
      </c>
      <c r="M132" t="s">
        <v>707</v>
      </c>
      <c r="N132" t="str">
        <f t="shared" si="20"/>
        <v>Retail</v>
      </c>
      <c r="O132" t="s">
        <v>716</v>
      </c>
      <c r="P132" t="str">
        <f t="shared" si="21"/>
        <v>L. Okafor</v>
      </c>
      <c r="Q132" t="s">
        <v>727</v>
      </c>
      <c r="R132" t="s">
        <v>1023</v>
      </c>
      <c r="S132" s="23">
        <v>1271.56</v>
      </c>
      <c r="T132" s="23">
        <v>995.47</v>
      </c>
      <c r="U132" s="23">
        <f t="shared" si="22"/>
        <v>995.47</v>
      </c>
      <c r="V132" s="8">
        <v>0.192</v>
      </c>
      <c r="W132" s="8">
        <f t="shared" si="23"/>
        <v>0.192</v>
      </c>
      <c r="X132">
        <v>13</v>
      </c>
    </row>
    <row r="133" spans="1:24" x14ac:dyDescent="0.35">
      <c r="A133" s="4" t="s">
        <v>316</v>
      </c>
      <c r="B133" s="5" t="str">
        <f>IF(COUNTIF($A$2:A133,A133)=1,"Original","Duplicate")</f>
        <v>Original</v>
      </c>
      <c r="C133" s="7">
        <v>45125</v>
      </c>
      <c r="D133" s="7">
        <v>45129</v>
      </c>
      <c r="E133" s="7" t="str">
        <f t="shared" si="16"/>
        <v>Valid</v>
      </c>
      <c r="F133" s="7">
        <f t="shared" si="17"/>
        <v>45129</v>
      </c>
      <c r="G133">
        <f t="shared" si="18"/>
        <v>4</v>
      </c>
      <c r="H133" t="s">
        <v>648</v>
      </c>
      <c r="I133" t="s">
        <v>655</v>
      </c>
      <c r="J133" t="s">
        <v>670</v>
      </c>
      <c r="K133" t="str">
        <f t="shared" si="19"/>
        <v>São Paulo</v>
      </c>
      <c r="L133" t="s">
        <v>704</v>
      </c>
      <c r="M133" t="s">
        <v>711</v>
      </c>
      <c r="N133" t="str">
        <f t="shared" si="20"/>
        <v>Direct</v>
      </c>
      <c r="O133" t="s">
        <v>721</v>
      </c>
      <c r="P133" t="str">
        <f t="shared" si="21"/>
        <v>F. Müller</v>
      </c>
      <c r="Q133" t="s">
        <v>729</v>
      </c>
      <c r="R133" t="s">
        <v>1036</v>
      </c>
      <c r="S133" s="23">
        <v>1269.55</v>
      </c>
      <c r="T133" s="23">
        <v>2071.1</v>
      </c>
      <c r="U133" s="23">
        <f t="shared" si="22"/>
        <v>2071.1</v>
      </c>
      <c r="V133" s="8">
        <v>0.129</v>
      </c>
      <c r="W133" s="8">
        <f t="shared" si="23"/>
        <v>0.129</v>
      </c>
      <c r="X133">
        <v>22</v>
      </c>
    </row>
    <row r="134" spans="1:24" x14ac:dyDescent="0.35">
      <c r="A134" s="4" t="s">
        <v>202</v>
      </c>
      <c r="B134" s="5" t="str">
        <f>IF(COUNTIF($A$2:A134,A134)=1,"Original","Duplicate")</f>
        <v>Original</v>
      </c>
      <c r="C134" s="7">
        <v>45126</v>
      </c>
      <c r="D134" s="7">
        <v>45138</v>
      </c>
      <c r="E134" s="7" t="str">
        <f t="shared" si="16"/>
        <v>Valid</v>
      </c>
      <c r="F134" s="7">
        <f t="shared" si="17"/>
        <v>45138</v>
      </c>
      <c r="G134">
        <f t="shared" si="18"/>
        <v>12</v>
      </c>
      <c r="H134" t="s">
        <v>648</v>
      </c>
      <c r="I134" t="s">
        <v>655</v>
      </c>
      <c r="J134" t="s">
        <v>692</v>
      </c>
      <c r="K134" t="str">
        <f t="shared" si="19"/>
        <v>Rio de Janeiro</v>
      </c>
      <c r="L134" t="s">
        <v>701</v>
      </c>
      <c r="M134" t="s">
        <v>707</v>
      </c>
      <c r="N134" t="str">
        <f t="shared" si="20"/>
        <v>Retail</v>
      </c>
      <c r="O134" t="s">
        <v>712</v>
      </c>
      <c r="P134" t="str">
        <f t="shared" si="21"/>
        <v>C. Otieno</v>
      </c>
      <c r="Q134" t="s">
        <v>732</v>
      </c>
      <c r="R134" t="s">
        <v>922</v>
      </c>
      <c r="S134" s="23">
        <v>1334.64</v>
      </c>
      <c r="T134" s="23">
        <v>2273.42</v>
      </c>
      <c r="U134" s="23">
        <f t="shared" si="22"/>
        <v>2273.42</v>
      </c>
      <c r="V134" s="8">
        <v>0.11799999999999999</v>
      </c>
      <c r="W134" s="8">
        <f t="shared" si="23"/>
        <v>0.11799999999999999</v>
      </c>
      <c r="X134">
        <v>14</v>
      </c>
    </row>
    <row r="135" spans="1:24" x14ac:dyDescent="0.35">
      <c r="A135" s="4" t="s">
        <v>464</v>
      </c>
      <c r="B135" s="5" t="str">
        <f>IF(COUNTIF($A$2:A135,A135)=1,"Original","Duplicate")</f>
        <v>Original</v>
      </c>
      <c r="C135" s="7">
        <v>45129</v>
      </c>
      <c r="D135" s="7">
        <v>45128</v>
      </c>
      <c r="E135" s="7" t="str">
        <f t="shared" si="16"/>
        <v>Invalid</v>
      </c>
      <c r="F135" s="7">
        <f t="shared" si="17"/>
        <v>45135</v>
      </c>
      <c r="G135">
        <f t="shared" si="18"/>
        <v>6</v>
      </c>
      <c r="H135" t="s">
        <v>647</v>
      </c>
      <c r="I135" t="s">
        <v>654</v>
      </c>
      <c r="J135" t="s">
        <v>680</v>
      </c>
      <c r="K135" t="str">
        <f t="shared" si="19"/>
        <v>Delhi</v>
      </c>
      <c r="L135" t="s">
        <v>705</v>
      </c>
      <c r="M135" t="s">
        <v>710</v>
      </c>
      <c r="N135" t="str">
        <f t="shared" si="20"/>
        <v>Distributor</v>
      </c>
      <c r="O135" t="s">
        <v>718</v>
      </c>
      <c r="P135" t="str">
        <f t="shared" si="21"/>
        <v>E. Garcia</v>
      </c>
      <c r="Q135" t="s">
        <v>728</v>
      </c>
      <c r="R135" t="s">
        <v>1183</v>
      </c>
      <c r="S135" s="23">
        <v>946.99</v>
      </c>
      <c r="T135" s="23">
        <v>2132.19</v>
      </c>
      <c r="U135" s="23">
        <f t="shared" si="22"/>
        <v>2132.19</v>
      </c>
      <c r="V135" s="8">
        <v>0.16500000000000001</v>
      </c>
      <c r="W135" s="8">
        <f t="shared" si="23"/>
        <v>0.16500000000000001</v>
      </c>
      <c r="X135">
        <v>7</v>
      </c>
    </row>
    <row r="136" spans="1:24" x14ac:dyDescent="0.35">
      <c r="A136" s="4" t="s">
        <v>287</v>
      </c>
      <c r="B136" s="5" t="str">
        <f>IF(COUNTIF($A$2:A136,A136)=1,"Original","Duplicate")</f>
        <v>Original</v>
      </c>
      <c r="C136" s="7">
        <v>45131</v>
      </c>
      <c r="D136" s="7">
        <v>45151</v>
      </c>
      <c r="E136" s="7" t="str">
        <f t="shared" si="16"/>
        <v>Valid</v>
      </c>
      <c r="F136" s="7">
        <f t="shared" si="17"/>
        <v>45151</v>
      </c>
      <c r="G136">
        <f t="shared" si="18"/>
        <v>20</v>
      </c>
      <c r="H136" t="s">
        <v>648</v>
      </c>
      <c r="I136" t="s">
        <v>653</v>
      </c>
      <c r="J136" t="s">
        <v>681</v>
      </c>
      <c r="K136" t="str">
        <f t="shared" si="19"/>
        <v>Montreal</v>
      </c>
      <c r="L136" t="s">
        <v>702</v>
      </c>
      <c r="M136" t="s">
        <v>711</v>
      </c>
      <c r="N136" t="str">
        <f t="shared" si="20"/>
        <v>Direct</v>
      </c>
      <c r="O136" t="s">
        <v>712</v>
      </c>
      <c r="P136" t="str">
        <f t="shared" si="21"/>
        <v>C. Otieno</v>
      </c>
      <c r="Q136" t="s">
        <v>732</v>
      </c>
      <c r="R136" t="s">
        <v>1007</v>
      </c>
      <c r="S136" s="23">
        <v>1082.3800000000001</v>
      </c>
      <c r="T136" s="23">
        <v>1766.55</v>
      </c>
      <c r="U136" s="23">
        <f t="shared" si="22"/>
        <v>1766.55</v>
      </c>
      <c r="V136" s="8">
        <v>0.16400000000000001</v>
      </c>
      <c r="W136" s="8">
        <f t="shared" si="23"/>
        <v>0.16400000000000001</v>
      </c>
      <c r="X136">
        <v>20</v>
      </c>
    </row>
    <row r="137" spans="1:24" x14ac:dyDescent="0.35">
      <c r="A137" s="4" t="s">
        <v>354</v>
      </c>
      <c r="B137" s="5" t="str">
        <f>IF(COUNTIF($A$2:A137,A137)=1,"Original","Duplicate")</f>
        <v>Original</v>
      </c>
      <c r="C137" s="7">
        <v>45131</v>
      </c>
      <c r="D137" s="7">
        <v>45157</v>
      </c>
      <c r="E137" s="7" t="str">
        <f t="shared" si="16"/>
        <v>Valid</v>
      </c>
      <c r="F137" s="7">
        <f t="shared" si="17"/>
        <v>45157</v>
      </c>
      <c r="G137">
        <f t="shared" si="18"/>
        <v>26</v>
      </c>
      <c r="H137" t="s">
        <v>646</v>
      </c>
      <c r="I137" t="s">
        <v>650</v>
      </c>
      <c r="J137" t="s">
        <v>664</v>
      </c>
      <c r="K137" t="str">
        <f t="shared" si="19"/>
        <v>Nairobi</v>
      </c>
      <c r="L137" t="s">
        <v>706</v>
      </c>
      <c r="M137" t="s">
        <v>710</v>
      </c>
      <c r="N137" t="str">
        <f t="shared" si="20"/>
        <v>Distributor</v>
      </c>
      <c r="O137" t="s">
        <v>724</v>
      </c>
      <c r="P137" t="str">
        <f t="shared" si="21"/>
        <v>M. Rossi</v>
      </c>
      <c r="Q137" t="s">
        <v>733</v>
      </c>
      <c r="R137" t="s">
        <v>1074</v>
      </c>
      <c r="S137" s="23">
        <v>661.45</v>
      </c>
      <c r="T137" s="23">
        <v>1634.86</v>
      </c>
      <c r="U137" s="23">
        <f t="shared" si="22"/>
        <v>1634.86</v>
      </c>
      <c r="V137" s="8">
        <v>0.56499999999999995</v>
      </c>
      <c r="W137" s="8">
        <f t="shared" si="23"/>
        <v>0.3</v>
      </c>
      <c r="X137">
        <v>24</v>
      </c>
    </row>
    <row r="138" spans="1:24" x14ac:dyDescent="0.35">
      <c r="A138" s="4" t="s">
        <v>352</v>
      </c>
      <c r="B138" s="5" t="str">
        <f>IF(COUNTIF($A$2:A138,A138)=1,"Original","Duplicate")</f>
        <v>Original</v>
      </c>
      <c r="C138" s="7">
        <v>45132</v>
      </c>
      <c r="D138" s="7">
        <v>45148</v>
      </c>
      <c r="E138" s="7" t="str">
        <f t="shared" si="16"/>
        <v>Valid</v>
      </c>
      <c r="F138" s="7">
        <f t="shared" si="17"/>
        <v>45148</v>
      </c>
      <c r="G138">
        <f t="shared" si="18"/>
        <v>16</v>
      </c>
      <c r="H138" t="s">
        <v>646</v>
      </c>
      <c r="I138" t="s">
        <v>651</v>
      </c>
      <c r="J138" t="s">
        <v>663</v>
      </c>
      <c r="K138" t="str">
        <f t="shared" si="19"/>
        <v>Port Harcourt</v>
      </c>
      <c r="L138" t="s">
        <v>701</v>
      </c>
      <c r="M138" t="s">
        <v>710</v>
      </c>
      <c r="N138" t="str">
        <f t="shared" si="20"/>
        <v>Distributor</v>
      </c>
      <c r="O138" t="s">
        <v>714</v>
      </c>
      <c r="P138" t="str">
        <f t="shared" si="21"/>
        <v>I. Johnson</v>
      </c>
      <c r="Q138" t="s">
        <v>733</v>
      </c>
      <c r="R138" t="s">
        <v>1072</v>
      </c>
      <c r="S138" s="23">
        <v>506.83</v>
      </c>
      <c r="T138" s="23">
        <v>441.74</v>
      </c>
      <c r="U138" s="23">
        <f t="shared" si="22"/>
        <v>441.74</v>
      </c>
      <c r="V138" s="8">
        <v>0.24</v>
      </c>
      <c r="W138" s="8">
        <f t="shared" si="23"/>
        <v>0.24</v>
      </c>
      <c r="X138">
        <v>9</v>
      </c>
    </row>
    <row r="139" spans="1:24" x14ac:dyDescent="0.35">
      <c r="A139" s="4" t="s">
        <v>157</v>
      </c>
      <c r="B139" s="5" t="str">
        <f>IF(COUNTIF($A$2:A139,A139)=1,"Original","Duplicate")</f>
        <v>Original</v>
      </c>
      <c r="C139" s="7">
        <v>45133</v>
      </c>
      <c r="D139" s="7">
        <v>45163</v>
      </c>
      <c r="E139" s="7" t="str">
        <f t="shared" si="16"/>
        <v>Valid</v>
      </c>
      <c r="F139" s="7">
        <f t="shared" si="17"/>
        <v>45163</v>
      </c>
      <c r="G139">
        <f t="shared" si="18"/>
        <v>30</v>
      </c>
      <c r="H139" t="s">
        <v>648</v>
      </c>
      <c r="I139" t="s">
        <v>660</v>
      </c>
      <c r="J139" t="s">
        <v>700</v>
      </c>
      <c r="K139" t="str">
        <f t="shared" si="19"/>
        <v>New York</v>
      </c>
      <c r="L139" t="s">
        <v>704</v>
      </c>
      <c r="M139" t="s">
        <v>707</v>
      </c>
      <c r="N139" t="str">
        <f t="shared" si="20"/>
        <v>Retail</v>
      </c>
      <c r="O139" t="s">
        <v>724</v>
      </c>
      <c r="P139" t="str">
        <f t="shared" si="21"/>
        <v>M. Rossi</v>
      </c>
      <c r="Q139" t="s">
        <v>733</v>
      </c>
      <c r="R139" t="s">
        <v>876</v>
      </c>
      <c r="S139" s="23">
        <v>1261.48</v>
      </c>
      <c r="T139" s="23">
        <v>1643.18</v>
      </c>
      <c r="U139" s="23">
        <f t="shared" si="22"/>
        <v>1643.18</v>
      </c>
      <c r="V139" s="8">
        <v>0.151</v>
      </c>
      <c r="W139" s="8">
        <f t="shared" si="23"/>
        <v>0.151</v>
      </c>
      <c r="X139">
        <v>23</v>
      </c>
    </row>
    <row r="140" spans="1:24" x14ac:dyDescent="0.35">
      <c r="A140" s="4" t="s">
        <v>240</v>
      </c>
      <c r="B140" s="5" t="str">
        <f>IF(COUNTIF($A$2:A140,A140)=1,"Original","Duplicate")</f>
        <v>Original</v>
      </c>
      <c r="C140" s="7">
        <v>45137</v>
      </c>
      <c r="D140" s="7">
        <v>45145</v>
      </c>
      <c r="E140" s="7" t="str">
        <f t="shared" si="16"/>
        <v>Valid</v>
      </c>
      <c r="F140" s="7">
        <f t="shared" si="17"/>
        <v>45145</v>
      </c>
      <c r="G140">
        <f t="shared" si="18"/>
        <v>8</v>
      </c>
      <c r="H140" t="s">
        <v>647</v>
      </c>
      <c r="I140" t="s">
        <v>652</v>
      </c>
      <c r="J140" t="s">
        <v>694</v>
      </c>
      <c r="K140" t="str">
        <f t="shared" si="19"/>
        <v>Nagoya</v>
      </c>
      <c r="L140" t="s">
        <v>702</v>
      </c>
      <c r="M140" t="s">
        <v>709</v>
      </c>
      <c r="N140" t="str">
        <f t="shared" si="20"/>
        <v>Marketplace</v>
      </c>
      <c r="O140" t="s">
        <v>720</v>
      </c>
      <c r="P140" t="str">
        <f t="shared" si="21"/>
        <v>A. Patel</v>
      </c>
      <c r="Q140" t="s">
        <v>729</v>
      </c>
      <c r="R140" t="s">
        <v>960</v>
      </c>
      <c r="S140" s="23">
        <v>1352.44</v>
      </c>
      <c r="T140" s="23">
        <v>2698.01</v>
      </c>
      <c r="U140" s="23">
        <f t="shared" si="22"/>
        <v>2698.01</v>
      </c>
      <c r="V140" s="8">
        <v>0.13100000000000001</v>
      </c>
      <c r="W140" s="8">
        <f t="shared" si="23"/>
        <v>0.13100000000000001</v>
      </c>
      <c r="X140">
        <v>13</v>
      </c>
    </row>
    <row r="141" spans="1:24" x14ac:dyDescent="0.35">
      <c r="A141" s="4" t="s">
        <v>628</v>
      </c>
      <c r="B141" s="5" t="str">
        <f>IF(COUNTIF($A$2:A141,A141)=1,"Original","Duplicate")</f>
        <v>Original</v>
      </c>
      <c r="C141" s="7">
        <v>45137</v>
      </c>
      <c r="D141" s="7">
        <v>45157</v>
      </c>
      <c r="E141" s="7" t="str">
        <f t="shared" si="16"/>
        <v>Valid</v>
      </c>
      <c r="F141" s="7">
        <f t="shared" si="17"/>
        <v>45157</v>
      </c>
      <c r="G141">
        <f t="shared" si="18"/>
        <v>20</v>
      </c>
      <c r="H141" t="s">
        <v>649</v>
      </c>
      <c r="I141" t="s">
        <v>657</v>
      </c>
      <c r="J141" t="s">
        <v>690</v>
      </c>
      <c r="K141" t="str">
        <f t="shared" si="19"/>
        <v>Paris</v>
      </c>
      <c r="L141" t="s">
        <v>706</v>
      </c>
      <c r="M141" t="s">
        <v>709</v>
      </c>
      <c r="N141" t="str">
        <f t="shared" si="20"/>
        <v>Marketplace</v>
      </c>
      <c r="O141" t="s">
        <v>715</v>
      </c>
      <c r="P141" t="str">
        <f t="shared" si="21"/>
        <v>G. Dubois</v>
      </c>
      <c r="Q141" t="s">
        <v>729</v>
      </c>
      <c r="R141" t="s">
        <v>1346</v>
      </c>
      <c r="S141" s="23">
        <v>1418.51</v>
      </c>
      <c r="T141" s="23">
        <v>2789.61</v>
      </c>
      <c r="U141" s="23">
        <f t="shared" si="22"/>
        <v>2789.61</v>
      </c>
      <c r="V141" s="8">
        <v>0.17100000000000001</v>
      </c>
      <c r="W141" s="8">
        <f t="shared" si="23"/>
        <v>0.17100000000000001</v>
      </c>
      <c r="X141">
        <v>8</v>
      </c>
    </row>
    <row r="142" spans="1:24" x14ac:dyDescent="0.35">
      <c r="A142" s="4" t="s">
        <v>591</v>
      </c>
      <c r="B142" s="5" t="str">
        <f>IF(COUNTIF($A$2:A142,A142)=1,"Original","Duplicate")</f>
        <v>Original</v>
      </c>
      <c r="C142" s="7">
        <v>45140</v>
      </c>
      <c r="D142" s="7">
        <v>45157</v>
      </c>
      <c r="E142" s="7" t="str">
        <f t="shared" si="16"/>
        <v>Valid</v>
      </c>
      <c r="F142" s="7">
        <f t="shared" si="17"/>
        <v>45157</v>
      </c>
      <c r="G142">
        <f t="shared" si="18"/>
        <v>17</v>
      </c>
      <c r="H142" t="s">
        <v>648</v>
      </c>
      <c r="I142" t="s">
        <v>653</v>
      </c>
      <c r="J142" t="s">
        <v>688</v>
      </c>
      <c r="K142" t="str">
        <f t="shared" si="19"/>
        <v>Vancouver</v>
      </c>
      <c r="L142" t="s">
        <v>701</v>
      </c>
      <c r="M142" t="s">
        <v>708</v>
      </c>
      <c r="N142" t="str">
        <f t="shared" si="20"/>
        <v>Online</v>
      </c>
      <c r="O142" t="s">
        <v>721</v>
      </c>
      <c r="P142" t="str">
        <f t="shared" si="21"/>
        <v>F. Müller</v>
      </c>
      <c r="Q142" t="s">
        <v>729</v>
      </c>
      <c r="R142" t="s">
        <v>1309</v>
      </c>
      <c r="S142" s="23">
        <v>175.38</v>
      </c>
      <c r="T142" s="23">
        <v>347.9</v>
      </c>
      <c r="U142" s="23">
        <f t="shared" si="22"/>
        <v>347.9</v>
      </c>
      <c r="V142" s="8">
        <v>7.1999999999999995E-2</v>
      </c>
      <c r="W142" s="8">
        <f t="shared" si="23"/>
        <v>7.1999999999999995E-2</v>
      </c>
      <c r="X142">
        <v>43</v>
      </c>
    </row>
    <row r="143" spans="1:24" x14ac:dyDescent="0.35">
      <c r="A143" s="4" t="s">
        <v>284</v>
      </c>
      <c r="B143" s="5" t="str">
        <f>IF(COUNTIF($A$2:A143,A143)=1,"Original","Duplicate")</f>
        <v>Original</v>
      </c>
      <c r="C143" s="7">
        <v>45141</v>
      </c>
      <c r="D143" s="7">
        <v>45152</v>
      </c>
      <c r="E143" s="7" t="str">
        <f t="shared" si="16"/>
        <v>Valid</v>
      </c>
      <c r="F143" s="7">
        <f t="shared" si="17"/>
        <v>45152</v>
      </c>
      <c r="G143">
        <f t="shared" si="18"/>
        <v>11</v>
      </c>
      <c r="H143" t="s">
        <v>648</v>
      </c>
      <c r="I143" t="s">
        <v>655</v>
      </c>
      <c r="J143" t="s">
        <v>672</v>
      </c>
      <c r="K143" t="str">
        <f t="shared" si="19"/>
        <v>Brasília</v>
      </c>
      <c r="L143" t="s">
        <v>701</v>
      </c>
      <c r="M143" t="s">
        <v>711</v>
      </c>
      <c r="N143" t="str">
        <f t="shared" si="20"/>
        <v>Direct</v>
      </c>
      <c r="O143" t="s">
        <v>713</v>
      </c>
      <c r="P143" t="str">
        <f t="shared" si="21"/>
        <v>J. Njeri</v>
      </c>
      <c r="Q143" t="s">
        <v>733</v>
      </c>
      <c r="R143" t="s">
        <v>1004</v>
      </c>
      <c r="S143" s="23">
        <v>232.73</v>
      </c>
      <c r="T143" s="23">
        <v>334.19</v>
      </c>
      <c r="U143" s="23">
        <f t="shared" si="22"/>
        <v>334.19</v>
      </c>
      <c r="V143" s="8">
        <v>0.13400000000000001</v>
      </c>
      <c r="W143" s="8">
        <f t="shared" si="23"/>
        <v>0.13400000000000001</v>
      </c>
      <c r="X143">
        <v>25</v>
      </c>
    </row>
    <row r="144" spans="1:24" x14ac:dyDescent="0.35">
      <c r="A144" s="4" t="s">
        <v>638</v>
      </c>
      <c r="B144" s="5" t="str">
        <f>IF(COUNTIF($A$2:A144,A144)=1,"Original","Duplicate")</f>
        <v>Original</v>
      </c>
      <c r="C144" s="7">
        <v>45141</v>
      </c>
      <c r="D144" s="7">
        <v>45140</v>
      </c>
      <c r="E144" s="7" t="str">
        <f t="shared" si="16"/>
        <v>Invalid</v>
      </c>
      <c r="F144" s="7">
        <f t="shared" si="17"/>
        <v>45148</v>
      </c>
      <c r="G144">
        <f t="shared" si="18"/>
        <v>7</v>
      </c>
      <c r="H144" t="s">
        <v>647</v>
      </c>
      <c r="I144" t="s">
        <v>659</v>
      </c>
      <c r="J144" t="s">
        <v>685</v>
      </c>
      <c r="K144" t="str">
        <f t="shared" si="19"/>
        <v>Shanghai</v>
      </c>
      <c r="L144" t="s">
        <v>703</v>
      </c>
      <c r="M144" t="s">
        <v>711</v>
      </c>
      <c r="N144" t="str">
        <f t="shared" si="20"/>
        <v>Direct</v>
      </c>
      <c r="O144" t="s">
        <v>713</v>
      </c>
      <c r="P144" t="str">
        <f t="shared" si="21"/>
        <v>J. Njeri</v>
      </c>
      <c r="Q144" t="s">
        <v>729</v>
      </c>
      <c r="R144" t="s">
        <v>1356</v>
      </c>
      <c r="S144" s="23">
        <v>1021.97</v>
      </c>
      <c r="T144" s="23">
        <v>2296.25</v>
      </c>
      <c r="U144" s="23">
        <f t="shared" si="22"/>
        <v>2296.25</v>
      </c>
      <c r="V144" s="8">
        <v>0.161</v>
      </c>
      <c r="W144" s="8">
        <f t="shared" si="23"/>
        <v>0.161</v>
      </c>
      <c r="X144">
        <v>26</v>
      </c>
    </row>
    <row r="145" spans="1:24" x14ac:dyDescent="0.35">
      <c r="A145" s="4" t="s">
        <v>641</v>
      </c>
      <c r="B145" s="5" t="str">
        <f>IF(COUNTIF($A$2:A145,A145)=1,"Original","Duplicate")</f>
        <v>Original</v>
      </c>
      <c r="C145" s="7">
        <v>45141</v>
      </c>
      <c r="D145" s="7">
        <v>45168</v>
      </c>
      <c r="E145" s="7" t="str">
        <f t="shared" si="16"/>
        <v>Valid</v>
      </c>
      <c r="F145" s="7">
        <f t="shared" si="17"/>
        <v>45168</v>
      </c>
      <c r="G145">
        <f t="shared" si="18"/>
        <v>27</v>
      </c>
      <c r="H145" t="s">
        <v>647</v>
      </c>
      <c r="I145" t="s">
        <v>659</v>
      </c>
      <c r="J145" t="s">
        <v>685</v>
      </c>
      <c r="K145" t="str">
        <f t="shared" si="19"/>
        <v>Shanghai</v>
      </c>
      <c r="L145" t="s">
        <v>704</v>
      </c>
      <c r="M145" t="s">
        <v>710</v>
      </c>
      <c r="N145" t="str">
        <f t="shared" si="20"/>
        <v>Distributor</v>
      </c>
      <c r="O145" t="s">
        <v>725</v>
      </c>
      <c r="P145" t="str">
        <f t="shared" si="21"/>
        <v>N. Brown</v>
      </c>
      <c r="Q145" t="s">
        <v>732</v>
      </c>
      <c r="R145" t="s">
        <v>1359</v>
      </c>
      <c r="S145" s="23">
        <v>226.04</v>
      </c>
      <c r="T145" s="23">
        <v>545.72</v>
      </c>
      <c r="U145" s="23">
        <f t="shared" si="22"/>
        <v>545.72</v>
      </c>
      <c r="V145" s="8">
        <v>0.151</v>
      </c>
      <c r="W145" s="8">
        <f t="shared" si="23"/>
        <v>0.151</v>
      </c>
      <c r="X145">
        <v>11</v>
      </c>
    </row>
    <row r="146" spans="1:24" x14ac:dyDescent="0.35">
      <c r="A146" s="4" t="s">
        <v>276</v>
      </c>
      <c r="B146" s="5" t="str">
        <f>IF(COUNTIF($A$2:A146,A146)=1,"Original","Duplicate")</f>
        <v>Original</v>
      </c>
      <c r="C146" s="7">
        <v>45142</v>
      </c>
      <c r="D146" s="7">
        <v>45162</v>
      </c>
      <c r="E146" s="7" t="str">
        <f t="shared" si="16"/>
        <v>Valid</v>
      </c>
      <c r="F146" s="7">
        <f t="shared" si="17"/>
        <v>45162</v>
      </c>
      <c r="G146">
        <f t="shared" si="18"/>
        <v>20</v>
      </c>
      <c r="H146" t="s">
        <v>648</v>
      </c>
      <c r="I146" t="s">
        <v>655</v>
      </c>
      <c r="J146" t="s">
        <v>672</v>
      </c>
      <c r="K146" t="str">
        <f t="shared" si="19"/>
        <v>Brasília</v>
      </c>
      <c r="L146" t="s">
        <v>703</v>
      </c>
      <c r="M146" t="s">
        <v>711</v>
      </c>
      <c r="N146" t="str">
        <f t="shared" si="20"/>
        <v>Direct</v>
      </c>
      <c r="P146" t="str">
        <f t="shared" si="21"/>
        <v>Unassigned</v>
      </c>
      <c r="Q146" t="s">
        <v>729</v>
      </c>
      <c r="R146" t="s">
        <v>996</v>
      </c>
      <c r="S146" s="23">
        <v>582.88</v>
      </c>
      <c r="T146" s="23">
        <v>1044.1400000000001</v>
      </c>
      <c r="U146" s="23">
        <f t="shared" si="22"/>
        <v>1044.1400000000001</v>
      </c>
      <c r="V146" s="8">
        <v>0.216</v>
      </c>
      <c r="W146" s="8">
        <f t="shared" si="23"/>
        <v>0.216</v>
      </c>
      <c r="X146">
        <v>10</v>
      </c>
    </row>
    <row r="147" spans="1:24" x14ac:dyDescent="0.35">
      <c r="A147" s="4" t="s">
        <v>205</v>
      </c>
      <c r="B147" s="5" t="str">
        <f>IF(COUNTIF($A$2:A147,A147)=1,"Original","Duplicate")</f>
        <v>Original</v>
      </c>
      <c r="C147" s="7">
        <v>45146</v>
      </c>
      <c r="D147" s="7">
        <v>45160</v>
      </c>
      <c r="E147" s="7" t="str">
        <f t="shared" si="16"/>
        <v>Valid</v>
      </c>
      <c r="F147" s="7">
        <f t="shared" si="17"/>
        <v>45160</v>
      </c>
      <c r="G147">
        <f t="shared" si="18"/>
        <v>14</v>
      </c>
      <c r="H147" t="s">
        <v>649</v>
      </c>
      <c r="I147" t="s">
        <v>658</v>
      </c>
      <c r="J147" t="s">
        <v>674</v>
      </c>
      <c r="K147" t="str">
        <f t="shared" si="19"/>
        <v>Birmingham</v>
      </c>
      <c r="L147" t="s">
        <v>703</v>
      </c>
      <c r="M147" t="s">
        <v>711</v>
      </c>
      <c r="N147" t="str">
        <f t="shared" si="20"/>
        <v>Direct</v>
      </c>
      <c r="O147" t="s">
        <v>725</v>
      </c>
      <c r="P147" t="str">
        <f t="shared" si="21"/>
        <v>N. Brown</v>
      </c>
      <c r="Q147" t="s">
        <v>732</v>
      </c>
      <c r="R147" t="s">
        <v>925</v>
      </c>
      <c r="S147" s="23">
        <v>446.69</v>
      </c>
      <c r="T147" s="23">
        <v>967.25</v>
      </c>
      <c r="U147" s="23">
        <f t="shared" si="22"/>
        <v>967.25</v>
      </c>
      <c r="V147" s="8">
        <v>9.4E-2</v>
      </c>
      <c r="W147" s="8">
        <f t="shared" si="23"/>
        <v>9.4E-2</v>
      </c>
      <c r="X147">
        <v>10</v>
      </c>
    </row>
    <row r="148" spans="1:24" x14ac:dyDescent="0.35">
      <c r="A148" s="4" t="s">
        <v>498</v>
      </c>
      <c r="B148" s="5" t="str">
        <f>IF(COUNTIF($A$2:A148,A148)=1,"Original","Duplicate")</f>
        <v>Original</v>
      </c>
      <c r="C148" s="7">
        <v>45148</v>
      </c>
      <c r="D148" s="7">
        <v>45153</v>
      </c>
      <c r="E148" s="7" t="str">
        <f t="shared" si="16"/>
        <v>Valid</v>
      </c>
      <c r="F148" s="7">
        <f t="shared" si="17"/>
        <v>45153</v>
      </c>
      <c r="G148">
        <f t="shared" si="18"/>
        <v>5</v>
      </c>
      <c r="H148" t="s">
        <v>648</v>
      </c>
      <c r="I148" t="s">
        <v>655</v>
      </c>
      <c r="J148" t="s">
        <v>670</v>
      </c>
      <c r="K148" t="str">
        <f t="shared" si="19"/>
        <v>São Paulo</v>
      </c>
      <c r="L148" t="s">
        <v>702</v>
      </c>
      <c r="M148" t="s">
        <v>711</v>
      </c>
      <c r="N148" t="str">
        <f t="shared" si="20"/>
        <v>Direct</v>
      </c>
      <c r="O148" t="s">
        <v>715</v>
      </c>
      <c r="P148" t="str">
        <f t="shared" si="21"/>
        <v>G. Dubois</v>
      </c>
      <c r="Q148" t="s">
        <v>729</v>
      </c>
      <c r="R148" t="s">
        <v>1217</v>
      </c>
      <c r="S148" s="23">
        <v>1307.52</v>
      </c>
      <c r="T148" s="23">
        <v>1921.65</v>
      </c>
      <c r="U148" s="23">
        <f t="shared" si="22"/>
        <v>1921.65</v>
      </c>
      <c r="V148" s="8">
        <v>0.123</v>
      </c>
      <c r="W148" s="8">
        <f t="shared" si="23"/>
        <v>0.123</v>
      </c>
      <c r="X148">
        <v>13</v>
      </c>
    </row>
    <row r="149" spans="1:24" x14ac:dyDescent="0.35">
      <c r="A149" s="4" t="s">
        <v>140</v>
      </c>
      <c r="B149" s="5" t="str">
        <f>IF(COUNTIF($A$2:A149,A149)=1,"Original","Duplicate")</f>
        <v>Original</v>
      </c>
      <c r="C149" s="7">
        <v>45150</v>
      </c>
      <c r="D149" s="7">
        <v>45175</v>
      </c>
      <c r="E149" s="7" t="str">
        <f t="shared" si="16"/>
        <v>Valid</v>
      </c>
      <c r="F149" s="7">
        <f t="shared" si="17"/>
        <v>45175</v>
      </c>
      <c r="G149">
        <f t="shared" si="18"/>
        <v>25</v>
      </c>
      <c r="H149" t="s">
        <v>647</v>
      </c>
      <c r="I149" t="s">
        <v>659</v>
      </c>
      <c r="J149" t="s">
        <v>685</v>
      </c>
      <c r="K149" t="str">
        <f t="shared" si="19"/>
        <v>Shanghai</v>
      </c>
      <c r="L149" t="s">
        <v>705</v>
      </c>
      <c r="M149" t="s">
        <v>707</v>
      </c>
      <c r="N149" t="str">
        <f t="shared" si="20"/>
        <v>Retail</v>
      </c>
      <c r="O149" t="s">
        <v>717</v>
      </c>
      <c r="P149" t="str">
        <f t="shared" si="21"/>
        <v>B. Chen</v>
      </c>
      <c r="Q149" t="s">
        <v>727</v>
      </c>
      <c r="R149" t="s">
        <v>859</v>
      </c>
      <c r="S149" s="23">
        <v>950.77</v>
      </c>
      <c r="T149" s="23">
        <v>694.78</v>
      </c>
      <c r="U149" s="23">
        <f t="shared" si="22"/>
        <v>694.78</v>
      </c>
      <c r="V149" s="8">
        <v>8.4000000000000005E-2</v>
      </c>
      <c r="W149" s="8">
        <f t="shared" si="23"/>
        <v>8.4000000000000005E-2</v>
      </c>
      <c r="X149">
        <v>14</v>
      </c>
    </row>
    <row r="150" spans="1:24" x14ac:dyDescent="0.35">
      <c r="A150" s="4" t="s">
        <v>216</v>
      </c>
      <c r="B150" s="5" t="str">
        <f>IF(COUNTIF($A$2:A150,A150)=1,"Original","Duplicate")</f>
        <v>Original</v>
      </c>
      <c r="C150" s="7">
        <v>45153</v>
      </c>
      <c r="D150" s="7">
        <v>45176</v>
      </c>
      <c r="E150" s="7" t="str">
        <f t="shared" si="16"/>
        <v>Valid</v>
      </c>
      <c r="F150" s="7">
        <f t="shared" si="17"/>
        <v>45176</v>
      </c>
      <c r="G150">
        <f t="shared" si="18"/>
        <v>23</v>
      </c>
      <c r="H150" t="s">
        <v>648</v>
      </c>
      <c r="I150" t="s">
        <v>660</v>
      </c>
      <c r="J150" t="s">
        <v>700</v>
      </c>
      <c r="K150" t="str">
        <f t="shared" si="19"/>
        <v>New York</v>
      </c>
      <c r="L150" t="s">
        <v>706</v>
      </c>
      <c r="M150" t="s">
        <v>708</v>
      </c>
      <c r="N150" t="str">
        <f t="shared" si="20"/>
        <v>Online</v>
      </c>
      <c r="O150" t="s">
        <v>723</v>
      </c>
      <c r="P150" t="str">
        <f t="shared" si="21"/>
        <v>K. Singh</v>
      </c>
      <c r="Q150" t="s">
        <v>730</v>
      </c>
      <c r="R150" t="s">
        <v>936</v>
      </c>
      <c r="S150" s="23">
        <v>590.33000000000004</v>
      </c>
      <c r="T150" s="23">
        <v>973.04</v>
      </c>
      <c r="U150" s="23">
        <f t="shared" si="22"/>
        <v>973.04</v>
      </c>
      <c r="V150" s="8">
        <v>0</v>
      </c>
      <c r="W150" s="8">
        <f t="shared" si="23"/>
        <v>0</v>
      </c>
      <c r="X150">
        <v>26</v>
      </c>
    </row>
    <row r="151" spans="1:24" x14ac:dyDescent="0.35">
      <c r="A151" s="4" t="s">
        <v>296</v>
      </c>
      <c r="B151" s="5" t="str">
        <f>IF(COUNTIF($A$2:A151,A151)=1,"Original","Duplicate")</f>
        <v>Original</v>
      </c>
      <c r="C151" s="7">
        <v>45153</v>
      </c>
      <c r="D151" s="7">
        <v>45163</v>
      </c>
      <c r="E151" s="7" t="str">
        <f t="shared" si="16"/>
        <v>Valid</v>
      </c>
      <c r="F151" s="7">
        <f t="shared" si="17"/>
        <v>45163</v>
      </c>
      <c r="G151">
        <f t="shared" si="18"/>
        <v>10</v>
      </c>
      <c r="H151" t="s">
        <v>646</v>
      </c>
      <c r="I151" t="s">
        <v>650</v>
      </c>
      <c r="J151" t="s">
        <v>664</v>
      </c>
      <c r="K151" t="str">
        <f t="shared" si="19"/>
        <v>Nairobi</v>
      </c>
      <c r="L151" t="s">
        <v>705</v>
      </c>
      <c r="M151" t="s">
        <v>707</v>
      </c>
      <c r="N151" t="str">
        <f t="shared" si="20"/>
        <v>Retail</v>
      </c>
      <c r="O151" t="s">
        <v>725</v>
      </c>
      <c r="P151" t="str">
        <f t="shared" si="21"/>
        <v>N. Brown</v>
      </c>
      <c r="Q151" t="s">
        <v>730</v>
      </c>
      <c r="R151" t="s">
        <v>1016</v>
      </c>
      <c r="S151" s="23">
        <v>91.85</v>
      </c>
      <c r="T151" s="23">
        <v>111.29</v>
      </c>
      <c r="U151" s="23">
        <f t="shared" si="22"/>
        <v>111.29</v>
      </c>
      <c r="V151" s="8">
        <v>0</v>
      </c>
      <c r="W151" s="8">
        <f t="shared" si="23"/>
        <v>0</v>
      </c>
      <c r="X151">
        <v>6</v>
      </c>
    </row>
    <row r="152" spans="1:24" x14ac:dyDescent="0.35">
      <c r="A152" s="4" t="s">
        <v>547</v>
      </c>
      <c r="B152" s="5" t="str">
        <f>IF(COUNTIF($A$2:A152,A152)=1,"Original","Duplicate")</f>
        <v>Original</v>
      </c>
      <c r="C152" s="7">
        <v>45155</v>
      </c>
      <c r="D152" s="7">
        <v>45172</v>
      </c>
      <c r="E152" s="7" t="str">
        <f t="shared" si="16"/>
        <v>Valid</v>
      </c>
      <c r="F152" s="7">
        <f t="shared" si="17"/>
        <v>45172</v>
      </c>
      <c r="G152">
        <f t="shared" si="18"/>
        <v>17</v>
      </c>
      <c r="H152" t="s">
        <v>646</v>
      </c>
      <c r="I152" t="s">
        <v>661</v>
      </c>
      <c r="J152" t="s">
        <v>687</v>
      </c>
      <c r="K152" t="str">
        <f t="shared" si="19"/>
        <v>Durban</v>
      </c>
      <c r="L152" t="s">
        <v>706</v>
      </c>
      <c r="M152" t="s">
        <v>707</v>
      </c>
      <c r="N152" t="str">
        <f t="shared" si="20"/>
        <v>Retail</v>
      </c>
      <c r="O152" t="s">
        <v>720</v>
      </c>
      <c r="P152" t="str">
        <f t="shared" si="21"/>
        <v>A. Patel</v>
      </c>
      <c r="Q152" t="s">
        <v>730</v>
      </c>
      <c r="R152" t="s">
        <v>1266</v>
      </c>
      <c r="S152" s="23">
        <v>676.37</v>
      </c>
      <c r="T152" s="23">
        <v>1276.67</v>
      </c>
      <c r="U152" s="23">
        <f t="shared" si="22"/>
        <v>1276.67</v>
      </c>
      <c r="V152" s="8">
        <v>6.6000000000000003E-2</v>
      </c>
      <c r="W152" s="8">
        <f t="shared" si="23"/>
        <v>6.6000000000000003E-2</v>
      </c>
      <c r="X152">
        <v>10</v>
      </c>
    </row>
    <row r="153" spans="1:24" x14ac:dyDescent="0.35">
      <c r="A153" s="4" t="s">
        <v>83</v>
      </c>
      <c r="B153" s="5" t="str">
        <f>IF(COUNTIF($A$2:A153,A153)=1,"Original","Duplicate")</f>
        <v>Original</v>
      </c>
      <c r="C153" s="7">
        <v>45157</v>
      </c>
      <c r="D153" s="7">
        <v>45176</v>
      </c>
      <c r="E153" s="7" t="str">
        <f t="shared" si="16"/>
        <v>Valid</v>
      </c>
      <c r="F153" s="7">
        <f t="shared" si="17"/>
        <v>45176</v>
      </c>
      <c r="G153">
        <f t="shared" si="18"/>
        <v>19</v>
      </c>
      <c r="H153" t="s">
        <v>646</v>
      </c>
      <c r="I153" t="s">
        <v>661</v>
      </c>
      <c r="J153" t="s">
        <v>682</v>
      </c>
      <c r="K153" t="str">
        <f t="shared" si="19"/>
        <v>Johannesburg</v>
      </c>
      <c r="L153" t="s">
        <v>706</v>
      </c>
      <c r="M153" t="s">
        <v>707</v>
      </c>
      <c r="N153" t="str">
        <f t="shared" si="20"/>
        <v>Retail</v>
      </c>
      <c r="O153" t="s">
        <v>726</v>
      </c>
      <c r="P153" t="str">
        <f t="shared" si="21"/>
        <v>D. Smith</v>
      </c>
      <c r="Q153" t="s">
        <v>732</v>
      </c>
      <c r="R153" t="s">
        <v>802</v>
      </c>
      <c r="S153" s="23">
        <v>494.61</v>
      </c>
      <c r="T153" s="23">
        <v>605.23</v>
      </c>
      <c r="U153" s="23">
        <f t="shared" si="22"/>
        <v>605.23</v>
      </c>
      <c r="V153" s="8">
        <v>0.20399999999999999</v>
      </c>
      <c r="W153" s="8">
        <f t="shared" si="23"/>
        <v>0.20399999999999999</v>
      </c>
      <c r="X153">
        <v>18</v>
      </c>
    </row>
    <row r="154" spans="1:24" x14ac:dyDescent="0.35">
      <c r="A154" s="4" t="s">
        <v>96</v>
      </c>
      <c r="B154" s="5" t="str">
        <f>IF(COUNTIF($A$2:A154,A154)=1,"Original","Duplicate")</f>
        <v>Original</v>
      </c>
      <c r="C154" s="7">
        <v>45157</v>
      </c>
      <c r="D154" s="7">
        <v>45181</v>
      </c>
      <c r="E154" s="7" t="str">
        <f t="shared" si="16"/>
        <v>Valid</v>
      </c>
      <c r="F154" s="7">
        <f t="shared" si="17"/>
        <v>45181</v>
      </c>
      <c r="G154">
        <f t="shared" si="18"/>
        <v>24</v>
      </c>
      <c r="H154" t="s">
        <v>648</v>
      </c>
      <c r="I154" t="s">
        <v>653</v>
      </c>
      <c r="J154" t="s">
        <v>688</v>
      </c>
      <c r="K154" t="str">
        <f t="shared" si="19"/>
        <v>Vancouver</v>
      </c>
      <c r="L154" t="s">
        <v>706</v>
      </c>
      <c r="M154" t="s">
        <v>707</v>
      </c>
      <c r="N154" t="str">
        <f t="shared" si="20"/>
        <v>Retail</v>
      </c>
      <c r="O154" t="s">
        <v>714</v>
      </c>
      <c r="P154" t="str">
        <f t="shared" si="21"/>
        <v>I. Johnson</v>
      </c>
      <c r="Q154" t="s">
        <v>728</v>
      </c>
      <c r="R154" t="s">
        <v>815</v>
      </c>
      <c r="S154" s="23">
        <v>1183.95</v>
      </c>
      <c r="T154" s="23">
        <v>1503.53</v>
      </c>
      <c r="U154" s="23">
        <f t="shared" si="22"/>
        <v>1503.53</v>
      </c>
      <c r="V154" s="8">
        <v>0.24099999999999999</v>
      </c>
      <c r="W154" s="8">
        <f t="shared" si="23"/>
        <v>0.24099999999999999</v>
      </c>
      <c r="X154">
        <v>16</v>
      </c>
    </row>
    <row r="155" spans="1:24" x14ac:dyDescent="0.35">
      <c r="A155" s="4" t="s">
        <v>198</v>
      </c>
      <c r="B155" s="5" t="str">
        <f>IF(COUNTIF($A$2:A155,A155)=1,"Original","Duplicate")</f>
        <v>Original</v>
      </c>
      <c r="C155" s="7">
        <v>45157</v>
      </c>
      <c r="D155" s="7">
        <v>45161</v>
      </c>
      <c r="E155" s="7" t="str">
        <f t="shared" si="16"/>
        <v>Valid</v>
      </c>
      <c r="F155" s="7">
        <f t="shared" si="17"/>
        <v>45161</v>
      </c>
      <c r="G155">
        <f t="shared" si="18"/>
        <v>4</v>
      </c>
      <c r="H155" t="s">
        <v>646</v>
      </c>
      <c r="I155" t="s">
        <v>651</v>
      </c>
      <c r="J155" t="s">
        <v>669</v>
      </c>
      <c r="K155" t="str">
        <f t="shared" si="19"/>
        <v>Abuja</v>
      </c>
      <c r="L155" t="s">
        <v>705</v>
      </c>
      <c r="M155" t="s">
        <v>708</v>
      </c>
      <c r="N155" t="str">
        <f t="shared" si="20"/>
        <v>Online</v>
      </c>
      <c r="O155" t="s">
        <v>713</v>
      </c>
      <c r="P155" t="str">
        <f t="shared" si="21"/>
        <v>J. Njeri</v>
      </c>
      <c r="Q155" t="s">
        <v>732</v>
      </c>
      <c r="R155" t="s">
        <v>917</v>
      </c>
      <c r="S155" s="23">
        <v>790.63</v>
      </c>
      <c r="T155" s="23">
        <v>1382.31</v>
      </c>
      <c r="U155" s="23">
        <f t="shared" si="22"/>
        <v>1382.31</v>
      </c>
      <c r="V155" s="8">
        <v>0.10100000000000001</v>
      </c>
      <c r="W155" s="8">
        <f t="shared" si="23"/>
        <v>0.10100000000000001</v>
      </c>
      <c r="X155">
        <v>7</v>
      </c>
    </row>
    <row r="156" spans="1:24" x14ac:dyDescent="0.35">
      <c r="A156" s="4" t="s">
        <v>139</v>
      </c>
      <c r="B156" s="5" t="str">
        <f>IF(COUNTIF($A$2:A156,A156)=1,"Original","Duplicate")</f>
        <v>Original</v>
      </c>
      <c r="C156" s="7">
        <v>45159</v>
      </c>
      <c r="D156" s="7">
        <v>45173</v>
      </c>
      <c r="E156" s="7" t="str">
        <f t="shared" si="16"/>
        <v>Valid</v>
      </c>
      <c r="F156" s="7">
        <f t="shared" si="17"/>
        <v>45173</v>
      </c>
      <c r="G156">
        <f t="shared" si="18"/>
        <v>14</v>
      </c>
      <c r="H156" t="s">
        <v>648</v>
      </c>
      <c r="I156" t="s">
        <v>653</v>
      </c>
      <c r="J156" t="s">
        <v>681</v>
      </c>
      <c r="K156" t="str">
        <f t="shared" si="19"/>
        <v>Montreal</v>
      </c>
      <c r="L156" t="s">
        <v>702</v>
      </c>
      <c r="M156" t="s">
        <v>710</v>
      </c>
      <c r="N156" t="str">
        <f t="shared" si="20"/>
        <v>Distributor</v>
      </c>
      <c r="O156" t="s">
        <v>721</v>
      </c>
      <c r="P156" t="str">
        <f t="shared" si="21"/>
        <v>F. Müller</v>
      </c>
      <c r="Q156" t="s">
        <v>727</v>
      </c>
      <c r="R156" t="s">
        <v>858</v>
      </c>
      <c r="S156" s="23">
        <v>178.19</v>
      </c>
      <c r="T156" s="23">
        <v>284.43</v>
      </c>
      <c r="U156" s="23">
        <f t="shared" si="22"/>
        <v>284.43</v>
      </c>
      <c r="V156" s="8">
        <v>8.8999999999999996E-2</v>
      </c>
      <c r="W156" s="8">
        <f t="shared" si="23"/>
        <v>8.8999999999999996E-2</v>
      </c>
      <c r="X156">
        <v>8</v>
      </c>
    </row>
    <row r="157" spans="1:24" x14ac:dyDescent="0.35">
      <c r="A157" s="4" t="s">
        <v>307</v>
      </c>
      <c r="B157" s="5" t="str">
        <f>IF(COUNTIF($A$2:A157,A157)=1,"Original","Duplicate")</f>
        <v>Original</v>
      </c>
      <c r="C157" s="7">
        <v>45161</v>
      </c>
      <c r="D157" s="7">
        <v>45191</v>
      </c>
      <c r="E157" s="7" t="str">
        <f t="shared" si="16"/>
        <v>Valid</v>
      </c>
      <c r="F157" s="7">
        <f t="shared" si="17"/>
        <v>45191</v>
      </c>
      <c r="G157">
        <f t="shared" si="18"/>
        <v>30</v>
      </c>
      <c r="H157" t="s">
        <v>649</v>
      </c>
      <c r="I157" t="s">
        <v>658</v>
      </c>
      <c r="J157" t="s">
        <v>683</v>
      </c>
      <c r="K157" t="str">
        <f t="shared" si="19"/>
        <v>London</v>
      </c>
      <c r="L157" t="s">
        <v>704</v>
      </c>
      <c r="M157" t="s">
        <v>710</v>
      </c>
      <c r="N157" t="str">
        <f t="shared" si="20"/>
        <v>Distributor</v>
      </c>
      <c r="O157" t="s">
        <v>719</v>
      </c>
      <c r="P157" t="str">
        <f t="shared" si="21"/>
        <v>O. Wang</v>
      </c>
      <c r="Q157" t="s">
        <v>733</v>
      </c>
      <c r="R157" t="s">
        <v>1027</v>
      </c>
      <c r="S157" s="23">
        <v>209.81</v>
      </c>
      <c r="T157" s="23">
        <v>523</v>
      </c>
      <c r="U157" s="23">
        <f t="shared" si="22"/>
        <v>523</v>
      </c>
      <c r="V157" s="8">
        <v>5.8999999999999997E-2</v>
      </c>
      <c r="W157" s="8">
        <f t="shared" si="23"/>
        <v>5.8999999999999997E-2</v>
      </c>
      <c r="X157">
        <v>15</v>
      </c>
    </row>
    <row r="158" spans="1:24" x14ac:dyDescent="0.35">
      <c r="A158" s="4" t="s">
        <v>543</v>
      </c>
      <c r="B158" s="5" t="str">
        <f>IF(COUNTIF($A$2:A158,A158)=1,"Original","Duplicate")</f>
        <v>Original</v>
      </c>
      <c r="C158" s="7">
        <v>45162</v>
      </c>
      <c r="D158" s="7">
        <v>45189</v>
      </c>
      <c r="E158" s="7" t="str">
        <f t="shared" si="16"/>
        <v>Valid</v>
      </c>
      <c r="F158" s="7">
        <f t="shared" si="17"/>
        <v>45189</v>
      </c>
      <c r="G158">
        <f t="shared" si="18"/>
        <v>27</v>
      </c>
      <c r="H158" t="s">
        <v>646</v>
      </c>
      <c r="I158" t="s">
        <v>661</v>
      </c>
      <c r="J158" t="s">
        <v>687</v>
      </c>
      <c r="K158" t="str">
        <f t="shared" si="19"/>
        <v>Durban</v>
      </c>
      <c r="L158" t="s">
        <v>705</v>
      </c>
      <c r="M158" t="s">
        <v>709</v>
      </c>
      <c r="N158" t="str">
        <f t="shared" si="20"/>
        <v>Marketplace</v>
      </c>
      <c r="O158" t="s">
        <v>724</v>
      </c>
      <c r="P158" t="str">
        <f t="shared" si="21"/>
        <v>M. Rossi</v>
      </c>
      <c r="Q158" t="s">
        <v>728</v>
      </c>
      <c r="R158" t="s">
        <v>1262</v>
      </c>
      <c r="S158" s="23">
        <v>1399.64</v>
      </c>
      <c r="T158" s="23">
        <v>3342.11</v>
      </c>
      <c r="U158" s="23">
        <f t="shared" si="22"/>
        <v>3342.11</v>
      </c>
      <c r="V158" s="8">
        <v>0</v>
      </c>
      <c r="W158" s="8">
        <f t="shared" si="23"/>
        <v>0</v>
      </c>
      <c r="X158">
        <v>10</v>
      </c>
    </row>
    <row r="159" spans="1:24" x14ac:dyDescent="0.35">
      <c r="A159" s="4" t="s">
        <v>427</v>
      </c>
      <c r="B159" s="5" t="str">
        <f>IF(COUNTIF($A$2:A159,A159)=1,"Original","Duplicate")</f>
        <v>Original</v>
      </c>
      <c r="C159" s="7">
        <v>45163</v>
      </c>
      <c r="D159" s="7">
        <v>45185</v>
      </c>
      <c r="E159" s="7" t="str">
        <f t="shared" si="16"/>
        <v>Valid</v>
      </c>
      <c r="F159" s="7">
        <f t="shared" si="17"/>
        <v>45185</v>
      </c>
      <c r="G159">
        <f t="shared" si="18"/>
        <v>22</v>
      </c>
      <c r="H159" t="s">
        <v>646</v>
      </c>
      <c r="I159" t="s">
        <v>651</v>
      </c>
      <c r="J159" t="s">
        <v>669</v>
      </c>
      <c r="K159" t="str">
        <f t="shared" si="19"/>
        <v>Abuja</v>
      </c>
      <c r="L159" t="s">
        <v>701</v>
      </c>
      <c r="M159" t="s">
        <v>709</v>
      </c>
      <c r="N159" t="str">
        <f t="shared" si="20"/>
        <v>Marketplace</v>
      </c>
      <c r="O159" t="s">
        <v>716</v>
      </c>
      <c r="P159" t="str">
        <f t="shared" si="21"/>
        <v>L. Okafor</v>
      </c>
      <c r="Q159" t="s">
        <v>730</v>
      </c>
      <c r="R159" t="s">
        <v>1146</v>
      </c>
      <c r="S159" s="23">
        <v>1196.83</v>
      </c>
      <c r="T159" s="23">
        <v>2513.5100000000002</v>
      </c>
      <c r="U159" s="23">
        <f t="shared" si="22"/>
        <v>2513.5100000000002</v>
      </c>
      <c r="V159" s="8">
        <v>8.3000000000000004E-2</v>
      </c>
      <c r="W159" s="8">
        <f t="shared" si="23"/>
        <v>8.3000000000000004E-2</v>
      </c>
      <c r="X159">
        <v>7</v>
      </c>
    </row>
    <row r="160" spans="1:24" x14ac:dyDescent="0.35">
      <c r="A160" s="4" t="s">
        <v>236</v>
      </c>
      <c r="B160" s="5" t="str">
        <f>IF(COUNTIF($A$2:A160,A160)=1,"Original","Duplicate")</f>
        <v>Original</v>
      </c>
      <c r="C160" s="7">
        <v>45164</v>
      </c>
      <c r="D160" s="7">
        <v>45179</v>
      </c>
      <c r="E160" s="7" t="str">
        <f t="shared" si="16"/>
        <v>Valid</v>
      </c>
      <c r="F160" s="7">
        <f t="shared" si="17"/>
        <v>45179</v>
      </c>
      <c r="G160">
        <f t="shared" si="18"/>
        <v>15</v>
      </c>
      <c r="H160" t="s">
        <v>646</v>
      </c>
      <c r="I160" t="s">
        <v>661</v>
      </c>
      <c r="J160" t="s">
        <v>695</v>
      </c>
      <c r="K160" t="str">
        <f t="shared" si="19"/>
        <v>Cape Town</v>
      </c>
      <c r="L160" t="s">
        <v>703</v>
      </c>
      <c r="M160" t="s">
        <v>711</v>
      </c>
      <c r="N160" t="str">
        <f t="shared" si="20"/>
        <v>Direct</v>
      </c>
      <c r="O160" t="s">
        <v>725</v>
      </c>
      <c r="P160" t="str">
        <f t="shared" si="21"/>
        <v>N. Brown</v>
      </c>
      <c r="Q160" t="s">
        <v>727</v>
      </c>
      <c r="R160" t="s">
        <v>956</v>
      </c>
      <c r="S160" s="23">
        <v>241.14</v>
      </c>
      <c r="T160" s="23">
        <v>496.52</v>
      </c>
      <c r="U160" s="23">
        <f t="shared" si="22"/>
        <v>496.52</v>
      </c>
      <c r="V160" s="8">
        <v>9.2999999999999999E-2</v>
      </c>
      <c r="W160" s="8">
        <f t="shared" si="23"/>
        <v>9.2999999999999999E-2</v>
      </c>
      <c r="X160">
        <v>10</v>
      </c>
    </row>
    <row r="161" spans="1:24" x14ac:dyDescent="0.35">
      <c r="A161" s="4" t="s">
        <v>191</v>
      </c>
      <c r="B161" s="5" t="str">
        <f>IF(COUNTIF($A$2:A161,A161)=1,"Original","Duplicate")</f>
        <v>Original</v>
      </c>
      <c r="C161" s="7">
        <v>45165</v>
      </c>
      <c r="D161" s="7">
        <v>45180</v>
      </c>
      <c r="E161" s="7" t="str">
        <f t="shared" si="16"/>
        <v>Valid</v>
      </c>
      <c r="F161" s="7">
        <f t="shared" si="17"/>
        <v>45180</v>
      </c>
      <c r="G161">
        <f t="shared" si="18"/>
        <v>15</v>
      </c>
      <c r="H161" t="s">
        <v>649</v>
      </c>
      <c r="I161" t="s">
        <v>658</v>
      </c>
      <c r="J161" t="s">
        <v>683</v>
      </c>
      <c r="K161" t="str">
        <f t="shared" si="19"/>
        <v>London</v>
      </c>
      <c r="L161" t="s">
        <v>704</v>
      </c>
      <c r="M161" t="s">
        <v>709</v>
      </c>
      <c r="N161" t="str">
        <f t="shared" si="20"/>
        <v>Marketplace</v>
      </c>
      <c r="O161" t="s">
        <v>725</v>
      </c>
      <c r="P161" t="str">
        <f t="shared" si="21"/>
        <v>N. Brown</v>
      </c>
      <c r="Q161" t="s">
        <v>728</v>
      </c>
      <c r="R161" t="s">
        <v>910</v>
      </c>
      <c r="S161" s="23">
        <v>943.79</v>
      </c>
      <c r="T161" s="23">
        <v>1913.76</v>
      </c>
      <c r="U161" s="23">
        <f t="shared" si="22"/>
        <v>1913.76</v>
      </c>
      <c r="V161" s="8">
        <v>9.0999999999999998E-2</v>
      </c>
      <c r="W161" s="8">
        <f t="shared" si="23"/>
        <v>9.0999999999999998E-2</v>
      </c>
      <c r="X161">
        <v>9</v>
      </c>
    </row>
    <row r="162" spans="1:24" x14ac:dyDescent="0.35">
      <c r="A162" s="4" t="s">
        <v>429</v>
      </c>
      <c r="B162" s="5" t="str">
        <f>IF(COUNTIF($A$2:A162,A162)=1,"Original","Duplicate")</f>
        <v>Original</v>
      </c>
      <c r="C162" s="7">
        <v>45167</v>
      </c>
      <c r="D162" s="7">
        <v>45182</v>
      </c>
      <c r="E162" s="7" t="str">
        <f t="shared" si="16"/>
        <v>Valid</v>
      </c>
      <c r="F162" s="7">
        <f t="shared" si="17"/>
        <v>45182</v>
      </c>
      <c r="G162">
        <f t="shared" si="18"/>
        <v>15</v>
      </c>
      <c r="H162" t="s">
        <v>648</v>
      </c>
      <c r="I162" t="s">
        <v>653</v>
      </c>
      <c r="J162" t="s">
        <v>688</v>
      </c>
      <c r="K162" t="str">
        <f t="shared" si="19"/>
        <v>Vancouver</v>
      </c>
      <c r="L162" t="s">
        <v>705</v>
      </c>
      <c r="M162" t="s">
        <v>709</v>
      </c>
      <c r="N162" t="str">
        <f t="shared" si="20"/>
        <v>Marketplace</v>
      </c>
      <c r="O162" t="s">
        <v>719</v>
      </c>
      <c r="P162" t="str">
        <f t="shared" si="21"/>
        <v>O. Wang</v>
      </c>
      <c r="Q162" t="s">
        <v>728</v>
      </c>
      <c r="R162" t="s">
        <v>1148</v>
      </c>
      <c r="S162" s="23">
        <v>1287.6400000000001</v>
      </c>
      <c r="T162" s="23">
        <v>2717.15</v>
      </c>
      <c r="U162" s="23">
        <f t="shared" si="22"/>
        <v>2717.15</v>
      </c>
      <c r="V162" s="8">
        <v>3.2000000000000001E-2</v>
      </c>
      <c r="W162" s="8">
        <f t="shared" si="23"/>
        <v>3.2000000000000001E-2</v>
      </c>
      <c r="X162">
        <v>7</v>
      </c>
    </row>
    <row r="163" spans="1:24" x14ac:dyDescent="0.35">
      <c r="A163" s="4" t="s">
        <v>485</v>
      </c>
      <c r="B163" s="5" t="str">
        <f>IF(COUNTIF($A$2:A163,A163)=1,"Original","Duplicate")</f>
        <v>Original</v>
      </c>
      <c r="C163" s="7">
        <v>45167</v>
      </c>
      <c r="D163" s="7">
        <v>45188</v>
      </c>
      <c r="E163" s="7" t="str">
        <f t="shared" si="16"/>
        <v>Valid</v>
      </c>
      <c r="F163" s="7">
        <f t="shared" si="17"/>
        <v>45188</v>
      </c>
      <c r="G163">
        <f t="shared" si="18"/>
        <v>21</v>
      </c>
      <c r="H163" t="s">
        <v>649</v>
      </c>
      <c r="I163" t="s">
        <v>657</v>
      </c>
      <c r="J163" t="s">
        <v>679</v>
      </c>
      <c r="K163" t="str">
        <f t="shared" si="19"/>
        <v>Lyon</v>
      </c>
      <c r="L163" t="s">
        <v>705</v>
      </c>
      <c r="M163" t="s">
        <v>711</v>
      </c>
      <c r="N163" t="str">
        <f t="shared" si="20"/>
        <v>Direct</v>
      </c>
      <c r="O163" t="s">
        <v>717</v>
      </c>
      <c r="P163" t="str">
        <f t="shared" si="21"/>
        <v>B. Chen</v>
      </c>
      <c r="Q163" t="s">
        <v>728</v>
      </c>
      <c r="R163" t="s">
        <v>1204</v>
      </c>
      <c r="S163" s="23">
        <v>784.46</v>
      </c>
      <c r="T163" s="23">
        <v>1843.51</v>
      </c>
      <c r="U163" s="23">
        <f t="shared" si="22"/>
        <v>1843.51</v>
      </c>
      <c r="V163" s="8">
        <v>0.13800000000000001</v>
      </c>
      <c r="W163" s="8">
        <f t="shared" si="23"/>
        <v>0.13800000000000001</v>
      </c>
      <c r="X163">
        <v>23</v>
      </c>
    </row>
    <row r="164" spans="1:24" x14ac:dyDescent="0.35">
      <c r="A164" s="4" t="s">
        <v>69</v>
      </c>
      <c r="B164" s="5" t="str">
        <f>IF(COUNTIF($A$2:A164,A164)=1,"Original","Duplicate")</f>
        <v>Original</v>
      </c>
      <c r="C164" s="7">
        <v>45168</v>
      </c>
      <c r="D164" s="7">
        <v>45170</v>
      </c>
      <c r="E164" s="7" t="str">
        <f t="shared" si="16"/>
        <v>Valid</v>
      </c>
      <c r="F164" s="7">
        <f t="shared" si="17"/>
        <v>45170</v>
      </c>
      <c r="G164">
        <f t="shared" si="18"/>
        <v>2</v>
      </c>
      <c r="H164" t="s">
        <v>649</v>
      </c>
      <c r="I164" t="s">
        <v>656</v>
      </c>
      <c r="J164" t="s">
        <v>684</v>
      </c>
      <c r="K164" t="str">
        <f t="shared" si="19"/>
        <v>Munich</v>
      </c>
      <c r="L164" t="s">
        <v>701</v>
      </c>
      <c r="M164" t="s">
        <v>711</v>
      </c>
      <c r="N164" t="str">
        <f t="shared" si="20"/>
        <v>Direct</v>
      </c>
      <c r="O164" t="s">
        <v>725</v>
      </c>
      <c r="P164" t="str">
        <f t="shared" si="21"/>
        <v>N. Brown</v>
      </c>
      <c r="Q164" t="s">
        <v>729</v>
      </c>
      <c r="R164" t="s">
        <v>788</v>
      </c>
      <c r="S164" s="23">
        <v>44.42</v>
      </c>
      <c r="T164" s="23">
        <v>41.9</v>
      </c>
      <c r="U164" s="23">
        <f t="shared" si="22"/>
        <v>41.9</v>
      </c>
      <c r="V164" s="8">
        <v>0.14399999999999999</v>
      </c>
      <c r="W164" s="8">
        <f t="shared" si="23"/>
        <v>0.14399999999999999</v>
      </c>
      <c r="X164">
        <v>6</v>
      </c>
    </row>
    <row r="165" spans="1:24" x14ac:dyDescent="0.35">
      <c r="A165" s="4" t="s">
        <v>346</v>
      </c>
      <c r="B165" s="5" t="str">
        <f>IF(COUNTIF($A$2:A165,A165)=1,"Original","Duplicate")</f>
        <v>Original</v>
      </c>
      <c r="C165" s="7">
        <v>45168</v>
      </c>
      <c r="D165" s="7">
        <v>45172</v>
      </c>
      <c r="E165" s="7" t="str">
        <f t="shared" si="16"/>
        <v>Valid</v>
      </c>
      <c r="F165" s="7">
        <f t="shared" si="17"/>
        <v>45172</v>
      </c>
      <c r="G165">
        <f t="shared" si="18"/>
        <v>4</v>
      </c>
      <c r="H165" t="s">
        <v>647</v>
      </c>
      <c r="I165" t="s">
        <v>654</v>
      </c>
      <c r="J165" t="s">
        <v>680</v>
      </c>
      <c r="K165" t="str">
        <f t="shared" si="19"/>
        <v>Delhi</v>
      </c>
      <c r="L165" t="s">
        <v>705</v>
      </c>
      <c r="M165" t="s">
        <v>709</v>
      </c>
      <c r="N165" t="str">
        <f t="shared" si="20"/>
        <v>Marketplace</v>
      </c>
      <c r="O165" t="s">
        <v>716</v>
      </c>
      <c r="P165" t="str">
        <f t="shared" si="21"/>
        <v>L. Okafor</v>
      </c>
      <c r="Q165" t="s">
        <v>733</v>
      </c>
      <c r="R165" t="s">
        <v>1066</v>
      </c>
      <c r="S165" s="23">
        <v>1082.25</v>
      </c>
      <c r="T165" s="23">
        <v>2433.34</v>
      </c>
      <c r="U165" s="23">
        <f t="shared" si="22"/>
        <v>2433.34</v>
      </c>
      <c r="V165" s="8">
        <v>0.27</v>
      </c>
      <c r="W165" s="8">
        <f t="shared" si="23"/>
        <v>0.27</v>
      </c>
      <c r="X165">
        <v>4</v>
      </c>
    </row>
    <row r="166" spans="1:24" x14ac:dyDescent="0.35">
      <c r="A166" s="4" t="s">
        <v>561</v>
      </c>
      <c r="B166" s="5" t="str">
        <f>IF(COUNTIF($A$2:A166,A166)=1,"Original","Duplicate")</f>
        <v>Original</v>
      </c>
      <c r="C166" s="7">
        <v>45177</v>
      </c>
      <c r="D166" s="7">
        <v>45201</v>
      </c>
      <c r="E166" s="7" t="str">
        <f t="shared" si="16"/>
        <v>Valid</v>
      </c>
      <c r="F166" s="7">
        <f t="shared" si="17"/>
        <v>45201</v>
      </c>
      <c r="G166">
        <f t="shared" si="18"/>
        <v>24</v>
      </c>
      <c r="H166" t="s">
        <v>648</v>
      </c>
      <c r="I166" t="s">
        <v>653</v>
      </c>
      <c r="J166" t="s">
        <v>667</v>
      </c>
      <c r="K166" t="str">
        <f t="shared" si="19"/>
        <v>Toronto</v>
      </c>
      <c r="L166" t="s">
        <v>702</v>
      </c>
      <c r="M166" t="s">
        <v>711</v>
      </c>
      <c r="N166" t="str">
        <f t="shared" si="20"/>
        <v>Direct</v>
      </c>
      <c r="O166" t="s">
        <v>720</v>
      </c>
      <c r="P166" t="str">
        <f t="shared" si="21"/>
        <v>A. Patel</v>
      </c>
      <c r="Q166" t="s">
        <v>733</v>
      </c>
      <c r="R166" t="s">
        <v>1279</v>
      </c>
      <c r="S166" s="23">
        <v>1299.03</v>
      </c>
      <c r="T166" s="23">
        <v>2451.2199999999998</v>
      </c>
      <c r="U166" s="23">
        <f t="shared" si="22"/>
        <v>2451.2199999999998</v>
      </c>
      <c r="V166" s="8">
        <v>0.20799999999999999</v>
      </c>
      <c r="W166" s="8">
        <f t="shared" si="23"/>
        <v>0.20799999999999999</v>
      </c>
      <c r="X166">
        <v>8</v>
      </c>
    </row>
    <row r="167" spans="1:24" x14ac:dyDescent="0.35">
      <c r="A167" s="4" t="s">
        <v>634</v>
      </c>
      <c r="B167" s="5" t="str">
        <f>IF(COUNTIF($A$2:A167,A167)=1,"Original","Duplicate")</f>
        <v>Original</v>
      </c>
      <c r="C167" s="7">
        <v>45177</v>
      </c>
      <c r="D167" s="7">
        <v>45183</v>
      </c>
      <c r="E167" s="7" t="str">
        <f t="shared" si="16"/>
        <v>Valid</v>
      </c>
      <c r="F167" s="7">
        <f t="shared" si="17"/>
        <v>45183</v>
      </c>
      <c r="G167">
        <f t="shared" si="18"/>
        <v>6</v>
      </c>
      <c r="H167" t="s">
        <v>646</v>
      </c>
      <c r="I167" t="s">
        <v>650</v>
      </c>
      <c r="J167" t="s">
        <v>678</v>
      </c>
      <c r="K167" t="str">
        <f t="shared" si="19"/>
        <v>Nakuru</v>
      </c>
      <c r="L167" t="s">
        <v>702</v>
      </c>
      <c r="M167" t="s">
        <v>711</v>
      </c>
      <c r="N167" t="str">
        <f t="shared" si="20"/>
        <v>Direct</v>
      </c>
      <c r="O167" t="s">
        <v>714</v>
      </c>
      <c r="P167" t="str">
        <f t="shared" si="21"/>
        <v>I. Johnson</v>
      </c>
      <c r="Q167" t="s">
        <v>733</v>
      </c>
      <c r="R167" t="s">
        <v>1352</v>
      </c>
      <c r="S167" s="23">
        <v>251.03</v>
      </c>
      <c r="T167" s="23">
        <v>411.48</v>
      </c>
      <c r="U167" s="23">
        <f t="shared" si="22"/>
        <v>411.48</v>
      </c>
      <c r="V167" s="8">
        <v>0.16500000000000001</v>
      </c>
      <c r="W167" s="8">
        <f t="shared" si="23"/>
        <v>0.16500000000000001</v>
      </c>
      <c r="X167">
        <v>3</v>
      </c>
    </row>
    <row r="168" spans="1:24" x14ac:dyDescent="0.35">
      <c r="A168" s="4" t="s">
        <v>163</v>
      </c>
      <c r="B168" s="5" t="str">
        <f>IF(COUNTIF($A$2:A168,A168)=1,"Original","Duplicate")</f>
        <v>Original</v>
      </c>
      <c r="C168" s="7">
        <v>45183</v>
      </c>
      <c r="D168" s="7">
        <v>45185</v>
      </c>
      <c r="E168" s="7" t="str">
        <f t="shared" si="16"/>
        <v>Valid</v>
      </c>
      <c r="F168" s="7">
        <f t="shared" si="17"/>
        <v>45185</v>
      </c>
      <c r="G168">
        <f t="shared" si="18"/>
        <v>2</v>
      </c>
      <c r="H168" t="s">
        <v>649</v>
      </c>
      <c r="I168" t="s">
        <v>657</v>
      </c>
      <c r="J168" t="s">
        <v>679</v>
      </c>
      <c r="K168" t="str">
        <f t="shared" si="19"/>
        <v>Lyon</v>
      </c>
      <c r="L168" t="s">
        <v>703</v>
      </c>
      <c r="M168" t="s">
        <v>711</v>
      </c>
      <c r="N168" t="str">
        <f t="shared" si="20"/>
        <v>Direct</v>
      </c>
      <c r="O168" t="s">
        <v>717</v>
      </c>
      <c r="P168" t="str">
        <f t="shared" si="21"/>
        <v>B. Chen</v>
      </c>
      <c r="Q168" t="s">
        <v>728</v>
      </c>
      <c r="R168" t="s">
        <v>882</v>
      </c>
      <c r="S168" s="23">
        <v>376.83</v>
      </c>
      <c r="T168" s="23">
        <v>732.88</v>
      </c>
      <c r="U168" s="23">
        <f t="shared" si="22"/>
        <v>732.88</v>
      </c>
      <c r="V168" s="8">
        <v>0.188</v>
      </c>
      <c r="W168" s="8">
        <f t="shared" si="23"/>
        <v>0.188</v>
      </c>
      <c r="X168">
        <v>25</v>
      </c>
    </row>
    <row r="169" spans="1:24" x14ac:dyDescent="0.35">
      <c r="A169" s="4" t="s">
        <v>619</v>
      </c>
      <c r="B169" s="5" t="str">
        <f>IF(COUNTIF($A$2:A169,A169)=1,"Original","Duplicate")</f>
        <v>Original</v>
      </c>
      <c r="C169" s="7">
        <v>45186</v>
      </c>
      <c r="D169" s="7">
        <v>45201</v>
      </c>
      <c r="E169" s="7" t="str">
        <f t="shared" si="16"/>
        <v>Valid</v>
      </c>
      <c r="F169" s="7">
        <f t="shared" si="17"/>
        <v>45201</v>
      </c>
      <c r="G169">
        <f t="shared" si="18"/>
        <v>15</v>
      </c>
      <c r="H169" t="s">
        <v>648</v>
      </c>
      <c r="I169" t="s">
        <v>655</v>
      </c>
      <c r="J169" t="s">
        <v>692</v>
      </c>
      <c r="K169" t="str">
        <f t="shared" si="19"/>
        <v>Rio de Janeiro</v>
      </c>
      <c r="L169" t="s">
        <v>705</v>
      </c>
      <c r="M169" t="s">
        <v>707</v>
      </c>
      <c r="N169" t="str">
        <f t="shared" si="20"/>
        <v>Retail</v>
      </c>
      <c r="O169" t="s">
        <v>717</v>
      </c>
      <c r="P169" t="str">
        <f t="shared" si="21"/>
        <v>B. Chen</v>
      </c>
      <c r="Q169" t="s">
        <v>731</v>
      </c>
      <c r="R169" t="s">
        <v>1337</v>
      </c>
      <c r="S169" s="23">
        <v>689.33</v>
      </c>
      <c r="T169" s="23">
        <v>668.27</v>
      </c>
      <c r="U169" s="23">
        <f t="shared" si="22"/>
        <v>668.27</v>
      </c>
      <c r="V169" s="8">
        <v>0.186</v>
      </c>
      <c r="W169" s="8">
        <f t="shared" si="23"/>
        <v>0.186</v>
      </c>
      <c r="X169">
        <v>13</v>
      </c>
    </row>
    <row r="170" spans="1:24" x14ac:dyDescent="0.35">
      <c r="A170" s="4" t="s">
        <v>90</v>
      </c>
      <c r="B170" s="5" t="str">
        <f>IF(COUNTIF($A$2:A170,A170)=1,"Original","Duplicate")</f>
        <v>Original</v>
      </c>
      <c r="C170" s="7">
        <v>45187</v>
      </c>
      <c r="D170" s="7">
        <v>45207</v>
      </c>
      <c r="E170" s="7" t="str">
        <f t="shared" si="16"/>
        <v>Valid</v>
      </c>
      <c r="F170" s="7">
        <f t="shared" si="17"/>
        <v>45207</v>
      </c>
      <c r="G170">
        <f t="shared" si="18"/>
        <v>20</v>
      </c>
      <c r="H170" t="s">
        <v>647</v>
      </c>
      <c r="I170" t="s">
        <v>654</v>
      </c>
      <c r="J170" t="s">
        <v>680</v>
      </c>
      <c r="K170" t="str">
        <f t="shared" si="19"/>
        <v>Delhi</v>
      </c>
      <c r="L170" t="s">
        <v>705</v>
      </c>
      <c r="M170" t="s">
        <v>711</v>
      </c>
      <c r="N170" t="str">
        <f t="shared" si="20"/>
        <v>Direct</v>
      </c>
      <c r="O170" t="s">
        <v>717</v>
      </c>
      <c r="P170" t="str">
        <f t="shared" si="21"/>
        <v>B. Chen</v>
      </c>
      <c r="Q170" t="s">
        <v>727</v>
      </c>
      <c r="R170" t="s">
        <v>809</v>
      </c>
      <c r="S170" s="23">
        <v>825.64</v>
      </c>
      <c r="T170" s="23">
        <v>1108.43</v>
      </c>
      <c r="U170" s="23">
        <f t="shared" si="22"/>
        <v>1108.43</v>
      </c>
      <c r="V170" s="8">
        <v>0.114</v>
      </c>
      <c r="W170" s="8">
        <f t="shared" si="23"/>
        <v>0.114</v>
      </c>
      <c r="X170">
        <v>7</v>
      </c>
    </row>
    <row r="171" spans="1:24" x14ac:dyDescent="0.35">
      <c r="A171" s="4" t="s">
        <v>254</v>
      </c>
      <c r="B171" s="5" t="str">
        <f>IF(COUNTIF($A$2:A171,A171)=1,"Original","Duplicate")</f>
        <v>Original</v>
      </c>
      <c r="C171" s="7">
        <v>45188</v>
      </c>
      <c r="D171" s="7">
        <v>45207</v>
      </c>
      <c r="E171" s="7" t="str">
        <f t="shared" si="16"/>
        <v>Valid</v>
      </c>
      <c r="F171" s="7">
        <f t="shared" si="17"/>
        <v>45207</v>
      </c>
      <c r="G171">
        <f t="shared" si="18"/>
        <v>19</v>
      </c>
      <c r="H171" t="s">
        <v>647</v>
      </c>
      <c r="I171" t="s">
        <v>654</v>
      </c>
      <c r="J171" t="s">
        <v>668</v>
      </c>
      <c r="K171" t="str">
        <f t="shared" si="19"/>
        <v>Bengaluru</v>
      </c>
      <c r="L171" t="s">
        <v>702</v>
      </c>
      <c r="M171" t="s">
        <v>711</v>
      </c>
      <c r="N171" t="str">
        <f t="shared" si="20"/>
        <v>Direct</v>
      </c>
      <c r="O171" t="s">
        <v>713</v>
      </c>
      <c r="P171" t="str">
        <f t="shared" si="21"/>
        <v>J. Njeri</v>
      </c>
      <c r="Q171" t="s">
        <v>728</v>
      </c>
      <c r="R171" t="s">
        <v>974</v>
      </c>
      <c r="S171" s="23">
        <v>385.32</v>
      </c>
      <c r="T171" s="23">
        <v>606.76</v>
      </c>
      <c r="U171" s="23">
        <f t="shared" si="22"/>
        <v>606.76</v>
      </c>
      <c r="V171" s="8">
        <v>8.5999999999999993E-2</v>
      </c>
      <c r="W171" s="8">
        <f t="shared" si="23"/>
        <v>8.5999999999999993E-2</v>
      </c>
      <c r="X171">
        <v>8</v>
      </c>
    </row>
    <row r="172" spans="1:24" x14ac:dyDescent="0.35">
      <c r="A172" s="4" t="s">
        <v>456</v>
      </c>
      <c r="B172" s="5" t="str">
        <f>IF(COUNTIF($A$2:A172,A172)=1,"Original","Duplicate")</f>
        <v>Original</v>
      </c>
      <c r="C172" s="7">
        <v>45189</v>
      </c>
      <c r="D172" s="7">
        <v>45197</v>
      </c>
      <c r="E172" s="7" t="str">
        <f t="shared" si="16"/>
        <v>Valid</v>
      </c>
      <c r="F172" s="7">
        <f t="shared" si="17"/>
        <v>45197</v>
      </c>
      <c r="G172">
        <f t="shared" si="18"/>
        <v>8</v>
      </c>
      <c r="H172" t="s">
        <v>647</v>
      </c>
      <c r="I172" t="s">
        <v>654</v>
      </c>
      <c r="K172" t="str">
        <f t="shared" si="19"/>
        <v>Unknown</v>
      </c>
      <c r="L172" t="s">
        <v>701</v>
      </c>
      <c r="N172" t="str">
        <f t="shared" si="20"/>
        <v>Unknown</v>
      </c>
      <c r="O172" t="s">
        <v>717</v>
      </c>
      <c r="P172" t="str">
        <f t="shared" si="21"/>
        <v>B. Chen</v>
      </c>
      <c r="Q172" t="s">
        <v>733</v>
      </c>
      <c r="R172" t="s">
        <v>1175</v>
      </c>
      <c r="S172" s="23">
        <v>1362.06</v>
      </c>
      <c r="T172" s="23">
        <v>3398.37</v>
      </c>
      <c r="U172" s="23">
        <f t="shared" si="22"/>
        <v>3398.37</v>
      </c>
      <c r="V172" s="8">
        <v>0.157</v>
      </c>
      <c r="W172" s="8">
        <f t="shared" si="23"/>
        <v>0.157</v>
      </c>
      <c r="X172">
        <v>11</v>
      </c>
    </row>
    <row r="173" spans="1:24" x14ac:dyDescent="0.35">
      <c r="A173" s="4" t="s">
        <v>186</v>
      </c>
      <c r="B173" s="5" t="str">
        <f>IF(COUNTIF($A$2:A173,A173)=1,"Original","Duplicate")</f>
        <v>Original</v>
      </c>
      <c r="C173" s="7">
        <v>45190</v>
      </c>
      <c r="D173" s="7">
        <v>45209</v>
      </c>
      <c r="E173" s="7" t="str">
        <f t="shared" si="16"/>
        <v>Valid</v>
      </c>
      <c r="F173" s="7">
        <f t="shared" si="17"/>
        <v>45209</v>
      </c>
      <c r="G173">
        <f t="shared" si="18"/>
        <v>19</v>
      </c>
      <c r="H173" t="s">
        <v>647</v>
      </c>
      <c r="I173" t="s">
        <v>652</v>
      </c>
      <c r="J173" t="s">
        <v>689</v>
      </c>
      <c r="K173" t="str">
        <f t="shared" si="19"/>
        <v>Tokyo</v>
      </c>
      <c r="L173" t="s">
        <v>702</v>
      </c>
      <c r="M173" t="s">
        <v>708</v>
      </c>
      <c r="N173" t="str">
        <f t="shared" si="20"/>
        <v>Online</v>
      </c>
      <c r="O173" t="s">
        <v>726</v>
      </c>
      <c r="P173" t="str">
        <f t="shared" si="21"/>
        <v>D. Smith</v>
      </c>
      <c r="Q173" t="s">
        <v>727</v>
      </c>
      <c r="R173" t="s">
        <v>905</v>
      </c>
      <c r="S173" s="23">
        <v>845.63</v>
      </c>
      <c r="T173" s="23">
        <v>2062.12</v>
      </c>
      <c r="U173" s="23">
        <f t="shared" si="22"/>
        <v>2062.12</v>
      </c>
      <c r="V173" s="8">
        <v>0.13400000000000001</v>
      </c>
      <c r="W173" s="8">
        <f t="shared" si="23"/>
        <v>0.13400000000000001</v>
      </c>
      <c r="X173">
        <v>5</v>
      </c>
    </row>
    <row r="174" spans="1:24" x14ac:dyDescent="0.35">
      <c r="A174" s="4" t="s">
        <v>235</v>
      </c>
      <c r="B174" s="5" t="str">
        <f>IF(COUNTIF($A$2:A174,A174)=1,"Original","Duplicate")</f>
        <v>Original</v>
      </c>
      <c r="C174" s="7">
        <v>45194</v>
      </c>
      <c r="D174" s="7">
        <v>45201</v>
      </c>
      <c r="E174" s="7" t="str">
        <f t="shared" si="16"/>
        <v>Valid</v>
      </c>
      <c r="F174" s="7">
        <f t="shared" si="17"/>
        <v>45201</v>
      </c>
      <c r="G174">
        <f t="shared" si="18"/>
        <v>7</v>
      </c>
      <c r="H174" t="s">
        <v>648</v>
      </c>
      <c r="I174" t="s">
        <v>660</v>
      </c>
      <c r="J174" t="s">
        <v>700</v>
      </c>
      <c r="K174" t="str">
        <f t="shared" si="19"/>
        <v>New York</v>
      </c>
      <c r="L174" t="s">
        <v>702</v>
      </c>
      <c r="M174" t="s">
        <v>709</v>
      </c>
      <c r="N174" t="str">
        <f t="shared" si="20"/>
        <v>Marketplace</v>
      </c>
      <c r="O174" t="s">
        <v>714</v>
      </c>
      <c r="P174" t="str">
        <f t="shared" si="21"/>
        <v>I. Johnson</v>
      </c>
      <c r="Q174" t="s">
        <v>733</v>
      </c>
      <c r="R174" t="s">
        <v>955</v>
      </c>
      <c r="S174" s="23">
        <v>145.58000000000001</v>
      </c>
      <c r="T174" s="23">
        <v>228.15</v>
      </c>
      <c r="U174" s="23">
        <f t="shared" si="22"/>
        <v>228.15</v>
      </c>
      <c r="V174" s="8">
        <v>0.20399999999999999</v>
      </c>
      <c r="W174" s="8">
        <f t="shared" si="23"/>
        <v>0.20399999999999999</v>
      </c>
      <c r="X174">
        <v>5</v>
      </c>
    </row>
    <row r="175" spans="1:24" x14ac:dyDescent="0.35">
      <c r="A175" s="4" t="s">
        <v>382</v>
      </c>
      <c r="B175" s="5" t="str">
        <f>IF(COUNTIF($A$2:A175,A175)=1,"Original","Duplicate")</f>
        <v>Original</v>
      </c>
      <c r="C175" s="7">
        <v>45194</v>
      </c>
      <c r="D175" s="7">
        <v>45208</v>
      </c>
      <c r="E175" s="7" t="str">
        <f t="shared" si="16"/>
        <v>Valid</v>
      </c>
      <c r="F175" s="7">
        <f t="shared" si="17"/>
        <v>45208</v>
      </c>
      <c r="G175">
        <f t="shared" si="18"/>
        <v>14</v>
      </c>
      <c r="H175" t="s">
        <v>648</v>
      </c>
      <c r="I175" t="s">
        <v>660</v>
      </c>
      <c r="J175" t="s">
        <v>700</v>
      </c>
      <c r="K175" t="str">
        <f t="shared" si="19"/>
        <v>New York</v>
      </c>
      <c r="L175" t="s">
        <v>705</v>
      </c>
      <c r="M175" t="s">
        <v>709</v>
      </c>
      <c r="N175" t="str">
        <f t="shared" si="20"/>
        <v>Marketplace</v>
      </c>
      <c r="O175" t="s">
        <v>713</v>
      </c>
      <c r="P175" t="str">
        <f t="shared" si="21"/>
        <v>J. Njeri</v>
      </c>
      <c r="Q175" t="s">
        <v>731</v>
      </c>
      <c r="R175" t="s">
        <v>1102</v>
      </c>
      <c r="S175" s="23">
        <v>1279.56</v>
      </c>
      <c r="T175" s="23">
        <v>3083.8</v>
      </c>
      <c r="U175" s="23">
        <f t="shared" si="22"/>
        <v>3083.8</v>
      </c>
      <c r="V175" s="8">
        <v>0.106</v>
      </c>
      <c r="W175" s="8">
        <f t="shared" si="23"/>
        <v>0.106</v>
      </c>
      <c r="X175">
        <v>5</v>
      </c>
    </row>
    <row r="176" spans="1:24" x14ac:dyDescent="0.35">
      <c r="A176" s="4" t="s">
        <v>402</v>
      </c>
      <c r="B176" s="5" t="str">
        <f>IF(COUNTIF($A$2:A176,A176)=1,"Original","Duplicate")</f>
        <v>Original</v>
      </c>
      <c r="C176" s="7">
        <v>45199</v>
      </c>
      <c r="D176" s="7">
        <v>45202</v>
      </c>
      <c r="E176" s="7" t="str">
        <f t="shared" si="16"/>
        <v>Valid</v>
      </c>
      <c r="F176" s="7">
        <f t="shared" si="17"/>
        <v>45202</v>
      </c>
      <c r="G176">
        <f t="shared" si="18"/>
        <v>3</v>
      </c>
      <c r="H176" t="s">
        <v>647</v>
      </c>
      <c r="I176" t="s">
        <v>659</v>
      </c>
      <c r="J176" t="s">
        <v>699</v>
      </c>
      <c r="K176" t="str">
        <f t="shared" si="19"/>
        <v>Beijing</v>
      </c>
      <c r="L176" t="s">
        <v>703</v>
      </c>
      <c r="M176" t="s">
        <v>707</v>
      </c>
      <c r="N176" t="str">
        <f t="shared" si="20"/>
        <v>Retail</v>
      </c>
      <c r="O176" t="s">
        <v>713</v>
      </c>
      <c r="P176" t="str">
        <f t="shared" si="21"/>
        <v>J. Njeri</v>
      </c>
      <c r="Q176" t="s">
        <v>731</v>
      </c>
      <c r="R176" t="s">
        <v>1121</v>
      </c>
      <c r="S176" s="23">
        <v>1019.36</v>
      </c>
      <c r="T176" s="23">
        <v>972.91</v>
      </c>
      <c r="U176" s="23">
        <f t="shared" si="22"/>
        <v>972.91</v>
      </c>
      <c r="V176" s="8">
        <v>0.14699999999999999</v>
      </c>
      <c r="W176" s="8">
        <f t="shared" si="23"/>
        <v>0.14699999999999999</v>
      </c>
      <c r="X176">
        <v>17</v>
      </c>
    </row>
    <row r="177" spans="1:24" x14ac:dyDescent="0.35">
      <c r="A177" s="4" t="s">
        <v>530</v>
      </c>
      <c r="B177" s="5" t="str">
        <f>IF(COUNTIF($A$2:A177,A177)=1,"Original","Duplicate")</f>
        <v>Original</v>
      </c>
      <c r="C177" s="7">
        <v>45199</v>
      </c>
      <c r="D177" s="7">
        <v>45229</v>
      </c>
      <c r="E177" s="7" t="str">
        <f t="shared" si="16"/>
        <v>Valid</v>
      </c>
      <c r="F177" s="7">
        <f t="shared" si="17"/>
        <v>45229</v>
      </c>
      <c r="G177">
        <f t="shared" si="18"/>
        <v>30</v>
      </c>
      <c r="H177" t="s">
        <v>647</v>
      </c>
      <c r="I177" t="s">
        <v>652</v>
      </c>
      <c r="J177" t="s">
        <v>689</v>
      </c>
      <c r="K177" t="str">
        <f t="shared" si="19"/>
        <v>Tokyo</v>
      </c>
      <c r="L177" t="s">
        <v>706</v>
      </c>
      <c r="M177" t="s">
        <v>708</v>
      </c>
      <c r="N177" t="str">
        <f t="shared" si="20"/>
        <v>Online</v>
      </c>
      <c r="O177" t="s">
        <v>726</v>
      </c>
      <c r="P177" t="str">
        <f t="shared" si="21"/>
        <v>D. Smith</v>
      </c>
      <c r="Q177" t="s">
        <v>728</v>
      </c>
      <c r="R177" t="s">
        <v>1249</v>
      </c>
      <c r="S177" s="23">
        <v>649.13</v>
      </c>
      <c r="T177" s="23">
        <v>975.43</v>
      </c>
      <c r="U177" s="23">
        <f t="shared" si="22"/>
        <v>975.43</v>
      </c>
      <c r="V177" s="8">
        <v>0.157</v>
      </c>
      <c r="W177" s="8">
        <f t="shared" si="23"/>
        <v>0.157</v>
      </c>
      <c r="X177">
        <v>27</v>
      </c>
    </row>
    <row r="178" spans="1:24" x14ac:dyDescent="0.35">
      <c r="A178" s="4" t="s">
        <v>241</v>
      </c>
      <c r="B178" s="5" t="str">
        <f>IF(COUNTIF($A$2:A178,A178)=1,"Original","Duplicate")</f>
        <v>Original</v>
      </c>
      <c r="C178" s="7">
        <v>45203</v>
      </c>
      <c r="D178" s="7">
        <v>45228</v>
      </c>
      <c r="E178" s="7" t="str">
        <f t="shared" si="16"/>
        <v>Valid</v>
      </c>
      <c r="F178" s="7">
        <f t="shared" si="17"/>
        <v>45228</v>
      </c>
      <c r="G178">
        <f t="shared" si="18"/>
        <v>25</v>
      </c>
      <c r="H178" t="s">
        <v>648</v>
      </c>
      <c r="I178" t="s">
        <v>660</v>
      </c>
      <c r="J178" t="s">
        <v>686</v>
      </c>
      <c r="K178" t="str">
        <f t="shared" si="19"/>
        <v>San Francisco</v>
      </c>
      <c r="L178" t="s">
        <v>705</v>
      </c>
      <c r="M178" t="s">
        <v>710</v>
      </c>
      <c r="N178" t="str">
        <f t="shared" si="20"/>
        <v>Distributor</v>
      </c>
      <c r="O178" t="s">
        <v>719</v>
      </c>
      <c r="P178" t="str">
        <f t="shared" si="21"/>
        <v>O. Wang</v>
      </c>
      <c r="Q178" t="s">
        <v>733</v>
      </c>
      <c r="R178" t="s">
        <v>961</v>
      </c>
      <c r="S178" s="23">
        <v>1239.8399999999999</v>
      </c>
      <c r="T178" s="23">
        <v>1482.75</v>
      </c>
      <c r="U178" s="23">
        <f t="shared" si="22"/>
        <v>1482.75</v>
      </c>
      <c r="V178" s="8">
        <v>6.7000000000000004E-2</v>
      </c>
      <c r="W178" s="8">
        <f t="shared" si="23"/>
        <v>6.7000000000000004E-2</v>
      </c>
      <c r="X178">
        <v>4</v>
      </c>
    </row>
    <row r="179" spans="1:24" x14ac:dyDescent="0.35">
      <c r="A179" s="4" t="s">
        <v>270</v>
      </c>
      <c r="B179" s="5" t="str">
        <f>IF(COUNTIF($A$2:A179,A179)=1,"Original","Duplicate")</f>
        <v>Original</v>
      </c>
      <c r="C179" s="7">
        <v>45204</v>
      </c>
      <c r="D179" s="7">
        <v>45205</v>
      </c>
      <c r="E179" s="7" t="str">
        <f t="shared" si="16"/>
        <v>Valid</v>
      </c>
      <c r="F179" s="7">
        <f t="shared" si="17"/>
        <v>45205</v>
      </c>
      <c r="G179">
        <f t="shared" si="18"/>
        <v>1</v>
      </c>
      <c r="H179" t="s">
        <v>647</v>
      </c>
      <c r="I179" t="s">
        <v>654</v>
      </c>
      <c r="J179" t="s">
        <v>668</v>
      </c>
      <c r="K179" t="str">
        <f t="shared" si="19"/>
        <v>Bengaluru</v>
      </c>
      <c r="L179" t="s">
        <v>703</v>
      </c>
      <c r="M179" t="s">
        <v>708</v>
      </c>
      <c r="N179" t="str">
        <f t="shared" si="20"/>
        <v>Online</v>
      </c>
      <c r="O179" t="s">
        <v>714</v>
      </c>
      <c r="P179" t="str">
        <f t="shared" si="21"/>
        <v>I. Johnson</v>
      </c>
      <c r="Q179" t="s">
        <v>727</v>
      </c>
      <c r="R179" t="s">
        <v>990</v>
      </c>
      <c r="S179" s="23">
        <v>1470.26</v>
      </c>
      <c r="T179" s="23">
        <v>2562.5500000000002</v>
      </c>
      <c r="U179" s="23">
        <f t="shared" si="22"/>
        <v>2562.5500000000002</v>
      </c>
      <c r="V179" s="8">
        <v>0.17299999999999999</v>
      </c>
      <c r="W179" s="8">
        <f t="shared" si="23"/>
        <v>0.17299999999999999</v>
      </c>
      <c r="X179">
        <v>9</v>
      </c>
    </row>
    <row r="180" spans="1:24" x14ac:dyDescent="0.35">
      <c r="A180" s="4" t="s">
        <v>315</v>
      </c>
      <c r="B180" s="5" t="str">
        <f>IF(COUNTIF($A$2:A180,A180)=1,"Original","Duplicate")</f>
        <v>Original</v>
      </c>
      <c r="C180" s="7">
        <v>45204</v>
      </c>
      <c r="D180" s="7">
        <v>45230</v>
      </c>
      <c r="E180" s="7" t="str">
        <f t="shared" si="16"/>
        <v>Valid</v>
      </c>
      <c r="F180" s="7">
        <f t="shared" si="17"/>
        <v>45230</v>
      </c>
      <c r="G180">
        <f t="shared" si="18"/>
        <v>26</v>
      </c>
      <c r="H180" t="s">
        <v>647</v>
      </c>
      <c r="I180" t="s">
        <v>659</v>
      </c>
      <c r="J180" t="s">
        <v>685</v>
      </c>
      <c r="K180" t="str">
        <f t="shared" si="19"/>
        <v>Shanghai</v>
      </c>
      <c r="L180" t="s">
        <v>704</v>
      </c>
      <c r="N180" t="str">
        <f t="shared" si="20"/>
        <v>Unknown</v>
      </c>
      <c r="O180" t="s">
        <v>713</v>
      </c>
      <c r="P180" t="str">
        <f t="shared" si="21"/>
        <v>J. Njeri</v>
      </c>
      <c r="Q180" t="s">
        <v>728</v>
      </c>
      <c r="R180" t="s">
        <v>1035</v>
      </c>
      <c r="S180" s="23">
        <v>649.91</v>
      </c>
      <c r="T180" s="23">
        <v>1360.12</v>
      </c>
      <c r="U180" s="23">
        <f t="shared" si="22"/>
        <v>1360.12</v>
      </c>
      <c r="V180" s="8">
        <v>0.19400000000000001</v>
      </c>
      <c r="W180" s="8">
        <f t="shared" si="23"/>
        <v>0.19400000000000001</v>
      </c>
      <c r="X180">
        <v>9</v>
      </c>
    </row>
    <row r="181" spans="1:24" x14ac:dyDescent="0.35">
      <c r="A181" s="4" t="s">
        <v>183</v>
      </c>
      <c r="B181" s="5" t="str">
        <f>IF(COUNTIF($A$2:A181,A181)=1,"Original","Duplicate")</f>
        <v>Original</v>
      </c>
      <c r="C181" s="7">
        <v>45206</v>
      </c>
      <c r="D181" s="7">
        <v>45222</v>
      </c>
      <c r="E181" s="7" t="str">
        <f t="shared" si="16"/>
        <v>Valid</v>
      </c>
      <c r="F181" s="7">
        <f t="shared" si="17"/>
        <v>45222</v>
      </c>
      <c r="G181">
        <f t="shared" si="18"/>
        <v>16</v>
      </c>
      <c r="H181" t="s">
        <v>647</v>
      </c>
      <c r="I181" t="s">
        <v>654</v>
      </c>
      <c r="J181" t="s">
        <v>696</v>
      </c>
      <c r="K181" t="str">
        <f t="shared" si="19"/>
        <v>Hyderabad</v>
      </c>
      <c r="L181" t="s">
        <v>704</v>
      </c>
      <c r="M181" t="s">
        <v>707</v>
      </c>
      <c r="N181" t="str">
        <f t="shared" si="20"/>
        <v>Retail</v>
      </c>
      <c r="O181" t="s">
        <v>715</v>
      </c>
      <c r="P181" t="str">
        <f t="shared" si="21"/>
        <v>G. Dubois</v>
      </c>
      <c r="Q181" t="s">
        <v>732</v>
      </c>
      <c r="R181" t="s">
        <v>902</v>
      </c>
      <c r="S181" s="23">
        <v>906.81</v>
      </c>
      <c r="T181" s="23">
        <v>1395.56</v>
      </c>
      <c r="U181" s="23">
        <f t="shared" si="22"/>
        <v>1395.56</v>
      </c>
      <c r="V181" s="8">
        <v>0.185</v>
      </c>
      <c r="W181" s="8">
        <f t="shared" si="23"/>
        <v>0.185</v>
      </c>
      <c r="X181">
        <v>6</v>
      </c>
    </row>
    <row r="182" spans="1:24" x14ac:dyDescent="0.35">
      <c r="A182" s="4" t="s">
        <v>406</v>
      </c>
      <c r="B182" s="5" t="str">
        <f>IF(COUNTIF($A$2:A182,A182)=1,"Original","Duplicate")</f>
        <v>Original</v>
      </c>
      <c r="C182" s="7">
        <v>45208</v>
      </c>
      <c r="D182" s="7">
        <v>45225</v>
      </c>
      <c r="E182" s="7" t="str">
        <f t="shared" si="16"/>
        <v>Valid</v>
      </c>
      <c r="F182" s="7">
        <f t="shared" si="17"/>
        <v>45225</v>
      </c>
      <c r="G182">
        <f t="shared" si="18"/>
        <v>17</v>
      </c>
      <c r="H182" t="s">
        <v>647</v>
      </c>
      <c r="I182" t="s">
        <v>659</v>
      </c>
      <c r="J182" t="s">
        <v>685</v>
      </c>
      <c r="K182" t="str">
        <f t="shared" si="19"/>
        <v>Shanghai</v>
      </c>
      <c r="L182" t="s">
        <v>704</v>
      </c>
      <c r="M182" t="s">
        <v>709</v>
      </c>
      <c r="N182" t="str">
        <f t="shared" si="20"/>
        <v>Marketplace</v>
      </c>
      <c r="O182" t="s">
        <v>712</v>
      </c>
      <c r="P182" t="str">
        <f t="shared" si="21"/>
        <v>C. Otieno</v>
      </c>
      <c r="Q182" t="s">
        <v>727</v>
      </c>
      <c r="R182" t="s">
        <v>1125</v>
      </c>
      <c r="S182" s="23">
        <v>1132.03</v>
      </c>
      <c r="T182" s="23">
        <v>2137.21</v>
      </c>
      <c r="U182" s="23">
        <f t="shared" si="22"/>
        <v>2137.21</v>
      </c>
      <c r="V182" s="8">
        <v>0.35699999999999998</v>
      </c>
      <c r="W182" s="8">
        <f t="shared" si="23"/>
        <v>0.3</v>
      </c>
      <c r="X182">
        <v>35</v>
      </c>
    </row>
    <row r="183" spans="1:24" x14ac:dyDescent="0.35">
      <c r="A183" s="4" t="s">
        <v>630</v>
      </c>
      <c r="B183" s="5" t="str">
        <f>IF(COUNTIF($A$2:A183,A183)=1,"Original","Duplicate")</f>
        <v>Original</v>
      </c>
      <c r="C183" s="7">
        <v>45208</v>
      </c>
      <c r="D183" s="7">
        <v>45210</v>
      </c>
      <c r="E183" s="7" t="str">
        <f t="shared" si="16"/>
        <v>Valid</v>
      </c>
      <c r="F183" s="7">
        <f t="shared" si="17"/>
        <v>45210</v>
      </c>
      <c r="G183">
        <f t="shared" si="18"/>
        <v>2</v>
      </c>
      <c r="H183" t="s">
        <v>646</v>
      </c>
      <c r="I183" t="s">
        <v>651</v>
      </c>
      <c r="J183" t="s">
        <v>663</v>
      </c>
      <c r="K183" t="str">
        <f t="shared" si="19"/>
        <v>Port Harcourt</v>
      </c>
      <c r="L183" t="s">
        <v>702</v>
      </c>
      <c r="M183" t="s">
        <v>709</v>
      </c>
      <c r="N183" t="str">
        <f t="shared" si="20"/>
        <v>Marketplace</v>
      </c>
      <c r="O183" t="s">
        <v>723</v>
      </c>
      <c r="P183" t="str">
        <f t="shared" si="21"/>
        <v>K. Singh</v>
      </c>
      <c r="Q183" t="s">
        <v>729</v>
      </c>
      <c r="R183" t="s">
        <v>1348</v>
      </c>
      <c r="S183" s="23">
        <v>391.16</v>
      </c>
      <c r="T183" s="23">
        <v>902.47</v>
      </c>
      <c r="U183" s="23">
        <f t="shared" si="22"/>
        <v>902.47</v>
      </c>
      <c r="V183" s="8">
        <v>4.0000000000000001E-3</v>
      </c>
      <c r="W183" s="8">
        <f t="shared" si="23"/>
        <v>4.0000000000000001E-3</v>
      </c>
      <c r="X183">
        <v>12</v>
      </c>
    </row>
    <row r="184" spans="1:24" x14ac:dyDescent="0.35">
      <c r="A184" s="4" t="s">
        <v>273</v>
      </c>
      <c r="B184" s="5" t="str">
        <f>IF(COUNTIF($A$2:A184,A184)=1,"Original","Duplicate")</f>
        <v>Original</v>
      </c>
      <c r="C184" s="7">
        <v>45210</v>
      </c>
      <c r="D184" s="7">
        <v>45212</v>
      </c>
      <c r="E184" s="7" t="str">
        <f t="shared" si="16"/>
        <v>Valid</v>
      </c>
      <c r="F184" s="7">
        <f t="shared" si="17"/>
        <v>45212</v>
      </c>
      <c r="G184">
        <f t="shared" si="18"/>
        <v>2</v>
      </c>
      <c r="H184" t="s">
        <v>648</v>
      </c>
      <c r="I184" t="s">
        <v>655</v>
      </c>
      <c r="J184" t="s">
        <v>672</v>
      </c>
      <c r="K184" t="str">
        <f t="shared" si="19"/>
        <v>Brasília</v>
      </c>
      <c r="L184" t="s">
        <v>704</v>
      </c>
      <c r="M184" t="s">
        <v>710</v>
      </c>
      <c r="N184" t="str">
        <f t="shared" si="20"/>
        <v>Distributor</v>
      </c>
      <c r="P184" t="str">
        <f t="shared" si="21"/>
        <v>Unassigned</v>
      </c>
      <c r="Q184" t="s">
        <v>733</v>
      </c>
      <c r="R184" t="s">
        <v>993</v>
      </c>
      <c r="S184" s="23">
        <v>715.94</v>
      </c>
      <c r="T184" s="23">
        <v>550.07000000000005</v>
      </c>
      <c r="U184" s="23">
        <f t="shared" si="22"/>
        <v>550.07000000000005</v>
      </c>
      <c r="V184" s="8">
        <v>0.14000000000000001</v>
      </c>
      <c r="W184" s="8">
        <f t="shared" si="23"/>
        <v>0.14000000000000001</v>
      </c>
      <c r="X184">
        <v>16</v>
      </c>
    </row>
    <row r="185" spans="1:24" x14ac:dyDescent="0.35">
      <c r="A185" s="4" t="s">
        <v>434</v>
      </c>
      <c r="B185" s="5" t="str">
        <f>IF(COUNTIF($A$2:A185,A185)=1,"Original","Duplicate")</f>
        <v>Original</v>
      </c>
      <c r="C185" s="7">
        <v>45211</v>
      </c>
      <c r="D185" s="7">
        <v>45228</v>
      </c>
      <c r="E185" s="7" t="str">
        <f t="shared" si="16"/>
        <v>Valid</v>
      </c>
      <c r="F185" s="7">
        <f t="shared" si="17"/>
        <v>45228</v>
      </c>
      <c r="G185">
        <f t="shared" si="18"/>
        <v>17</v>
      </c>
      <c r="H185" t="s">
        <v>647</v>
      </c>
      <c r="I185" t="s">
        <v>652</v>
      </c>
      <c r="J185" t="s">
        <v>694</v>
      </c>
      <c r="K185" t="str">
        <f t="shared" si="19"/>
        <v>Nagoya</v>
      </c>
      <c r="L185" t="s">
        <v>703</v>
      </c>
      <c r="M185" t="s">
        <v>711</v>
      </c>
      <c r="N185" t="str">
        <f t="shared" si="20"/>
        <v>Direct</v>
      </c>
      <c r="O185" t="s">
        <v>722</v>
      </c>
      <c r="P185" t="str">
        <f t="shared" si="21"/>
        <v>H. Kim</v>
      </c>
      <c r="Q185" t="s">
        <v>730</v>
      </c>
      <c r="R185" t="s">
        <v>1153</v>
      </c>
      <c r="S185" s="23">
        <v>1102.19</v>
      </c>
      <c r="T185" s="23">
        <v>1711.16</v>
      </c>
      <c r="U185" s="23">
        <f t="shared" si="22"/>
        <v>1711.16</v>
      </c>
      <c r="V185" s="8">
        <v>0.151</v>
      </c>
      <c r="W185" s="8">
        <f t="shared" si="23"/>
        <v>0.151</v>
      </c>
      <c r="X185">
        <v>10</v>
      </c>
    </row>
    <row r="186" spans="1:24" x14ac:dyDescent="0.35">
      <c r="A186" s="4" t="s">
        <v>207</v>
      </c>
      <c r="B186" s="5" t="str">
        <f>IF(COUNTIF($A$2:A186,A186)=1,"Original","Duplicate")</f>
        <v>Original</v>
      </c>
      <c r="C186" s="7">
        <v>45214</v>
      </c>
      <c r="D186" s="7">
        <v>45243</v>
      </c>
      <c r="E186" s="7" t="str">
        <f t="shared" si="16"/>
        <v>Valid</v>
      </c>
      <c r="F186" s="7">
        <f t="shared" si="17"/>
        <v>45243</v>
      </c>
      <c r="G186">
        <f t="shared" si="18"/>
        <v>29</v>
      </c>
      <c r="H186" t="s">
        <v>647</v>
      </c>
      <c r="I186" t="s">
        <v>659</v>
      </c>
      <c r="J186" t="s">
        <v>676</v>
      </c>
      <c r="K186" t="str">
        <f t="shared" si="19"/>
        <v>Shenzhen</v>
      </c>
      <c r="L186" t="s">
        <v>703</v>
      </c>
      <c r="M186" t="s">
        <v>710</v>
      </c>
      <c r="N186" t="str">
        <f t="shared" si="20"/>
        <v>Distributor</v>
      </c>
      <c r="O186" t="s">
        <v>713</v>
      </c>
      <c r="P186" t="str">
        <f t="shared" si="21"/>
        <v>J. Njeri</v>
      </c>
      <c r="Q186" t="s">
        <v>728</v>
      </c>
      <c r="R186" t="s">
        <v>927</v>
      </c>
      <c r="S186" s="23">
        <v>986.44</v>
      </c>
      <c r="T186" s="23">
        <v>790.61</v>
      </c>
      <c r="U186" s="23">
        <f t="shared" si="22"/>
        <v>790.61</v>
      </c>
      <c r="V186" s="8">
        <v>7.1999999999999995E-2</v>
      </c>
      <c r="W186" s="8">
        <f t="shared" si="23"/>
        <v>7.1999999999999995E-2</v>
      </c>
      <c r="X186">
        <v>6</v>
      </c>
    </row>
    <row r="187" spans="1:24" x14ac:dyDescent="0.35">
      <c r="A187" s="4" t="s">
        <v>449</v>
      </c>
      <c r="B187" s="5" t="str">
        <f>IF(COUNTIF($A$2:A187,A187)=1,"Original","Duplicate")</f>
        <v>Original</v>
      </c>
      <c r="C187" s="7">
        <v>45217</v>
      </c>
      <c r="D187" s="7">
        <v>45219</v>
      </c>
      <c r="E187" s="7" t="str">
        <f t="shared" si="16"/>
        <v>Valid</v>
      </c>
      <c r="F187" s="7">
        <f t="shared" si="17"/>
        <v>45219</v>
      </c>
      <c r="G187">
        <f t="shared" si="18"/>
        <v>2</v>
      </c>
      <c r="H187" t="s">
        <v>646</v>
      </c>
      <c r="I187" t="s">
        <v>650</v>
      </c>
      <c r="J187" t="s">
        <v>662</v>
      </c>
      <c r="K187" t="str">
        <f t="shared" si="19"/>
        <v>Kisumu</v>
      </c>
      <c r="L187" t="s">
        <v>704</v>
      </c>
      <c r="M187" t="s">
        <v>707</v>
      </c>
      <c r="N187" t="str">
        <f t="shared" si="20"/>
        <v>Retail</v>
      </c>
      <c r="O187" t="s">
        <v>713</v>
      </c>
      <c r="P187" t="str">
        <f t="shared" si="21"/>
        <v>J. Njeri</v>
      </c>
      <c r="Q187" t="s">
        <v>730</v>
      </c>
      <c r="R187" t="s">
        <v>1168</v>
      </c>
      <c r="S187" s="23">
        <v>774.12</v>
      </c>
      <c r="T187" s="23">
        <v>908.3</v>
      </c>
      <c r="U187" s="23">
        <f t="shared" si="22"/>
        <v>908.3</v>
      </c>
      <c r="V187" s="8">
        <v>0</v>
      </c>
      <c r="W187" s="8">
        <f t="shared" si="23"/>
        <v>0</v>
      </c>
      <c r="X187">
        <v>30</v>
      </c>
    </row>
    <row r="188" spans="1:24" x14ac:dyDescent="0.35">
      <c r="A188" s="4" t="s">
        <v>306</v>
      </c>
      <c r="B188" s="5" t="str">
        <f>IF(COUNTIF($A$2:A188,A188)=1,"Original","Duplicate")</f>
        <v>Original</v>
      </c>
      <c r="C188" s="7">
        <v>45220</v>
      </c>
      <c r="D188" s="7">
        <v>45239</v>
      </c>
      <c r="E188" s="7" t="str">
        <f t="shared" si="16"/>
        <v>Valid</v>
      </c>
      <c r="F188" s="7">
        <f t="shared" si="17"/>
        <v>45239</v>
      </c>
      <c r="G188">
        <f t="shared" si="18"/>
        <v>19</v>
      </c>
      <c r="H188" t="s">
        <v>649</v>
      </c>
      <c r="I188" t="s">
        <v>658</v>
      </c>
      <c r="J188" t="s">
        <v>683</v>
      </c>
      <c r="K188" t="str">
        <f t="shared" si="19"/>
        <v>London</v>
      </c>
      <c r="L188" t="s">
        <v>703</v>
      </c>
      <c r="M188" t="s">
        <v>711</v>
      </c>
      <c r="N188" t="str">
        <f t="shared" si="20"/>
        <v>Direct</v>
      </c>
      <c r="O188" t="s">
        <v>720</v>
      </c>
      <c r="P188" t="str">
        <f t="shared" si="21"/>
        <v>A. Patel</v>
      </c>
      <c r="Q188" t="s">
        <v>733</v>
      </c>
      <c r="R188" t="s">
        <v>1026</v>
      </c>
      <c r="S188" s="23">
        <v>1142.48</v>
      </c>
      <c r="T188" s="23">
        <v>2105.5300000000002</v>
      </c>
      <c r="U188" s="23">
        <f t="shared" si="22"/>
        <v>2105.5300000000002</v>
      </c>
      <c r="V188" s="8">
        <v>0.20699999999999999</v>
      </c>
      <c r="W188" s="8">
        <f t="shared" si="23"/>
        <v>0.20699999999999999</v>
      </c>
      <c r="X188">
        <v>14</v>
      </c>
    </row>
    <row r="189" spans="1:24" x14ac:dyDescent="0.35">
      <c r="A189" s="4" t="s">
        <v>446</v>
      </c>
      <c r="B189" s="5" t="str">
        <f>IF(COUNTIF($A$2:A189,A189)=1,"Original","Duplicate")</f>
        <v>Original</v>
      </c>
      <c r="C189" s="7">
        <v>45220</v>
      </c>
      <c r="D189" s="7">
        <v>45220</v>
      </c>
      <c r="E189" s="7" t="str">
        <f t="shared" si="16"/>
        <v>Valid</v>
      </c>
      <c r="F189" s="7">
        <f t="shared" si="17"/>
        <v>45226</v>
      </c>
      <c r="G189">
        <f t="shared" si="18"/>
        <v>6</v>
      </c>
      <c r="H189" t="s">
        <v>649</v>
      </c>
      <c r="I189" t="s">
        <v>658</v>
      </c>
      <c r="J189" t="s">
        <v>693</v>
      </c>
      <c r="K189" t="str">
        <f t="shared" si="19"/>
        <v>Manchester</v>
      </c>
      <c r="L189" t="s">
        <v>706</v>
      </c>
      <c r="M189" t="s">
        <v>710</v>
      </c>
      <c r="N189" t="str">
        <f t="shared" si="20"/>
        <v>Distributor</v>
      </c>
      <c r="O189" t="s">
        <v>713</v>
      </c>
      <c r="P189" t="str">
        <f t="shared" si="21"/>
        <v>J. Njeri</v>
      </c>
      <c r="Q189" t="s">
        <v>732</v>
      </c>
      <c r="R189" t="s">
        <v>1165</v>
      </c>
      <c r="S189" s="23">
        <v>384.19</v>
      </c>
      <c r="T189" s="23">
        <v>278.35000000000002</v>
      </c>
      <c r="U189" s="23">
        <f t="shared" si="22"/>
        <v>278.35000000000002</v>
      </c>
      <c r="V189" s="8">
        <v>5.6000000000000001E-2</v>
      </c>
      <c r="W189" s="8">
        <f t="shared" si="23"/>
        <v>5.6000000000000001E-2</v>
      </c>
      <c r="X189">
        <v>10</v>
      </c>
    </row>
    <row r="190" spans="1:24" x14ac:dyDescent="0.35">
      <c r="A190" s="4" t="s">
        <v>343</v>
      </c>
      <c r="B190" s="5" t="str">
        <f>IF(COUNTIF($A$2:A190,A190)=1,"Original","Duplicate")</f>
        <v>Original</v>
      </c>
      <c r="C190" s="7">
        <v>45221</v>
      </c>
      <c r="D190" s="7">
        <v>45246</v>
      </c>
      <c r="E190" s="7" t="str">
        <f t="shared" si="16"/>
        <v>Valid</v>
      </c>
      <c r="F190" s="7">
        <f t="shared" si="17"/>
        <v>45246</v>
      </c>
      <c r="G190">
        <f t="shared" si="18"/>
        <v>25</v>
      </c>
      <c r="H190" t="s">
        <v>648</v>
      </c>
      <c r="I190" t="s">
        <v>653</v>
      </c>
      <c r="J190" t="s">
        <v>667</v>
      </c>
      <c r="K190" t="str">
        <f t="shared" si="19"/>
        <v>Toronto</v>
      </c>
      <c r="L190" t="s">
        <v>705</v>
      </c>
      <c r="M190" t="s">
        <v>709</v>
      </c>
      <c r="N190" t="str">
        <f t="shared" si="20"/>
        <v>Marketplace</v>
      </c>
      <c r="O190" t="s">
        <v>714</v>
      </c>
      <c r="P190" t="str">
        <f t="shared" si="21"/>
        <v>I. Johnson</v>
      </c>
      <c r="Q190" t="s">
        <v>731</v>
      </c>
      <c r="R190" t="s">
        <v>1063</v>
      </c>
      <c r="S190" s="23">
        <v>1373.31</v>
      </c>
      <c r="T190" s="23">
        <v>3154.14</v>
      </c>
      <c r="U190" s="23">
        <f t="shared" si="22"/>
        <v>3154.14</v>
      </c>
      <c r="V190" s="8">
        <v>0.2</v>
      </c>
      <c r="W190" s="8">
        <f t="shared" si="23"/>
        <v>0.2</v>
      </c>
      <c r="X190">
        <v>11</v>
      </c>
    </row>
    <row r="191" spans="1:24" x14ac:dyDescent="0.35">
      <c r="A191" s="4" t="s">
        <v>500</v>
      </c>
      <c r="B191" s="5" t="str">
        <f>IF(COUNTIF($A$2:A191,A191)=1,"Original","Duplicate")</f>
        <v>Original</v>
      </c>
      <c r="C191" s="7">
        <v>45224</v>
      </c>
      <c r="D191" s="7">
        <v>45254</v>
      </c>
      <c r="E191" s="7" t="str">
        <f t="shared" si="16"/>
        <v>Valid</v>
      </c>
      <c r="F191" s="7">
        <f t="shared" si="17"/>
        <v>45254</v>
      </c>
      <c r="G191">
        <f t="shared" si="18"/>
        <v>30</v>
      </c>
      <c r="H191" t="s">
        <v>649</v>
      </c>
      <c r="I191" t="s">
        <v>657</v>
      </c>
      <c r="J191" t="s">
        <v>690</v>
      </c>
      <c r="K191" t="str">
        <f t="shared" si="19"/>
        <v>Paris</v>
      </c>
      <c r="L191" t="s">
        <v>706</v>
      </c>
      <c r="M191" t="s">
        <v>710</v>
      </c>
      <c r="N191" t="str">
        <f t="shared" si="20"/>
        <v>Distributor</v>
      </c>
      <c r="O191" t="s">
        <v>712</v>
      </c>
      <c r="P191" t="str">
        <f t="shared" si="21"/>
        <v>C. Otieno</v>
      </c>
      <c r="Q191" t="s">
        <v>730</v>
      </c>
      <c r="R191" t="s">
        <v>1219</v>
      </c>
      <c r="S191" s="23">
        <v>287.85000000000002</v>
      </c>
      <c r="T191" s="23">
        <v>602.91999999999996</v>
      </c>
      <c r="U191" s="23">
        <f t="shared" si="22"/>
        <v>602.91999999999996</v>
      </c>
      <c r="V191" s="8">
        <v>0.222</v>
      </c>
      <c r="W191" s="8">
        <f t="shared" si="23"/>
        <v>0.222</v>
      </c>
      <c r="X191">
        <v>11</v>
      </c>
    </row>
    <row r="192" spans="1:24" x14ac:dyDescent="0.35">
      <c r="A192" s="4" t="s">
        <v>512</v>
      </c>
      <c r="B192" s="5" t="str">
        <f>IF(COUNTIF($A$2:A192,A192)=1,"Original","Duplicate")</f>
        <v>Original</v>
      </c>
      <c r="C192" s="7">
        <v>45224</v>
      </c>
      <c r="D192" s="7">
        <v>45227</v>
      </c>
      <c r="E192" s="7" t="str">
        <f t="shared" si="16"/>
        <v>Valid</v>
      </c>
      <c r="F192" s="7">
        <f t="shared" si="17"/>
        <v>45227</v>
      </c>
      <c r="G192">
        <f t="shared" si="18"/>
        <v>3</v>
      </c>
      <c r="H192" t="s">
        <v>648</v>
      </c>
      <c r="I192" t="s">
        <v>655</v>
      </c>
      <c r="J192" t="s">
        <v>672</v>
      </c>
      <c r="K192" t="str">
        <f t="shared" si="19"/>
        <v>Brasília</v>
      </c>
      <c r="L192" t="s">
        <v>701</v>
      </c>
      <c r="M192" t="s">
        <v>710</v>
      </c>
      <c r="N192" t="str">
        <f t="shared" si="20"/>
        <v>Distributor</v>
      </c>
      <c r="O192" t="s">
        <v>716</v>
      </c>
      <c r="P192" t="str">
        <f t="shared" si="21"/>
        <v>L. Okafor</v>
      </c>
      <c r="Q192" t="s">
        <v>733</v>
      </c>
      <c r="R192" t="s">
        <v>1231</v>
      </c>
      <c r="S192" s="23">
        <v>509.31</v>
      </c>
      <c r="T192" s="23">
        <v>1145.9000000000001</v>
      </c>
      <c r="U192" s="23">
        <f t="shared" si="22"/>
        <v>1145.9000000000001</v>
      </c>
      <c r="V192" s="8">
        <v>5.7000000000000002E-2</v>
      </c>
      <c r="W192" s="8">
        <f t="shared" si="23"/>
        <v>5.7000000000000002E-2</v>
      </c>
      <c r="X192">
        <v>8</v>
      </c>
    </row>
    <row r="193" spans="1:24" x14ac:dyDescent="0.35">
      <c r="A193" s="4" t="s">
        <v>403</v>
      </c>
      <c r="B193" s="5" t="str">
        <f>IF(COUNTIF($A$2:A193,A193)=1,"Original","Duplicate")</f>
        <v>Original</v>
      </c>
      <c r="C193" s="7">
        <v>45225</v>
      </c>
      <c r="D193" s="7">
        <v>45235</v>
      </c>
      <c r="E193" s="7" t="str">
        <f t="shared" si="16"/>
        <v>Valid</v>
      </c>
      <c r="F193" s="7">
        <f t="shared" si="17"/>
        <v>45235</v>
      </c>
      <c r="G193">
        <f t="shared" si="18"/>
        <v>10</v>
      </c>
      <c r="H193" t="s">
        <v>646</v>
      </c>
      <c r="I193" t="s">
        <v>661</v>
      </c>
      <c r="J193" t="s">
        <v>695</v>
      </c>
      <c r="K193" t="str">
        <f t="shared" si="19"/>
        <v>Cape Town</v>
      </c>
      <c r="L193" t="s">
        <v>703</v>
      </c>
      <c r="M193" t="s">
        <v>708</v>
      </c>
      <c r="N193" t="str">
        <f t="shared" si="20"/>
        <v>Online</v>
      </c>
      <c r="O193" t="s">
        <v>714</v>
      </c>
      <c r="P193" t="str">
        <f t="shared" si="21"/>
        <v>I. Johnson</v>
      </c>
      <c r="Q193" t="s">
        <v>731</v>
      </c>
      <c r="R193" t="s">
        <v>1122</v>
      </c>
      <c r="S193" s="23">
        <v>20.38</v>
      </c>
      <c r="T193" s="23">
        <v>42.56</v>
      </c>
      <c r="U193" s="23">
        <f t="shared" si="22"/>
        <v>42.56</v>
      </c>
      <c r="V193" s="8">
        <v>7.1999999999999995E-2</v>
      </c>
      <c r="W193" s="8">
        <f t="shared" si="23"/>
        <v>7.1999999999999995E-2</v>
      </c>
      <c r="X193">
        <v>11</v>
      </c>
    </row>
    <row r="194" spans="1:24" x14ac:dyDescent="0.35">
      <c r="A194" s="4" t="s">
        <v>293</v>
      </c>
      <c r="B194" s="5" t="str">
        <f>IF(COUNTIF($A$2:A194,A194)=1,"Original","Duplicate")</f>
        <v>Original</v>
      </c>
      <c r="C194" s="7">
        <v>45229</v>
      </c>
      <c r="D194" s="7">
        <v>45244</v>
      </c>
      <c r="E194" s="7" t="str">
        <f t="shared" si="16"/>
        <v>Valid</v>
      </c>
      <c r="F194" s="7">
        <f t="shared" si="17"/>
        <v>45244</v>
      </c>
      <c r="G194">
        <f t="shared" si="18"/>
        <v>15</v>
      </c>
      <c r="H194" t="s">
        <v>647</v>
      </c>
      <c r="I194" t="s">
        <v>654</v>
      </c>
      <c r="J194" t="s">
        <v>668</v>
      </c>
      <c r="K194" t="str">
        <f t="shared" si="19"/>
        <v>Bengaluru</v>
      </c>
      <c r="L194" t="s">
        <v>701</v>
      </c>
      <c r="M194" t="s">
        <v>708</v>
      </c>
      <c r="N194" t="str">
        <f t="shared" si="20"/>
        <v>Online</v>
      </c>
      <c r="O194" t="s">
        <v>721</v>
      </c>
      <c r="P194" t="str">
        <f t="shared" si="21"/>
        <v>F. Müller</v>
      </c>
      <c r="Q194" t="s">
        <v>731</v>
      </c>
      <c r="R194" t="s">
        <v>1013</v>
      </c>
      <c r="S194" s="23">
        <v>953.46</v>
      </c>
      <c r="T194" s="23">
        <v>2066.75</v>
      </c>
      <c r="U194" s="23">
        <f t="shared" si="22"/>
        <v>2066.75</v>
      </c>
      <c r="V194" s="8">
        <v>0.13800000000000001</v>
      </c>
      <c r="W194" s="8">
        <f t="shared" si="23"/>
        <v>0.13800000000000001</v>
      </c>
      <c r="X194">
        <v>5</v>
      </c>
    </row>
    <row r="195" spans="1:24" x14ac:dyDescent="0.35">
      <c r="A195" s="4" t="s">
        <v>169</v>
      </c>
      <c r="B195" s="5" t="str">
        <f>IF(COUNTIF($A$2:A195,A195)=1,"Original","Duplicate")</f>
        <v>Original</v>
      </c>
      <c r="C195" s="7">
        <v>45230</v>
      </c>
      <c r="D195" s="7">
        <v>45232</v>
      </c>
      <c r="E195" s="7" t="str">
        <f t="shared" ref="E195:E258" si="24">IF(D195&lt;C195,"Invalid","Valid")</f>
        <v>Valid</v>
      </c>
      <c r="F195" s="7">
        <f t="shared" ref="F195:F258" si="25">IF(D195&gt;C195,D195,WORKDAY(C195,5))</f>
        <v>45232</v>
      </c>
      <c r="G195">
        <f t="shared" ref="G195:G258" si="26">F195-C195</f>
        <v>2</v>
      </c>
      <c r="H195" t="s">
        <v>646</v>
      </c>
      <c r="I195" t="s">
        <v>650</v>
      </c>
      <c r="J195" t="s">
        <v>662</v>
      </c>
      <c r="K195" t="str">
        <f t="shared" ref="K195:K258" si="27">IF(J195="", "Unknown", J195)</f>
        <v>Kisumu</v>
      </c>
      <c r="L195" t="s">
        <v>702</v>
      </c>
      <c r="M195" t="s">
        <v>707</v>
      </c>
      <c r="N195" t="str">
        <f t="shared" ref="N195:N258" si="28">IF(M195="", "Unknown", M195)</f>
        <v>Retail</v>
      </c>
      <c r="O195" t="s">
        <v>719</v>
      </c>
      <c r="P195" t="str">
        <f t="shared" ref="P195:P258" si="29">IF(O195="","Unassigned",O195)</f>
        <v>O. Wang</v>
      </c>
      <c r="Q195" t="s">
        <v>733</v>
      </c>
      <c r="R195" t="s">
        <v>888</v>
      </c>
      <c r="S195" s="23">
        <v>867.89</v>
      </c>
      <c r="T195" s="23">
        <v>1349.94</v>
      </c>
      <c r="U195" s="23">
        <f t="shared" ref="U195:U258" si="30">IF(T195&gt;0,T195,S195*1.2)</f>
        <v>1349.94</v>
      </c>
      <c r="V195" s="8">
        <v>0.184</v>
      </c>
      <c r="W195" s="8">
        <f t="shared" ref="W195:W258" si="31">IF(V195&lt;0.3,V195,0.3)</f>
        <v>0.184</v>
      </c>
      <c r="X195">
        <v>10</v>
      </c>
    </row>
    <row r="196" spans="1:24" x14ac:dyDescent="0.35">
      <c r="A196" s="4" t="s">
        <v>228</v>
      </c>
      <c r="B196" s="5" t="str">
        <f>IF(COUNTIF($A$2:A196,A196)=1,"Original","Duplicate")</f>
        <v>Original</v>
      </c>
      <c r="C196" s="7">
        <v>45240</v>
      </c>
      <c r="D196" s="7">
        <v>45258</v>
      </c>
      <c r="E196" s="7" t="str">
        <f t="shared" si="24"/>
        <v>Valid</v>
      </c>
      <c r="F196" s="7">
        <f t="shared" si="25"/>
        <v>45258</v>
      </c>
      <c r="G196">
        <f t="shared" si="26"/>
        <v>18</v>
      </c>
      <c r="H196" t="s">
        <v>648</v>
      </c>
      <c r="I196" t="s">
        <v>655</v>
      </c>
      <c r="J196" t="s">
        <v>672</v>
      </c>
      <c r="K196" t="str">
        <f t="shared" si="27"/>
        <v>Brasília</v>
      </c>
      <c r="L196" t="s">
        <v>702</v>
      </c>
      <c r="M196" t="s">
        <v>709</v>
      </c>
      <c r="N196" t="str">
        <f t="shared" si="28"/>
        <v>Marketplace</v>
      </c>
      <c r="O196" t="s">
        <v>716</v>
      </c>
      <c r="P196" t="str">
        <f t="shared" si="29"/>
        <v>L. Okafor</v>
      </c>
      <c r="Q196" t="s">
        <v>733</v>
      </c>
      <c r="R196" t="s">
        <v>948</v>
      </c>
      <c r="S196" s="23">
        <v>388.51</v>
      </c>
      <c r="T196" s="23">
        <v>776.46</v>
      </c>
      <c r="U196" s="23">
        <f t="shared" si="30"/>
        <v>776.46</v>
      </c>
      <c r="V196" s="8">
        <v>0.157</v>
      </c>
      <c r="W196" s="8">
        <f t="shared" si="31"/>
        <v>0.157</v>
      </c>
      <c r="X196">
        <v>12</v>
      </c>
    </row>
    <row r="197" spans="1:24" x14ac:dyDescent="0.35">
      <c r="A197" s="4" t="s">
        <v>331</v>
      </c>
      <c r="B197" s="5" t="str">
        <f>IF(COUNTIF($A$2:A197,A197)=1,"Original","Duplicate")</f>
        <v>Original</v>
      </c>
      <c r="C197" s="7">
        <v>45244</v>
      </c>
      <c r="D197" s="7">
        <v>45260</v>
      </c>
      <c r="E197" s="7" t="str">
        <f t="shared" si="24"/>
        <v>Valid</v>
      </c>
      <c r="F197" s="7">
        <f t="shared" si="25"/>
        <v>45260</v>
      </c>
      <c r="G197">
        <f t="shared" si="26"/>
        <v>16</v>
      </c>
      <c r="H197" t="s">
        <v>648</v>
      </c>
      <c r="I197" t="s">
        <v>655</v>
      </c>
      <c r="J197" t="s">
        <v>670</v>
      </c>
      <c r="K197" t="str">
        <f t="shared" si="27"/>
        <v>São Paulo</v>
      </c>
      <c r="L197" t="s">
        <v>706</v>
      </c>
      <c r="M197" t="s">
        <v>711</v>
      </c>
      <c r="N197" t="str">
        <f t="shared" si="28"/>
        <v>Direct</v>
      </c>
      <c r="O197" t="s">
        <v>723</v>
      </c>
      <c r="P197" t="str">
        <f t="shared" si="29"/>
        <v>K. Singh</v>
      </c>
      <c r="Q197" t="s">
        <v>729</v>
      </c>
      <c r="R197" t="s">
        <v>1051</v>
      </c>
      <c r="S197" s="23">
        <v>1017.92</v>
      </c>
      <c r="T197" s="23">
        <v>1175.25</v>
      </c>
      <c r="U197" s="23">
        <f t="shared" si="30"/>
        <v>1175.25</v>
      </c>
      <c r="V197" s="8">
        <v>7.4999999999999997E-2</v>
      </c>
      <c r="W197" s="8">
        <f t="shared" si="31"/>
        <v>7.4999999999999997E-2</v>
      </c>
      <c r="X197">
        <v>15</v>
      </c>
    </row>
    <row r="198" spans="1:24" x14ac:dyDescent="0.35">
      <c r="A198" s="4" t="s">
        <v>347</v>
      </c>
      <c r="B198" s="5" t="str">
        <f>IF(COUNTIF($A$2:A198,A198)=1,"Original","Duplicate")</f>
        <v>Original</v>
      </c>
      <c r="C198" s="7">
        <v>45245</v>
      </c>
      <c r="D198" s="7">
        <v>45266</v>
      </c>
      <c r="E198" s="7" t="str">
        <f t="shared" si="24"/>
        <v>Valid</v>
      </c>
      <c r="F198" s="7">
        <f t="shared" si="25"/>
        <v>45266</v>
      </c>
      <c r="G198">
        <f t="shared" si="26"/>
        <v>21</v>
      </c>
      <c r="H198" t="s">
        <v>649</v>
      </c>
      <c r="I198" t="s">
        <v>658</v>
      </c>
      <c r="J198" t="s">
        <v>693</v>
      </c>
      <c r="K198" t="str">
        <f t="shared" si="27"/>
        <v>Manchester</v>
      </c>
      <c r="L198" t="s">
        <v>702</v>
      </c>
      <c r="M198" t="s">
        <v>711</v>
      </c>
      <c r="N198" t="str">
        <f t="shared" si="28"/>
        <v>Direct</v>
      </c>
      <c r="O198" t="s">
        <v>722</v>
      </c>
      <c r="P198" t="str">
        <f t="shared" si="29"/>
        <v>H. Kim</v>
      </c>
      <c r="Q198" t="s">
        <v>733</v>
      </c>
      <c r="R198" t="s">
        <v>1067</v>
      </c>
      <c r="S198" s="23">
        <v>1184.99</v>
      </c>
      <c r="T198" s="23">
        <v>1154.3399999999999</v>
      </c>
      <c r="U198" s="23">
        <f t="shared" si="30"/>
        <v>1154.3399999999999</v>
      </c>
      <c r="V198" s="8">
        <v>2.8000000000000001E-2</v>
      </c>
      <c r="W198" s="8">
        <f t="shared" si="31"/>
        <v>2.8000000000000001E-2</v>
      </c>
      <c r="X198">
        <v>5</v>
      </c>
    </row>
    <row r="199" spans="1:24" x14ac:dyDescent="0.35">
      <c r="A199" s="4" t="s">
        <v>136</v>
      </c>
      <c r="B199" s="5" t="str">
        <f>IF(COUNTIF($A$2:A199,A199)=1,"Original","Duplicate")</f>
        <v>Original</v>
      </c>
      <c r="C199" s="7">
        <v>45249</v>
      </c>
      <c r="D199" s="7">
        <v>45273</v>
      </c>
      <c r="E199" s="7" t="str">
        <f t="shared" si="24"/>
        <v>Valid</v>
      </c>
      <c r="F199" s="7">
        <f t="shared" si="25"/>
        <v>45273</v>
      </c>
      <c r="G199">
        <f t="shared" si="26"/>
        <v>24</v>
      </c>
      <c r="H199" t="s">
        <v>649</v>
      </c>
      <c r="I199" t="s">
        <v>657</v>
      </c>
      <c r="J199" t="s">
        <v>679</v>
      </c>
      <c r="K199" t="str">
        <f t="shared" si="27"/>
        <v>Lyon</v>
      </c>
      <c r="L199" t="s">
        <v>703</v>
      </c>
      <c r="M199" t="s">
        <v>711</v>
      </c>
      <c r="N199" t="str">
        <f t="shared" si="28"/>
        <v>Direct</v>
      </c>
      <c r="O199" t="s">
        <v>722</v>
      </c>
      <c r="P199" t="str">
        <f t="shared" si="29"/>
        <v>H. Kim</v>
      </c>
      <c r="Q199" t="s">
        <v>732</v>
      </c>
      <c r="R199" t="s">
        <v>855</v>
      </c>
      <c r="S199" s="23">
        <v>1297.42</v>
      </c>
      <c r="T199" s="23">
        <v>2742.97</v>
      </c>
      <c r="U199" s="23">
        <f t="shared" si="30"/>
        <v>2742.97</v>
      </c>
      <c r="V199" s="8">
        <v>6.9000000000000006E-2</v>
      </c>
      <c r="W199" s="8">
        <f t="shared" si="31"/>
        <v>6.9000000000000006E-2</v>
      </c>
      <c r="X199">
        <v>9</v>
      </c>
    </row>
    <row r="200" spans="1:24" x14ac:dyDescent="0.35">
      <c r="A200" s="4" t="s">
        <v>639</v>
      </c>
      <c r="B200" s="5" t="str">
        <f>IF(COUNTIF($A$2:A200,A200)=1,"Original","Duplicate")</f>
        <v>Original</v>
      </c>
      <c r="C200" s="7">
        <v>45249</v>
      </c>
      <c r="D200" s="7">
        <v>45272</v>
      </c>
      <c r="E200" s="7" t="str">
        <f t="shared" si="24"/>
        <v>Valid</v>
      </c>
      <c r="F200" s="7">
        <f t="shared" si="25"/>
        <v>45272</v>
      </c>
      <c r="G200">
        <f t="shared" si="26"/>
        <v>23</v>
      </c>
      <c r="H200" t="s">
        <v>647</v>
      </c>
      <c r="I200" t="s">
        <v>654</v>
      </c>
      <c r="J200" t="s">
        <v>680</v>
      </c>
      <c r="K200" t="str">
        <f t="shared" si="27"/>
        <v>Delhi</v>
      </c>
      <c r="L200" t="s">
        <v>705</v>
      </c>
      <c r="M200" t="s">
        <v>711</v>
      </c>
      <c r="N200" t="str">
        <f t="shared" si="28"/>
        <v>Direct</v>
      </c>
      <c r="O200" t="s">
        <v>712</v>
      </c>
      <c r="P200" t="str">
        <f t="shared" si="29"/>
        <v>C. Otieno</v>
      </c>
      <c r="Q200" t="s">
        <v>729</v>
      </c>
      <c r="R200" t="s">
        <v>1357</v>
      </c>
      <c r="S200" s="23">
        <v>1349.04</v>
      </c>
      <c r="T200" s="23">
        <v>2636.6</v>
      </c>
      <c r="U200" s="23">
        <f t="shared" si="30"/>
        <v>2636.6</v>
      </c>
      <c r="V200" s="8">
        <v>0.114</v>
      </c>
      <c r="W200" s="8">
        <f t="shared" si="31"/>
        <v>0.114</v>
      </c>
      <c r="X200">
        <v>14</v>
      </c>
    </row>
    <row r="201" spans="1:24" x14ac:dyDescent="0.35">
      <c r="A201" s="4" t="s">
        <v>644</v>
      </c>
      <c r="B201" s="5" t="str">
        <f>IF(COUNTIF($A$2:A201,A201)=1,"Original","Duplicate")</f>
        <v>Original</v>
      </c>
      <c r="C201" s="7">
        <v>45249</v>
      </c>
      <c r="D201" s="7">
        <v>45279</v>
      </c>
      <c r="E201" s="7" t="str">
        <f t="shared" si="24"/>
        <v>Valid</v>
      </c>
      <c r="F201" s="7">
        <f t="shared" si="25"/>
        <v>45279</v>
      </c>
      <c r="G201">
        <f t="shared" si="26"/>
        <v>30</v>
      </c>
      <c r="H201" t="s">
        <v>647</v>
      </c>
      <c r="I201" t="s">
        <v>652</v>
      </c>
      <c r="J201" t="s">
        <v>694</v>
      </c>
      <c r="K201" t="str">
        <f t="shared" si="27"/>
        <v>Nagoya</v>
      </c>
      <c r="L201" t="s">
        <v>704</v>
      </c>
      <c r="M201" t="s">
        <v>707</v>
      </c>
      <c r="N201" t="str">
        <f t="shared" si="28"/>
        <v>Retail</v>
      </c>
      <c r="P201" t="str">
        <f t="shared" si="29"/>
        <v>Unassigned</v>
      </c>
      <c r="Q201" t="s">
        <v>730</v>
      </c>
      <c r="R201" t="s">
        <v>1362</v>
      </c>
      <c r="S201" s="23">
        <v>807.11</v>
      </c>
      <c r="T201" s="23">
        <v>1853.86</v>
      </c>
      <c r="U201" s="23">
        <f t="shared" si="30"/>
        <v>1853.86</v>
      </c>
      <c r="V201" s="8">
        <v>0.13900000000000001</v>
      </c>
      <c r="W201" s="8">
        <f t="shared" si="31"/>
        <v>0.13900000000000001</v>
      </c>
      <c r="X201">
        <v>8</v>
      </c>
    </row>
    <row r="202" spans="1:24" x14ac:dyDescent="0.35">
      <c r="A202" s="4" t="s">
        <v>129</v>
      </c>
      <c r="B202" s="5" t="str">
        <f>IF(COUNTIF($A$2:A202,A202)=1,"Original","Duplicate")</f>
        <v>Original</v>
      </c>
      <c r="C202" s="7">
        <v>45250</v>
      </c>
      <c r="D202" s="7">
        <v>45265</v>
      </c>
      <c r="E202" s="7" t="str">
        <f t="shared" si="24"/>
        <v>Valid</v>
      </c>
      <c r="F202" s="7">
        <f t="shared" si="25"/>
        <v>45265</v>
      </c>
      <c r="G202">
        <f t="shared" si="26"/>
        <v>15</v>
      </c>
      <c r="H202" t="s">
        <v>647</v>
      </c>
      <c r="I202" t="s">
        <v>652</v>
      </c>
      <c r="J202" t="s">
        <v>689</v>
      </c>
      <c r="K202" t="str">
        <f t="shared" si="27"/>
        <v>Tokyo</v>
      </c>
      <c r="L202" t="s">
        <v>706</v>
      </c>
      <c r="M202" t="s">
        <v>707</v>
      </c>
      <c r="N202" t="str">
        <f t="shared" si="28"/>
        <v>Retail</v>
      </c>
      <c r="O202" t="s">
        <v>716</v>
      </c>
      <c r="P202" t="str">
        <f t="shared" si="29"/>
        <v>L. Okafor</v>
      </c>
      <c r="Q202" t="s">
        <v>729</v>
      </c>
      <c r="R202" t="s">
        <v>848</v>
      </c>
      <c r="S202" s="23">
        <v>354.24</v>
      </c>
      <c r="T202" s="23">
        <v>249.87</v>
      </c>
      <c r="U202" s="23">
        <f t="shared" si="30"/>
        <v>249.87</v>
      </c>
      <c r="V202" s="8">
        <v>0</v>
      </c>
      <c r="W202" s="8">
        <f t="shared" si="31"/>
        <v>0</v>
      </c>
      <c r="X202">
        <v>6</v>
      </c>
    </row>
    <row r="203" spans="1:24" x14ac:dyDescent="0.35">
      <c r="A203" s="4" t="s">
        <v>252</v>
      </c>
      <c r="B203" s="5" t="str">
        <f>IF(COUNTIF($A$2:A203,A203)=1,"Original","Duplicate")</f>
        <v>Original</v>
      </c>
      <c r="C203" s="7">
        <v>45258</v>
      </c>
      <c r="D203" s="7">
        <v>45267</v>
      </c>
      <c r="E203" s="7" t="str">
        <f t="shared" si="24"/>
        <v>Valid</v>
      </c>
      <c r="F203" s="7">
        <f t="shared" si="25"/>
        <v>45267</v>
      </c>
      <c r="G203">
        <f t="shared" si="26"/>
        <v>9</v>
      </c>
      <c r="H203" t="s">
        <v>647</v>
      </c>
      <c r="I203" t="s">
        <v>654</v>
      </c>
      <c r="J203" t="s">
        <v>680</v>
      </c>
      <c r="K203" t="str">
        <f t="shared" si="27"/>
        <v>Delhi</v>
      </c>
      <c r="L203" t="s">
        <v>706</v>
      </c>
      <c r="M203" t="s">
        <v>709</v>
      </c>
      <c r="N203" t="str">
        <f t="shared" si="28"/>
        <v>Marketplace</v>
      </c>
      <c r="O203" t="s">
        <v>716</v>
      </c>
      <c r="P203" t="str">
        <f t="shared" si="29"/>
        <v>L. Okafor</v>
      </c>
      <c r="Q203" t="s">
        <v>730</v>
      </c>
      <c r="R203" t="s">
        <v>972</v>
      </c>
      <c r="S203" s="23">
        <v>699.33</v>
      </c>
      <c r="T203" s="23">
        <v>873.75</v>
      </c>
      <c r="U203" s="23">
        <f t="shared" si="30"/>
        <v>873.75</v>
      </c>
      <c r="V203" s="8">
        <v>0.23499999999999999</v>
      </c>
      <c r="W203" s="8">
        <f t="shared" si="31"/>
        <v>0.23499999999999999</v>
      </c>
      <c r="X203">
        <v>10</v>
      </c>
    </row>
    <row r="204" spans="1:24" x14ac:dyDescent="0.35">
      <c r="A204" s="4" t="s">
        <v>160</v>
      </c>
      <c r="B204" s="5" t="str">
        <f>IF(COUNTIF($A$2:A204,A204)=1,"Original","Duplicate")</f>
        <v>Original</v>
      </c>
      <c r="C204" s="7">
        <v>45260</v>
      </c>
      <c r="D204" s="7">
        <v>45259</v>
      </c>
      <c r="E204" s="7" t="str">
        <f t="shared" si="24"/>
        <v>Invalid</v>
      </c>
      <c r="F204" s="7">
        <f t="shared" si="25"/>
        <v>45267</v>
      </c>
      <c r="G204">
        <f t="shared" si="26"/>
        <v>7</v>
      </c>
      <c r="H204" t="s">
        <v>646</v>
      </c>
      <c r="I204" t="s">
        <v>661</v>
      </c>
      <c r="J204" t="s">
        <v>687</v>
      </c>
      <c r="K204" t="str">
        <f t="shared" si="27"/>
        <v>Durban</v>
      </c>
      <c r="L204" t="s">
        <v>705</v>
      </c>
      <c r="M204" t="s">
        <v>709</v>
      </c>
      <c r="N204" t="str">
        <f t="shared" si="28"/>
        <v>Marketplace</v>
      </c>
      <c r="O204" t="s">
        <v>718</v>
      </c>
      <c r="P204" t="str">
        <f t="shared" si="29"/>
        <v>E. Garcia</v>
      </c>
      <c r="Q204" t="s">
        <v>731</v>
      </c>
      <c r="R204" t="s">
        <v>879</v>
      </c>
      <c r="S204" s="23">
        <v>275.56</v>
      </c>
      <c r="T204" s="23">
        <v>630.72</v>
      </c>
      <c r="U204" s="23">
        <f t="shared" si="30"/>
        <v>630.72</v>
      </c>
      <c r="V204" s="8">
        <v>0.107</v>
      </c>
      <c r="W204" s="8">
        <f t="shared" si="31"/>
        <v>0.107</v>
      </c>
      <c r="X204">
        <v>23</v>
      </c>
    </row>
    <row r="205" spans="1:24" x14ac:dyDescent="0.35">
      <c r="A205" s="4" t="s">
        <v>472</v>
      </c>
      <c r="B205" s="5" t="str">
        <f>IF(COUNTIF($A$2:A205,A205)=1,"Original","Duplicate")</f>
        <v>Original</v>
      </c>
      <c r="C205" s="7">
        <v>45260</v>
      </c>
      <c r="D205" s="7">
        <v>45270</v>
      </c>
      <c r="E205" s="7" t="str">
        <f t="shared" si="24"/>
        <v>Valid</v>
      </c>
      <c r="F205" s="7">
        <f t="shared" si="25"/>
        <v>45270</v>
      </c>
      <c r="G205">
        <f t="shared" si="26"/>
        <v>10</v>
      </c>
      <c r="H205" t="s">
        <v>649</v>
      </c>
      <c r="I205" t="s">
        <v>656</v>
      </c>
      <c r="J205" t="s">
        <v>684</v>
      </c>
      <c r="K205" t="str">
        <f t="shared" si="27"/>
        <v>Munich</v>
      </c>
      <c r="L205" t="s">
        <v>705</v>
      </c>
      <c r="M205" t="s">
        <v>711</v>
      </c>
      <c r="N205" t="str">
        <f t="shared" si="28"/>
        <v>Direct</v>
      </c>
      <c r="O205" t="s">
        <v>721</v>
      </c>
      <c r="P205" t="str">
        <f t="shared" si="29"/>
        <v>F. Müller</v>
      </c>
      <c r="Q205" t="s">
        <v>731</v>
      </c>
      <c r="R205" t="s">
        <v>1191</v>
      </c>
      <c r="S205" s="23">
        <v>174.74</v>
      </c>
      <c r="T205" s="23">
        <v>415.96</v>
      </c>
      <c r="U205" s="23">
        <f t="shared" si="30"/>
        <v>415.96</v>
      </c>
      <c r="V205" s="8">
        <v>0.125</v>
      </c>
      <c r="W205" s="8">
        <f t="shared" si="31"/>
        <v>0.125</v>
      </c>
      <c r="X205">
        <v>21</v>
      </c>
    </row>
    <row r="206" spans="1:24" x14ac:dyDescent="0.35">
      <c r="A206" s="4" t="s">
        <v>359</v>
      </c>
      <c r="B206" s="5" t="str">
        <f>IF(COUNTIF($A$2:A206,A206)=1,"Original","Duplicate")</f>
        <v>Original</v>
      </c>
      <c r="C206" s="7">
        <v>45261</v>
      </c>
      <c r="D206" s="7">
        <v>45278</v>
      </c>
      <c r="E206" s="7" t="str">
        <f t="shared" si="24"/>
        <v>Valid</v>
      </c>
      <c r="F206" s="7">
        <f t="shared" si="25"/>
        <v>45278</v>
      </c>
      <c r="G206">
        <f t="shared" si="26"/>
        <v>17</v>
      </c>
      <c r="H206" t="s">
        <v>647</v>
      </c>
      <c r="I206" t="s">
        <v>652</v>
      </c>
      <c r="J206" t="s">
        <v>694</v>
      </c>
      <c r="K206" t="str">
        <f t="shared" si="27"/>
        <v>Nagoya</v>
      </c>
      <c r="L206" t="s">
        <v>705</v>
      </c>
      <c r="M206" t="s">
        <v>711</v>
      </c>
      <c r="N206" t="str">
        <f t="shared" si="28"/>
        <v>Direct</v>
      </c>
      <c r="O206" t="s">
        <v>725</v>
      </c>
      <c r="P206" t="str">
        <f t="shared" si="29"/>
        <v>N. Brown</v>
      </c>
      <c r="Q206" t="s">
        <v>731</v>
      </c>
      <c r="R206" t="s">
        <v>1079</v>
      </c>
      <c r="S206" s="23">
        <v>1495.79</v>
      </c>
      <c r="T206" s="23">
        <v>2783.12</v>
      </c>
      <c r="U206" s="23">
        <f t="shared" si="30"/>
        <v>2783.12</v>
      </c>
      <c r="V206" s="8">
        <v>0.02</v>
      </c>
      <c r="W206" s="8">
        <f t="shared" si="31"/>
        <v>0.02</v>
      </c>
      <c r="X206">
        <v>5</v>
      </c>
    </row>
    <row r="207" spans="1:24" x14ac:dyDescent="0.35">
      <c r="A207" s="4" t="s">
        <v>365</v>
      </c>
      <c r="B207" s="5" t="str">
        <f>IF(COUNTIF($A$2:A207,A207)=1,"Original","Duplicate")</f>
        <v>Original</v>
      </c>
      <c r="C207" s="7">
        <v>45262</v>
      </c>
      <c r="D207" s="7">
        <v>45276</v>
      </c>
      <c r="E207" s="7" t="str">
        <f t="shared" si="24"/>
        <v>Valid</v>
      </c>
      <c r="F207" s="7">
        <f t="shared" si="25"/>
        <v>45276</v>
      </c>
      <c r="G207">
        <f t="shared" si="26"/>
        <v>14</v>
      </c>
      <c r="H207" t="s">
        <v>649</v>
      </c>
      <c r="I207" t="s">
        <v>656</v>
      </c>
      <c r="J207" t="s">
        <v>698</v>
      </c>
      <c r="K207" t="str">
        <f t="shared" si="27"/>
        <v>Frankfurt</v>
      </c>
      <c r="L207" t="s">
        <v>702</v>
      </c>
      <c r="M207" t="s">
        <v>711</v>
      </c>
      <c r="N207" t="str">
        <f t="shared" si="28"/>
        <v>Direct</v>
      </c>
      <c r="O207" t="s">
        <v>725</v>
      </c>
      <c r="P207" t="str">
        <f t="shared" si="29"/>
        <v>N. Brown</v>
      </c>
      <c r="Q207" t="s">
        <v>732</v>
      </c>
      <c r="R207" t="s">
        <v>1085</v>
      </c>
      <c r="S207" s="23">
        <v>879.08</v>
      </c>
      <c r="T207" s="23">
        <v>1093.3900000000001</v>
      </c>
      <c r="U207" s="23">
        <f t="shared" si="30"/>
        <v>1093.3900000000001</v>
      </c>
      <c r="V207" s="8">
        <v>0.113</v>
      </c>
      <c r="W207" s="8">
        <f t="shared" si="31"/>
        <v>0.113</v>
      </c>
      <c r="X207">
        <v>17</v>
      </c>
    </row>
    <row r="208" spans="1:24" x14ac:dyDescent="0.35">
      <c r="A208" s="4" t="s">
        <v>80</v>
      </c>
      <c r="B208" s="5" t="str">
        <f>IF(COUNTIF($A$2:A208,A208)=1,"Original","Duplicate")</f>
        <v>Original</v>
      </c>
      <c r="C208" s="7">
        <v>45263</v>
      </c>
      <c r="D208" s="7">
        <v>45286</v>
      </c>
      <c r="E208" s="7" t="str">
        <f t="shared" si="24"/>
        <v>Valid</v>
      </c>
      <c r="F208" s="7">
        <f t="shared" si="25"/>
        <v>45286</v>
      </c>
      <c r="G208">
        <f t="shared" si="26"/>
        <v>23</v>
      </c>
      <c r="H208" t="s">
        <v>648</v>
      </c>
      <c r="I208" t="s">
        <v>655</v>
      </c>
      <c r="J208" t="s">
        <v>692</v>
      </c>
      <c r="K208" t="str">
        <f t="shared" si="27"/>
        <v>Rio de Janeiro</v>
      </c>
      <c r="L208" t="s">
        <v>702</v>
      </c>
      <c r="M208" t="s">
        <v>707</v>
      </c>
      <c r="N208" t="str">
        <f t="shared" si="28"/>
        <v>Retail</v>
      </c>
      <c r="O208" t="s">
        <v>719</v>
      </c>
      <c r="P208" t="str">
        <f t="shared" si="29"/>
        <v>O. Wang</v>
      </c>
      <c r="Q208" t="s">
        <v>730</v>
      </c>
      <c r="R208" t="s">
        <v>799</v>
      </c>
      <c r="S208" s="23">
        <v>1303.1099999999999</v>
      </c>
      <c r="T208" s="23">
        <v>1145.67</v>
      </c>
      <c r="U208" s="23">
        <f t="shared" si="30"/>
        <v>1145.67</v>
      </c>
      <c r="V208" s="8">
        <v>0.184</v>
      </c>
      <c r="W208" s="8">
        <f t="shared" si="31"/>
        <v>0.184</v>
      </c>
      <c r="X208">
        <v>13</v>
      </c>
    </row>
    <row r="209" spans="1:24" x14ac:dyDescent="0.35">
      <c r="A209" s="4" t="s">
        <v>470</v>
      </c>
      <c r="B209" s="5" t="str">
        <f>IF(COUNTIF($A$2:A209,A209)=1,"Original","Duplicate")</f>
        <v>Original</v>
      </c>
      <c r="C209" s="7">
        <v>45265</v>
      </c>
      <c r="D209" s="7">
        <v>45272</v>
      </c>
      <c r="E209" s="7" t="str">
        <f t="shared" si="24"/>
        <v>Valid</v>
      </c>
      <c r="F209" s="7">
        <f t="shared" si="25"/>
        <v>45272</v>
      </c>
      <c r="G209">
        <f t="shared" si="26"/>
        <v>7</v>
      </c>
      <c r="H209" t="s">
        <v>648</v>
      </c>
      <c r="I209" t="s">
        <v>655</v>
      </c>
      <c r="J209" t="s">
        <v>672</v>
      </c>
      <c r="K209" t="str">
        <f t="shared" si="27"/>
        <v>Brasília</v>
      </c>
      <c r="L209" t="s">
        <v>701</v>
      </c>
      <c r="M209" t="s">
        <v>711</v>
      </c>
      <c r="N209" t="str">
        <f t="shared" si="28"/>
        <v>Direct</v>
      </c>
      <c r="O209" t="s">
        <v>721</v>
      </c>
      <c r="P209" t="str">
        <f t="shared" si="29"/>
        <v>F. Müller</v>
      </c>
      <c r="Q209" t="s">
        <v>730</v>
      </c>
      <c r="R209" t="s">
        <v>1189</v>
      </c>
      <c r="S209" s="23">
        <v>307.43</v>
      </c>
      <c r="T209" s="23">
        <v>495.19</v>
      </c>
      <c r="U209" s="23">
        <f t="shared" si="30"/>
        <v>495.19</v>
      </c>
      <c r="V209" s="8">
        <v>0</v>
      </c>
      <c r="W209" s="8">
        <f t="shared" si="31"/>
        <v>0</v>
      </c>
      <c r="X209">
        <v>42</v>
      </c>
    </row>
    <row r="210" spans="1:24" x14ac:dyDescent="0.35">
      <c r="A210" s="4" t="s">
        <v>19</v>
      </c>
      <c r="B210" s="5" t="str">
        <f>IF(COUNTIF($A$2:A210,A210)=1,"Original","Duplicate")</f>
        <v>Original</v>
      </c>
      <c r="C210" s="7">
        <v>45266</v>
      </c>
      <c r="D210" s="7">
        <v>45291</v>
      </c>
      <c r="E210" s="7" t="str">
        <f t="shared" si="24"/>
        <v>Valid</v>
      </c>
      <c r="F210" s="7">
        <f t="shared" si="25"/>
        <v>45291</v>
      </c>
      <c r="G210">
        <f t="shared" si="26"/>
        <v>25</v>
      </c>
      <c r="H210" t="s">
        <v>647</v>
      </c>
      <c r="I210" t="s">
        <v>652</v>
      </c>
      <c r="J210" t="s">
        <v>666</v>
      </c>
      <c r="K210" t="str">
        <f t="shared" si="27"/>
        <v>Osaka</v>
      </c>
      <c r="L210" t="s">
        <v>704</v>
      </c>
      <c r="M210" t="s">
        <v>707</v>
      </c>
      <c r="N210" t="str">
        <f t="shared" si="28"/>
        <v>Retail</v>
      </c>
      <c r="O210" t="s">
        <v>716</v>
      </c>
      <c r="P210" t="str">
        <f t="shared" si="29"/>
        <v>L. Okafor</v>
      </c>
      <c r="Q210" t="s">
        <v>728</v>
      </c>
      <c r="R210" t="s">
        <v>738</v>
      </c>
      <c r="S210" s="23">
        <v>663.03</v>
      </c>
      <c r="T210" s="23">
        <v>813.51</v>
      </c>
      <c r="U210" s="23">
        <f t="shared" si="30"/>
        <v>813.51</v>
      </c>
      <c r="V210" s="8">
        <v>0.10199999999999999</v>
      </c>
      <c r="W210" s="8">
        <f t="shared" si="31"/>
        <v>0.10199999999999999</v>
      </c>
      <c r="X210">
        <v>15</v>
      </c>
    </row>
    <row r="211" spans="1:24" x14ac:dyDescent="0.35">
      <c r="A211" s="4" t="s">
        <v>167</v>
      </c>
      <c r="B211" s="5" t="str">
        <f>IF(COUNTIF($A$2:A211,A211)=1,"Original","Duplicate")</f>
        <v>Original</v>
      </c>
      <c r="C211" s="7">
        <v>45267</v>
      </c>
      <c r="D211" s="7">
        <v>45265</v>
      </c>
      <c r="E211" s="7" t="str">
        <f t="shared" si="24"/>
        <v>Invalid</v>
      </c>
      <c r="F211" s="7">
        <f t="shared" si="25"/>
        <v>45274</v>
      </c>
      <c r="G211">
        <f t="shared" si="26"/>
        <v>7</v>
      </c>
      <c r="H211" t="s">
        <v>647</v>
      </c>
      <c r="I211" t="s">
        <v>652</v>
      </c>
      <c r="J211" t="s">
        <v>689</v>
      </c>
      <c r="K211" t="str">
        <f t="shared" si="27"/>
        <v>Tokyo</v>
      </c>
      <c r="L211" t="s">
        <v>703</v>
      </c>
      <c r="M211" t="s">
        <v>709</v>
      </c>
      <c r="N211" t="str">
        <f t="shared" si="28"/>
        <v>Marketplace</v>
      </c>
      <c r="O211" t="s">
        <v>722</v>
      </c>
      <c r="P211" t="str">
        <f t="shared" si="29"/>
        <v>H. Kim</v>
      </c>
      <c r="Q211" t="s">
        <v>728</v>
      </c>
      <c r="R211" t="s">
        <v>886</v>
      </c>
      <c r="S211" s="23">
        <v>1097.5899999999999</v>
      </c>
      <c r="T211" s="23">
        <v>845.55</v>
      </c>
      <c r="U211" s="23">
        <f t="shared" si="30"/>
        <v>845.55</v>
      </c>
      <c r="V211" s="8">
        <v>0.184</v>
      </c>
      <c r="W211" s="8">
        <f t="shared" si="31"/>
        <v>0.184</v>
      </c>
      <c r="X211">
        <v>6</v>
      </c>
    </row>
    <row r="212" spans="1:24" x14ac:dyDescent="0.35">
      <c r="A212" s="4" t="s">
        <v>643</v>
      </c>
      <c r="B212" s="5" t="str">
        <f>IF(COUNTIF($A$2:A212,A212)=1,"Original","Duplicate")</f>
        <v>Original</v>
      </c>
      <c r="C212" s="7">
        <v>45267</v>
      </c>
      <c r="D212" s="7">
        <v>45293</v>
      </c>
      <c r="E212" s="7" t="str">
        <f t="shared" si="24"/>
        <v>Valid</v>
      </c>
      <c r="F212" s="7">
        <f t="shared" si="25"/>
        <v>45293</v>
      </c>
      <c r="G212">
        <f t="shared" si="26"/>
        <v>26</v>
      </c>
      <c r="H212" t="s">
        <v>649</v>
      </c>
      <c r="I212" t="s">
        <v>656</v>
      </c>
      <c r="J212" t="s">
        <v>698</v>
      </c>
      <c r="K212" t="str">
        <f t="shared" si="27"/>
        <v>Frankfurt</v>
      </c>
      <c r="L212" t="s">
        <v>706</v>
      </c>
      <c r="M212" t="s">
        <v>710</v>
      </c>
      <c r="N212" t="str">
        <f t="shared" si="28"/>
        <v>Distributor</v>
      </c>
      <c r="O212" t="s">
        <v>718</v>
      </c>
      <c r="P212" t="str">
        <f t="shared" si="29"/>
        <v>E. Garcia</v>
      </c>
      <c r="Q212" t="s">
        <v>727</v>
      </c>
      <c r="R212" t="s">
        <v>1361</v>
      </c>
      <c r="S212" s="23">
        <v>1071.99</v>
      </c>
      <c r="T212" s="23">
        <v>2397.3000000000002</v>
      </c>
      <c r="U212" s="23">
        <f t="shared" si="30"/>
        <v>2397.3000000000002</v>
      </c>
      <c r="V212" s="8">
        <v>6.2E-2</v>
      </c>
      <c r="W212" s="8">
        <f t="shared" si="31"/>
        <v>6.2E-2</v>
      </c>
      <c r="X212">
        <v>18</v>
      </c>
    </row>
    <row r="213" spans="1:24" x14ac:dyDescent="0.35">
      <c r="A213" s="4" t="s">
        <v>423</v>
      </c>
      <c r="B213" s="5" t="str">
        <f>IF(COUNTIF($A$2:A213,A213)=1,"Original","Duplicate")</f>
        <v>Original</v>
      </c>
      <c r="C213" s="7">
        <v>45276</v>
      </c>
      <c r="D213" s="7">
        <v>45279</v>
      </c>
      <c r="E213" s="7" t="str">
        <f t="shared" si="24"/>
        <v>Valid</v>
      </c>
      <c r="F213" s="7">
        <f t="shared" si="25"/>
        <v>45279</v>
      </c>
      <c r="G213">
        <f t="shared" si="26"/>
        <v>3</v>
      </c>
      <c r="H213" t="s">
        <v>647</v>
      </c>
      <c r="I213" t="s">
        <v>659</v>
      </c>
      <c r="J213" t="s">
        <v>699</v>
      </c>
      <c r="K213" t="str">
        <f t="shared" si="27"/>
        <v>Beijing</v>
      </c>
      <c r="L213" t="s">
        <v>702</v>
      </c>
      <c r="M213" t="s">
        <v>707</v>
      </c>
      <c r="N213" t="str">
        <f t="shared" si="28"/>
        <v>Retail</v>
      </c>
      <c r="O213" t="s">
        <v>720</v>
      </c>
      <c r="P213" t="str">
        <f t="shared" si="29"/>
        <v>A. Patel</v>
      </c>
      <c r="Q213" t="s">
        <v>733</v>
      </c>
      <c r="R213" t="s">
        <v>1142</v>
      </c>
      <c r="S213" s="23">
        <v>1415.05</v>
      </c>
      <c r="T213" s="23">
        <v>1972.38</v>
      </c>
      <c r="U213" s="23">
        <f t="shared" si="30"/>
        <v>1972.38</v>
      </c>
      <c r="V213" s="8">
        <v>0</v>
      </c>
      <c r="W213" s="8">
        <f t="shared" si="31"/>
        <v>0</v>
      </c>
      <c r="X213">
        <v>12</v>
      </c>
    </row>
    <row r="214" spans="1:24" x14ac:dyDescent="0.35">
      <c r="A214" s="4" t="s">
        <v>481</v>
      </c>
      <c r="B214" s="5" t="str">
        <f>IF(COUNTIF($A$2:A214,A214)=1,"Original","Duplicate")</f>
        <v>Original</v>
      </c>
      <c r="C214" s="7">
        <v>45278</v>
      </c>
      <c r="D214" s="7">
        <v>45305</v>
      </c>
      <c r="E214" s="7" t="str">
        <f t="shared" si="24"/>
        <v>Valid</v>
      </c>
      <c r="F214" s="7">
        <f t="shared" si="25"/>
        <v>45305</v>
      </c>
      <c r="G214">
        <f t="shared" si="26"/>
        <v>27</v>
      </c>
      <c r="H214" t="s">
        <v>647</v>
      </c>
      <c r="I214" t="s">
        <v>654</v>
      </c>
      <c r="J214" t="s">
        <v>691</v>
      </c>
      <c r="K214" t="str">
        <f t="shared" si="27"/>
        <v>Mumbai</v>
      </c>
      <c r="L214" t="s">
        <v>704</v>
      </c>
      <c r="M214" t="s">
        <v>710</v>
      </c>
      <c r="N214" t="str">
        <f t="shared" si="28"/>
        <v>Distributor</v>
      </c>
      <c r="O214" t="s">
        <v>726</v>
      </c>
      <c r="P214" t="str">
        <f t="shared" si="29"/>
        <v>D. Smith</v>
      </c>
      <c r="Q214" t="s">
        <v>729</v>
      </c>
      <c r="R214" t="s">
        <v>1200</v>
      </c>
      <c r="S214" s="23">
        <v>1408.3</v>
      </c>
      <c r="T214" s="23">
        <v>2193.13</v>
      </c>
      <c r="U214" s="23">
        <f t="shared" si="30"/>
        <v>2193.13</v>
      </c>
      <c r="V214" s="8">
        <v>7.0999999999999994E-2</v>
      </c>
      <c r="W214" s="8">
        <f t="shared" si="31"/>
        <v>7.0999999999999994E-2</v>
      </c>
      <c r="X214">
        <v>7</v>
      </c>
    </row>
    <row r="215" spans="1:24" x14ac:dyDescent="0.35">
      <c r="A215" s="4" t="s">
        <v>239</v>
      </c>
      <c r="B215" s="5" t="str">
        <f>IF(COUNTIF($A$2:A215,A215)=1,"Original","Duplicate")</f>
        <v>Original</v>
      </c>
      <c r="C215" s="7">
        <v>45279</v>
      </c>
      <c r="D215" s="7">
        <v>45280</v>
      </c>
      <c r="E215" s="7" t="str">
        <f t="shared" si="24"/>
        <v>Valid</v>
      </c>
      <c r="F215" s="7">
        <f t="shared" si="25"/>
        <v>45280</v>
      </c>
      <c r="G215">
        <f t="shared" si="26"/>
        <v>1</v>
      </c>
      <c r="H215" t="s">
        <v>648</v>
      </c>
      <c r="I215" t="s">
        <v>655</v>
      </c>
      <c r="J215" t="s">
        <v>692</v>
      </c>
      <c r="K215" t="str">
        <f t="shared" si="27"/>
        <v>Rio de Janeiro</v>
      </c>
      <c r="L215" t="s">
        <v>704</v>
      </c>
      <c r="M215" t="s">
        <v>710</v>
      </c>
      <c r="N215" t="str">
        <f t="shared" si="28"/>
        <v>Distributor</v>
      </c>
      <c r="O215" t="s">
        <v>713</v>
      </c>
      <c r="P215" t="str">
        <f t="shared" si="29"/>
        <v>J. Njeri</v>
      </c>
      <c r="Q215" t="s">
        <v>730</v>
      </c>
      <c r="R215" t="s">
        <v>959</v>
      </c>
      <c r="S215" s="23">
        <v>1080.43</v>
      </c>
      <c r="T215" s="23">
        <v>2529.15</v>
      </c>
      <c r="U215" s="23">
        <f t="shared" si="30"/>
        <v>2529.15</v>
      </c>
      <c r="V215" s="8">
        <v>0.14699999999999999</v>
      </c>
      <c r="W215" s="8">
        <f t="shared" si="31"/>
        <v>0.14699999999999999</v>
      </c>
      <c r="X215">
        <v>10</v>
      </c>
    </row>
    <row r="216" spans="1:24" x14ac:dyDescent="0.35">
      <c r="A216" s="4" t="s">
        <v>588</v>
      </c>
      <c r="B216" s="5" t="str">
        <f>IF(COUNTIF($A$2:A216,A216)=1,"Original","Duplicate")</f>
        <v>Original</v>
      </c>
      <c r="C216" s="7">
        <v>45279</v>
      </c>
      <c r="D216" s="7">
        <v>45292</v>
      </c>
      <c r="E216" s="7" t="str">
        <f t="shared" si="24"/>
        <v>Valid</v>
      </c>
      <c r="F216" s="7">
        <f t="shared" si="25"/>
        <v>45292</v>
      </c>
      <c r="G216">
        <f t="shared" si="26"/>
        <v>13</v>
      </c>
      <c r="H216" t="s">
        <v>648</v>
      </c>
      <c r="I216" t="s">
        <v>653</v>
      </c>
      <c r="J216" t="s">
        <v>667</v>
      </c>
      <c r="K216" t="str">
        <f t="shared" si="27"/>
        <v>Toronto</v>
      </c>
      <c r="L216" t="s">
        <v>706</v>
      </c>
      <c r="M216" t="s">
        <v>707</v>
      </c>
      <c r="N216" t="str">
        <f t="shared" si="28"/>
        <v>Retail</v>
      </c>
      <c r="O216" t="s">
        <v>723</v>
      </c>
      <c r="P216" t="str">
        <f t="shared" si="29"/>
        <v>K. Singh</v>
      </c>
      <c r="Q216" t="s">
        <v>732</v>
      </c>
      <c r="R216" t="s">
        <v>1306</v>
      </c>
      <c r="S216" s="23">
        <v>856.1</v>
      </c>
      <c r="T216" s="23">
        <v>901.48</v>
      </c>
      <c r="U216" s="23">
        <f t="shared" si="30"/>
        <v>901.48</v>
      </c>
      <c r="V216" s="8">
        <v>5.6000000000000001E-2</v>
      </c>
      <c r="W216" s="8">
        <f t="shared" si="31"/>
        <v>5.6000000000000001E-2</v>
      </c>
      <c r="X216">
        <v>17</v>
      </c>
    </row>
    <row r="217" spans="1:24" x14ac:dyDescent="0.35">
      <c r="A217" s="4" t="s">
        <v>230</v>
      </c>
      <c r="B217" s="5" t="str">
        <f>IF(COUNTIF($A$2:A217,A217)=1,"Original","Duplicate")</f>
        <v>Original</v>
      </c>
      <c r="C217" s="7">
        <v>45280</v>
      </c>
      <c r="D217" s="7">
        <v>45305</v>
      </c>
      <c r="E217" s="7" t="str">
        <f t="shared" si="24"/>
        <v>Valid</v>
      </c>
      <c r="F217" s="7">
        <f t="shared" si="25"/>
        <v>45305</v>
      </c>
      <c r="G217">
        <f t="shared" si="26"/>
        <v>25</v>
      </c>
      <c r="H217" t="s">
        <v>647</v>
      </c>
      <c r="I217" t="s">
        <v>654</v>
      </c>
      <c r="J217" t="s">
        <v>691</v>
      </c>
      <c r="K217" t="str">
        <f t="shared" si="27"/>
        <v>Mumbai</v>
      </c>
      <c r="L217" t="s">
        <v>703</v>
      </c>
      <c r="M217" t="s">
        <v>709</v>
      </c>
      <c r="N217" t="str">
        <f t="shared" si="28"/>
        <v>Marketplace</v>
      </c>
      <c r="O217" t="s">
        <v>716</v>
      </c>
      <c r="P217" t="str">
        <f t="shared" si="29"/>
        <v>L. Okafor</v>
      </c>
      <c r="Q217" t="s">
        <v>732</v>
      </c>
      <c r="R217" t="s">
        <v>950</v>
      </c>
      <c r="S217" s="23">
        <v>1085.6099999999999</v>
      </c>
      <c r="T217" s="23">
        <v>1246.4100000000001</v>
      </c>
      <c r="U217" s="23">
        <f t="shared" si="30"/>
        <v>1246.4100000000001</v>
      </c>
      <c r="V217" s="8">
        <v>0.113</v>
      </c>
      <c r="W217" s="8">
        <f t="shared" si="31"/>
        <v>0.113</v>
      </c>
      <c r="X217">
        <v>7</v>
      </c>
    </row>
    <row r="218" spans="1:24" x14ac:dyDescent="0.35">
      <c r="A218" s="4" t="s">
        <v>362</v>
      </c>
      <c r="B218" s="5" t="str">
        <f>IF(COUNTIF($A$2:A218,A218)=1,"Original","Duplicate")</f>
        <v>Original</v>
      </c>
      <c r="C218" s="7">
        <v>45281</v>
      </c>
      <c r="D218" s="7">
        <v>45297</v>
      </c>
      <c r="E218" s="7" t="str">
        <f t="shared" si="24"/>
        <v>Valid</v>
      </c>
      <c r="F218" s="7">
        <f t="shared" si="25"/>
        <v>45297</v>
      </c>
      <c r="G218">
        <f t="shared" si="26"/>
        <v>16</v>
      </c>
      <c r="H218" t="s">
        <v>646</v>
      </c>
      <c r="I218" t="s">
        <v>651</v>
      </c>
      <c r="K218" t="str">
        <f t="shared" si="27"/>
        <v>Unknown</v>
      </c>
      <c r="L218" t="s">
        <v>701</v>
      </c>
      <c r="M218" t="s">
        <v>709</v>
      </c>
      <c r="N218" t="str">
        <f t="shared" si="28"/>
        <v>Marketplace</v>
      </c>
      <c r="O218" t="s">
        <v>723</v>
      </c>
      <c r="P218" t="str">
        <f t="shared" si="29"/>
        <v>K. Singh</v>
      </c>
      <c r="Q218" t="s">
        <v>727</v>
      </c>
      <c r="R218" t="s">
        <v>1082</v>
      </c>
      <c r="S218" s="23">
        <v>932.61</v>
      </c>
      <c r="T218" s="23">
        <v>1982.98</v>
      </c>
      <c r="U218" s="23">
        <f t="shared" si="30"/>
        <v>1982.98</v>
      </c>
      <c r="V218" s="8">
        <v>0.14399999999999999</v>
      </c>
      <c r="W218" s="8">
        <f t="shared" si="31"/>
        <v>0.14399999999999999</v>
      </c>
      <c r="X218">
        <v>16</v>
      </c>
    </row>
    <row r="219" spans="1:24" x14ac:dyDescent="0.35">
      <c r="A219" s="4" t="s">
        <v>100</v>
      </c>
      <c r="B219" s="5" t="str">
        <f>IF(COUNTIF($A$2:A219,A219)=1,"Original","Duplicate")</f>
        <v>Original</v>
      </c>
      <c r="C219" s="7">
        <v>45282</v>
      </c>
      <c r="D219" s="7">
        <v>45283</v>
      </c>
      <c r="E219" s="7" t="str">
        <f t="shared" si="24"/>
        <v>Valid</v>
      </c>
      <c r="F219" s="7">
        <f t="shared" si="25"/>
        <v>45283</v>
      </c>
      <c r="G219">
        <f t="shared" si="26"/>
        <v>1</v>
      </c>
      <c r="H219" t="s">
        <v>646</v>
      </c>
      <c r="I219" t="s">
        <v>661</v>
      </c>
      <c r="J219" t="s">
        <v>695</v>
      </c>
      <c r="K219" t="str">
        <f t="shared" si="27"/>
        <v>Cape Town</v>
      </c>
      <c r="L219" t="s">
        <v>703</v>
      </c>
      <c r="M219" t="s">
        <v>709</v>
      </c>
      <c r="N219" t="str">
        <f t="shared" si="28"/>
        <v>Marketplace</v>
      </c>
      <c r="O219" t="s">
        <v>726</v>
      </c>
      <c r="P219" t="str">
        <f t="shared" si="29"/>
        <v>D. Smith</v>
      </c>
      <c r="Q219" t="s">
        <v>727</v>
      </c>
      <c r="R219" t="s">
        <v>819</v>
      </c>
      <c r="S219" s="23">
        <v>1186.18</v>
      </c>
      <c r="T219" s="23">
        <v>1285.0899999999999</v>
      </c>
      <c r="U219" s="23">
        <f t="shared" si="30"/>
        <v>1285.0899999999999</v>
      </c>
      <c r="V219" s="8">
        <v>7.0000000000000007E-2</v>
      </c>
      <c r="W219" s="8">
        <f t="shared" si="31"/>
        <v>7.0000000000000007E-2</v>
      </c>
      <c r="X219">
        <v>11</v>
      </c>
    </row>
    <row r="220" spans="1:24" x14ac:dyDescent="0.35">
      <c r="A220" s="4" t="s">
        <v>640</v>
      </c>
      <c r="B220" s="5" t="str">
        <f>IF(COUNTIF($A$2:A220,A220)=1,"Original","Duplicate")</f>
        <v>Original</v>
      </c>
      <c r="C220" s="7">
        <v>45282</v>
      </c>
      <c r="D220" s="7">
        <v>45307</v>
      </c>
      <c r="E220" s="7" t="str">
        <f t="shared" si="24"/>
        <v>Valid</v>
      </c>
      <c r="F220" s="7">
        <f t="shared" si="25"/>
        <v>45307</v>
      </c>
      <c r="G220">
        <f t="shared" si="26"/>
        <v>25</v>
      </c>
      <c r="H220" t="s">
        <v>647</v>
      </c>
      <c r="I220" t="s">
        <v>654</v>
      </c>
      <c r="J220" t="s">
        <v>696</v>
      </c>
      <c r="K220" t="str">
        <f t="shared" si="27"/>
        <v>Hyderabad</v>
      </c>
      <c r="L220" t="s">
        <v>705</v>
      </c>
      <c r="M220" t="s">
        <v>707</v>
      </c>
      <c r="N220" t="str">
        <f t="shared" si="28"/>
        <v>Retail</v>
      </c>
      <c r="O220" t="s">
        <v>720</v>
      </c>
      <c r="P220" t="str">
        <f t="shared" si="29"/>
        <v>A. Patel</v>
      </c>
      <c r="Q220" t="s">
        <v>727</v>
      </c>
      <c r="R220" t="s">
        <v>1358</v>
      </c>
      <c r="S220" s="23">
        <v>1346.81</v>
      </c>
      <c r="T220" s="23">
        <v>978.09</v>
      </c>
      <c r="U220" s="23">
        <f t="shared" si="30"/>
        <v>978.09</v>
      </c>
      <c r="V220" s="8">
        <v>0.159</v>
      </c>
      <c r="W220" s="8">
        <f t="shared" si="31"/>
        <v>0.159</v>
      </c>
      <c r="X220">
        <v>17</v>
      </c>
    </row>
    <row r="221" spans="1:24" x14ac:dyDescent="0.35">
      <c r="A221" s="4" t="s">
        <v>282</v>
      </c>
      <c r="B221" s="5" t="str">
        <f>IF(COUNTIF($A$2:A221,A221)=1,"Original","Duplicate")</f>
        <v>Original</v>
      </c>
      <c r="C221" s="7">
        <v>45284</v>
      </c>
      <c r="D221" s="7">
        <v>45292</v>
      </c>
      <c r="E221" s="7" t="str">
        <f t="shared" si="24"/>
        <v>Valid</v>
      </c>
      <c r="F221" s="7">
        <f t="shared" si="25"/>
        <v>45292</v>
      </c>
      <c r="G221">
        <f t="shared" si="26"/>
        <v>8</v>
      </c>
      <c r="H221" t="s">
        <v>648</v>
      </c>
      <c r="I221" t="s">
        <v>655</v>
      </c>
      <c r="J221" t="s">
        <v>670</v>
      </c>
      <c r="K221" t="str">
        <f t="shared" si="27"/>
        <v>São Paulo</v>
      </c>
      <c r="L221" t="s">
        <v>702</v>
      </c>
      <c r="M221" t="s">
        <v>711</v>
      </c>
      <c r="N221" t="str">
        <f t="shared" si="28"/>
        <v>Direct</v>
      </c>
      <c r="O221" t="s">
        <v>712</v>
      </c>
      <c r="P221" t="str">
        <f t="shared" si="29"/>
        <v>C. Otieno</v>
      </c>
      <c r="Q221" t="s">
        <v>730</v>
      </c>
      <c r="R221" t="s">
        <v>1002</v>
      </c>
      <c r="S221" s="23">
        <v>526.49</v>
      </c>
      <c r="T221" s="23">
        <v>496.2</v>
      </c>
      <c r="U221" s="23">
        <f t="shared" si="30"/>
        <v>496.2</v>
      </c>
      <c r="V221" s="8">
        <v>0</v>
      </c>
      <c r="W221" s="8">
        <f t="shared" si="31"/>
        <v>0</v>
      </c>
      <c r="X221">
        <v>14</v>
      </c>
    </row>
    <row r="222" spans="1:24" x14ac:dyDescent="0.35">
      <c r="A222" s="4" t="s">
        <v>460</v>
      </c>
      <c r="B222" s="5" t="str">
        <f>IF(COUNTIF($A$2:A222,A222)=1,"Original","Duplicate")</f>
        <v>Original</v>
      </c>
      <c r="C222" s="7">
        <v>45284</v>
      </c>
      <c r="D222" s="7">
        <v>45304</v>
      </c>
      <c r="E222" s="7" t="str">
        <f t="shared" si="24"/>
        <v>Valid</v>
      </c>
      <c r="F222" s="7">
        <f t="shared" si="25"/>
        <v>45304</v>
      </c>
      <c r="G222">
        <f t="shared" si="26"/>
        <v>20</v>
      </c>
      <c r="H222" t="s">
        <v>647</v>
      </c>
      <c r="I222" t="s">
        <v>652</v>
      </c>
      <c r="J222" t="s">
        <v>694</v>
      </c>
      <c r="K222" t="str">
        <f t="shared" si="27"/>
        <v>Nagoya</v>
      </c>
      <c r="L222" t="s">
        <v>702</v>
      </c>
      <c r="M222" t="s">
        <v>711</v>
      </c>
      <c r="N222" t="str">
        <f t="shared" si="28"/>
        <v>Direct</v>
      </c>
      <c r="O222" t="s">
        <v>717</v>
      </c>
      <c r="P222" t="str">
        <f t="shared" si="29"/>
        <v>B. Chen</v>
      </c>
      <c r="Q222" t="s">
        <v>731</v>
      </c>
      <c r="R222" t="s">
        <v>1179</v>
      </c>
      <c r="S222" s="23">
        <v>625.37</v>
      </c>
      <c r="T222" s="23">
        <v>1319.04</v>
      </c>
      <c r="U222" s="23">
        <f t="shared" si="30"/>
        <v>1319.04</v>
      </c>
      <c r="V222" s="8">
        <v>7.3999999999999996E-2</v>
      </c>
      <c r="W222" s="8">
        <f t="shared" si="31"/>
        <v>7.3999999999999996E-2</v>
      </c>
      <c r="X222">
        <v>8</v>
      </c>
    </row>
    <row r="223" spans="1:24" x14ac:dyDescent="0.35">
      <c r="A223" s="4" t="s">
        <v>384</v>
      </c>
      <c r="B223" s="5" t="str">
        <f>IF(COUNTIF($A$2:A223,A223)=1,"Original","Duplicate")</f>
        <v>Original</v>
      </c>
      <c r="C223" s="7">
        <v>45286</v>
      </c>
      <c r="D223" s="7">
        <v>45294</v>
      </c>
      <c r="E223" s="7" t="str">
        <f t="shared" si="24"/>
        <v>Valid</v>
      </c>
      <c r="F223" s="7">
        <f t="shared" si="25"/>
        <v>45294</v>
      </c>
      <c r="G223">
        <f t="shared" si="26"/>
        <v>8</v>
      </c>
      <c r="H223" t="s">
        <v>649</v>
      </c>
      <c r="I223" t="s">
        <v>657</v>
      </c>
      <c r="J223" t="s">
        <v>679</v>
      </c>
      <c r="K223" t="str">
        <f t="shared" si="27"/>
        <v>Lyon</v>
      </c>
      <c r="L223" t="s">
        <v>705</v>
      </c>
      <c r="M223" t="s">
        <v>707</v>
      </c>
      <c r="N223" t="str">
        <f t="shared" si="28"/>
        <v>Retail</v>
      </c>
      <c r="O223" t="s">
        <v>724</v>
      </c>
      <c r="P223" t="str">
        <f t="shared" si="29"/>
        <v>M. Rossi</v>
      </c>
      <c r="Q223" t="s">
        <v>731</v>
      </c>
      <c r="R223" t="s">
        <v>1104</v>
      </c>
      <c r="S223" s="23">
        <v>492.75</v>
      </c>
      <c r="T223" s="23">
        <v>731.29</v>
      </c>
      <c r="U223" s="23">
        <f t="shared" si="30"/>
        <v>731.29</v>
      </c>
      <c r="V223" s="8">
        <v>5.8000000000000003E-2</v>
      </c>
      <c r="W223" s="8">
        <f t="shared" si="31"/>
        <v>5.8000000000000003E-2</v>
      </c>
      <c r="X223">
        <v>6</v>
      </c>
    </row>
    <row r="224" spans="1:24" x14ac:dyDescent="0.35">
      <c r="A224" s="4" t="s">
        <v>553</v>
      </c>
      <c r="B224" s="5" t="str">
        <f>IF(COUNTIF($A$2:A224,A224)=1,"Original","Duplicate")</f>
        <v>Original</v>
      </c>
      <c r="C224" s="7">
        <v>45288</v>
      </c>
      <c r="D224" s="7">
        <v>45292</v>
      </c>
      <c r="E224" s="7" t="str">
        <f t="shared" si="24"/>
        <v>Valid</v>
      </c>
      <c r="F224" s="7">
        <f t="shared" si="25"/>
        <v>45292</v>
      </c>
      <c r="G224">
        <f t="shared" si="26"/>
        <v>4</v>
      </c>
      <c r="H224" t="s">
        <v>646</v>
      </c>
      <c r="I224" t="s">
        <v>661</v>
      </c>
      <c r="J224" t="s">
        <v>695</v>
      </c>
      <c r="K224" t="str">
        <f t="shared" si="27"/>
        <v>Cape Town</v>
      </c>
      <c r="L224" t="s">
        <v>702</v>
      </c>
      <c r="M224" t="s">
        <v>710</v>
      </c>
      <c r="N224" t="str">
        <f t="shared" si="28"/>
        <v>Distributor</v>
      </c>
      <c r="O224" t="s">
        <v>720</v>
      </c>
      <c r="P224" t="str">
        <f t="shared" si="29"/>
        <v>A. Patel</v>
      </c>
      <c r="Q224" t="s">
        <v>728</v>
      </c>
      <c r="R224" t="s">
        <v>1271</v>
      </c>
      <c r="S224" s="23">
        <v>1141.8</v>
      </c>
      <c r="T224" s="23">
        <v>2318.7399999999998</v>
      </c>
      <c r="U224" s="23">
        <f t="shared" si="30"/>
        <v>2318.7399999999998</v>
      </c>
      <c r="V224" s="8">
        <v>0.107</v>
      </c>
      <c r="W224" s="8">
        <f t="shared" si="31"/>
        <v>0.107</v>
      </c>
      <c r="X224">
        <v>32</v>
      </c>
    </row>
    <row r="225" spans="1:24" x14ac:dyDescent="0.35">
      <c r="A225" s="4" t="s">
        <v>137</v>
      </c>
      <c r="B225" s="5" t="str">
        <f>IF(COUNTIF($A$2:A225,A225)=1,"Original","Duplicate")</f>
        <v>Original</v>
      </c>
      <c r="C225" s="7">
        <v>45289</v>
      </c>
      <c r="D225" s="7">
        <v>45311</v>
      </c>
      <c r="E225" s="7" t="str">
        <f t="shared" si="24"/>
        <v>Valid</v>
      </c>
      <c r="F225" s="7">
        <f t="shared" si="25"/>
        <v>45311</v>
      </c>
      <c r="G225">
        <f t="shared" si="26"/>
        <v>22</v>
      </c>
      <c r="H225" t="s">
        <v>646</v>
      </c>
      <c r="I225" t="s">
        <v>650</v>
      </c>
      <c r="J225" t="s">
        <v>662</v>
      </c>
      <c r="K225" t="str">
        <f t="shared" si="27"/>
        <v>Kisumu</v>
      </c>
      <c r="L225" t="s">
        <v>701</v>
      </c>
      <c r="M225" t="s">
        <v>711</v>
      </c>
      <c r="N225" t="str">
        <f t="shared" si="28"/>
        <v>Direct</v>
      </c>
      <c r="O225" t="s">
        <v>716</v>
      </c>
      <c r="P225" t="str">
        <f t="shared" si="29"/>
        <v>L. Okafor</v>
      </c>
      <c r="Q225" t="s">
        <v>730</v>
      </c>
      <c r="R225" t="s">
        <v>856</v>
      </c>
      <c r="S225" s="23">
        <v>1395.49</v>
      </c>
      <c r="T225" s="23">
        <v>1679.42</v>
      </c>
      <c r="U225" s="23">
        <f t="shared" si="30"/>
        <v>1679.42</v>
      </c>
      <c r="V225" s="8">
        <v>0.20300000000000001</v>
      </c>
      <c r="W225" s="8">
        <f t="shared" si="31"/>
        <v>0.20300000000000001</v>
      </c>
      <c r="X225">
        <v>12</v>
      </c>
    </row>
    <row r="226" spans="1:24" x14ac:dyDescent="0.35">
      <c r="A226" s="4" t="s">
        <v>452</v>
      </c>
      <c r="B226" s="5" t="str">
        <f>IF(COUNTIF($A$2:A226,A226)=1,"Original","Duplicate")</f>
        <v>Original</v>
      </c>
      <c r="C226" s="7">
        <v>45290</v>
      </c>
      <c r="D226" s="7">
        <v>45299</v>
      </c>
      <c r="E226" s="7" t="str">
        <f t="shared" si="24"/>
        <v>Valid</v>
      </c>
      <c r="F226" s="7">
        <f t="shared" si="25"/>
        <v>45299</v>
      </c>
      <c r="G226">
        <f t="shared" si="26"/>
        <v>9</v>
      </c>
      <c r="H226" t="s">
        <v>649</v>
      </c>
      <c r="I226" t="s">
        <v>657</v>
      </c>
      <c r="J226" t="s">
        <v>673</v>
      </c>
      <c r="K226" t="str">
        <f t="shared" si="27"/>
        <v>Marseille</v>
      </c>
      <c r="L226" t="s">
        <v>704</v>
      </c>
      <c r="M226" t="s">
        <v>709</v>
      </c>
      <c r="N226" t="str">
        <f t="shared" si="28"/>
        <v>Marketplace</v>
      </c>
      <c r="O226" t="s">
        <v>716</v>
      </c>
      <c r="P226" t="str">
        <f t="shared" si="29"/>
        <v>L. Okafor</v>
      </c>
      <c r="Q226" t="s">
        <v>733</v>
      </c>
      <c r="R226" t="s">
        <v>1171</v>
      </c>
      <c r="S226" s="23">
        <v>861.1</v>
      </c>
      <c r="T226" s="23">
        <v>1224.72</v>
      </c>
      <c r="U226" s="23">
        <f t="shared" si="30"/>
        <v>1224.72</v>
      </c>
      <c r="V226" s="8">
        <v>0.17399999999999999</v>
      </c>
      <c r="W226" s="8">
        <f t="shared" si="31"/>
        <v>0.17399999999999999</v>
      </c>
      <c r="X226">
        <v>24</v>
      </c>
    </row>
    <row r="227" spans="1:24" x14ac:dyDescent="0.35">
      <c r="A227" s="4" t="s">
        <v>369</v>
      </c>
      <c r="B227" s="5" t="str">
        <f>IF(COUNTIF($A$2:A227,A227)=1,"Original","Duplicate")</f>
        <v>Original</v>
      </c>
      <c r="C227" s="7">
        <v>45292</v>
      </c>
      <c r="D227" s="7">
        <v>45318</v>
      </c>
      <c r="E227" s="7" t="str">
        <f t="shared" si="24"/>
        <v>Valid</v>
      </c>
      <c r="F227" s="7">
        <f t="shared" si="25"/>
        <v>45318</v>
      </c>
      <c r="G227">
        <f t="shared" si="26"/>
        <v>26</v>
      </c>
      <c r="H227" t="s">
        <v>649</v>
      </c>
      <c r="I227" t="s">
        <v>658</v>
      </c>
      <c r="J227" t="s">
        <v>693</v>
      </c>
      <c r="K227" t="str">
        <f t="shared" si="27"/>
        <v>Manchester</v>
      </c>
      <c r="L227" t="s">
        <v>702</v>
      </c>
      <c r="M227" t="s">
        <v>710</v>
      </c>
      <c r="N227" t="str">
        <f t="shared" si="28"/>
        <v>Distributor</v>
      </c>
      <c r="O227" t="s">
        <v>726</v>
      </c>
      <c r="P227" t="str">
        <f t="shared" si="29"/>
        <v>D. Smith</v>
      </c>
      <c r="Q227" t="s">
        <v>733</v>
      </c>
      <c r="R227" t="s">
        <v>1089</v>
      </c>
      <c r="S227" s="23">
        <v>657.45</v>
      </c>
      <c r="T227" s="23">
        <v>1325.96</v>
      </c>
      <c r="U227" s="23">
        <f t="shared" si="30"/>
        <v>1325.96</v>
      </c>
      <c r="V227" s="8">
        <v>0.16700000000000001</v>
      </c>
      <c r="W227" s="8">
        <f t="shared" si="31"/>
        <v>0.16700000000000001</v>
      </c>
      <c r="X227">
        <v>21</v>
      </c>
    </row>
    <row r="228" spans="1:24" x14ac:dyDescent="0.35">
      <c r="A228" s="4" t="s">
        <v>335</v>
      </c>
      <c r="B228" s="5" t="str">
        <f>IF(COUNTIF($A$2:A228,A228)=1,"Original","Duplicate")</f>
        <v>Original</v>
      </c>
      <c r="C228" s="7">
        <v>45293</v>
      </c>
      <c r="D228" s="7">
        <v>45292</v>
      </c>
      <c r="E228" s="7" t="str">
        <f t="shared" si="24"/>
        <v>Invalid</v>
      </c>
      <c r="F228" s="7">
        <f t="shared" si="25"/>
        <v>45300</v>
      </c>
      <c r="G228">
        <f t="shared" si="26"/>
        <v>7</v>
      </c>
      <c r="H228" t="s">
        <v>648</v>
      </c>
      <c r="I228" t="s">
        <v>660</v>
      </c>
      <c r="J228" t="s">
        <v>677</v>
      </c>
      <c r="K228" t="str">
        <f t="shared" si="27"/>
        <v>Chicago</v>
      </c>
      <c r="L228" t="s">
        <v>702</v>
      </c>
      <c r="M228" t="s">
        <v>709</v>
      </c>
      <c r="N228" t="str">
        <f t="shared" si="28"/>
        <v>Marketplace</v>
      </c>
      <c r="O228" t="s">
        <v>717</v>
      </c>
      <c r="P228" t="str">
        <f t="shared" si="29"/>
        <v>B. Chen</v>
      </c>
      <c r="Q228" t="s">
        <v>729</v>
      </c>
      <c r="R228" t="s">
        <v>1055</v>
      </c>
      <c r="S228" s="23">
        <v>404.77</v>
      </c>
      <c r="T228" s="23">
        <v>433.88</v>
      </c>
      <c r="U228" s="23">
        <f t="shared" si="30"/>
        <v>433.88</v>
      </c>
      <c r="V228" s="8">
        <v>0.215</v>
      </c>
      <c r="W228" s="8">
        <f t="shared" si="31"/>
        <v>0.215</v>
      </c>
      <c r="X228">
        <v>22</v>
      </c>
    </row>
    <row r="229" spans="1:24" x14ac:dyDescent="0.35">
      <c r="A229" s="4" t="s">
        <v>494</v>
      </c>
      <c r="B229" s="5" t="str">
        <f>IF(COUNTIF($A$2:A229,A229)=1,"Original","Duplicate")</f>
        <v>Original</v>
      </c>
      <c r="C229" s="7">
        <v>45293</v>
      </c>
      <c r="D229" s="7">
        <v>45306</v>
      </c>
      <c r="E229" s="7" t="str">
        <f t="shared" si="24"/>
        <v>Valid</v>
      </c>
      <c r="F229" s="7">
        <f t="shared" si="25"/>
        <v>45306</v>
      </c>
      <c r="G229">
        <f t="shared" si="26"/>
        <v>13</v>
      </c>
      <c r="H229" t="s">
        <v>647</v>
      </c>
      <c r="I229" t="s">
        <v>652</v>
      </c>
      <c r="J229" t="s">
        <v>694</v>
      </c>
      <c r="K229" t="str">
        <f t="shared" si="27"/>
        <v>Nagoya</v>
      </c>
      <c r="L229" t="s">
        <v>705</v>
      </c>
      <c r="M229" t="s">
        <v>709</v>
      </c>
      <c r="N229" t="str">
        <f t="shared" si="28"/>
        <v>Marketplace</v>
      </c>
      <c r="O229" t="s">
        <v>715</v>
      </c>
      <c r="P229" t="str">
        <f t="shared" si="29"/>
        <v>G. Dubois</v>
      </c>
      <c r="Q229" t="s">
        <v>729</v>
      </c>
      <c r="R229" t="s">
        <v>1213</v>
      </c>
      <c r="S229" s="23">
        <v>1219.06</v>
      </c>
      <c r="T229" s="23">
        <v>2738.69</v>
      </c>
      <c r="U229" s="23">
        <f t="shared" si="30"/>
        <v>2738.69</v>
      </c>
      <c r="V229" s="8">
        <v>7.5999999999999998E-2</v>
      </c>
      <c r="W229" s="8">
        <f t="shared" si="31"/>
        <v>7.5999999999999998E-2</v>
      </c>
      <c r="X229">
        <v>16</v>
      </c>
    </row>
    <row r="230" spans="1:24" x14ac:dyDescent="0.35">
      <c r="A230" s="4" t="s">
        <v>587</v>
      </c>
      <c r="B230" s="5" t="str">
        <f>IF(COUNTIF($A$2:A230,A230)=1,"Original","Duplicate")</f>
        <v>Original</v>
      </c>
      <c r="C230" s="7">
        <v>45293</v>
      </c>
      <c r="D230" s="7">
        <v>45293</v>
      </c>
      <c r="E230" s="7" t="str">
        <f t="shared" si="24"/>
        <v>Valid</v>
      </c>
      <c r="F230" s="7">
        <f t="shared" si="25"/>
        <v>45300</v>
      </c>
      <c r="G230">
        <f t="shared" si="26"/>
        <v>7</v>
      </c>
      <c r="H230" t="s">
        <v>648</v>
      </c>
      <c r="I230" t="s">
        <v>653</v>
      </c>
      <c r="J230" t="s">
        <v>688</v>
      </c>
      <c r="K230" t="str">
        <f t="shared" si="27"/>
        <v>Vancouver</v>
      </c>
      <c r="L230" t="s">
        <v>702</v>
      </c>
      <c r="M230" t="s">
        <v>711</v>
      </c>
      <c r="N230" t="str">
        <f t="shared" si="28"/>
        <v>Direct</v>
      </c>
      <c r="O230" t="s">
        <v>720</v>
      </c>
      <c r="P230" t="str">
        <f t="shared" si="29"/>
        <v>A. Patel</v>
      </c>
      <c r="Q230" t="s">
        <v>731</v>
      </c>
      <c r="R230" t="s">
        <v>1305</v>
      </c>
      <c r="S230" s="23">
        <v>444.41</v>
      </c>
      <c r="T230" s="23">
        <v>754.24</v>
      </c>
      <c r="U230" s="23">
        <f t="shared" si="30"/>
        <v>754.24</v>
      </c>
      <c r="V230" s="8">
        <v>0.20699999999999999</v>
      </c>
      <c r="W230" s="8">
        <f t="shared" si="31"/>
        <v>0.20699999999999999</v>
      </c>
      <c r="X230">
        <v>32</v>
      </c>
    </row>
    <row r="231" spans="1:24" x14ac:dyDescent="0.35">
      <c r="A231" s="4" t="s">
        <v>574</v>
      </c>
      <c r="B231" s="5" t="str">
        <f>IF(COUNTIF($A$2:A231,A231)=1,"Original","Duplicate")</f>
        <v>Original</v>
      </c>
      <c r="C231" s="7">
        <v>45299</v>
      </c>
      <c r="D231" s="7">
        <v>45303</v>
      </c>
      <c r="E231" s="7" t="str">
        <f t="shared" si="24"/>
        <v>Valid</v>
      </c>
      <c r="F231" s="7">
        <f t="shared" si="25"/>
        <v>45303</v>
      </c>
      <c r="G231">
        <f t="shared" si="26"/>
        <v>4</v>
      </c>
      <c r="H231" t="s">
        <v>647</v>
      </c>
      <c r="I231" t="s">
        <v>654</v>
      </c>
      <c r="J231" t="s">
        <v>668</v>
      </c>
      <c r="K231" t="str">
        <f t="shared" si="27"/>
        <v>Bengaluru</v>
      </c>
      <c r="L231" t="s">
        <v>701</v>
      </c>
      <c r="M231" t="s">
        <v>711</v>
      </c>
      <c r="N231" t="str">
        <f t="shared" si="28"/>
        <v>Direct</v>
      </c>
      <c r="O231" t="s">
        <v>718</v>
      </c>
      <c r="P231" t="str">
        <f t="shared" si="29"/>
        <v>E. Garcia</v>
      </c>
      <c r="Q231" t="s">
        <v>728</v>
      </c>
      <c r="R231" t="s">
        <v>1292</v>
      </c>
      <c r="S231" s="23">
        <v>802.32</v>
      </c>
      <c r="T231" s="23">
        <v>602.34</v>
      </c>
      <c r="U231" s="23">
        <f t="shared" si="30"/>
        <v>602.34</v>
      </c>
      <c r="V231" s="8">
        <v>0.12</v>
      </c>
      <c r="W231" s="8">
        <f t="shared" si="31"/>
        <v>0.12</v>
      </c>
      <c r="X231">
        <v>25</v>
      </c>
    </row>
    <row r="232" spans="1:24" x14ac:dyDescent="0.35">
      <c r="A232" s="4" t="s">
        <v>283</v>
      </c>
      <c r="B232" s="5" t="str">
        <f>IF(COUNTIF($A$2:A232,A232)=1,"Original","Duplicate")</f>
        <v>Original</v>
      </c>
      <c r="C232" s="7">
        <v>45301</v>
      </c>
      <c r="D232" s="7">
        <v>45314</v>
      </c>
      <c r="E232" s="7" t="str">
        <f t="shared" si="24"/>
        <v>Valid</v>
      </c>
      <c r="F232" s="7">
        <f t="shared" si="25"/>
        <v>45314</v>
      </c>
      <c r="G232">
        <f t="shared" si="26"/>
        <v>13</v>
      </c>
      <c r="H232" t="s">
        <v>649</v>
      </c>
      <c r="I232" t="s">
        <v>657</v>
      </c>
      <c r="J232" t="s">
        <v>673</v>
      </c>
      <c r="K232" t="str">
        <f t="shared" si="27"/>
        <v>Marseille</v>
      </c>
      <c r="L232" t="s">
        <v>701</v>
      </c>
      <c r="M232" t="s">
        <v>711</v>
      </c>
      <c r="N232" t="str">
        <f t="shared" si="28"/>
        <v>Direct</v>
      </c>
      <c r="O232" t="s">
        <v>720</v>
      </c>
      <c r="P232" t="str">
        <f t="shared" si="29"/>
        <v>A. Patel</v>
      </c>
      <c r="Q232" t="s">
        <v>728</v>
      </c>
      <c r="R232" t="s">
        <v>1003</v>
      </c>
      <c r="S232" s="23">
        <v>720</v>
      </c>
      <c r="T232" s="23">
        <v>907.59</v>
      </c>
      <c r="U232" s="23">
        <f t="shared" si="30"/>
        <v>907.59</v>
      </c>
      <c r="V232" s="8">
        <v>0.154</v>
      </c>
      <c r="W232" s="8">
        <f t="shared" si="31"/>
        <v>0.154</v>
      </c>
      <c r="X232">
        <v>10</v>
      </c>
    </row>
    <row r="233" spans="1:24" x14ac:dyDescent="0.35">
      <c r="A233" s="4" t="s">
        <v>56</v>
      </c>
      <c r="B233" s="5" t="str">
        <f>IF(COUNTIF($A$2:A233,A233)=1,"Original","Duplicate")</f>
        <v>Original</v>
      </c>
      <c r="C233" s="7">
        <v>45302</v>
      </c>
      <c r="D233" s="7">
        <v>45324</v>
      </c>
      <c r="E233" s="7" t="str">
        <f t="shared" si="24"/>
        <v>Valid</v>
      </c>
      <c r="F233" s="7">
        <f t="shared" si="25"/>
        <v>45324</v>
      </c>
      <c r="G233">
        <f t="shared" si="26"/>
        <v>22</v>
      </c>
      <c r="H233" t="s">
        <v>646</v>
      </c>
      <c r="I233" t="s">
        <v>661</v>
      </c>
      <c r="J233" t="s">
        <v>687</v>
      </c>
      <c r="K233" t="str">
        <f t="shared" si="27"/>
        <v>Durban</v>
      </c>
      <c r="L233" t="s">
        <v>704</v>
      </c>
      <c r="M233" t="s">
        <v>708</v>
      </c>
      <c r="N233" t="str">
        <f t="shared" si="28"/>
        <v>Online</v>
      </c>
      <c r="O233" t="s">
        <v>723</v>
      </c>
      <c r="P233" t="str">
        <f t="shared" si="29"/>
        <v>K. Singh</v>
      </c>
      <c r="Q233" t="s">
        <v>729</v>
      </c>
      <c r="R233" t="s">
        <v>775</v>
      </c>
      <c r="S233" s="23">
        <v>1206.2</v>
      </c>
      <c r="T233" s="23">
        <v>1759.79</v>
      </c>
      <c r="U233" s="23">
        <f t="shared" si="30"/>
        <v>1759.79</v>
      </c>
      <c r="V233" s="8">
        <v>0</v>
      </c>
      <c r="W233" s="8">
        <f t="shared" si="31"/>
        <v>0</v>
      </c>
      <c r="X233">
        <v>6</v>
      </c>
    </row>
    <row r="234" spans="1:24" x14ac:dyDescent="0.35">
      <c r="A234" s="4" t="s">
        <v>249</v>
      </c>
      <c r="B234" s="5" t="str">
        <f>IF(COUNTIF($A$2:A234,A234)=1,"Original","Duplicate")</f>
        <v>Original</v>
      </c>
      <c r="C234" s="7">
        <v>45302</v>
      </c>
      <c r="D234" s="7">
        <v>45324</v>
      </c>
      <c r="E234" s="7" t="str">
        <f t="shared" si="24"/>
        <v>Valid</v>
      </c>
      <c r="F234" s="7">
        <f t="shared" si="25"/>
        <v>45324</v>
      </c>
      <c r="G234">
        <f t="shared" si="26"/>
        <v>22</v>
      </c>
      <c r="H234" t="s">
        <v>647</v>
      </c>
      <c r="I234" t="s">
        <v>652</v>
      </c>
      <c r="J234" t="s">
        <v>694</v>
      </c>
      <c r="K234" t="str">
        <f t="shared" si="27"/>
        <v>Nagoya</v>
      </c>
      <c r="L234" t="s">
        <v>705</v>
      </c>
      <c r="M234" t="s">
        <v>708</v>
      </c>
      <c r="N234" t="str">
        <f t="shared" si="28"/>
        <v>Online</v>
      </c>
      <c r="P234" t="str">
        <f t="shared" si="29"/>
        <v>Unassigned</v>
      </c>
      <c r="Q234" t="s">
        <v>728</v>
      </c>
      <c r="R234" t="s">
        <v>969</v>
      </c>
      <c r="S234" s="23">
        <v>1237.68</v>
      </c>
      <c r="T234" s="23">
        <v>1432.8</v>
      </c>
      <c r="U234" s="23">
        <f t="shared" si="30"/>
        <v>1432.8</v>
      </c>
      <c r="V234" s="8">
        <v>6.8000000000000005E-2</v>
      </c>
      <c r="W234" s="8">
        <f t="shared" si="31"/>
        <v>6.8000000000000005E-2</v>
      </c>
      <c r="X234">
        <v>13</v>
      </c>
    </row>
    <row r="235" spans="1:24" x14ac:dyDescent="0.35">
      <c r="A235" s="4" t="s">
        <v>215</v>
      </c>
      <c r="B235" s="5" t="str">
        <f>IF(COUNTIF($A$2:A235,A235)=1,"Original","Duplicate")</f>
        <v>Original</v>
      </c>
      <c r="C235" s="7">
        <v>45303</v>
      </c>
      <c r="D235" s="7">
        <v>45320</v>
      </c>
      <c r="E235" s="7" t="str">
        <f t="shared" si="24"/>
        <v>Valid</v>
      </c>
      <c r="F235" s="7">
        <f t="shared" si="25"/>
        <v>45320</v>
      </c>
      <c r="G235">
        <f t="shared" si="26"/>
        <v>17</v>
      </c>
      <c r="H235" t="s">
        <v>648</v>
      </c>
      <c r="I235" t="s">
        <v>660</v>
      </c>
      <c r="J235" t="s">
        <v>677</v>
      </c>
      <c r="K235" t="str">
        <f t="shared" si="27"/>
        <v>Chicago</v>
      </c>
      <c r="L235" t="s">
        <v>702</v>
      </c>
      <c r="M235" t="s">
        <v>710</v>
      </c>
      <c r="N235" t="str">
        <f t="shared" si="28"/>
        <v>Distributor</v>
      </c>
      <c r="O235" t="s">
        <v>720</v>
      </c>
      <c r="P235" t="str">
        <f t="shared" si="29"/>
        <v>A. Patel</v>
      </c>
      <c r="Q235" t="s">
        <v>728</v>
      </c>
      <c r="R235" t="s">
        <v>935</v>
      </c>
      <c r="S235" s="23">
        <v>493.76</v>
      </c>
      <c r="T235" s="23">
        <v>625.04</v>
      </c>
      <c r="U235" s="23">
        <f t="shared" si="30"/>
        <v>625.04</v>
      </c>
      <c r="V235" s="8">
        <v>0.25800000000000001</v>
      </c>
      <c r="W235" s="8">
        <f t="shared" si="31"/>
        <v>0.25800000000000001</v>
      </c>
      <c r="X235">
        <v>10</v>
      </c>
    </row>
    <row r="236" spans="1:24" x14ac:dyDescent="0.35">
      <c r="A236" s="4" t="s">
        <v>340</v>
      </c>
      <c r="B236" s="5" t="str">
        <f>IF(COUNTIF($A$2:A236,A236)=1,"Original","Duplicate")</f>
        <v>Original</v>
      </c>
      <c r="C236" s="7">
        <v>45303</v>
      </c>
      <c r="D236" s="7">
        <v>45320</v>
      </c>
      <c r="E236" s="7" t="str">
        <f t="shared" si="24"/>
        <v>Valid</v>
      </c>
      <c r="F236" s="7">
        <f t="shared" si="25"/>
        <v>45320</v>
      </c>
      <c r="G236">
        <f t="shared" si="26"/>
        <v>17</v>
      </c>
      <c r="H236" t="s">
        <v>647</v>
      </c>
      <c r="I236" t="s">
        <v>654</v>
      </c>
      <c r="J236" t="s">
        <v>696</v>
      </c>
      <c r="K236" t="str">
        <f t="shared" si="27"/>
        <v>Hyderabad</v>
      </c>
      <c r="L236" t="s">
        <v>705</v>
      </c>
      <c r="M236" t="s">
        <v>711</v>
      </c>
      <c r="N236" t="str">
        <f t="shared" si="28"/>
        <v>Direct</v>
      </c>
      <c r="O236" t="s">
        <v>717</v>
      </c>
      <c r="P236" t="str">
        <f t="shared" si="29"/>
        <v>B. Chen</v>
      </c>
      <c r="Q236" t="s">
        <v>727</v>
      </c>
      <c r="R236" t="s">
        <v>1060</v>
      </c>
      <c r="S236" s="23">
        <v>310.02</v>
      </c>
      <c r="T236" s="23">
        <v>619.51</v>
      </c>
      <c r="U236" s="23">
        <f t="shared" si="30"/>
        <v>619.51</v>
      </c>
      <c r="V236" s="8">
        <v>4.2000000000000003E-2</v>
      </c>
      <c r="W236" s="8">
        <f t="shared" si="31"/>
        <v>4.2000000000000003E-2</v>
      </c>
      <c r="X236">
        <v>4</v>
      </c>
    </row>
    <row r="237" spans="1:24" x14ac:dyDescent="0.35">
      <c r="A237" s="4" t="s">
        <v>116</v>
      </c>
      <c r="B237" s="5" t="str">
        <f>IF(COUNTIF($A$2:A237,A237)=1,"Original","Duplicate")</f>
        <v>Original</v>
      </c>
      <c r="C237" s="7">
        <v>45304</v>
      </c>
      <c r="D237" s="7">
        <v>45313</v>
      </c>
      <c r="E237" s="7" t="str">
        <f t="shared" si="24"/>
        <v>Valid</v>
      </c>
      <c r="F237" s="7">
        <f t="shared" si="25"/>
        <v>45313</v>
      </c>
      <c r="G237">
        <f t="shared" si="26"/>
        <v>9</v>
      </c>
      <c r="H237" t="s">
        <v>647</v>
      </c>
      <c r="I237" t="s">
        <v>654</v>
      </c>
      <c r="J237" t="s">
        <v>691</v>
      </c>
      <c r="K237" t="str">
        <f t="shared" si="27"/>
        <v>Mumbai</v>
      </c>
      <c r="L237" t="s">
        <v>706</v>
      </c>
      <c r="M237" t="s">
        <v>709</v>
      </c>
      <c r="N237" t="str">
        <f t="shared" si="28"/>
        <v>Marketplace</v>
      </c>
      <c r="O237" t="s">
        <v>713</v>
      </c>
      <c r="P237" t="str">
        <f t="shared" si="29"/>
        <v>J. Njeri</v>
      </c>
      <c r="Q237" t="s">
        <v>727</v>
      </c>
      <c r="R237" t="s">
        <v>835</v>
      </c>
      <c r="S237" s="23">
        <v>313.60000000000002</v>
      </c>
      <c r="T237" s="23">
        <v>334.28</v>
      </c>
      <c r="U237" s="23">
        <f t="shared" si="30"/>
        <v>334.28</v>
      </c>
      <c r="V237" s="8">
        <v>0.14000000000000001</v>
      </c>
      <c r="W237" s="8">
        <f t="shared" si="31"/>
        <v>0.14000000000000001</v>
      </c>
      <c r="X237">
        <v>22</v>
      </c>
    </row>
    <row r="238" spans="1:24" x14ac:dyDescent="0.35">
      <c r="A238" s="4" t="s">
        <v>298</v>
      </c>
      <c r="B238" s="5" t="str">
        <f>IF(COUNTIF($A$2:A238,A238)=1,"Original","Duplicate")</f>
        <v>Original</v>
      </c>
      <c r="C238" s="7">
        <v>45304</v>
      </c>
      <c r="D238" s="7">
        <v>45327</v>
      </c>
      <c r="E238" s="7" t="str">
        <f t="shared" si="24"/>
        <v>Valid</v>
      </c>
      <c r="F238" s="7">
        <f t="shared" si="25"/>
        <v>45327</v>
      </c>
      <c r="G238">
        <f t="shared" si="26"/>
        <v>23</v>
      </c>
      <c r="H238" t="s">
        <v>649</v>
      </c>
      <c r="I238" t="s">
        <v>656</v>
      </c>
      <c r="J238" t="s">
        <v>698</v>
      </c>
      <c r="K238" t="str">
        <f t="shared" si="27"/>
        <v>Frankfurt</v>
      </c>
      <c r="L238" t="s">
        <v>702</v>
      </c>
      <c r="M238" t="s">
        <v>711</v>
      </c>
      <c r="N238" t="str">
        <f t="shared" si="28"/>
        <v>Direct</v>
      </c>
      <c r="O238" t="s">
        <v>717</v>
      </c>
      <c r="P238" t="str">
        <f t="shared" si="29"/>
        <v>B. Chen</v>
      </c>
      <c r="Q238" t="s">
        <v>731</v>
      </c>
      <c r="R238" t="s">
        <v>1018</v>
      </c>
      <c r="S238" s="23">
        <v>1017.93</v>
      </c>
      <c r="T238" s="23">
        <v>1529.14</v>
      </c>
      <c r="U238" s="23">
        <f t="shared" si="30"/>
        <v>1529.14</v>
      </c>
      <c r="V238" s="8">
        <v>0.155</v>
      </c>
      <c r="W238" s="8">
        <f t="shared" si="31"/>
        <v>0.155</v>
      </c>
      <c r="X238">
        <v>12</v>
      </c>
    </row>
    <row r="239" spans="1:24" x14ac:dyDescent="0.35">
      <c r="A239" s="4" t="s">
        <v>538</v>
      </c>
      <c r="B239" s="5" t="str">
        <f>IF(COUNTIF($A$2:A239,A239)=1,"Original","Duplicate")</f>
        <v>Original</v>
      </c>
      <c r="C239" s="7">
        <v>45304</v>
      </c>
      <c r="D239" s="7">
        <v>45306</v>
      </c>
      <c r="E239" s="7" t="str">
        <f t="shared" si="24"/>
        <v>Valid</v>
      </c>
      <c r="F239" s="7">
        <f t="shared" si="25"/>
        <v>45306</v>
      </c>
      <c r="G239">
        <f t="shared" si="26"/>
        <v>2</v>
      </c>
      <c r="H239" t="s">
        <v>648</v>
      </c>
      <c r="I239" t="s">
        <v>660</v>
      </c>
      <c r="J239" t="s">
        <v>686</v>
      </c>
      <c r="K239" t="str">
        <f t="shared" si="27"/>
        <v>San Francisco</v>
      </c>
      <c r="L239" t="s">
        <v>703</v>
      </c>
      <c r="M239" t="s">
        <v>711</v>
      </c>
      <c r="N239" t="str">
        <f t="shared" si="28"/>
        <v>Direct</v>
      </c>
      <c r="O239" t="s">
        <v>718</v>
      </c>
      <c r="P239" t="str">
        <f t="shared" si="29"/>
        <v>E. Garcia</v>
      </c>
      <c r="Q239" t="s">
        <v>727</v>
      </c>
      <c r="R239" t="s">
        <v>1257</v>
      </c>
      <c r="S239" s="23">
        <v>1061.3699999999999</v>
      </c>
      <c r="T239" s="23">
        <v>1938.33</v>
      </c>
      <c r="U239" s="23">
        <f t="shared" si="30"/>
        <v>1938.33</v>
      </c>
      <c r="V239" s="8">
        <v>0.17</v>
      </c>
      <c r="W239" s="8">
        <f t="shared" si="31"/>
        <v>0.17</v>
      </c>
      <c r="X239">
        <v>4</v>
      </c>
    </row>
    <row r="240" spans="1:24" x14ac:dyDescent="0.35">
      <c r="A240" s="4" t="s">
        <v>433</v>
      </c>
      <c r="B240" s="5" t="str">
        <f>IF(COUNTIF($A$2:A240,A240)=1,"Original","Duplicate")</f>
        <v>Original</v>
      </c>
      <c r="C240" s="7">
        <v>45307</v>
      </c>
      <c r="D240" s="7">
        <v>45333</v>
      </c>
      <c r="E240" s="7" t="str">
        <f t="shared" si="24"/>
        <v>Valid</v>
      </c>
      <c r="F240" s="7">
        <f t="shared" si="25"/>
        <v>45333</v>
      </c>
      <c r="G240">
        <f t="shared" si="26"/>
        <v>26</v>
      </c>
      <c r="H240" t="s">
        <v>649</v>
      </c>
      <c r="I240" t="s">
        <v>656</v>
      </c>
      <c r="J240" t="s">
        <v>698</v>
      </c>
      <c r="K240" t="str">
        <f t="shared" si="27"/>
        <v>Frankfurt</v>
      </c>
      <c r="L240" t="s">
        <v>703</v>
      </c>
      <c r="M240" t="s">
        <v>710</v>
      </c>
      <c r="N240" t="str">
        <f t="shared" si="28"/>
        <v>Distributor</v>
      </c>
      <c r="O240" t="s">
        <v>718</v>
      </c>
      <c r="P240" t="str">
        <f t="shared" si="29"/>
        <v>E. Garcia</v>
      </c>
      <c r="Q240" t="s">
        <v>732</v>
      </c>
      <c r="R240" t="s">
        <v>1152</v>
      </c>
      <c r="S240" s="23">
        <v>504.93</v>
      </c>
      <c r="T240" s="23">
        <v>819.06</v>
      </c>
      <c r="U240" s="23">
        <f t="shared" si="30"/>
        <v>819.06</v>
      </c>
      <c r="V240" s="8">
        <v>0.22600000000000001</v>
      </c>
      <c r="W240" s="8">
        <f t="shared" si="31"/>
        <v>0.22600000000000001</v>
      </c>
      <c r="X240">
        <v>15</v>
      </c>
    </row>
    <row r="241" spans="1:24" x14ac:dyDescent="0.35">
      <c r="A241" s="4" t="s">
        <v>373</v>
      </c>
      <c r="B241" s="5" t="str">
        <f>IF(COUNTIF($A$2:A241,A241)=1,"Original","Duplicate")</f>
        <v>Original</v>
      </c>
      <c r="C241" s="7">
        <v>45309</v>
      </c>
      <c r="D241" s="7">
        <v>45325</v>
      </c>
      <c r="E241" s="7" t="str">
        <f t="shared" si="24"/>
        <v>Valid</v>
      </c>
      <c r="F241" s="7">
        <f t="shared" si="25"/>
        <v>45325</v>
      </c>
      <c r="G241">
        <f t="shared" si="26"/>
        <v>16</v>
      </c>
      <c r="H241" t="s">
        <v>646</v>
      </c>
      <c r="I241" t="s">
        <v>661</v>
      </c>
      <c r="J241" t="s">
        <v>695</v>
      </c>
      <c r="K241" t="str">
        <f t="shared" si="27"/>
        <v>Cape Town</v>
      </c>
      <c r="L241" t="s">
        <v>703</v>
      </c>
      <c r="M241" t="s">
        <v>710</v>
      </c>
      <c r="N241" t="str">
        <f t="shared" si="28"/>
        <v>Distributor</v>
      </c>
      <c r="O241" t="s">
        <v>716</v>
      </c>
      <c r="P241" t="str">
        <f t="shared" si="29"/>
        <v>L. Okafor</v>
      </c>
      <c r="Q241" t="s">
        <v>728</v>
      </c>
      <c r="R241" t="s">
        <v>1093</v>
      </c>
      <c r="S241" s="23">
        <v>666.23</v>
      </c>
      <c r="T241" s="23">
        <v>1382.91</v>
      </c>
      <c r="U241" s="23">
        <f t="shared" si="30"/>
        <v>1382.91</v>
      </c>
      <c r="V241" s="8">
        <v>0.17599999999999999</v>
      </c>
      <c r="W241" s="8">
        <f t="shared" si="31"/>
        <v>0.17599999999999999</v>
      </c>
      <c r="X241">
        <v>13</v>
      </c>
    </row>
    <row r="242" spans="1:24" x14ac:dyDescent="0.35">
      <c r="A242" s="4" t="s">
        <v>28</v>
      </c>
      <c r="B242" s="5" t="str">
        <f>IF(COUNTIF($A$2:A242,A242)=1,"Original","Duplicate")</f>
        <v>Original</v>
      </c>
      <c r="C242" s="7">
        <v>45311</v>
      </c>
      <c r="D242" s="7">
        <v>45335</v>
      </c>
      <c r="E242" s="7" t="str">
        <f t="shared" si="24"/>
        <v>Valid</v>
      </c>
      <c r="F242" s="7">
        <f t="shared" si="25"/>
        <v>45335</v>
      </c>
      <c r="G242">
        <f t="shared" si="26"/>
        <v>24</v>
      </c>
      <c r="H242" t="s">
        <v>649</v>
      </c>
      <c r="I242" t="s">
        <v>657</v>
      </c>
      <c r="J242" t="s">
        <v>673</v>
      </c>
      <c r="K242" t="str">
        <f t="shared" si="27"/>
        <v>Marseille</v>
      </c>
      <c r="L242" t="s">
        <v>701</v>
      </c>
      <c r="M242" t="s">
        <v>707</v>
      </c>
      <c r="N242" t="str">
        <f t="shared" si="28"/>
        <v>Retail</v>
      </c>
      <c r="O242" t="s">
        <v>722</v>
      </c>
      <c r="P242" t="str">
        <f t="shared" si="29"/>
        <v>H. Kim</v>
      </c>
      <c r="Q242" t="s">
        <v>728</v>
      </c>
      <c r="R242" t="s">
        <v>747</v>
      </c>
      <c r="S242" s="23">
        <v>643.53</v>
      </c>
      <c r="T242" s="23">
        <v>1439.01</v>
      </c>
      <c r="U242" s="23">
        <f t="shared" si="30"/>
        <v>1439.01</v>
      </c>
      <c r="V242" s="8">
        <v>0</v>
      </c>
      <c r="W242" s="8">
        <f t="shared" si="31"/>
        <v>0</v>
      </c>
      <c r="X242">
        <v>15</v>
      </c>
    </row>
    <row r="243" spans="1:24" x14ac:dyDescent="0.35">
      <c r="A243" s="4" t="s">
        <v>103</v>
      </c>
      <c r="B243" s="5" t="str">
        <f>IF(COUNTIF($A$2:A243,A243)=1,"Original","Duplicate")</f>
        <v>Original</v>
      </c>
      <c r="C243" s="7">
        <v>45312</v>
      </c>
      <c r="D243" s="7">
        <v>45316</v>
      </c>
      <c r="E243" s="7" t="str">
        <f t="shared" si="24"/>
        <v>Valid</v>
      </c>
      <c r="F243" s="7">
        <f t="shared" si="25"/>
        <v>45316</v>
      </c>
      <c r="G243">
        <f t="shared" si="26"/>
        <v>4</v>
      </c>
      <c r="H243" t="s">
        <v>647</v>
      </c>
      <c r="I243" t="s">
        <v>654</v>
      </c>
      <c r="J243" t="s">
        <v>680</v>
      </c>
      <c r="K243" t="str">
        <f t="shared" si="27"/>
        <v>Delhi</v>
      </c>
      <c r="L243" t="s">
        <v>704</v>
      </c>
      <c r="M243" t="s">
        <v>711</v>
      </c>
      <c r="N243" t="str">
        <f t="shared" si="28"/>
        <v>Direct</v>
      </c>
      <c r="O243" t="s">
        <v>712</v>
      </c>
      <c r="P243" t="str">
        <f t="shared" si="29"/>
        <v>C. Otieno</v>
      </c>
      <c r="Q243" t="s">
        <v>732</v>
      </c>
      <c r="R243" t="s">
        <v>822</v>
      </c>
      <c r="S243" s="23">
        <v>523.70000000000005</v>
      </c>
      <c r="T243" s="23">
        <v>1109.92</v>
      </c>
      <c r="U243" s="23">
        <f t="shared" si="30"/>
        <v>1109.92</v>
      </c>
      <c r="V243" s="8">
        <v>0.03</v>
      </c>
      <c r="W243" s="8">
        <f t="shared" si="31"/>
        <v>0.03</v>
      </c>
      <c r="X243">
        <v>11</v>
      </c>
    </row>
    <row r="244" spans="1:24" x14ac:dyDescent="0.35">
      <c r="A244" s="4" t="s">
        <v>579</v>
      </c>
      <c r="B244" s="5" t="str">
        <f>IF(COUNTIF($A$2:A244,A244)=1,"Original","Duplicate")</f>
        <v>Original</v>
      </c>
      <c r="C244" s="7">
        <v>45315</v>
      </c>
      <c r="D244" s="7">
        <v>45326</v>
      </c>
      <c r="E244" s="7" t="str">
        <f t="shared" si="24"/>
        <v>Valid</v>
      </c>
      <c r="F244" s="7">
        <f t="shared" si="25"/>
        <v>45326</v>
      </c>
      <c r="G244">
        <f t="shared" si="26"/>
        <v>11</v>
      </c>
      <c r="H244" t="s">
        <v>649</v>
      </c>
      <c r="I244" t="s">
        <v>658</v>
      </c>
      <c r="J244" t="s">
        <v>693</v>
      </c>
      <c r="K244" t="str">
        <f t="shared" si="27"/>
        <v>Manchester</v>
      </c>
      <c r="L244" t="s">
        <v>704</v>
      </c>
      <c r="M244" t="s">
        <v>707</v>
      </c>
      <c r="N244" t="str">
        <f t="shared" si="28"/>
        <v>Retail</v>
      </c>
      <c r="O244" t="s">
        <v>717</v>
      </c>
      <c r="P244" t="str">
        <f t="shared" si="29"/>
        <v>B. Chen</v>
      </c>
      <c r="Q244" t="s">
        <v>731</v>
      </c>
      <c r="R244" t="s">
        <v>1297</v>
      </c>
      <c r="S244" s="23">
        <v>525.34</v>
      </c>
      <c r="T244" s="23">
        <v>1233.79</v>
      </c>
      <c r="U244" s="23">
        <f t="shared" si="30"/>
        <v>1233.79</v>
      </c>
      <c r="V244" s="8">
        <v>0.14299999999999999</v>
      </c>
      <c r="W244" s="8">
        <f t="shared" si="31"/>
        <v>0.14299999999999999</v>
      </c>
      <c r="X244">
        <v>4</v>
      </c>
    </row>
    <row r="245" spans="1:24" x14ac:dyDescent="0.35">
      <c r="A245" s="4" t="s">
        <v>289</v>
      </c>
      <c r="B245" s="5" t="str">
        <f>IF(COUNTIF($A$2:A245,A245)=1,"Original","Duplicate")</f>
        <v>Original</v>
      </c>
      <c r="C245" s="7">
        <v>45316</v>
      </c>
      <c r="D245" s="7">
        <v>45318</v>
      </c>
      <c r="E245" s="7" t="str">
        <f t="shared" si="24"/>
        <v>Valid</v>
      </c>
      <c r="F245" s="7">
        <f t="shared" si="25"/>
        <v>45318</v>
      </c>
      <c r="G245">
        <f t="shared" si="26"/>
        <v>2</v>
      </c>
      <c r="H245" t="s">
        <v>648</v>
      </c>
      <c r="I245" t="s">
        <v>655</v>
      </c>
      <c r="J245" t="s">
        <v>670</v>
      </c>
      <c r="K245" t="str">
        <f t="shared" si="27"/>
        <v>São Paulo</v>
      </c>
      <c r="L245" t="s">
        <v>703</v>
      </c>
      <c r="M245" t="s">
        <v>709</v>
      </c>
      <c r="N245" t="str">
        <f t="shared" si="28"/>
        <v>Marketplace</v>
      </c>
      <c r="O245" t="s">
        <v>725</v>
      </c>
      <c r="P245" t="str">
        <f t="shared" si="29"/>
        <v>N. Brown</v>
      </c>
      <c r="Q245" t="s">
        <v>731</v>
      </c>
      <c r="R245" t="s">
        <v>1009</v>
      </c>
      <c r="S245" s="23">
        <v>1410.97</v>
      </c>
      <c r="T245" s="23">
        <v>1650.75</v>
      </c>
      <c r="U245" s="23">
        <f t="shared" si="30"/>
        <v>1650.75</v>
      </c>
      <c r="V245" s="8">
        <v>0.13500000000000001</v>
      </c>
      <c r="W245" s="8">
        <f t="shared" si="31"/>
        <v>0.13500000000000001</v>
      </c>
      <c r="X245">
        <v>6</v>
      </c>
    </row>
    <row r="246" spans="1:24" x14ac:dyDescent="0.35">
      <c r="A246" s="4" t="s">
        <v>544</v>
      </c>
      <c r="B246" s="5" t="str">
        <f>IF(COUNTIF($A$2:A246,A246)=1,"Original","Duplicate")</f>
        <v>Original</v>
      </c>
      <c r="C246" s="7">
        <v>45316</v>
      </c>
      <c r="D246" s="7">
        <v>45330</v>
      </c>
      <c r="E246" s="7" t="str">
        <f t="shared" si="24"/>
        <v>Valid</v>
      </c>
      <c r="F246" s="7">
        <f t="shared" si="25"/>
        <v>45330</v>
      </c>
      <c r="G246">
        <f t="shared" si="26"/>
        <v>14</v>
      </c>
      <c r="H246" t="s">
        <v>647</v>
      </c>
      <c r="I246" t="s">
        <v>652</v>
      </c>
      <c r="J246" t="s">
        <v>666</v>
      </c>
      <c r="K246" t="str">
        <f t="shared" si="27"/>
        <v>Osaka</v>
      </c>
      <c r="L246" t="s">
        <v>704</v>
      </c>
      <c r="M246" t="s">
        <v>709</v>
      </c>
      <c r="N246" t="str">
        <f t="shared" si="28"/>
        <v>Marketplace</v>
      </c>
      <c r="O246" t="s">
        <v>714</v>
      </c>
      <c r="P246" t="str">
        <f t="shared" si="29"/>
        <v>I. Johnson</v>
      </c>
      <c r="Q246" t="s">
        <v>729</v>
      </c>
      <c r="R246" t="s">
        <v>1263</v>
      </c>
      <c r="S246" s="23">
        <v>937.16</v>
      </c>
      <c r="T246" s="23">
        <v>1069.77</v>
      </c>
      <c r="U246" s="23">
        <f t="shared" si="30"/>
        <v>1069.77</v>
      </c>
      <c r="V246" s="8">
        <v>3.7999999999999999E-2</v>
      </c>
      <c r="W246" s="8">
        <f t="shared" si="31"/>
        <v>3.7999999999999999E-2</v>
      </c>
      <c r="X246">
        <v>9</v>
      </c>
    </row>
    <row r="247" spans="1:24" x14ac:dyDescent="0.35">
      <c r="A247" s="4" t="s">
        <v>25</v>
      </c>
      <c r="B247" s="5" t="str">
        <f>IF(COUNTIF($A$2:A247,A247)=1,"Original","Duplicate")</f>
        <v>Original</v>
      </c>
      <c r="C247" s="7">
        <v>45319</v>
      </c>
      <c r="D247" s="7">
        <v>45331</v>
      </c>
      <c r="E247" s="7" t="str">
        <f t="shared" si="24"/>
        <v>Valid</v>
      </c>
      <c r="F247" s="7">
        <f t="shared" si="25"/>
        <v>45331</v>
      </c>
      <c r="G247">
        <f t="shared" si="26"/>
        <v>12</v>
      </c>
      <c r="H247" t="s">
        <v>649</v>
      </c>
      <c r="I247" t="s">
        <v>656</v>
      </c>
      <c r="J247" t="s">
        <v>671</v>
      </c>
      <c r="K247" t="str">
        <f t="shared" si="27"/>
        <v>Berlin</v>
      </c>
      <c r="L247" t="s">
        <v>701</v>
      </c>
      <c r="M247" t="s">
        <v>708</v>
      </c>
      <c r="N247" t="str">
        <f t="shared" si="28"/>
        <v>Online</v>
      </c>
      <c r="O247" t="s">
        <v>715</v>
      </c>
      <c r="P247" t="str">
        <f t="shared" si="29"/>
        <v>G. Dubois</v>
      </c>
      <c r="Q247" t="s">
        <v>733</v>
      </c>
      <c r="R247" t="s">
        <v>744</v>
      </c>
      <c r="S247" s="23">
        <v>644.16999999999996</v>
      </c>
      <c r="T247" s="23">
        <v>700.12</v>
      </c>
      <c r="U247" s="23">
        <f t="shared" si="30"/>
        <v>700.12</v>
      </c>
      <c r="V247" s="8">
        <v>6.0000000000000001E-3</v>
      </c>
      <c r="W247" s="8">
        <f t="shared" si="31"/>
        <v>6.0000000000000001E-3</v>
      </c>
      <c r="X247">
        <v>23</v>
      </c>
    </row>
    <row r="248" spans="1:24" x14ac:dyDescent="0.35">
      <c r="A248" s="4" t="s">
        <v>302</v>
      </c>
      <c r="B248" s="5" t="str">
        <f>IF(COUNTIF($A$2:A248,A248)=1,"Original","Duplicate")</f>
        <v>Original</v>
      </c>
      <c r="C248" s="7">
        <v>45319</v>
      </c>
      <c r="D248" s="7">
        <v>45321</v>
      </c>
      <c r="E248" s="7" t="str">
        <f t="shared" si="24"/>
        <v>Valid</v>
      </c>
      <c r="F248" s="7">
        <f t="shared" si="25"/>
        <v>45321</v>
      </c>
      <c r="G248">
        <f t="shared" si="26"/>
        <v>2</v>
      </c>
      <c r="H248" t="s">
        <v>646</v>
      </c>
      <c r="I248" t="s">
        <v>661</v>
      </c>
      <c r="J248" t="s">
        <v>695</v>
      </c>
      <c r="K248" t="str">
        <f t="shared" si="27"/>
        <v>Cape Town</v>
      </c>
      <c r="L248" t="s">
        <v>704</v>
      </c>
      <c r="M248" t="s">
        <v>711</v>
      </c>
      <c r="N248" t="str">
        <f t="shared" si="28"/>
        <v>Direct</v>
      </c>
      <c r="O248" t="s">
        <v>721</v>
      </c>
      <c r="P248" t="str">
        <f t="shared" si="29"/>
        <v>F. Müller</v>
      </c>
      <c r="Q248" t="s">
        <v>733</v>
      </c>
      <c r="R248" t="s">
        <v>1022</v>
      </c>
      <c r="S248" s="23">
        <v>798.45</v>
      </c>
      <c r="T248" s="23">
        <v>1592.02</v>
      </c>
      <c r="U248" s="23">
        <f t="shared" si="30"/>
        <v>1592.02</v>
      </c>
      <c r="V248" s="8">
        <v>6.6000000000000003E-2</v>
      </c>
      <c r="W248" s="8">
        <f t="shared" si="31"/>
        <v>6.6000000000000003E-2</v>
      </c>
      <c r="X248">
        <v>18</v>
      </c>
    </row>
    <row r="249" spans="1:24" x14ac:dyDescent="0.35">
      <c r="A249" s="4" t="s">
        <v>623</v>
      </c>
      <c r="B249" s="5" t="str">
        <f>IF(COUNTIF($A$2:A249,A249)=1,"Original","Duplicate")</f>
        <v>Original</v>
      </c>
      <c r="C249" s="7">
        <v>45319</v>
      </c>
      <c r="D249" s="7">
        <v>45318</v>
      </c>
      <c r="E249" s="7" t="str">
        <f t="shared" si="24"/>
        <v>Invalid</v>
      </c>
      <c r="F249" s="7">
        <f t="shared" si="25"/>
        <v>45324</v>
      </c>
      <c r="G249">
        <f t="shared" si="26"/>
        <v>5</v>
      </c>
      <c r="H249" t="s">
        <v>646</v>
      </c>
      <c r="I249" t="s">
        <v>661</v>
      </c>
      <c r="J249" t="s">
        <v>695</v>
      </c>
      <c r="K249" t="str">
        <f t="shared" si="27"/>
        <v>Cape Town</v>
      </c>
      <c r="L249" t="s">
        <v>706</v>
      </c>
      <c r="M249" t="s">
        <v>711</v>
      </c>
      <c r="N249" t="str">
        <f t="shared" si="28"/>
        <v>Direct</v>
      </c>
      <c r="O249" t="s">
        <v>719</v>
      </c>
      <c r="P249" t="str">
        <f t="shared" si="29"/>
        <v>O. Wang</v>
      </c>
      <c r="Q249" t="s">
        <v>727</v>
      </c>
      <c r="R249" t="s">
        <v>1341</v>
      </c>
      <c r="S249" s="23">
        <v>109.75</v>
      </c>
      <c r="T249" s="23">
        <v>124.25</v>
      </c>
      <c r="U249" s="23">
        <f t="shared" si="30"/>
        <v>124.25</v>
      </c>
      <c r="V249" s="8">
        <v>0.12</v>
      </c>
      <c r="W249" s="8">
        <f t="shared" si="31"/>
        <v>0.12</v>
      </c>
      <c r="X249">
        <v>19</v>
      </c>
    </row>
    <row r="250" spans="1:24" x14ac:dyDescent="0.35">
      <c r="A250" s="4" t="s">
        <v>171</v>
      </c>
      <c r="B250" s="5" t="str">
        <f>IF(COUNTIF($A$2:A250,A250)=1,"Original","Duplicate")</f>
        <v>Original</v>
      </c>
      <c r="C250" s="7">
        <v>45323</v>
      </c>
      <c r="D250" s="7">
        <v>45343</v>
      </c>
      <c r="E250" s="7" t="str">
        <f t="shared" si="24"/>
        <v>Valid</v>
      </c>
      <c r="F250" s="7">
        <f t="shared" si="25"/>
        <v>45343</v>
      </c>
      <c r="G250">
        <f t="shared" si="26"/>
        <v>20</v>
      </c>
      <c r="H250" t="s">
        <v>649</v>
      </c>
      <c r="I250" t="s">
        <v>657</v>
      </c>
      <c r="J250" t="s">
        <v>690</v>
      </c>
      <c r="K250" t="str">
        <f t="shared" si="27"/>
        <v>Paris</v>
      </c>
      <c r="L250" t="s">
        <v>705</v>
      </c>
      <c r="M250" t="s">
        <v>709</v>
      </c>
      <c r="N250" t="str">
        <f t="shared" si="28"/>
        <v>Marketplace</v>
      </c>
      <c r="O250" t="s">
        <v>720</v>
      </c>
      <c r="P250" t="str">
        <f t="shared" si="29"/>
        <v>A. Patel</v>
      </c>
      <c r="Q250" t="s">
        <v>729</v>
      </c>
      <c r="R250" t="s">
        <v>890</v>
      </c>
      <c r="S250" s="23">
        <v>656.2</v>
      </c>
      <c r="T250" s="23">
        <v>1467.17</v>
      </c>
      <c r="U250" s="23">
        <f t="shared" si="30"/>
        <v>1467.17</v>
      </c>
      <c r="V250" s="8">
        <v>1.7999999999999999E-2</v>
      </c>
      <c r="W250" s="8">
        <f t="shared" si="31"/>
        <v>1.7999999999999999E-2</v>
      </c>
      <c r="X250">
        <v>5</v>
      </c>
    </row>
    <row r="251" spans="1:24" x14ac:dyDescent="0.35">
      <c r="A251" s="4" t="s">
        <v>625</v>
      </c>
      <c r="B251" s="5" t="str">
        <f>IF(COUNTIF($A$2:A251,A251)=1,"Original","Duplicate")</f>
        <v>Original</v>
      </c>
      <c r="C251" s="7">
        <v>45323</v>
      </c>
      <c r="D251" s="7">
        <v>45323</v>
      </c>
      <c r="E251" s="7" t="str">
        <f t="shared" si="24"/>
        <v>Valid</v>
      </c>
      <c r="F251" s="7">
        <f t="shared" si="25"/>
        <v>45330</v>
      </c>
      <c r="G251">
        <f t="shared" si="26"/>
        <v>7</v>
      </c>
      <c r="H251" t="s">
        <v>648</v>
      </c>
      <c r="I251" t="s">
        <v>660</v>
      </c>
      <c r="J251" t="s">
        <v>697</v>
      </c>
      <c r="K251" t="str">
        <f t="shared" si="27"/>
        <v>Austin</v>
      </c>
      <c r="L251" t="s">
        <v>704</v>
      </c>
      <c r="M251" t="s">
        <v>710</v>
      </c>
      <c r="N251" t="str">
        <f t="shared" si="28"/>
        <v>Distributor</v>
      </c>
      <c r="O251" t="s">
        <v>722</v>
      </c>
      <c r="P251" t="str">
        <f t="shared" si="29"/>
        <v>H. Kim</v>
      </c>
      <c r="Q251" t="s">
        <v>728</v>
      </c>
      <c r="R251" t="s">
        <v>1343</v>
      </c>
      <c r="S251" s="23">
        <v>714.43</v>
      </c>
      <c r="T251" s="23">
        <v>1595.52</v>
      </c>
      <c r="U251" s="23">
        <f t="shared" si="30"/>
        <v>1595.52</v>
      </c>
      <c r="V251" s="8">
        <v>0.19400000000000001</v>
      </c>
      <c r="W251" s="8">
        <f t="shared" si="31"/>
        <v>0.19400000000000001</v>
      </c>
      <c r="X251">
        <v>14</v>
      </c>
    </row>
    <row r="252" spans="1:24" x14ac:dyDescent="0.35">
      <c r="A252" s="4" t="s">
        <v>192</v>
      </c>
      <c r="B252" s="5" t="str">
        <f>IF(COUNTIF($A$2:A252,A252)=1,"Original","Duplicate")</f>
        <v>Original</v>
      </c>
      <c r="C252" s="7">
        <v>45325</v>
      </c>
      <c r="D252" s="7">
        <v>45343</v>
      </c>
      <c r="E252" s="7" t="str">
        <f t="shared" si="24"/>
        <v>Valid</v>
      </c>
      <c r="F252" s="7">
        <f t="shared" si="25"/>
        <v>45343</v>
      </c>
      <c r="G252">
        <f t="shared" si="26"/>
        <v>18</v>
      </c>
      <c r="H252" t="s">
        <v>649</v>
      </c>
      <c r="I252" t="s">
        <v>656</v>
      </c>
      <c r="J252" t="s">
        <v>698</v>
      </c>
      <c r="K252" t="str">
        <f t="shared" si="27"/>
        <v>Frankfurt</v>
      </c>
      <c r="L252" t="s">
        <v>701</v>
      </c>
      <c r="M252" t="s">
        <v>707</v>
      </c>
      <c r="N252" t="str">
        <f t="shared" si="28"/>
        <v>Retail</v>
      </c>
      <c r="O252" t="s">
        <v>722</v>
      </c>
      <c r="P252" t="str">
        <f t="shared" si="29"/>
        <v>H. Kim</v>
      </c>
      <c r="Q252" t="s">
        <v>727</v>
      </c>
      <c r="R252" t="s">
        <v>911</v>
      </c>
      <c r="S252" s="23">
        <v>39.229999999999997</v>
      </c>
      <c r="T252" s="23">
        <v>30.09</v>
      </c>
      <c r="U252" s="23">
        <f t="shared" si="30"/>
        <v>30.09</v>
      </c>
      <c r="V252" s="8">
        <v>0.17699999999999999</v>
      </c>
      <c r="W252" s="8">
        <f t="shared" si="31"/>
        <v>0.17699999999999999</v>
      </c>
      <c r="X252">
        <v>13</v>
      </c>
    </row>
    <row r="253" spans="1:24" x14ac:dyDescent="0.35">
      <c r="A253" s="4" t="s">
        <v>204</v>
      </c>
      <c r="B253" s="5" t="str">
        <f>IF(COUNTIF($A$2:A253,A253)=1,"Original","Duplicate")</f>
        <v>Original</v>
      </c>
      <c r="C253" s="7">
        <v>45325</v>
      </c>
      <c r="D253" s="7">
        <v>45341</v>
      </c>
      <c r="E253" s="7" t="str">
        <f t="shared" si="24"/>
        <v>Valid</v>
      </c>
      <c r="F253" s="7">
        <f t="shared" si="25"/>
        <v>45341</v>
      </c>
      <c r="G253">
        <f t="shared" si="26"/>
        <v>16</v>
      </c>
      <c r="H253" t="s">
        <v>647</v>
      </c>
      <c r="I253" t="s">
        <v>659</v>
      </c>
      <c r="J253" t="s">
        <v>676</v>
      </c>
      <c r="K253" t="str">
        <f t="shared" si="27"/>
        <v>Shenzhen</v>
      </c>
      <c r="L253" t="s">
        <v>705</v>
      </c>
      <c r="M253" t="s">
        <v>708</v>
      </c>
      <c r="N253" t="str">
        <f t="shared" si="28"/>
        <v>Online</v>
      </c>
      <c r="O253" t="s">
        <v>722</v>
      </c>
      <c r="P253" t="str">
        <f t="shared" si="29"/>
        <v>H. Kim</v>
      </c>
      <c r="Q253" t="s">
        <v>731</v>
      </c>
      <c r="R253" t="s">
        <v>924</v>
      </c>
      <c r="S253" s="23">
        <v>993.75</v>
      </c>
      <c r="T253" s="23">
        <v>1310.29</v>
      </c>
      <c r="U253" s="23">
        <f t="shared" si="30"/>
        <v>1310.29</v>
      </c>
      <c r="V253" s="8">
        <v>0.215</v>
      </c>
      <c r="W253" s="8">
        <f t="shared" si="31"/>
        <v>0.215</v>
      </c>
      <c r="X253">
        <v>19</v>
      </c>
    </row>
    <row r="254" spans="1:24" x14ac:dyDescent="0.35">
      <c r="A254" s="4" t="s">
        <v>487</v>
      </c>
      <c r="B254" s="5" t="str">
        <f>IF(COUNTIF($A$2:A254,A254)=1,"Original","Duplicate")</f>
        <v>Original</v>
      </c>
      <c r="C254" s="7">
        <v>45328</v>
      </c>
      <c r="D254" s="7">
        <v>45350</v>
      </c>
      <c r="E254" s="7" t="str">
        <f t="shared" si="24"/>
        <v>Valid</v>
      </c>
      <c r="F254" s="7">
        <f t="shared" si="25"/>
        <v>45350</v>
      </c>
      <c r="G254">
        <f t="shared" si="26"/>
        <v>22</v>
      </c>
      <c r="H254" t="s">
        <v>646</v>
      </c>
      <c r="I254" t="s">
        <v>650</v>
      </c>
      <c r="J254" t="s">
        <v>662</v>
      </c>
      <c r="K254" t="str">
        <f t="shared" si="27"/>
        <v>Kisumu</v>
      </c>
      <c r="L254" t="s">
        <v>703</v>
      </c>
      <c r="M254" t="s">
        <v>708</v>
      </c>
      <c r="N254" t="str">
        <f t="shared" si="28"/>
        <v>Online</v>
      </c>
      <c r="O254" t="s">
        <v>723</v>
      </c>
      <c r="P254" t="str">
        <f t="shared" si="29"/>
        <v>K. Singh</v>
      </c>
      <c r="Q254" t="s">
        <v>732</v>
      </c>
      <c r="R254" t="s">
        <v>1206</v>
      </c>
      <c r="S254" s="23">
        <v>834.93</v>
      </c>
      <c r="T254" s="23">
        <v>1588.53</v>
      </c>
      <c r="U254" s="23">
        <f t="shared" si="30"/>
        <v>1588.53</v>
      </c>
      <c r="V254" s="8">
        <v>0.126</v>
      </c>
      <c r="W254" s="8">
        <f t="shared" si="31"/>
        <v>0.126</v>
      </c>
      <c r="X254">
        <v>6</v>
      </c>
    </row>
    <row r="255" spans="1:24" x14ac:dyDescent="0.35">
      <c r="A255" s="4" t="s">
        <v>580</v>
      </c>
      <c r="B255" s="5" t="str">
        <f>IF(COUNTIF($A$2:A255,A255)=1,"Original","Duplicate")</f>
        <v>Original</v>
      </c>
      <c r="C255" s="7">
        <v>45330</v>
      </c>
      <c r="D255" s="7">
        <v>45331</v>
      </c>
      <c r="E255" s="7" t="str">
        <f t="shared" si="24"/>
        <v>Valid</v>
      </c>
      <c r="F255" s="7">
        <f t="shared" si="25"/>
        <v>45331</v>
      </c>
      <c r="G255">
        <f t="shared" si="26"/>
        <v>1</v>
      </c>
      <c r="H255" t="s">
        <v>646</v>
      </c>
      <c r="I255" t="s">
        <v>650</v>
      </c>
      <c r="J255" t="s">
        <v>675</v>
      </c>
      <c r="K255" t="str">
        <f t="shared" si="27"/>
        <v>Mombasa</v>
      </c>
      <c r="L255" t="s">
        <v>701</v>
      </c>
      <c r="M255" t="s">
        <v>711</v>
      </c>
      <c r="N255" t="str">
        <f t="shared" si="28"/>
        <v>Direct</v>
      </c>
      <c r="O255" t="s">
        <v>721</v>
      </c>
      <c r="P255" t="str">
        <f t="shared" si="29"/>
        <v>F. Müller</v>
      </c>
      <c r="Q255" t="s">
        <v>727</v>
      </c>
      <c r="R255" t="s">
        <v>1298</v>
      </c>
      <c r="S255" s="23">
        <v>1233.52</v>
      </c>
      <c r="T255" s="23">
        <v>1543.76</v>
      </c>
      <c r="U255" s="23">
        <f t="shared" si="30"/>
        <v>1543.76</v>
      </c>
      <c r="V255" s="8">
        <v>0.126</v>
      </c>
      <c r="W255" s="8">
        <f t="shared" si="31"/>
        <v>0.126</v>
      </c>
      <c r="X255">
        <v>13</v>
      </c>
    </row>
    <row r="256" spans="1:24" x14ac:dyDescent="0.35">
      <c r="A256" s="4" t="s">
        <v>211</v>
      </c>
      <c r="B256" s="5" t="str">
        <f>IF(COUNTIF($A$2:A256,A256)=1,"Original","Duplicate")</f>
        <v>Original</v>
      </c>
      <c r="C256" s="7">
        <v>45333</v>
      </c>
      <c r="D256" s="7">
        <v>45354</v>
      </c>
      <c r="E256" s="7" t="str">
        <f t="shared" si="24"/>
        <v>Valid</v>
      </c>
      <c r="F256" s="7">
        <f t="shared" si="25"/>
        <v>45354</v>
      </c>
      <c r="G256">
        <f t="shared" si="26"/>
        <v>21</v>
      </c>
      <c r="H256" t="s">
        <v>646</v>
      </c>
      <c r="I256" t="s">
        <v>650</v>
      </c>
      <c r="J256" t="s">
        <v>662</v>
      </c>
      <c r="K256" t="str">
        <f t="shared" si="27"/>
        <v>Kisumu</v>
      </c>
      <c r="L256" t="s">
        <v>706</v>
      </c>
      <c r="M256" t="s">
        <v>708</v>
      </c>
      <c r="N256" t="str">
        <f t="shared" si="28"/>
        <v>Online</v>
      </c>
      <c r="O256" t="s">
        <v>717</v>
      </c>
      <c r="P256" t="str">
        <f t="shared" si="29"/>
        <v>B. Chen</v>
      </c>
      <c r="Q256" t="s">
        <v>730</v>
      </c>
      <c r="R256" t="s">
        <v>931</v>
      </c>
      <c r="S256" s="23">
        <v>516.86</v>
      </c>
      <c r="T256" s="23">
        <v>852.54</v>
      </c>
      <c r="U256" s="23">
        <f t="shared" si="30"/>
        <v>852.54</v>
      </c>
      <c r="V256" s="8">
        <v>5.0999999999999997E-2</v>
      </c>
      <c r="W256" s="8">
        <f t="shared" si="31"/>
        <v>5.0999999999999997E-2</v>
      </c>
      <c r="X256">
        <v>14</v>
      </c>
    </row>
    <row r="257" spans="1:24" x14ac:dyDescent="0.35">
      <c r="A257" s="4" t="s">
        <v>154</v>
      </c>
      <c r="B257" s="5" t="str">
        <f>IF(COUNTIF($A$2:A257,A257)=1,"Original","Duplicate")</f>
        <v>Original</v>
      </c>
      <c r="C257" s="7">
        <v>45336</v>
      </c>
      <c r="D257" s="7">
        <v>45336</v>
      </c>
      <c r="E257" s="7" t="str">
        <f t="shared" si="24"/>
        <v>Valid</v>
      </c>
      <c r="F257" s="7">
        <f t="shared" si="25"/>
        <v>45343</v>
      </c>
      <c r="G257">
        <f t="shared" si="26"/>
        <v>7</v>
      </c>
      <c r="H257" t="s">
        <v>647</v>
      </c>
      <c r="I257" t="s">
        <v>659</v>
      </c>
      <c r="J257" t="s">
        <v>699</v>
      </c>
      <c r="K257" t="str">
        <f t="shared" si="27"/>
        <v>Beijing</v>
      </c>
      <c r="L257" t="s">
        <v>701</v>
      </c>
      <c r="M257" t="s">
        <v>710</v>
      </c>
      <c r="N257" t="str">
        <f t="shared" si="28"/>
        <v>Distributor</v>
      </c>
      <c r="O257" t="s">
        <v>716</v>
      </c>
      <c r="P257" t="str">
        <f t="shared" si="29"/>
        <v>L. Okafor</v>
      </c>
      <c r="Q257" t="s">
        <v>733</v>
      </c>
      <c r="R257" t="s">
        <v>873</v>
      </c>
      <c r="S257" s="23">
        <v>65.930000000000007</v>
      </c>
      <c r="T257" s="23">
        <v>84.9</v>
      </c>
      <c r="U257" s="23">
        <f t="shared" si="30"/>
        <v>84.9</v>
      </c>
      <c r="V257" s="8">
        <v>0.25900000000000001</v>
      </c>
      <c r="W257" s="8">
        <f t="shared" si="31"/>
        <v>0.25900000000000001</v>
      </c>
      <c r="X257">
        <v>23</v>
      </c>
    </row>
    <row r="258" spans="1:24" x14ac:dyDescent="0.35">
      <c r="A258" s="4" t="s">
        <v>260</v>
      </c>
      <c r="B258" s="5" t="str">
        <f>IF(COUNTIF($A$2:A258,A258)=1,"Original","Duplicate")</f>
        <v>Original</v>
      </c>
      <c r="C258" s="7">
        <v>45338</v>
      </c>
      <c r="D258" s="7">
        <v>45355</v>
      </c>
      <c r="E258" s="7" t="str">
        <f t="shared" si="24"/>
        <v>Valid</v>
      </c>
      <c r="F258" s="7">
        <f t="shared" si="25"/>
        <v>45355</v>
      </c>
      <c r="G258">
        <f t="shared" si="26"/>
        <v>17</v>
      </c>
      <c r="H258" t="s">
        <v>648</v>
      </c>
      <c r="I258" t="s">
        <v>653</v>
      </c>
      <c r="J258" t="s">
        <v>681</v>
      </c>
      <c r="K258" t="str">
        <f t="shared" si="27"/>
        <v>Montreal</v>
      </c>
      <c r="L258" t="s">
        <v>703</v>
      </c>
      <c r="M258" t="s">
        <v>707</v>
      </c>
      <c r="N258" t="str">
        <f t="shared" si="28"/>
        <v>Retail</v>
      </c>
      <c r="O258" t="s">
        <v>726</v>
      </c>
      <c r="P258" t="str">
        <f t="shared" si="29"/>
        <v>D. Smith</v>
      </c>
      <c r="Q258" t="s">
        <v>731</v>
      </c>
      <c r="R258" t="s">
        <v>980</v>
      </c>
      <c r="S258" s="23">
        <v>1350.98</v>
      </c>
      <c r="T258" s="23">
        <v>2210.4</v>
      </c>
      <c r="U258" s="23">
        <f t="shared" si="30"/>
        <v>2210.4</v>
      </c>
      <c r="V258" s="8">
        <v>0.26300000000000001</v>
      </c>
      <c r="W258" s="8">
        <f t="shared" si="31"/>
        <v>0.26300000000000001</v>
      </c>
      <c r="X258">
        <v>6</v>
      </c>
    </row>
    <row r="259" spans="1:24" x14ac:dyDescent="0.35">
      <c r="A259" s="4" t="s">
        <v>357</v>
      </c>
      <c r="B259" s="5" t="str">
        <f>IF(COUNTIF($A$2:A259,A259)=1,"Original","Duplicate")</f>
        <v>Original</v>
      </c>
      <c r="C259" s="7">
        <v>45339</v>
      </c>
      <c r="D259" s="7">
        <v>45355</v>
      </c>
      <c r="E259" s="7" t="str">
        <f t="shared" ref="E259:E322" si="32">IF(D259&lt;C259,"Invalid","Valid")</f>
        <v>Valid</v>
      </c>
      <c r="F259" s="7">
        <f t="shared" ref="F259:F322" si="33">IF(D259&gt;C259,D259,WORKDAY(C259,5))</f>
        <v>45355</v>
      </c>
      <c r="G259">
        <f t="shared" ref="G259:G322" si="34">F259-C259</f>
        <v>16</v>
      </c>
      <c r="H259" t="s">
        <v>647</v>
      </c>
      <c r="I259" t="s">
        <v>654</v>
      </c>
      <c r="J259" t="s">
        <v>680</v>
      </c>
      <c r="K259" t="str">
        <f t="shared" ref="K259:K322" si="35">IF(J259="", "Unknown", J259)</f>
        <v>Delhi</v>
      </c>
      <c r="L259" t="s">
        <v>705</v>
      </c>
      <c r="M259" t="s">
        <v>709</v>
      </c>
      <c r="N259" t="str">
        <f t="shared" ref="N259:N322" si="36">IF(M259="", "Unknown", M259)</f>
        <v>Marketplace</v>
      </c>
      <c r="O259" t="s">
        <v>721</v>
      </c>
      <c r="P259" t="str">
        <f t="shared" ref="P259:P322" si="37">IF(O259="","Unassigned",O259)</f>
        <v>F. Müller</v>
      </c>
      <c r="Q259" t="s">
        <v>730</v>
      </c>
      <c r="R259" t="s">
        <v>1077</v>
      </c>
      <c r="S259" s="23">
        <v>1231.8</v>
      </c>
      <c r="T259" s="23">
        <v>2015.99</v>
      </c>
      <c r="U259" s="23">
        <f t="shared" ref="U259:U322" si="38">IF(T259&gt;0,T259,S259*1.2)</f>
        <v>2015.99</v>
      </c>
      <c r="V259" s="8">
        <v>0.26100000000000001</v>
      </c>
      <c r="W259" s="8">
        <f t="shared" ref="W259:W322" si="39">IF(V259&lt;0.3,V259,0.3)</f>
        <v>0.26100000000000001</v>
      </c>
      <c r="X259">
        <v>6</v>
      </c>
    </row>
    <row r="260" spans="1:24" x14ac:dyDescent="0.35">
      <c r="A260" s="4" t="s">
        <v>168</v>
      </c>
      <c r="B260" s="5" t="str">
        <f>IF(COUNTIF($A$2:A260,A260)=1,"Original","Duplicate")</f>
        <v>Original</v>
      </c>
      <c r="C260" s="7">
        <v>45340</v>
      </c>
      <c r="D260" s="7">
        <v>45355</v>
      </c>
      <c r="E260" s="7" t="str">
        <f t="shared" si="32"/>
        <v>Valid</v>
      </c>
      <c r="F260" s="7">
        <f t="shared" si="33"/>
        <v>45355</v>
      </c>
      <c r="G260">
        <f t="shared" si="34"/>
        <v>15</v>
      </c>
      <c r="H260" t="s">
        <v>646</v>
      </c>
      <c r="I260" t="s">
        <v>650</v>
      </c>
      <c r="J260" t="s">
        <v>662</v>
      </c>
      <c r="K260" t="str">
        <f t="shared" si="35"/>
        <v>Kisumu</v>
      </c>
      <c r="L260" t="s">
        <v>702</v>
      </c>
      <c r="M260" t="s">
        <v>711</v>
      </c>
      <c r="N260" t="str">
        <f t="shared" si="36"/>
        <v>Direct</v>
      </c>
      <c r="O260" t="s">
        <v>723</v>
      </c>
      <c r="P260" t="str">
        <f t="shared" si="37"/>
        <v>K. Singh</v>
      </c>
      <c r="Q260" t="s">
        <v>728</v>
      </c>
      <c r="R260" t="s">
        <v>887</v>
      </c>
      <c r="S260" s="23">
        <v>928.68</v>
      </c>
      <c r="T260" s="23">
        <v>2145.17</v>
      </c>
      <c r="U260" s="23">
        <f t="shared" si="38"/>
        <v>2145.17</v>
      </c>
      <c r="V260" s="8">
        <v>0.13600000000000001</v>
      </c>
      <c r="W260" s="8">
        <f t="shared" si="39"/>
        <v>0.13600000000000001</v>
      </c>
      <c r="X260">
        <v>16</v>
      </c>
    </row>
    <row r="261" spans="1:24" x14ac:dyDescent="0.35">
      <c r="A261" s="4" t="s">
        <v>337</v>
      </c>
      <c r="B261" s="5" t="str">
        <f>IF(COUNTIF($A$2:A261,A261)=1,"Original","Duplicate")</f>
        <v>Original</v>
      </c>
      <c r="C261" s="7">
        <v>45340</v>
      </c>
      <c r="D261" s="7">
        <v>45362</v>
      </c>
      <c r="E261" s="7" t="str">
        <f t="shared" si="32"/>
        <v>Valid</v>
      </c>
      <c r="F261" s="7">
        <f t="shared" si="33"/>
        <v>45362</v>
      </c>
      <c r="G261">
        <f t="shared" si="34"/>
        <v>22</v>
      </c>
      <c r="H261" t="s">
        <v>648</v>
      </c>
      <c r="I261" t="s">
        <v>655</v>
      </c>
      <c r="J261" t="s">
        <v>670</v>
      </c>
      <c r="K261" t="str">
        <f t="shared" si="35"/>
        <v>São Paulo</v>
      </c>
      <c r="L261" t="s">
        <v>704</v>
      </c>
      <c r="M261" t="s">
        <v>708</v>
      </c>
      <c r="N261" t="str">
        <f t="shared" si="36"/>
        <v>Online</v>
      </c>
      <c r="O261" t="s">
        <v>720</v>
      </c>
      <c r="P261" t="str">
        <f t="shared" si="37"/>
        <v>A. Patel</v>
      </c>
      <c r="Q261" t="s">
        <v>727</v>
      </c>
      <c r="R261" t="s">
        <v>1057</v>
      </c>
      <c r="S261" s="23">
        <v>80.48</v>
      </c>
      <c r="T261" s="23">
        <v>65.650000000000006</v>
      </c>
      <c r="U261" s="23">
        <f t="shared" si="38"/>
        <v>65.650000000000006</v>
      </c>
      <c r="V261" s="8">
        <v>0.17599999999999999</v>
      </c>
      <c r="W261" s="8">
        <f t="shared" si="39"/>
        <v>0.17599999999999999</v>
      </c>
      <c r="X261">
        <v>13</v>
      </c>
    </row>
    <row r="262" spans="1:24" x14ac:dyDescent="0.35">
      <c r="A262" s="4" t="s">
        <v>351</v>
      </c>
      <c r="B262" s="5" t="str">
        <f>IF(COUNTIF($A$2:A262,A262)=1,"Original","Duplicate")</f>
        <v>Original</v>
      </c>
      <c r="C262" s="7">
        <v>45340</v>
      </c>
      <c r="D262" s="7">
        <v>45354</v>
      </c>
      <c r="E262" s="7" t="str">
        <f t="shared" si="32"/>
        <v>Valid</v>
      </c>
      <c r="F262" s="7">
        <f t="shared" si="33"/>
        <v>45354</v>
      </c>
      <c r="G262">
        <f t="shared" si="34"/>
        <v>14</v>
      </c>
      <c r="H262" t="s">
        <v>648</v>
      </c>
      <c r="I262" t="s">
        <v>655</v>
      </c>
      <c r="K262" t="str">
        <f t="shared" si="35"/>
        <v>Unknown</v>
      </c>
      <c r="L262" t="s">
        <v>706</v>
      </c>
      <c r="M262" t="s">
        <v>710</v>
      </c>
      <c r="N262" t="str">
        <f t="shared" si="36"/>
        <v>Distributor</v>
      </c>
      <c r="O262" t="s">
        <v>720</v>
      </c>
      <c r="P262" t="str">
        <f t="shared" si="37"/>
        <v>A. Patel</v>
      </c>
      <c r="Q262" t="s">
        <v>728</v>
      </c>
      <c r="R262" t="s">
        <v>1071</v>
      </c>
      <c r="S262" s="23">
        <v>624.23</v>
      </c>
      <c r="T262" s="23">
        <v>1318.37</v>
      </c>
      <c r="U262" s="23">
        <f t="shared" si="38"/>
        <v>1318.37</v>
      </c>
      <c r="V262" s="8">
        <v>0.21</v>
      </c>
      <c r="W262" s="8">
        <f t="shared" si="39"/>
        <v>0.21</v>
      </c>
      <c r="X262">
        <v>37</v>
      </c>
    </row>
    <row r="263" spans="1:24" x14ac:dyDescent="0.35">
      <c r="A263" s="4" t="s">
        <v>438</v>
      </c>
      <c r="B263" s="5" t="str">
        <f>IF(COUNTIF($A$2:A263,A263)=1,"Original","Duplicate")</f>
        <v>Original</v>
      </c>
      <c r="C263" s="7">
        <v>45341</v>
      </c>
      <c r="D263" s="7">
        <v>45357</v>
      </c>
      <c r="E263" s="7" t="str">
        <f t="shared" si="32"/>
        <v>Valid</v>
      </c>
      <c r="F263" s="7">
        <f t="shared" si="33"/>
        <v>45357</v>
      </c>
      <c r="G263">
        <f t="shared" si="34"/>
        <v>16</v>
      </c>
      <c r="H263" t="s">
        <v>647</v>
      </c>
      <c r="I263" t="s">
        <v>659</v>
      </c>
      <c r="J263" t="s">
        <v>699</v>
      </c>
      <c r="K263" t="str">
        <f t="shared" si="35"/>
        <v>Beijing</v>
      </c>
      <c r="L263" t="s">
        <v>702</v>
      </c>
      <c r="M263" t="s">
        <v>709</v>
      </c>
      <c r="N263" t="str">
        <f t="shared" si="36"/>
        <v>Marketplace</v>
      </c>
      <c r="O263" t="s">
        <v>719</v>
      </c>
      <c r="P263" t="str">
        <f t="shared" si="37"/>
        <v>O. Wang</v>
      </c>
      <c r="Q263" t="s">
        <v>728</v>
      </c>
      <c r="R263" t="s">
        <v>1157</v>
      </c>
      <c r="S263" s="23">
        <v>1477.84</v>
      </c>
      <c r="T263" s="23">
        <v>3197.47</v>
      </c>
      <c r="U263" s="23">
        <f t="shared" si="38"/>
        <v>3197.47</v>
      </c>
      <c r="V263" s="8">
        <v>0.24299999999999999</v>
      </c>
      <c r="W263" s="8">
        <f t="shared" si="39"/>
        <v>0.24299999999999999</v>
      </c>
      <c r="X263">
        <v>24</v>
      </c>
    </row>
    <row r="264" spans="1:24" x14ac:dyDescent="0.35">
      <c r="A264" s="4" t="s">
        <v>583</v>
      </c>
      <c r="B264" s="5" t="str">
        <f>IF(COUNTIF($A$2:A264,A264)=1,"Original","Duplicate")</f>
        <v>Original</v>
      </c>
      <c r="C264" s="7">
        <v>45342</v>
      </c>
      <c r="D264" s="7">
        <v>45342</v>
      </c>
      <c r="E264" s="7" t="str">
        <f t="shared" si="32"/>
        <v>Valid</v>
      </c>
      <c r="F264" s="7">
        <f t="shared" si="33"/>
        <v>45349</v>
      </c>
      <c r="G264">
        <f t="shared" si="34"/>
        <v>7</v>
      </c>
      <c r="H264" t="s">
        <v>648</v>
      </c>
      <c r="I264" t="s">
        <v>660</v>
      </c>
      <c r="J264" t="s">
        <v>700</v>
      </c>
      <c r="K264" t="str">
        <f t="shared" si="35"/>
        <v>New York</v>
      </c>
      <c r="L264" t="s">
        <v>706</v>
      </c>
      <c r="M264" t="s">
        <v>708</v>
      </c>
      <c r="N264" t="str">
        <f t="shared" si="36"/>
        <v>Online</v>
      </c>
      <c r="O264" t="s">
        <v>712</v>
      </c>
      <c r="P264" t="str">
        <f t="shared" si="37"/>
        <v>C. Otieno</v>
      </c>
      <c r="Q264" t="s">
        <v>729</v>
      </c>
      <c r="R264" t="s">
        <v>1301</v>
      </c>
      <c r="S264" s="23">
        <v>1407.05</v>
      </c>
      <c r="T264" s="23">
        <v>2858.93</v>
      </c>
      <c r="U264" s="23">
        <f t="shared" si="38"/>
        <v>2858.93</v>
      </c>
      <c r="V264" s="8">
        <v>0</v>
      </c>
      <c r="W264" s="8">
        <f t="shared" si="39"/>
        <v>0</v>
      </c>
      <c r="X264">
        <v>12</v>
      </c>
    </row>
    <row r="265" spans="1:24" x14ac:dyDescent="0.35">
      <c r="A265" s="4" t="s">
        <v>442</v>
      </c>
      <c r="B265" s="5" t="str">
        <f>IF(COUNTIF($A$2:A265,A265)=1,"Original","Duplicate")</f>
        <v>Original</v>
      </c>
      <c r="C265" s="7">
        <v>45347</v>
      </c>
      <c r="D265" s="7">
        <v>45360</v>
      </c>
      <c r="E265" s="7" t="str">
        <f t="shared" si="32"/>
        <v>Valid</v>
      </c>
      <c r="F265" s="7">
        <f t="shared" si="33"/>
        <v>45360</v>
      </c>
      <c r="G265">
        <f t="shared" si="34"/>
        <v>13</v>
      </c>
      <c r="H265" t="s">
        <v>649</v>
      </c>
      <c r="I265" t="s">
        <v>657</v>
      </c>
      <c r="J265" t="s">
        <v>673</v>
      </c>
      <c r="K265" t="str">
        <f t="shared" si="35"/>
        <v>Marseille</v>
      </c>
      <c r="L265" t="s">
        <v>705</v>
      </c>
      <c r="M265" t="s">
        <v>710</v>
      </c>
      <c r="N265" t="str">
        <f t="shared" si="36"/>
        <v>Distributor</v>
      </c>
      <c r="O265" t="s">
        <v>718</v>
      </c>
      <c r="P265" t="str">
        <f t="shared" si="37"/>
        <v>E. Garcia</v>
      </c>
      <c r="Q265" t="s">
        <v>732</v>
      </c>
      <c r="R265" t="s">
        <v>1161</v>
      </c>
      <c r="S265" s="23">
        <v>322.44</v>
      </c>
      <c r="T265" s="23">
        <v>395.61</v>
      </c>
      <c r="U265" s="23">
        <f t="shared" si="38"/>
        <v>395.61</v>
      </c>
      <c r="V265" s="8">
        <v>0</v>
      </c>
      <c r="W265" s="8">
        <f t="shared" si="39"/>
        <v>0</v>
      </c>
      <c r="X265">
        <v>34</v>
      </c>
    </row>
    <row r="266" spans="1:24" x14ac:dyDescent="0.35">
      <c r="A266" s="4" t="s">
        <v>439</v>
      </c>
      <c r="B266" s="5" t="str">
        <f>IF(COUNTIF($A$2:A266,A266)=1,"Original","Duplicate")</f>
        <v>Original</v>
      </c>
      <c r="C266" s="7">
        <v>45349</v>
      </c>
      <c r="D266" s="7">
        <v>45377</v>
      </c>
      <c r="E266" s="7" t="str">
        <f t="shared" si="32"/>
        <v>Valid</v>
      </c>
      <c r="F266" s="7">
        <f t="shared" si="33"/>
        <v>45377</v>
      </c>
      <c r="G266">
        <f t="shared" si="34"/>
        <v>28</v>
      </c>
      <c r="H266" t="s">
        <v>647</v>
      </c>
      <c r="I266" t="s">
        <v>654</v>
      </c>
      <c r="J266" t="s">
        <v>691</v>
      </c>
      <c r="K266" t="str">
        <f t="shared" si="35"/>
        <v>Mumbai</v>
      </c>
      <c r="L266" t="s">
        <v>702</v>
      </c>
      <c r="M266" t="s">
        <v>709</v>
      </c>
      <c r="N266" t="str">
        <f t="shared" si="36"/>
        <v>Marketplace</v>
      </c>
      <c r="O266" t="s">
        <v>715</v>
      </c>
      <c r="P266" t="str">
        <f t="shared" si="37"/>
        <v>G. Dubois</v>
      </c>
      <c r="Q266" t="s">
        <v>731</v>
      </c>
      <c r="R266" t="s">
        <v>1158</v>
      </c>
      <c r="S266" s="23">
        <v>1035.19</v>
      </c>
      <c r="T266" s="23">
        <v>2322.6999999999998</v>
      </c>
      <c r="U266" s="23">
        <f t="shared" si="38"/>
        <v>2322.6999999999998</v>
      </c>
      <c r="V266" s="8">
        <v>0.17299999999999999</v>
      </c>
      <c r="W266" s="8">
        <f t="shared" si="39"/>
        <v>0.17299999999999999</v>
      </c>
      <c r="X266">
        <v>8</v>
      </c>
    </row>
    <row r="267" spans="1:24" x14ac:dyDescent="0.35">
      <c r="A267" s="4" t="s">
        <v>229</v>
      </c>
      <c r="B267" s="5" t="str">
        <f>IF(COUNTIF($A$2:A267,A267)=1,"Original","Duplicate")</f>
        <v>Original</v>
      </c>
      <c r="C267" s="7">
        <v>45351</v>
      </c>
      <c r="D267" s="7">
        <v>45381</v>
      </c>
      <c r="E267" s="7" t="str">
        <f t="shared" si="32"/>
        <v>Valid</v>
      </c>
      <c r="F267" s="7">
        <f t="shared" si="33"/>
        <v>45381</v>
      </c>
      <c r="G267">
        <f t="shared" si="34"/>
        <v>30</v>
      </c>
      <c r="H267" t="s">
        <v>647</v>
      </c>
      <c r="I267" t="s">
        <v>652</v>
      </c>
      <c r="J267" t="s">
        <v>694</v>
      </c>
      <c r="K267" t="str">
        <f t="shared" si="35"/>
        <v>Nagoya</v>
      </c>
      <c r="L267" t="s">
        <v>705</v>
      </c>
      <c r="M267" t="s">
        <v>711</v>
      </c>
      <c r="N267" t="str">
        <f t="shared" si="36"/>
        <v>Direct</v>
      </c>
      <c r="O267" t="s">
        <v>714</v>
      </c>
      <c r="P267" t="str">
        <f t="shared" si="37"/>
        <v>I. Johnson</v>
      </c>
      <c r="Q267" t="s">
        <v>729</v>
      </c>
      <c r="R267" t="s">
        <v>949</v>
      </c>
      <c r="S267" s="23">
        <v>231.11</v>
      </c>
      <c r="T267" s="23">
        <v>318.17</v>
      </c>
      <c r="U267" s="23">
        <f t="shared" si="38"/>
        <v>318.17</v>
      </c>
      <c r="V267" s="8">
        <v>0.20100000000000001</v>
      </c>
      <c r="W267" s="8">
        <f t="shared" si="39"/>
        <v>0.20100000000000001</v>
      </c>
      <c r="X267">
        <v>60</v>
      </c>
    </row>
    <row r="268" spans="1:24" x14ac:dyDescent="0.35">
      <c r="A268" s="4" t="s">
        <v>507</v>
      </c>
      <c r="B268" s="5" t="str">
        <f>IF(COUNTIF($A$2:A268,A268)=1,"Original","Duplicate")</f>
        <v>Original</v>
      </c>
      <c r="C268" s="7">
        <v>45352</v>
      </c>
      <c r="D268" s="7">
        <v>45351</v>
      </c>
      <c r="E268" s="7" t="str">
        <f t="shared" si="32"/>
        <v>Invalid</v>
      </c>
      <c r="F268" s="7">
        <f t="shared" si="33"/>
        <v>45359</v>
      </c>
      <c r="G268">
        <f t="shared" si="34"/>
        <v>7</v>
      </c>
      <c r="H268" t="s">
        <v>648</v>
      </c>
      <c r="I268" t="s">
        <v>655</v>
      </c>
      <c r="J268" t="s">
        <v>670</v>
      </c>
      <c r="K268" t="str">
        <f t="shared" si="35"/>
        <v>São Paulo</v>
      </c>
      <c r="L268" t="s">
        <v>703</v>
      </c>
      <c r="M268" t="s">
        <v>711</v>
      </c>
      <c r="N268" t="str">
        <f t="shared" si="36"/>
        <v>Direct</v>
      </c>
      <c r="O268" t="s">
        <v>714</v>
      </c>
      <c r="P268" t="str">
        <f t="shared" si="37"/>
        <v>I. Johnson</v>
      </c>
      <c r="Q268" t="s">
        <v>730</v>
      </c>
      <c r="R268" t="s">
        <v>1226</v>
      </c>
      <c r="S268" s="23">
        <v>5.34</v>
      </c>
      <c r="T268" s="23">
        <v>12.69</v>
      </c>
      <c r="U268" s="23">
        <f t="shared" si="38"/>
        <v>12.69</v>
      </c>
      <c r="V268" s="8">
        <v>0.13200000000000001</v>
      </c>
      <c r="W268" s="8">
        <f t="shared" si="39"/>
        <v>0.13200000000000001</v>
      </c>
      <c r="X268">
        <v>10</v>
      </c>
    </row>
    <row r="269" spans="1:24" x14ac:dyDescent="0.35">
      <c r="A269" s="4" t="s">
        <v>310</v>
      </c>
      <c r="B269" s="5" t="str">
        <f>IF(COUNTIF($A$2:A269,A269)=1,"Original","Duplicate")</f>
        <v>Original</v>
      </c>
      <c r="C269" s="7">
        <v>45353</v>
      </c>
      <c r="D269" s="7">
        <v>45367</v>
      </c>
      <c r="E269" s="7" t="str">
        <f t="shared" si="32"/>
        <v>Valid</v>
      </c>
      <c r="F269" s="7">
        <f t="shared" si="33"/>
        <v>45367</v>
      </c>
      <c r="G269">
        <f t="shared" si="34"/>
        <v>14</v>
      </c>
      <c r="H269" t="s">
        <v>648</v>
      </c>
      <c r="I269" t="s">
        <v>653</v>
      </c>
      <c r="J269" t="s">
        <v>688</v>
      </c>
      <c r="K269" t="str">
        <f t="shared" si="35"/>
        <v>Vancouver</v>
      </c>
      <c r="L269" t="s">
        <v>703</v>
      </c>
      <c r="M269" t="s">
        <v>711</v>
      </c>
      <c r="N269" t="str">
        <f t="shared" si="36"/>
        <v>Direct</v>
      </c>
      <c r="O269" t="s">
        <v>719</v>
      </c>
      <c r="P269" t="str">
        <f t="shared" si="37"/>
        <v>O. Wang</v>
      </c>
      <c r="Q269" t="s">
        <v>728</v>
      </c>
      <c r="R269" t="s">
        <v>1030</v>
      </c>
      <c r="S269" s="23">
        <v>248.24</v>
      </c>
      <c r="T269" s="23">
        <v>464.05</v>
      </c>
      <c r="U269" s="23">
        <f t="shared" si="38"/>
        <v>464.05</v>
      </c>
      <c r="V269" s="8">
        <v>0.16900000000000001</v>
      </c>
      <c r="W269" s="8">
        <f t="shared" si="39"/>
        <v>0.16900000000000001</v>
      </c>
      <c r="X269">
        <v>11</v>
      </c>
    </row>
    <row r="270" spans="1:24" x14ac:dyDescent="0.35">
      <c r="A270" s="4" t="s">
        <v>525</v>
      </c>
      <c r="B270" s="5" t="str">
        <f>IF(COUNTIF($A$2:A270,A270)=1,"Original","Duplicate")</f>
        <v>Original</v>
      </c>
      <c r="C270" s="7">
        <v>45353</v>
      </c>
      <c r="D270" s="7">
        <v>45374</v>
      </c>
      <c r="E270" s="7" t="str">
        <f t="shared" si="32"/>
        <v>Valid</v>
      </c>
      <c r="F270" s="7">
        <f t="shared" si="33"/>
        <v>45374</v>
      </c>
      <c r="G270">
        <f t="shared" si="34"/>
        <v>21</v>
      </c>
      <c r="H270" t="s">
        <v>648</v>
      </c>
      <c r="I270" t="s">
        <v>660</v>
      </c>
      <c r="J270" t="s">
        <v>677</v>
      </c>
      <c r="K270" t="str">
        <f t="shared" si="35"/>
        <v>Chicago</v>
      </c>
      <c r="L270" t="s">
        <v>705</v>
      </c>
      <c r="M270" t="s">
        <v>708</v>
      </c>
      <c r="N270" t="str">
        <f t="shared" si="36"/>
        <v>Online</v>
      </c>
      <c r="O270" t="s">
        <v>721</v>
      </c>
      <c r="P270" t="str">
        <f t="shared" si="37"/>
        <v>F. Müller</v>
      </c>
      <c r="Q270" t="s">
        <v>727</v>
      </c>
      <c r="R270" t="s">
        <v>1244</v>
      </c>
      <c r="S270" s="23">
        <v>225.01</v>
      </c>
      <c r="T270" s="23">
        <v>333.48</v>
      </c>
      <c r="U270" s="23">
        <f t="shared" si="38"/>
        <v>333.48</v>
      </c>
      <c r="V270" s="8">
        <v>0.11899999999999999</v>
      </c>
      <c r="W270" s="8">
        <f t="shared" si="39"/>
        <v>0.11899999999999999</v>
      </c>
      <c r="X270">
        <v>12</v>
      </c>
    </row>
    <row r="271" spans="1:24" x14ac:dyDescent="0.35">
      <c r="A271" s="4" t="s">
        <v>389</v>
      </c>
      <c r="B271" s="5" t="str">
        <f>IF(COUNTIF($A$2:A271,A271)=1,"Original","Duplicate")</f>
        <v>Original</v>
      </c>
      <c r="C271" s="7">
        <v>45354</v>
      </c>
      <c r="D271" s="7">
        <v>45370</v>
      </c>
      <c r="E271" s="7" t="str">
        <f t="shared" si="32"/>
        <v>Valid</v>
      </c>
      <c r="F271" s="7">
        <f t="shared" si="33"/>
        <v>45370</v>
      </c>
      <c r="G271">
        <f t="shared" si="34"/>
        <v>16</v>
      </c>
      <c r="H271" t="s">
        <v>647</v>
      </c>
      <c r="I271" t="s">
        <v>659</v>
      </c>
      <c r="J271" t="s">
        <v>699</v>
      </c>
      <c r="K271" t="str">
        <f t="shared" si="35"/>
        <v>Beijing</v>
      </c>
      <c r="L271" t="s">
        <v>704</v>
      </c>
      <c r="M271" t="s">
        <v>710</v>
      </c>
      <c r="N271" t="str">
        <f t="shared" si="36"/>
        <v>Distributor</v>
      </c>
      <c r="O271" t="s">
        <v>715</v>
      </c>
      <c r="P271" t="str">
        <f t="shared" si="37"/>
        <v>G. Dubois</v>
      </c>
      <c r="Q271" t="s">
        <v>730</v>
      </c>
      <c r="R271" t="s">
        <v>1109</v>
      </c>
      <c r="S271" s="23">
        <v>988.83</v>
      </c>
      <c r="T271" s="23">
        <v>1206.04</v>
      </c>
      <c r="U271" s="23">
        <f t="shared" si="38"/>
        <v>1206.04</v>
      </c>
      <c r="V271" s="8">
        <v>6.3E-2</v>
      </c>
      <c r="W271" s="8">
        <f t="shared" si="39"/>
        <v>6.3E-2</v>
      </c>
      <c r="X271">
        <v>34</v>
      </c>
    </row>
    <row r="272" spans="1:24" x14ac:dyDescent="0.35">
      <c r="A272" s="4" t="s">
        <v>560</v>
      </c>
      <c r="B272" s="5" t="str">
        <f>IF(COUNTIF($A$2:A272,A272)=1,"Original","Duplicate")</f>
        <v>Original</v>
      </c>
      <c r="C272" s="7">
        <v>45355</v>
      </c>
      <c r="D272" s="7">
        <v>45367</v>
      </c>
      <c r="E272" s="7" t="str">
        <f t="shared" si="32"/>
        <v>Valid</v>
      </c>
      <c r="F272" s="7">
        <f t="shared" si="33"/>
        <v>45367</v>
      </c>
      <c r="G272">
        <f t="shared" si="34"/>
        <v>12</v>
      </c>
      <c r="H272" t="s">
        <v>646</v>
      </c>
      <c r="I272" t="s">
        <v>661</v>
      </c>
      <c r="J272" t="s">
        <v>682</v>
      </c>
      <c r="K272" t="str">
        <f t="shared" si="35"/>
        <v>Johannesburg</v>
      </c>
      <c r="L272" t="s">
        <v>706</v>
      </c>
      <c r="M272" t="s">
        <v>710</v>
      </c>
      <c r="N272" t="str">
        <f t="shared" si="36"/>
        <v>Distributor</v>
      </c>
      <c r="O272" t="s">
        <v>724</v>
      </c>
      <c r="P272" t="str">
        <f t="shared" si="37"/>
        <v>M. Rossi</v>
      </c>
      <c r="Q272" t="s">
        <v>732</v>
      </c>
      <c r="R272" t="s">
        <v>1278</v>
      </c>
      <c r="S272" s="23">
        <v>441.08</v>
      </c>
      <c r="T272" s="23">
        <v>1054.29</v>
      </c>
      <c r="U272" s="23">
        <f t="shared" si="38"/>
        <v>1054.29</v>
      </c>
      <c r="V272" s="8">
        <v>0.23699999999999999</v>
      </c>
      <c r="W272" s="8">
        <f t="shared" si="39"/>
        <v>0.23699999999999999</v>
      </c>
      <c r="X272">
        <v>6</v>
      </c>
    </row>
    <row r="273" spans="1:24" x14ac:dyDescent="0.35">
      <c r="A273" s="4" t="s">
        <v>259</v>
      </c>
      <c r="B273" s="5" t="str">
        <f>IF(COUNTIF($A$2:A273,A273)=1,"Original","Duplicate")</f>
        <v>Original</v>
      </c>
      <c r="C273" s="7">
        <v>45357</v>
      </c>
      <c r="D273" s="7">
        <v>45377</v>
      </c>
      <c r="E273" s="7" t="str">
        <f t="shared" si="32"/>
        <v>Valid</v>
      </c>
      <c r="F273" s="7">
        <f t="shared" si="33"/>
        <v>45377</v>
      </c>
      <c r="G273">
        <f t="shared" si="34"/>
        <v>20</v>
      </c>
      <c r="H273" t="s">
        <v>646</v>
      </c>
      <c r="I273" t="s">
        <v>651</v>
      </c>
      <c r="J273" t="s">
        <v>663</v>
      </c>
      <c r="K273" t="str">
        <f t="shared" si="35"/>
        <v>Port Harcourt</v>
      </c>
      <c r="L273" t="s">
        <v>704</v>
      </c>
      <c r="M273" t="s">
        <v>709</v>
      </c>
      <c r="N273" t="str">
        <f t="shared" si="36"/>
        <v>Marketplace</v>
      </c>
      <c r="O273" t="s">
        <v>714</v>
      </c>
      <c r="P273" t="str">
        <f t="shared" si="37"/>
        <v>I. Johnson</v>
      </c>
      <c r="Q273" t="s">
        <v>730</v>
      </c>
      <c r="R273" t="s">
        <v>979</v>
      </c>
      <c r="S273" s="23">
        <v>65.64</v>
      </c>
      <c r="T273" s="23">
        <v>151.88</v>
      </c>
      <c r="U273" s="23">
        <f t="shared" si="38"/>
        <v>151.88</v>
      </c>
      <c r="V273" s="8">
        <v>0.16700000000000001</v>
      </c>
      <c r="W273" s="8">
        <f t="shared" si="39"/>
        <v>0.16700000000000001</v>
      </c>
      <c r="X273">
        <v>23</v>
      </c>
    </row>
    <row r="274" spans="1:24" x14ac:dyDescent="0.35">
      <c r="A274" s="4" t="s">
        <v>51</v>
      </c>
      <c r="B274" s="5" t="str">
        <f>IF(COUNTIF($A$2:A274,A274)=1,"Original","Duplicate")</f>
        <v>Original</v>
      </c>
      <c r="C274" s="7">
        <v>45358</v>
      </c>
      <c r="D274" s="7">
        <v>45376</v>
      </c>
      <c r="E274" s="7" t="str">
        <f t="shared" si="32"/>
        <v>Valid</v>
      </c>
      <c r="F274" s="7">
        <f t="shared" si="33"/>
        <v>45376</v>
      </c>
      <c r="G274">
        <f t="shared" si="34"/>
        <v>18</v>
      </c>
      <c r="H274" t="s">
        <v>649</v>
      </c>
      <c r="I274" t="s">
        <v>656</v>
      </c>
      <c r="J274" t="s">
        <v>684</v>
      </c>
      <c r="K274" t="str">
        <f t="shared" si="35"/>
        <v>Munich</v>
      </c>
      <c r="L274" t="s">
        <v>701</v>
      </c>
      <c r="M274" t="s">
        <v>708</v>
      </c>
      <c r="N274" t="str">
        <f t="shared" si="36"/>
        <v>Online</v>
      </c>
      <c r="O274" t="s">
        <v>717</v>
      </c>
      <c r="P274" t="str">
        <f t="shared" si="37"/>
        <v>B. Chen</v>
      </c>
      <c r="Q274" t="s">
        <v>727</v>
      </c>
      <c r="R274" t="s">
        <v>770</v>
      </c>
      <c r="S274" s="23">
        <v>712.84</v>
      </c>
      <c r="T274" s="23">
        <v>927.51</v>
      </c>
      <c r="U274" s="23">
        <f t="shared" si="38"/>
        <v>927.51</v>
      </c>
      <c r="V274" s="8">
        <v>0.24299999999999999</v>
      </c>
      <c r="W274" s="8">
        <f t="shared" si="39"/>
        <v>0.24299999999999999</v>
      </c>
      <c r="X274">
        <v>27</v>
      </c>
    </row>
    <row r="275" spans="1:24" x14ac:dyDescent="0.35">
      <c r="A275" s="4" t="s">
        <v>476</v>
      </c>
      <c r="B275" s="5" t="str">
        <f>IF(COUNTIF($A$2:A275,A275)=1,"Original","Duplicate")</f>
        <v>Original</v>
      </c>
      <c r="C275" s="7">
        <v>45358</v>
      </c>
      <c r="D275" s="7">
        <v>45385</v>
      </c>
      <c r="E275" s="7" t="str">
        <f t="shared" si="32"/>
        <v>Valid</v>
      </c>
      <c r="F275" s="7">
        <f t="shared" si="33"/>
        <v>45385</v>
      </c>
      <c r="G275">
        <f t="shared" si="34"/>
        <v>27</v>
      </c>
      <c r="H275" t="s">
        <v>649</v>
      </c>
      <c r="I275" t="s">
        <v>656</v>
      </c>
      <c r="J275" t="s">
        <v>698</v>
      </c>
      <c r="K275" t="str">
        <f t="shared" si="35"/>
        <v>Frankfurt</v>
      </c>
      <c r="L275" t="s">
        <v>701</v>
      </c>
      <c r="M275" t="s">
        <v>711</v>
      </c>
      <c r="N275" t="str">
        <f t="shared" si="36"/>
        <v>Direct</v>
      </c>
      <c r="O275" t="s">
        <v>724</v>
      </c>
      <c r="P275" t="str">
        <f t="shared" si="37"/>
        <v>M. Rossi</v>
      </c>
      <c r="Q275" t="s">
        <v>728</v>
      </c>
      <c r="R275" t="s">
        <v>1195</v>
      </c>
      <c r="S275" s="23">
        <v>738.16</v>
      </c>
      <c r="T275" s="23">
        <v>956.49</v>
      </c>
      <c r="U275" s="23">
        <f t="shared" si="38"/>
        <v>956.49</v>
      </c>
      <c r="V275" s="8">
        <v>0.152</v>
      </c>
      <c r="W275" s="8">
        <f t="shared" si="39"/>
        <v>0.152</v>
      </c>
      <c r="X275">
        <v>5</v>
      </c>
    </row>
    <row r="276" spans="1:24" x14ac:dyDescent="0.35">
      <c r="A276" s="4" t="s">
        <v>377</v>
      </c>
      <c r="B276" s="5" t="str">
        <f>IF(COUNTIF($A$2:A276,A276)=1,"Original","Duplicate")</f>
        <v>Original</v>
      </c>
      <c r="C276" s="7">
        <v>45360</v>
      </c>
      <c r="D276" s="7">
        <v>45377</v>
      </c>
      <c r="E276" s="7" t="str">
        <f t="shared" si="32"/>
        <v>Valid</v>
      </c>
      <c r="F276" s="7">
        <f t="shared" si="33"/>
        <v>45377</v>
      </c>
      <c r="G276">
        <f t="shared" si="34"/>
        <v>17</v>
      </c>
      <c r="H276" t="s">
        <v>647</v>
      </c>
      <c r="I276" t="s">
        <v>659</v>
      </c>
      <c r="J276" t="s">
        <v>676</v>
      </c>
      <c r="K276" t="str">
        <f t="shared" si="35"/>
        <v>Shenzhen</v>
      </c>
      <c r="L276" t="s">
        <v>706</v>
      </c>
      <c r="M276" t="s">
        <v>708</v>
      </c>
      <c r="N276" t="str">
        <f t="shared" si="36"/>
        <v>Online</v>
      </c>
      <c r="O276" t="s">
        <v>723</v>
      </c>
      <c r="P276" t="str">
        <f t="shared" si="37"/>
        <v>K. Singh</v>
      </c>
      <c r="Q276" t="s">
        <v>732</v>
      </c>
      <c r="R276" t="s">
        <v>1097</v>
      </c>
      <c r="S276" s="23">
        <v>1029.67</v>
      </c>
      <c r="T276" s="23">
        <v>1118.43</v>
      </c>
      <c r="U276" s="23">
        <f t="shared" si="38"/>
        <v>1118.43</v>
      </c>
      <c r="V276" s="8">
        <v>0.27200000000000002</v>
      </c>
      <c r="W276" s="8">
        <f t="shared" si="39"/>
        <v>0.27200000000000002</v>
      </c>
      <c r="X276">
        <v>9</v>
      </c>
    </row>
    <row r="277" spans="1:24" x14ac:dyDescent="0.35">
      <c r="A277" s="4" t="s">
        <v>407</v>
      </c>
      <c r="B277" s="5" t="str">
        <f>IF(COUNTIF($A$2:A277,A277)=1,"Original","Duplicate")</f>
        <v>Original</v>
      </c>
      <c r="C277" s="7">
        <v>45360</v>
      </c>
      <c r="D277" s="7">
        <v>45377</v>
      </c>
      <c r="E277" s="7" t="str">
        <f t="shared" si="32"/>
        <v>Valid</v>
      </c>
      <c r="F277" s="7">
        <f t="shared" si="33"/>
        <v>45377</v>
      </c>
      <c r="G277">
        <f t="shared" si="34"/>
        <v>17</v>
      </c>
      <c r="H277" t="s">
        <v>648</v>
      </c>
      <c r="I277" t="s">
        <v>660</v>
      </c>
      <c r="J277" t="s">
        <v>686</v>
      </c>
      <c r="K277" t="str">
        <f t="shared" si="35"/>
        <v>San Francisco</v>
      </c>
      <c r="L277" t="s">
        <v>702</v>
      </c>
      <c r="M277" t="s">
        <v>711</v>
      </c>
      <c r="N277" t="str">
        <f t="shared" si="36"/>
        <v>Direct</v>
      </c>
      <c r="O277" t="s">
        <v>714</v>
      </c>
      <c r="P277" t="str">
        <f t="shared" si="37"/>
        <v>I. Johnson</v>
      </c>
      <c r="Q277" t="s">
        <v>730</v>
      </c>
      <c r="R277" t="s">
        <v>1126</v>
      </c>
      <c r="S277" s="23">
        <v>1137.4100000000001</v>
      </c>
      <c r="T277" s="23">
        <v>1680.93</v>
      </c>
      <c r="U277" s="23">
        <f t="shared" si="38"/>
        <v>1680.93</v>
      </c>
      <c r="V277" s="8">
        <v>0.254</v>
      </c>
      <c r="W277" s="8">
        <f t="shared" si="39"/>
        <v>0.254</v>
      </c>
      <c r="X277">
        <v>9</v>
      </c>
    </row>
    <row r="278" spans="1:24" x14ac:dyDescent="0.35">
      <c r="A278" s="4" t="s">
        <v>614</v>
      </c>
      <c r="B278" s="5" t="str">
        <f>IF(COUNTIF($A$2:A278,A278)=1,"Original","Duplicate")</f>
        <v>Original</v>
      </c>
      <c r="C278" s="7">
        <v>45360</v>
      </c>
      <c r="D278" s="7">
        <v>45373</v>
      </c>
      <c r="E278" s="7" t="str">
        <f t="shared" si="32"/>
        <v>Valid</v>
      </c>
      <c r="F278" s="7">
        <f t="shared" si="33"/>
        <v>45373</v>
      </c>
      <c r="G278">
        <f t="shared" si="34"/>
        <v>13</v>
      </c>
      <c r="H278" t="s">
        <v>649</v>
      </c>
      <c r="I278" t="s">
        <v>658</v>
      </c>
      <c r="J278" t="s">
        <v>693</v>
      </c>
      <c r="K278" t="str">
        <f t="shared" si="35"/>
        <v>Manchester</v>
      </c>
      <c r="L278" t="s">
        <v>704</v>
      </c>
      <c r="M278" t="s">
        <v>708</v>
      </c>
      <c r="N278" t="str">
        <f t="shared" si="36"/>
        <v>Online</v>
      </c>
      <c r="O278" t="s">
        <v>718</v>
      </c>
      <c r="P278" t="str">
        <f t="shared" si="37"/>
        <v>E. Garcia</v>
      </c>
      <c r="Q278" t="s">
        <v>731</v>
      </c>
      <c r="R278" t="s">
        <v>1332</v>
      </c>
      <c r="S278" s="23">
        <v>985.45</v>
      </c>
      <c r="T278" s="23">
        <v>1802.44</v>
      </c>
      <c r="U278" s="23">
        <f t="shared" si="38"/>
        <v>1802.44</v>
      </c>
      <c r="V278" s="8">
        <v>8.9999999999999993E-3</v>
      </c>
      <c r="W278" s="8">
        <f t="shared" si="39"/>
        <v>8.9999999999999993E-3</v>
      </c>
      <c r="X278">
        <v>19</v>
      </c>
    </row>
    <row r="279" spans="1:24" x14ac:dyDescent="0.35">
      <c r="A279" s="4" t="s">
        <v>75</v>
      </c>
      <c r="B279" s="5" t="str">
        <f>IF(COUNTIF($A$2:A279,A279)=1,"Original","Duplicate")</f>
        <v>Original</v>
      </c>
      <c r="C279" s="7">
        <v>45361</v>
      </c>
      <c r="D279" s="7">
        <v>45391</v>
      </c>
      <c r="E279" s="7" t="str">
        <f t="shared" si="32"/>
        <v>Valid</v>
      </c>
      <c r="F279" s="7">
        <f t="shared" si="33"/>
        <v>45391</v>
      </c>
      <c r="G279">
        <f t="shared" si="34"/>
        <v>30</v>
      </c>
      <c r="H279" t="s">
        <v>649</v>
      </c>
      <c r="I279" t="s">
        <v>657</v>
      </c>
      <c r="J279" t="s">
        <v>679</v>
      </c>
      <c r="K279" t="str">
        <f t="shared" si="35"/>
        <v>Lyon</v>
      </c>
      <c r="L279" t="s">
        <v>701</v>
      </c>
      <c r="M279" t="s">
        <v>711</v>
      </c>
      <c r="N279" t="str">
        <f t="shared" si="36"/>
        <v>Direct</v>
      </c>
      <c r="O279" t="s">
        <v>714</v>
      </c>
      <c r="P279" t="str">
        <f t="shared" si="37"/>
        <v>I. Johnson</v>
      </c>
      <c r="Q279" t="s">
        <v>727</v>
      </c>
      <c r="R279" t="s">
        <v>794</v>
      </c>
      <c r="S279" s="23">
        <v>1176.56</v>
      </c>
      <c r="T279" s="23">
        <v>1911.89</v>
      </c>
      <c r="U279" s="23">
        <f t="shared" si="38"/>
        <v>1911.89</v>
      </c>
      <c r="V279" s="8">
        <v>0.11899999999999999</v>
      </c>
      <c r="W279" s="8">
        <f t="shared" si="39"/>
        <v>0.11899999999999999</v>
      </c>
      <c r="X279">
        <v>20</v>
      </c>
    </row>
    <row r="280" spans="1:24" x14ac:dyDescent="0.35">
      <c r="A280" s="4" t="s">
        <v>15</v>
      </c>
      <c r="B280" s="5" t="str">
        <f>IF(COUNTIF($A$2:A280,A280)=1,"Original","Duplicate")</f>
        <v>Original</v>
      </c>
      <c r="C280" s="7">
        <v>45362</v>
      </c>
      <c r="D280" s="7">
        <v>45388</v>
      </c>
      <c r="E280" s="7" t="str">
        <f t="shared" si="32"/>
        <v>Valid</v>
      </c>
      <c r="F280" s="7">
        <f t="shared" si="33"/>
        <v>45388</v>
      </c>
      <c r="G280">
        <f t="shared" si="34"/>
        <v>26</v>
      </c>
      <c r="H280" t="s">
        <v>646</v>
      </c>
      <c r="I280" t="s">
        <v>650</v>
      </c>
      <c r="J280" t="s">
        <v>662</v>
      </c>
      <c r="K280" t="str">
        <f t="shared" si="35"/>
        <v>Kisumu</v>
      </c>
      <c r="L280" t="s">
        <v>701</v>
      </c>
      <c r="M280" t="s">
        <v>707</v>
      </c>
      <c r="N280" t="str">
        <f t="shared" si="36"/>
        <v>Retail</v>
      </c>
      <c r="O280" t="s">
        <v>712</v>
      </c>
      <c r="P280" t="str">
        <f t="shared" si="37"/>
        <v>C. Otieno</v>
      </c>
      <c r="Q280" t="s">
        <v>727</v>
      </c>
      <c r="R280" t="s">
        <v>734</v>
      </c>
      <c r="S280" s="23">
        <v>279.24</v>
      </c>
      <c r="T280" s="23">
        <v>608.9</v>
      </c>
      <c r="U280" s="23">
        <f t="shared" si="38"/>
        <v>608.9</v>
      </c>
      <c r="V280" s="8">
        <v>0.112</v>
      </c>
      <c r="W280" s="8">
        <f t="shared" si="39"/>
        <v>0.112</v>
      </c>
      <c r="X280">
        <v>9</v>
      </c>
    </row>
    <row r="281" spans="1:24" x14ac:dyDescent="0.35">
      <c r="A281" s="4" t="s">
        <v>572</v>
      </c>
      <c r="B281" s="5" t="str">
        <f>IF(COUNTIF($A$2:A281,A281)=1,"Original","Duplicate")</f>
        <v>Original</v>
      </c>
      <c r="C281" s="7">
        <v>45362</v>
      </c>
      <c r="D281" s="7">
        <v>45380</v>
      </c>
      <c r="E281" s="7" t="str">
        <f t="shared" si="32"/>
        <v>Valid</v>
      </c>
      <c r="F281" s="7">
        <f t="shared" si="33"/>
        <v>45380</v>
      </c>
      <c r="G281">
        <f t="shared" si="34"/>
        <v>18</v>
      </c>
      <c r="H281" t="s">
        <v>648</v>
      </c>
      <c r="I281" t="s">
        <v>660</v>
      </c>
      <c r="J281" t="s">
        <v>700</v>
      </c>
      <c r="K281" t="str">
        <f t="shared" si="35"/>
        <v>New York</v>
      </c>
      <c r="L281" t="s">
        <v>701</v>
      </c>
      <c r="M281" t="s">
        <v>707</v>
      </c>
      <c r="N281" t="str">
        <f t="shared" si="36"/>
        <v>Retail</v>
      </c>
      <c r="O281" t="s">
        <v>724</v>
      </c>
      <c r="P281" t="str">
        <f t="shared" si="37"/>
        <v>M. Rossi</v>
      </c>
      <c r="Q281" t="s">
        <v>732</v>
      </c>
      <c r="R281" t="s">
        <v>1290</v>
      </c>
      <c r="S281" s="23">
        <v>710.98</v>
      </c>
      <c r="T281" s="23">
        <v>1481.45</v>
      </c>
      <c r="U281" s="23">
        <f t="shared" si="38"/>
        <v>1481.45</v>
      </c>
      <c r="V281" s="8">
        <v>0.21099999999999999</v>
      </c>
      <c r="W281" s="8">
        <f t="shared" si="39"/>
        <v>0.21099999999999999</v>
      </c>
      <c r="X281">
        <v>9</v>
      </c>
    </row>
    <row r="282" spans="1:24" x14ac:dyDescent="0.35">
      <c r="A282" s="4" t="s">
        <v>601</v>
      </c>
      <c r="B282" s="5" t="str">
        <f>IF(COUNTIF($A$2:A282,A282)=1,"Original","Duplicate")</f>
        <v>Original</v>
      </c>
      <c r="C282" s="7">
        <v>45364</v>
      </c>
      <c r="D282" s="7">
        <v>45388</v>
      </c>
      <c r="E282" s="7" t="str">
        <f t="shared" si="32"/>
        <v>Valid</v>
      </c>
      <c r="F282" s="7">
        <f t="shared" si="33"/>
        <v>45388</v>
      </c>
      <c r="G282">
        <f t="shared" si="34"/>
        <v>24</v>
      </c>
      <c r="H282" t="s">
        <v>646</v>
      </c>
      <c r="I282" t="s">
        <v>651</v>
      </c>
      <c r="J282" t="s">
        <v>669</v>
      </c>
      <c r="K282" t="str">
        <f t="shared" si="35"/>
        <v>Abuja</v>
      </c>
      <c r="L282" t="s">
        <v>704</v>
      </c>
      <c r="M282" t="s">
        <v>710</v>
      </c>
      <c r="N282" t="str">
        <f t="shared" si="36"/>
        <v>Distributor</v>
      </c>
      <c r="O282" t="s">
        <v>716</v>
      </c>
      <c r="P282" t="str">
        <f t="shared" si="37"/>
        <v>L. Okafor</v>
      </c>
      <c r="Q282" t="s">
        <v>727</v>
      </c>
      <c r="R282" t="s">
        <v>1319</v>
      </c>
      <c r="S282" s="23">
        <v>1232.78</v>
      </c>
      <c r="T282" s="23">
        <v>1731.75</v>
      </c>
      <c r="U282" s="23">
        <f t="shared" si="38"/>
        <v>1731.75</v>
      </c>
      <c r="V282" s="8">
        <v>9.2999999999999999E-2</v>
      </c>
      <c r="W282" s="8">
        <f t="shared" si="39"/>
        <v>9.2999999999999999E-2</v>
      </c>
      <c r="X282">
        <v>16</v>
      </c>
    </row>
    <row r="283" spans="1:24" x14ac:dyDescent="0.35">
      <c r="A283" s="4" t="s">
        <v>266</v>
      </c>
      <c r="B283" s="5" t="str">
        <f>IF(COUNTIF($A$2:A283,A283)=1,"Original","Duplicate")</f>
        <v>Original</v>
      </c>
      <c r="C283" s="7">
        <v>45366</v>
      </c>
      <c r="D283" s="7">
        <v>45391</v>
      </c>
      <c r="E283" s="7" t="str">
        <f t="shared" si="32"/>
        <v>Valid</v>
      </c>
      <c r="F283" s="7">
        <f t="shared" si="33"/>
        <v>45391</v>
      </c>
      <c r="G283">
        <f t="shared" si="34"/>
        <v>25</v>
      </c>
      <c r="H283" t="s">
        <v>648</v>
      </c>
      <c r="I283" t="s">
        <v>653</v>
      </c>
      <c r="J283" t="s">
        <v>688</v>
      </c>
      <c r="K283" t="str">
        <f t="shared" si="35"/>
        <v>Vancouver</v>
      </c>
      <c r="L283" t="s">
        <v>704</v>
      </c>
      <c r="M283" t="s">
        <v>708</v>
      </c>
      <c r="N283" t="str">
        <f t="shared" si="36"/>
        <v>Online</v>
      </c>
      <c r="O283" t="s">
        <v>721</v>
      </c>
      <c r="P283" t="str">
        <f t="shared" si="37"/>
        <v>F. Müller</v>
      </c>
      <c r="Q283" t="s">
        <v>732</v>
      </c>
      <c r="R283" t="s">
        <v>986</v>
      </c>
      <c r="S283" s="23">
        <v>648.64</v>
      </c>
      <c r="T283" s="23">
        <v>815.19</v>
      </c>
      <c r="U283" s="23">
        <f t="shared" si="38"/>
        <v>815.19</v>
      </c>
      <c r="V283" s="8">
        <v>0.22500000000000001</v>
      </c>
      <c r="W283" s="8">
        <f t="shared" si="39"/>
        <v>0.22500000000000001</v>
      </c>
      <c r="X283">
        <v>28</v>
      </c>
    </row>
    <row r="284" spans="1:24" x14ac:dyDescent="0.35">
      <c r="A284" s="4" t="s">
        <v>288</v>
      </c>
      <c r="B284" s="5" t="str">
        <f>IF(COUNTIF($A$2:A284,A284)=1,"Original","Duplicate")</f>
        <v>Original</v>
      </c>
      <c r="C284" s="7">
        <v>45367</v>
      </c>
      <c r="D284" s="7">
        <v>45395</v>
      </c>
      <c r="E284" s="7" t="str">
        <f t="shared" si="32"/>
        <v>Valid</v>
      </c>
      <c r="F284" s="7">
        <f t="shared" si="33"/>
        <v>45395</v>
      </c>
      <c r="G284">
        <f t="shared" si="34"/>
        <v>28</v>
      </c>
      <c r="H284" t="s">
        <v>649</v>
      </c>
      <c r="I284" t="s">
        <v>657</v>
      </c>
      <c r="J284" t="s">
        <v>690</v>
      </c>
      <c r="K284" t="str">
        <f t="shared" si="35"/>
        <v>Paris</v>
      </c>
      <c r="L284" t="s">
        <v>705</v>
      </c>
      <c r="M284" t="s">
        <v>708</v>
      </c>
      <c r="N284" t="str">
        <f t="shared" si="36"/>
        <v>Online</v>
      </c>
      <c r="O284" t="s">
        <v>723</v>
      </c>
      <c r="P284" t="str">
        <f t="shared" si="37"/>
        <v>K. Singh</v>
      </c>
      <c r="Q284" t="s">
        <v>728</v>
      </c>
      <c r="R284" t="s">
        <v>1008</v>
      </c>
      <c r="S284" s="23">
        <v>287.61</v>
      </c>
      <c r="T284" s="23">
        <v>628.54</v>
      </c>
      <c r="U284" s="23">
        <f t="shared" si="38"/>
        <v>628.54</v>
      </c>
      <c r="V284" s="8">
        <v>0.13500000000000001</v>
      </c>
      <c r="W284" s="8">
        <f t="shared" si="39"/>
        <v>0.13500000000000001</v>
      </c>
      <c r="X284">
        <v>21</v>
      </c>
    </row>
    <row r="285" spans="1:24" x14ac:dyDescent="0.35">
      <c r="A285" s="4" t="s">
        <v>85</v>
      </c>
      <c r="B285" s="5" t="str">
        <f>IF(COUNTIF($A$2:A285,A285)=1,"Original","Duplicate")</f>
        <v>Original</v>
      </c>
      <c r="C285" s="7">
        <v>45369</v>
      </c>
      <c r="D285" s="7">
        <v>45372</v>
      </c>
      <c r="E285" s="7" t="str">
        <f t="shared" si="32"/>
        <v>Valid</v>
      </c>
      <c r="F285" s="7">
        <f t="shared" si="33"/>
        <v>45372</v>
      </c>
      <c r="G285">
        <f t="shared" si="34"/>
        <v>3</v>
      </c>
      <c r="H285" t="s">
        <v>649</v>
      </c>
      <c r="I285" t="s">
        <v>656</v>
      </c>
      <c r="J285" t="s">
        <v>684</v>
      </c>
      <c r="K285" t="str">
        <f t="shared" si="35"/>
        <v>Munich</v>
      </c>
      <c r="L285" t="s">
        <v>705</v>
      </c>
      <c r="M285" t="s">
        <v>708</v>
      </c>
      <c r="N285" t="str">
        <f t="shared" si="36"/>
        <v>Online</v>
      </c>
      <c r="O285" t="s">
        <v>724</v>
      </c>
      <c r="P285" t="str">
        <f t="shared" si="37"/>
        <v>M. Rossi</v>
      </c>
      <c r="Q285" t="s">
        <v>733</v>
      </c>
      <c r="R285" t="s">
        <v>804</v>
      </c>
      <c r="S285" s="23">
        <v>910.63</v>
      </c>
      <c r="T285" s="23">
        <v>1269.4000000000001</v>
      </c>
      <c r="U285" s="23">
        <f t="shared" si="38"/>
        <v>1269.4000000000001</v>
      </c>
      <c r="V285" s="8">
        <v>6.8000000000000005E-2</v>
      </c>
      <c r="W285" s="8">
        <f t="shared" si="39"/>
        <v>6.8000000000000005E-2</v>
      </c>
      <c r="X285">
        <v>9</v>
      </c>
    </row>
    <row r="286" spans="1:24" x14ac:dyDescent="0.35">
      <c r="A286" s="4" t="s">
        <v>455</v>
      </c>
      <c r="B286" s="5" t="str">
        <f>IF(COUNTIF($A$2:A286,A286)=1,"Original","Duplicate")</f>
        <v>Original</v>
      </c>
      <c r="C286" s="7">
        <v>45374</v>
      </c>
      <c r="D286" s="7">
        <v>45377</v>
      </c>
      <c r="E286" s="7" t="str">
        <f t="shared" si="32"/>
        <v>Valid</v>
      </c>
      <c r="F286" s="7">
        <f t="shared" si="33"/>
        <v>45377</v>
      </c>
      <c r="G286">
        <f t="shared" si="34"/>
        <v>3</v>
      </c>
      <c r="H286" t="s">
        <v>647</v>
      </c>
      <c r="I286" t="s">
        <v>654</v>
      </c>
      <c r="J286" t="s">
        <v>668</v>
      </c>
      <c r="K286" t="str">
        <f t="shared" si="35"/>
        <v>Bengaluru</v>
      </c>
      <c r="L286" t="s">
        <v>702</v>
      </c>
      <c r="M286" t="s">
        <v>711</v>
      </c>
      <c r="N286" t="str">
        <f t="shared" si="36"/>
        <v>Direct</v>
      </c>
      <c r="O286" t="s">
        <v>715</v>
      </c>
      <c r="P286" t="str">
        <f t="shared" si="37"/>
        <v>G. Dubois</v>
      </c>
      <c r="Q286" t="s">
        <v>730</v>
      </c>
      <c r="R286" t="s">
        <v>1174</v>
      </c>
      <c r="S286" s="23">
        <v>382.21</v>
      </c>
      <c r="T286" s="23">
        <v>571.89</v>
      </c>
      <c r="U286" s="23">
        <f t="shared" si="38"/>
        <v>571.89</v>
      </c>
      <c r="V286" s="8">
        <v>0.14799999999999999</v>
      </c>
      <c r="W286" s="8">
        <f t="shared" si="39"/>
        <v>0.14799999999999999</v>
      </c>
      <c r="X286">
        <v>26</v>
      </c>
    </row>
    <row r="287" spans="1:24" x14ac:dyDescent="0.35">
      <c r="A287" s="4" t="s">
        <v>312</v>
      </c>
      <c r="B287" s="5" t="str">
        <f>IF(COUNTIF($A$2:A287,A287)=1,"Original","Duplicate")</f>
        <v>Original</v>
      </c>
      <c r="C287" s="7">
        <v>45377</v>
      </c>
      <c r="D287" s="7">
        <v>45387</v>
      </c>
      <c r="E287" s="7" t="str">
        <f t="shared" si="32"/>
        <v>Valid</v>
      </c>
      <c r="F287" s="7">
        <f t="shared" si="33"/>
        <v>45387</v>
      </c>
      <c r="G287">
        <f t="shared" si="34"/>
        <v>10</v>
      </c>
      <c r="H287" t="s">
        <v>648</v>
      </c>
      <c r="I287" t="s">
        <v>660</v>
      </c>
      <c r="J287" t="s">
        <v>697</v>
      </c>
      <c r="K287" t="str">
        <f t="shared" si="35"/>
        <v>Austin</v>
      </c>
      <c r="L287" t="s">
        <v>704</v>
      </c>
      <c r="M287" t="s">
        <v>711</v>
      </c>
      <c r="N287" t="str">
        <f t="shared" si="36"/>
        <v>Direct</v>
      </c>
      <c r="O287" t="s">
        <v>713</v>
      </c>
      <c r="P287" t="str">
        <f t="shared" si="37"/>
        <v>J. Njeri</v>
      </c>
      <c r="Q287" t="s">
        <v>732</v>
      </c>
      <c r="R287" t="s">
        <v>1032</v>
      </c>
      <c r="S287" s="23">
        <v>5.66</v>
      </c>
      <c r="T287" s="23">
        <v>4.22</v>
      </c>
      <c r="U287" s="23">
        <f t="shared" si="38"/>
        <v>4.22</v>
      </c>
      <c r="V287" s="8">
        <v>0.11899999999999999</v>
      </c>
      <c r="W287" s="8">
        <f t="shared" si="39"/>
        <v>0.11899999999999999</v>
      </c>
      <c r="X287">
        <v>18</v>
      </c>
    </row>
    <row r="288" spans="1:24" x14ac:dyDescent="0.35">
      <c r="A288" s="4" t="s">
        <v>290</v>
      </c>
      <c r="B288" s="5" t="str">
        <f>IF(COUNTIF($A$2:A288,A288)=1,"Original","Duplicate")</f>
        <v>Original</v>
      </c>
      <c r="C288" s="7">
        <v>45378</v>
      </c>
      <c r="D288" s="7">
        <v>45393</v>
      </c>
      <c r="E288" s="7" t="str">
        <f t="shared" si="32"/>
        <v>Valid</v>
      </c>
      <c r="F288" s="7">
        <f t="shared" si="33"/>
        <v>45393</v>
      </c>
      <c r="G288">
        <f t="shared" si="34"/>
        <v>15</v>
      </c>
      <c r="H288" t="s">
        <v>648</v>
      </c>
      <c r="I288" t="s">
        <v>660</v>
      </c>
      <c r="J288" t="s">
        <v>686</v>
      </c>
      <c r="K288" t="str">
        <f t="shared" si="35"/>
        <v>San Francisco</v>
      </c>
      <c r="L288" t="s">
        <v>705</v>
      </c>
      <c r="M288" t="s">
        <v>711</v>
      </c>
      <c r="N288" t="str">
        <f t="shared" si="36"/>
        <v>Direct</v>
      </c>
      <c r="O288" t="s">
        <v>719</v>
      </c>
      <c r="P288" t="str">
        <f t="shared" si="37"/>
        <v>O. Wang</v>
      </c>
      <c r="Q288" t="s">
        <v>729</v>
      </c>
      <c r="R288" t="s">
        <v>1010</v>
      </c>
      <c r="S288" s="23">
        <v>1338.35</v>
      </c>
      <c r="T288" s="23">
        <v>2247.14</v>
      </c>
      <c r="U288" s="23">
        <f t="shared" si="38"/>
        <v>2247.14</v>
      </c>
      <c r="V288" s="8">
        <v>0.115</v>
      </c>
      <c r="W288" s="8">
        <f t="shared" si="39"/>
        <v>0.115</v>
      </c>
      <c r="X288">
        <v>40</v>
      </c>
    </row>
    <row r="289" spans="1:24" x14ac:dyDescent="0.35">
      <c r="A289" s="4" t="s">
        <v>253</v>
      </c>
      <c r="B289" s="5" t="str">
        <f>IF(COUNTIF($A$2:A289,A289)=1,"Original","Duplicate")</f>
        <v>Original</v>
      </c>
      <c r="C289" s="7">
        <v>45381</v>
      </c>
      <c r="D289" s="7">
        <v>45406</v>
      </c>
      <c r="E289" s="7" t="str">
        <f t="shared" si="32"/>
        <v>Valid</v>
      </c>
      <c r="F289" s="7">
        <f t="shared" si="33"/>
        <v>45406</v>
      </c>
      <c r="G289">
        <f t="shared" si="34"/>
        <v>25</v>
      </c>
      <c r="H289" t="s">
        <v>648</v>
      </c>
      <c r="I289" t="s">
        <v>660</v>
      </c>
      <c r="J289" t="s">
        <v>697</v>
      </c>
      <c r="K289" t="str">
        <f t="shared" si="35"/>
        <v>Austin</v>
      </c>
      <c r="L289" t="s">
        <v>703</v>
      </c>
      <c r="M289" t="s">
        <v>708</v>
      </c>
      <c r="N289" t="str">
        <f t="shared" si="36"/>
        <v>Online</v>
      </c>
      <c r="O289" t="s">
        <v>715</v>
      </c>
      <c r="P289" t="str">
        <f t="shared" si="37"/>
        <v>G. Dubois</v>
      </c>
      <c r="Q289" t="s">
        <v>731</v>
      </c>
      <c r="R289" t="s">
        <v>973</v>
      </c>
      <c r="S289" s="23">
        <v>160.82</v>
      </c>
      <c r="T289" s="23">
        <v>258.52</v>
      </c>
      <c r="U289" s="23">
        <f t="shared" si="38"/>
        <v>258.52</v>
      </c>
      <c r="V289" s="8">
        <v>0.13</v>
      </c>
      <c r="W289" s="8">
        <f t="shared" si="39"/>
        <v>0.13</v>
      </c>
      <c r="X289">
        <v>17</v>
      </c>
    </row>
    <row r="290" spans="1:24" x14ac:dyDescent="0.35">
      <c r="A290" s="4" t="s">
        <v>286</v>
      </c>
      <c r="B290" s="5" t="str">
        <f>IF(COUNTIF($A$2:A290,A290)=1,"Original","Duplicate")</f>
        <v>Original</v>
      </c>
      <c r="C290" s="7">
        <v>45382</v>
      </c>
      <c r="D290" s="7">
        <v>45399</v>
      </c>
      <c r="E290" s="7" t="str">
        <f t="shared" si="32"/>
        <v>Valid</v>
      </c>
      <c r="F290" s="7">
        <f t="shared" si="33"/>
        <v>45399</v>
      </c>
      <c r="G290">
        <f t="shared" si="34"/>
        <v>17</v>
      </c>
      <c r="H290" t="s">
        <v>649</v>
      </c>
      <c r="I290" t="s">
        <v>656</v>
      </c>
      <c r="J290" t="s">
        <v>698</v>
      </c>
      <c r="K290" t="str">
        <f t="shared" si="35"/>
        <v>Frankfurt</v>
      </c>
      <c r="L290" t="s">
        <v>702</v>
      </c>
      <c r="M290" t="s">
        <v>711</v>
      </c>
      <c r="N290" t="str">
        <f t="shared" si="36"/>
        <v>Direct</v>
      </c>
      <c r="O290" t="s">
        <v>722</v>
      </c>
      <c r="P290" t="str">
        <f t="shared" si="37"/>
        <v>H. Kim</v>
      </c>
      <c r="Q290" t="s">
        <v>732</v>
      </c>
      <c r="R290" t="s">
        <v>1006</v>
      </c>
      <c r="S290" s="23">
        <v>1025.51</v>
      </c>
      <c r="T290" s="23">
        <v>1436.54</v>
      </c>
      <c r="U290" s="23">
        <f t="shared" si="38"/>
        <v>1436.54</v>
      </c>
      <c r="V290" s="8">
        <v>0.13900000000000001</v>
      </c>
      <c r="W290" s="8">
        <f t="shared" si="39"/>
        <v>0.13900000000000001</v>
      </c>
      <c r="X290">
        <v>28</v>
      </c>
    </row>
    <row r="291" spans="1:24" x14ac:dyDescent="0.35">
      <c r="A291" s="4" t="s">
        <v>177</v>
      </c>
      <c r="B291" s="5" t="str">
        <f>IF(COUNTIF($A$2:A291,A291)=1,"Original","Duplicate")</f>
        <v>Original</v>
      </c>
      <c r="C291" s="7">
        <v>45385</v>
      </c>
      <c r="D291" s="7">
        <v>45389</v>
      </c>
      <c r="E291" s="7" t="str">
        <f t="shared" si="32"/>
        <v>Valid</v>
      </c>
      <c r="F291" s="7">
        <f t="shared" si="33"/>
        <v>45389</v>
      </c>
      <c r="G291">
        <f t="shared" si="34"/>
        <v>4</v>
      </c>
      <c r="H291" t="s">
        <v>648</v>
      </c>
      <c r="I291" t="s">
        <v>655</v>
      </c>
      <c r="J291" t="s">
        <v>672</v>
      </c>
      <c r="K291" t="str">
        <f t="shared" si="35"/>
        <v>Brasília</v>
      </c>
      <c r="L291" t="s">
        <v>703</v>
      </c>
      <c r="M291" t="s">
        <v>711</v>
      </c>
      <c r="N291" t="str">
        <f t="shared" si="36"/>
        <v>Direct</v>
      </c>
      <c r="O291" t="s">
        <v>725</v>
      </c>
      <c r="P291" t="str">
        <f t="shared" si="37"/>
        <v>N. Brown</v>
      </c>
      <c r="Q291" t="s">
        <v>730</v>
      </c>
      <c r="R291" t="s">
        <v>896</v>
      </c>
      <c r="S291" s="23">
        <v>1023.27</v>
      </c>
      <c r="T291" s="23">
        <v>1343.64</v>
      </c>
      <c r="U291" s="23">
        <f t="shared" si="38"/>
        <v>1343.64</v>
      </c>
      <c r="V291" s="8">
        <v>0.13300000000000001</v>
      </c>
      <c r="W291" s="8">
        <f t="shared" si="39"/>
        <v>0.13300000000000001</v>
      </c>
      <c r="X291">
        <v>7</v>
      </c>
    </row>
    <row r="292" spans="1:24" x14ac:dyDescent="0.35">
      <c r="A292" s="4" t="s">
        <v>371</v>
      </c>
      <c r="B292" s="5" t="str">
        <f>IF(COUNTIF($A$2:A292,A292)=1,"Original","Duplicate")</f>
        <v>Original</v>
      </c>
      <c r="C292" s="7">
        <v>45385</v>
      </c>
      <c r="D292" s="7">
        <v>45403</v>
      </c>
      <c r="E292" s="7" t="str">
        <f t="shared" si="32"/>
        <v>Valid</v>
      </c>
      <c r="F292" s="7">
        <f t="shared" si="33"/>
        <v>45403</v>
      </c>
      <c r="G292">
        <f t="shared" si="34"/>
        <v>18</v>
      </c>
      <c r="H292" t="s">
        <v>648</v>
      </c>
      <c r="I292" t="s">
        <v>655</v>
      </c>
      <c r="J292" t="s">
        <v>672</v>
      </c>
      <c r="K292" t="str">
        <f t="shared" si="35"/>
        <v>Brasília</v>
      </c>
      <c r="L292" t="s">
        <v>705</v>
      </c>
      <c r="M292" t="s">
        <v>710</v>
      </c>
      <c r="N292" t="str">
        <f t="shared" si="36"/>
        <v>Distributor</v>
      </c>
      <c r="O292" t="s">
        <v>717</v>
      </c>
      <c r="P292" t="str">
        <f t="shared" si="37"/>
        <v>B. Chen</v>
      </c>
      <c r="Q292" t="s">
        <v>729</v>
      </c>
      <c r="R292" t="s">
        <v>1091</v>
      </c>
      <c r="S292" s="23">
        <v>1176.69</v>
      </c>
      <c r="T292" s="23">
        <v>2201.54</v>
      </c>
      <c r="U292" s="23">
        <f t="shared" si="38"/>
        <v>2201.54</v>
      </c>
      <c r="V292" s="8">
        <v>0.17</v>
      </c>
      <c r="W292" s="8">
        <f t="shared" si="39"/>
        <v>0.17</v>
      </c>
      <c r="X292">
        <v>27</v>
      </c>
    </row>
    <row r="293" spans="1:24" x14ac:dyDescent="0.35">
      <c r="A293" s="4" t="s">
        <v>162</v>
      </c>
      <c r="B293" s="5" t="str">
        <f>IF(COUNTIF($A$2:A293,A293)=1,"Original","Duplicate")</f>
        <v>Original</v>
      </c>
      <c r="C293" s="7">
        <v>45386</v>
      </c>
      <c r="D293" s="7">
        <v>45406</v>
      </c>
      <c r="E293" s="7" t="str">
        <f t="shared" si="32"/>
        <v>Valid</v>
      </c>
      <c r="F293" s="7">
        <f t="shared" si="33"/>
        <v>45406</v>
      </c>
      <c r="G293">
        <f t="shared" si="34"/>
        <v>20</v>
      </c>
      <c r="H293" t="s">
        <v>649</v>
      </c>
      <c r="I293" t="s">
        <v>656</v>
      </c>
      <c r="J293" t="s">
        <v>698</v>
      </c>
      <c r="K293" t="str">
        <f t="shared" si="35"/>
        <v>Frankfurt</v>
      </c>
      <c r="L293" t="s">
        <v>703</v>
      </c>
      <c r="M293" t="s">
        <v>711</v>
      </c>
      <c r="N293" t="str">
        <f t="shared" si="36"/>
        <v>Direct</v>
      </c>
      <c r="O293" t="s">
        <v>719</v>
      </c>
      <c r="P293" t="str">
        <f t="shared" si="37"/>
        <v>O. Wang</v>
      </c>
      <c r="Q293" t="s">
        <v>733</v>
      </c>
      <c r="R293" t="s">
        <v>881</v>
      </c>
      <c r="S293" s="23">
        <v>683.42</v>
      </c>
      <c r="T293" s="23">
        <v>951.51</v>
      </c>
      <c r="U293" s="23">
        <f t="shared" si="38"/>
        <v>951.51</v>
      </c>
      <c r="V293" s="8">
        <v>0</v>
      </c>
      <c r="W293" s="8">
        <f t="shared" si="39"/>
        <v>0</v>
      </c>
      <c r="X293">
        <v>14</v>
      </c>
    </row>
    <row r="294" spans="1:24" x14ac:dyDescent="0.35">
      <c r="A294" s="4" t="s">
        <v>519</v>
      </c>
      <c r="B294" s="5" t="str">
        <f>IF(COUNTIF($A$2:A294,A294)=1,"Original","Duplicate")</f>
        <v>Original</v>
      </c>
      <c r="C294" s="7">
        <v>45387</v>
      </c>
      <c r="D294" s="7">
        <v>45391</v>
      </c>
      <c r="E294" s="7" t="str">
        <f t="shared" si="32"/>
        <v>Valid</v>
      </c>
      <c r="F294" s="7">
        <f t="shared" si="33"/>
        <v>45391</v>
      </c>
      <c r="G294">
        <f t="shared" si="34"/>
        <v>4</v>
      </c>
      <c r="H294" t="s">
        <v>646</v>
      </c>
      <c r="I294" t="s">
        <v>651</v>
      </c>
      <c r="J294" t="s">
        <v>665</v>
      </c>
      <c r="K294" t="str">
        <f t="shared" si="35"/>
        <v>Lagos</v>
      </c>
      <c r="L294" t="s">
        <v>703</v>
      </c>
      <c r="M294" t="s">
        <v>711</v>
      </c>
      <c r="N294" t="str">
        <f t="shared" si="36"/>
        <v>Direct</v>
      </c>
      <c r="O294" t="s">
        <v>723</v>
      </c>
      <c r="P294" t="str">
        <f t="shared" si="37"/>
        <v>K. Singh</v>
      </c>
      <c r="Q294" t="s">
        <v>727</v>
      </c>
      <c r="R294" t="s">
        <v>1238</v>
      </c>
      <c r="S294" s="23">
        <v>395.07</v>
      </c>
      <c r="T294" s="23">
        <v>970.27</v>
      </c>
      <c r="U294" s="23">
        <f t="shared" si="38"/>
        <v>970.27</v>
      </c>
      <c r="V294" s="8">
        <v>0.123</v>
      </c>
      <c r="W294" s="8">
        <f t="shared" si="39"/>
        <v>0.123</v>
      </c>
      <c r="X294">
        <v>38</v>
      </c>
    </row>
    <row r="295" spans="1:24" x14ac:dyDescent="0.35">
      <c r="A295" s="4" t="s">
        <v>101</v>
      </c>
      <c r="B295" s="5" t="str">
        <f>IF(COUNTIF($A$2:A295,A295)=1,"Original","Duplicate")</f>
        <v>Original</v>
      </c>
      <c r="C295" s="7">
        <v>45388</v>
      </c>
      <c r="D295" s="7">
        <v>45407</v>
      </c>
      <c r="E295" s="7" t="str">
        <f t="shared" si="32"/>
        <v>Valid</v>
      </c>
      <c r="F295" s="7">
        <f t="shared" si="33"/>
        <v>45407</v>
      </c>
      <c r="G295">
        <f t="shared" si="34"/>
        <v>19</v>
      </c>
      <c r="H295" t="s">
        <v>647</v>
      </c>
      <c r="I295" t="s">
        <v>659</v>
      </c>
      <c r="J295" t="s">
        <v>685</v>
      </c>
      <c r="K295" t="str">
        <f t="shared" si="35"/>
        <v>Shanghai</v>
      </c>
      <c r="L295" t="s">
        <v>701</v>
      </c>
      <c r="M295" t="s">
        <v>707</v>
      </c>
      <c r="N295" t="str">
        <f t="shared" si="36"/>
        <v>Retail</v>
      </c>
      <c r="O295" t="s">
        <v>723</v>
      </c>
      <c r="P295" t="str">
        <f t="shared" si="37"/>
        <v>K. Singh</v>
      </c>
      <c r="Q295" t="s">
        <v>727</v>
      </c>
      <c r="R295" t="s">
        <v>820</v>
      </c>
      <c r="S295" s="23">
        <v>1366.48</v>
      </c>
      <c r="T295" s="23">
        <v>1678.14</v>
      </c>
      <c r="U295" s="23">
        <f t="shared" si="38"/>
        <v>1678.14</v>
      </c>
      <c r="V295" s="8">
        <v>0.154</v>
      </c>
      <c r="W295" s="8">
        <f t="shared" si="39"/>
        <v>0.154</v>
      </c>
      <c r="X295">
        <v>10</v>
      </c>
    </row>
    <row r="296" spans="1:24" x14ac:dyDescent="0.35">
      <c r="A296" s="4" t="s">
        <v>349</v>
      </c>
      <c r="B296" s="5" t="str">
        <f>IF(COUNTIF($A$2:A296,A296)=1,"Original","Duplicate")</f>
        <v>Original</v>
      </c>
      <c r="C296" s="7">
        <v>45391</v>
      </c>
      <c r="D296" s="7">
        <v>45400</v>
      </c>
      <c r="E296" s="7" t="str">
        <f t="shared" si="32"/>
        <v>Valid</v>
      </c>
      <c r="F296" s="7">
        <f t="shared" si="33"/>
        <v>45400</v>
      </c>
      <c r="G296">
        <f t="shared" si="34"/>
        <v>9</v>
      </c>
      <c r="H296" t="s">
        <v>649</v>
      </c>
      <c r="I296" t="s">
        <v>657</v>
      </c>
      <c r="J296" t="s">
        <v>679</v>
      </c>
      <c r="K296" t="str">
        <f t="shared" si="35"/>
        <v>Lyon</v>
      </c>
      <c r="L296" t="s">
        <v>704</v>
      </c>
      <c r="M296" t="s">
        <v>708</v>
      </c>
      <c r="N296" t="str">
        <f t="shared" si="36"/>
        <v>Online</v>
      </c>
      <c r="O296" t="s">
        <v>718</v>
      </c>
      <c r="P296" t="str">
        <f t="shared" si="37"/>
        <v>E. Garcia</v>
      </c>
      <c r="Q296" t="s">
        <v>728</v>
      </c>
      <c r="R296" t="s">
        <v>1069</v>
      </c>
      <c r="S296" s="23">
        <v>1288.8499999999999</v>
      </c>
      <c r="T296" s="23">
        <v>2751.84</v>
      </c>
      <c r="U296" s="23">
        <f t="shared" si="38"/>
        <v>2751.84</v>
      </c>
      <c r="V296" s="8">
        <v>0.158</v>
      </c>
      <c r="W296" s="8">
        <f t="shared" si="39"/>
        <v>0.158</v>
      </c>
      <c r="X296">
        <v>7</v>
      </c>
    </row>
    <row r="297" spans="1:24" x14ac:dyDescent="0.35">
      <c r="A297" s="4" t="s">
        <v>87</v>
      </c>
      <c r="B297" s="5" t="str">
        <f>IF(COUNTIF($A$2:A297,A297)=1,"Original","Duplicate")</f>
        <v>Original</v>
      </c>
      <c r="C297" s="7">
        <v>45394</v>
      </c>
      <c r="D297" s="7">
        <v>45419</v>
      </c>
      <c r="E297" s="7" t="str">
        <f t="shared" si="32"/>
        <v>Valid</v>
      </c>
      <c r="F297" s="7">
        <f t="shared" si="33"/>
        <v>45419</v>
      </c>
      <c r="G297">
        <f t="shared" si="34"/>
        <v>25</v>
      </c>
      <c r="H297" t="s">
        <v>646</v>
      </c>
      <c r="I297" t="s">
        <v>661</v>
      </c>
      <c r="J297" t="s">
        <v>682</v>
      </c>
      <c r="K297" t="str">
        <f t="shared" si="35"/>
        <v>Johannesburg</v>
      </c>
      <c r="L297" t="s">
        <v>702</v>
      </c>
      <c r="M297" t="s">
        <v>710</v>
      </c>
      <c r="N297" t="str">
        <f t="shared" si="36"/>
        <v>Distributor</v>
      </c>
      <c r="O297" t="s">
        <v>720</v>
      </c>
      <c r="P297" t="str">
        <f t="shared" si="37"/>
        <v>A. Patel</v>
      </c>
      <c r="Q297" t="s">
        <v>731</v>
      </c>
      <c r="R297" t="s">
        <v>806</v>
      </c>
      <c r="S297" s="23">
        <v>1376.51</v>
      </c>
      <c r="T297" s="23">
        <v>1455.91</v>
      </c>
      <c r="U297" s="23">
        <f t="shared" si="38"/>
        <v>1455.91</v>
      </c>
      <c r="V297" s="8">
        <v>0.185</v>
      </c>
      <c r="W297" s="8">
        <f t="shared" si="39"/>
        <v>0.185</v>
      </c>
      <c r="X297">
        <v>17</v>
      </c>
    </row>
    <row r="298" spans="1:24" x14ac:dyDescent="0.35">
      <c r="A298" s="4" t="s">
        <v>539</v>
      </c>
      <c r="B298" s="5" t="str">
        <f>IF(COUNTIF($A$2:A298,A298)=1,"Original","Duplicate")</f>
        <v>Original</v>
      </c>
      <c r="C298" s="7">
        <v>45398</v>
      </c>
      <c r="D298" s="7">
        <v>45409</v>
      </c>
      <c r="E298" s="7" t="str">
        <f t="shared" si="32"/>
        <v>Valid</v>
      </c>
      <c r="F298" s="7">
        <f t="shared" si="33"/>
        <v>45409</v>
      </c>
      <c r="G298">
        <f t="shared" si="34"/>
        <v>11</v>
      </c>
      <c r="H298" t="s">
        <v>646</v>
      </c>
      <c r="I298" t="s">
        <v>650</v>
      </c>
      <c r="J298" t="s">
        <v>678</v>
      </c>
      <c r="K298" t="str">
        <f t="shared" si="35"/>
        <v>Nakuru</v>
      </c>
      <c r="L298" t="s">
        <v>706</v>
      </c>
      <c r="M298" t="s">
        <v>708</v>
      </c>
      <c r="N298" t="str">
        <f t="shared" si="36"/>
        <v>Online</v>
      </c>
      <c r="O298" t="s">
        <v>726</v>
      </c>
      <c r="P298" t="str">
        <f t="shared" si="37"/>
        <v>D. Smith</v>
      </c>
      <c r="Q298" t="s">
        <v>728</v>
      </c>
      <c r="R298" t="s">
        <v>1258</v>
      </c>
      <c r="S298" s="23">
        <v>401.3</v>
      </c>
      <c r="T298" s="23">
        <v>826.47</v>
      </c>
      <c r="U298" s="23">
        <f t="shared" si="38"/>
        <v>826.47</v>
      </c>
      <c r="V298" s="8">
        <v>0.22500000000000001</v>
      </c>
      <c r="W298" s="8">
        <f t="shared" si="39"/>
        <v>0.22500000000000001</v>
      </c>
      <c r="X298">
        <v>13</v>
      </c>
    </row>
    <row r="299" spans="1:24" x14ac:dyDescent="0.35">
      <c r="A299" s="4" t="s">
        <v>48</v>
      </c>
      <c r="B299" s="5" t="str">
        <f>IF(COUNTIF($A$2:A299,A299)=1,"Original","Duplicate")</f>
        <v>Original</v>
      </c>
      <c r="C299" s="7">
        <v>45400</v>
      </c>
      <c r="D299" s="7">
        <v>45420</v>
      </c>
      <c r="E299" s="7" t="str">
        <f t="shared" si="32"/>
        <v>Valid</v>
      </c>
      <c r="F299" s="7">
        <f t="shared" si="33"/>
        <v>45420</v>
      </c>
      <c r="G299">
        <f t="shared" si="34"/>
        <v>20</v>
      </c>
      <c r="H299" t="s">
        <v>649</v>
      </c>
      <c r="I299" t="s">
        <v>658</v>
      </c>
      <c r="J299" t="s">
        <v>683</v>
      </c>
      <c r="K299" t="str">
        <f t="shared" si="35"/>
        <v>London</v>
      </c>
      <c r="L299" t="s">
        <v>703</v>
      </c>
      <c r="N299" t="str">
        <f t="shared" si="36"/>
        <v>Unknown</v>
      </c>
      <c r="O299" t="s">
        <v>726</v>
      </c>
      <c r="P299" t="str">
        <f t="shared" si="37"/>
        <v>D. Smith</v>
      </c>
      <c r="Q299" t="s">
        <v>731</v>
      </c>
      <c r="R299" t="s">
        <v>767</v>
      </c>
      <c r="S299" s="23">
        <v>645.33000000000004</v>
      </c>
      <c r="T299" s="23">
        <v>1321.85</v>
      </c>
      <c r="U299" s="23">
        <f t="shared" si="38"/>
        <v>1321.85</v>
      </c>
      <c r="V299" s="8">
        <v>0</v>
      </c>
      <c r="W299" s="8">
        <f t="shared" si="39"/>
        <v>0</v>
      </c>
      <c r="X299">
        <v>10</v>
      </c>
    </row>
    <row r="300" spans="1:24" x14ac:dyDescent="0.35">
      <c r="A300" s="4" t="s">
        <v>53</v>
      </c>
      <c r="B300" s="5" t="str">
        <f>IF(COUNTIF($A$2:A300,A300)=1,"Original","Duplicate")</f>
        <v>Original</v>
      </c>
      <c r="C300" s="7">
        <v>45401</v>
      </c>
      <c r="D300" s="7">
        <v>45418</v>
      </c>
      <c r="E300" s="7" t="str">
        <f t="shared" si="32"/>
        <v>Valid</v>
      </c>
      <c r="F300" s="7">
        <f t="shared" si="33"/>
        <v>45418</v>
      </c>
      <c r="G300">
        <f t="shared" si="34"/>
        <v>17</v>
      </c>
      <c r="H300" t="s">
        <v>646</v>
      </c>
      <c r="I300" t="s">
        <v>651</v>
      </c>
      <c r="J300" t="s">
        <v>663</v>
      </c>
      <c r="K300" t="str">
        <f t="shared" si="35"/>
        <v>Port Harcourt</v>
      </c>
      <c r="L300" t="s">
        <v>703</v>
      </c>
      <c r="M300" t="s">
        <v>708</v>
      </c>
      <c r="N300" t="str">
        <f t="shared" si="36"/>
        <v>Online</v>
      </c>
      <c r="O300" t="s">
        <v>720</v>
      </c>
      <c r="P300" t="str">
        <f t="shared" si="37"/>
        <v>A. Patel</v>
      </c>
      <c r="Q300" t="s">
        <v>728</v>
      </c>
      <c r="R300" t="s">
        <v>772</v>
      </c>
      <c r="S300" s="23">
        <v>865.33</v>
      </c>
      <c r="T300" s="23">
        <v>1395.64</v>
      </c>
      <c r="U300" s="23">
        <f t="shared" si="38"/>
        <v>1395.64</v>
      </c>
      <c r="V300" s="8">
        <v>0.17499999999999999</v>
      </c>
      <c r="W300" s="8">
        <f t="shared" si="39"/>
        <v>0.17499999999999999</v>
      </c>
      <c r="X300">
        <v>13</v>
      </c>
    </row>
    <row r="301" spans="1:24" x14ac:dyDescent="0.35">
      <c r="A301" s="4" t="s">
        <v>504</v>
      </c>
      <c r="B301" s="5" t="str">
        <f>IF(COUNTIF($A$2:A301,A301)=1,"Original","Duplicate")</f>
        <v>Original</v>
      </c>
      <c r="C301" s="7">
        <v>45403</v>
      </c>
      <c r="D301" s="7">
        <v>45431</v>
      </c>
      <c r="E301" s="7" t="str">
        <f t="shared" si="32"/>
        <v>Valid</v>
      </c>
      <c r="F301" s="7">
        <f t="shared" si="33"/>
        <v>45431</v>
      </c>
      <c r="G301">
        <f t="shared" si="34"/>
        <v>28</v>
      </c>
      <c r="H301" t="s">
        <v>646</v>
      </c>
      <c r="I301" t="s">
        <v>651</v>
      </c>
      <c r="J301" t="s">
        <v>665</v>
      </c>
      <c r="K301" t="str">
        <f t="shared" si="35"/>
        <v>Lagos</v>
      </c>
      <c r="L301" t="s">
        <v>701</v>
      </c>
      <c r="M301" t="s">
        <v>710</v>
      </c>
      <c r="N301" t="str">
        <f t="shared" si="36"/>
        <v>Distributor</v>
      </c>
      <c r="O301" t="s">
        <v>720</v>
      </c>
      <c r="P301" t="str">
        <f t="shared" si="37"/>
        <v>A. Patel</v>
      </c>
      <c r="Q301" t="s">
        <v>733</v>
      </c>
      <c r="R301" t="s">
        <v>1223</v>
      </c>
      <c r="S301" s="23">
        <v>187.22</v>
      </c>
      <c r="T301" s="23">
        <v>309.47000000000003</v>
      </c>
      <c r="U301" s="23">
        <f t="shared" si="38"/>
        <v>309.47000000000003</v>
      </c>
      <c r="V301" s="8">
        <v>0</v>
      </c>
      <c r="W301" s="8">
        <f t="shared" si="39"/>
        <v>0</v>
      </c>
      <c r="X301">
        <v>5</v>
      </c>
    </row>
    <row r="302" spans="1:24" x14ac:dyDescent="0.35">
      <c r="A302" s="4" t="s">
        <v>537</v>
      </c>
      <c r="B302" s="5" t="str">
        <f>IF(COUNTIF($A$2:A302,A302)=1,"Original","Duplicate")</f>
        <v>Original</v>
      </c>
      <c r="C302" s="7">
        <v>45406</v>
      </c>
      <c r="D302" s="7">
        <v>45422</v>
      </c>
      <c r="E302" s="7" t="str">
        <f t="shared" si="32"/>
        <v>Valid</v>
      </c>
      <c r="F302" s="7">
        <f t="shared" si="33"/>
        <v>45422</v>
      </c>
      <c r="G302">
        <f t="shared" si="34"/>
        <v>16</v>
      </c>
      <c r="H302" t="s">
        <v>646</v>
      </c>
      <c r="I302" t="s">
        <v>650</v>
      </c>
      <c r="J302" t="s">
        <v>662</v>
      </c>
      <c r="K302" t="str">
        <f t="shared" si="35"/>
        <v>Kisumu</v>
      </c>
      <c r="L302" t="s">
        <v>703</v>
      </c>
      <c r="M302" t="s">
        <v>708</v>
      </c>
      <c r="N302" t="str">
        <f t="shared" si="36"/>
        <v>Online</v>
      </c>
      <c r="O302" t="s">
        <v>725</v>
      </c>
      <c r="P302" t="str">
        <f t="shared" si="37"/>
        <v>N. Brown</v>
      </c>
      <c r="Q302" t="s">
        <v>732</v>
      </c>
      <c r="R302" t="s">
        <v>1256</v>
      </c>
      <c r="S302" s="23">
        <v>513.30999999999995</v>
      </c>
      <c r="T302" s="23">
        <v>1186.26</v>
      </c>
      <c r="U302" s="23">
        <f t="shared" si="38"/>
        <v>1186.26</v>
      </c>
      <c r="V302" s="8">
        <v>9.4E-2</v>
      </c>
      <c r="W302" s="8">
        <f t="shared" si="39"/>
        <v>9.4E-2</v>
      </c>
      <c r="X302">
        <v>15</v>
      </c>
    </row>
    <row r="303" spans="1:24" x14ac:dyDescent="0.35">
      <c r="A303" s="4" t="s">
        <v>515</v>
      </c>
      <c r="B303" s="5" t="str">
        <f>IF(COUNTIF($A$2:A303,A303)=1,"Original","Duplicate")</f>
        <v>Original</v>
      </c>
      <c r="C303" s="7">
        <v>45408</v>
      </c>
      <c r="D303" s="7">
        <v>45406</v>
      </c>
      <c r="E303" s="7" t="str">
        <f t="shared" si="32"/>
        <v>Invalid</v>
      </c>
      <c r="F303" s="7">
        <f t="shared" si="33"/>
        <v>45415</v>
      </c>
      <c r="G303">
        <f t="shared" si="34"/>
        <v>7</v>
      </c>
      <c r="H303" t="s">
        <v>649</v>
      </c>
      <c r="I303" t="s">
        <v>658</v>
      </c>
      <c r="J303" t="s">
        <v>683</v>
      </c>
      <c r="K303" t="str">
        <f t="shared" si="35"/>
        <v>London</v>
      </c>
      <c r="L303" t="s">
        <v>703</v>
      </c>
      <c r="M303" t="s">
        <v>710</v>
      </c>
      <c r="N303" t="str">
        <f t="shared" si="36"/>
        <v>Distributor</v>
      </c>
      <c r="O303" t="s">
        <v>725</v>
      </c>
      <c r="P303" t="str">
        <f t="shared" si="37"/>
        <v>N. Brown</v>
      </c>
      <c r="Q303" t="s">
        <v>730</v>
      </c>
      <c r="R303" t="s">
        <v>1234</v>
      </c>
      <c r="S303" s="23">
        <v>1232.77</v>
      </c>
      <c r="T303" s="23">
        <v>891.73</v>
      </c>
      <c r="U303" s="23">
        <f t="shared" si="38"/>
        <v>891.73</v>
      </c>
      <c r="V303" s="8">
        <v>0.16700000000000001</v>
      </c>
      <c r="W303" s="8">
        <f t="shared" si="39"/>
        <v>0.16700000000000001</v>
      </c>
      <c r="X303">
        <v>10</v>
      </c>
    </row>
    <row r="304" spans="1:24" x14ac:dyDescent="0.35">
      <c r="A304" s="4" t="s">
        <v>269</v>
      </c>
      <c r="B304" s="5" t="str">
        <f>IF(COUNTIF($A$2:A304,A304)=1,"Original","Duplicate")</f>
        <v>Original</v>
      </c>
      <c r="C304" s="7">
        <v>45411</v>
      </c>
      <c r="D304" s="7">
        <v>45431</v>
      </c>
      <c r="E304" s="7" t="str">
        <f t="shared" si="32"/>
        <v>Valid</v>
      </c>
      <c r="F304" s="7">
        <f t="shared" si="33"/>
        <v>45431</v>
      </c>
      <c r="G304">
        <f t="shared" si="34"/>
        <v>20</v>
      </c>
      <c r="H304" t="s">
        <v>649</v>
      </c>
      <c r="I304" t="s">
        <v>656</v>
      </c>
      <c r="J304" t="s">
        <v>698</v>
      </c>
      <c r="K304" t="str">
        <f t="shared" si="35"/>
        <v>Frankfurt</v>
      </c>
      <c r="L304" t="s">
        <v>706</v>
      </c>
      <c r="M304" t="s">
        <v>709</v>
      </c>
      <c r="N304" t="str">
        <f t="shared" si="36"/>
        <v>Marketplace</v>
      </c>
      <c r="O304" t="s">
        <v>712</v>
      </c>
      <c r="P304" t="str">
        <f t="shared" si="37"/>
        <v>C. Otieno</v>
      </c>
      <c r="Q304" t="s">
        <v>731</v>
      </c>
      <c r="R304" t="s">
        <v>989</v>
      </c>
      <c r="S304" s="23">
        <v>668.97</v>
      </c>
      <c r="T304" s="23">
        <v>1667.44</v>
      </c>
      <c r="U304" s="23">
        <f t="shared" si="38"/>
        <v>1667.44</v>
      </c>
      <c r="V304" s="8">
        <v>3.4000000000000002E-2</v>
      </c>
      <c r="W304" s="8">
        <f t="shared" si="39"/>
        <v>3.4000000000000002E-2</v>
      </c>
      <c r="X304">
        <v>15</v>
      </c>
    </row>
    <row r="305" spans="1:24" x14ac:dyDescent="0.35">
      <c r="A305" s="4" t="s">
        <v>466</v>
      </c>
      <c r="B305" s="5" t="str">
        <f>IF(COUNTIF($A$2:A305,A305)=1,"Original","Duplicate")</f>
        <v>Original</v>
      </c>
      <c r="C305" s="7">
        <v>45413</v>
      </c>
      <c r="D305" s="7">
        <v>45428</v>
      </c>
      <c r="E305" s="7" t="str">
        <f t="shared" si="32"/>
        <v>Valid</v>
      </c>
      <c r="F305" s="7">
        <f t="shared" si="33"/>
        <v>45428</v>
      </c>
      <c r="G305">
        <f t="shared" si="34"/>
        <v>15</v>
      </c>
      <c r="H305" t="s">
        <v>647</v>
      </c>
      <c r="I305" t="s">
        <v>654</v>
      </c>
      <c r="J305" t="s">
        <v>668</v>
      </c>
      <c r="K305" t="str">
        <f t="shared" si="35"/>
        <v>Bengaluru</v>
      </c>
      <c r="L305" t="s">
        <v>705</v>
      </c>
      <c r="M305" t="s">
        <v>707</v>
      </c>
      <c r="N305" t="str">
        <f t="shared" si="36"/>
        <v>Retail</v>
      </c>
      <c r="O305" t="s">
        <v>716</v>
      </c>
      <c r="P305" t="str">
        <f t="shared" si="37"/>
        <v>L. Okafor</v>
      </c>
      <c r="Q305" t="s">
        <v>727</v>
      </c>
      <c r="R305" t="s">
        <v>1185</v>
      </c>
      <c r="S305" s="23">
        <v>901.19</v>
      </c>
      <c r="T305" s="23">
        <v>2125.44</v>
      </c>
      <c r="U305" s="23">
        <f t="shared" si="38"/>
        <v>2125.44</v>
      </c>
      <c r="V305" s="8">
        <v>7.0999999999999994E-2</v>
      </c>
      <c r="W305" s="8">
        <f t="shared" si="39"/>
        <v>7.0999999999999994E-2</v>
      </c>
      <c r="X305">
        <v>12</v>
      </c>
    </row>
    <row r="306" spans="1:24" x14ac:dyDescent="0.35">
      <c r="A306" s="4" t="s">
        <v>532</v>
      </c>
      <c r="B306" s="5" t="str">
        <f>IF(COUNTIF($A$2:A306,A306)=1,"Original","Duplicate")</f>
        <v>Original</v>
      </c>
      <c r="C306" s="7">
        <v>45413</v>
      </c>
      <c r="D306" s="7">
        <v>45438</v>
      </c>
      <c r="E306" s="7" t="str">
        <f t="shared" si="32"/>
        <v>Valid</v>
      </c>
      <c r="F306" s="7">
        <f t="shared" si="33"/>
        <v>45438</v>
      </c>
      <c r="G306">
        <f t="shared" si="34"/>
        <v>25</v>
      </c>
      <c r="H306" t="s">
        <v>649</v>
      </c>
      <c r="I306" t="s">
        <v>656</v>
      </c>
      <c r="J306" t="s">
        <v>671</v>
      </c>
      <c r="K306" t="str">
        <f t="shared" si="35"/>
        <v>Berlin</v>
      </c>
      <c r="L306" t="s">
        <v>703</v>
      </c>
      <c r="M306" t="s">
        <v>707</v>
      </c>
      <c r="N306" t="str">
        <f t="shared" si="36"/>
        <v>Retail</v>
      </c>
      <c r="O306" t="s">
        <v>717</v>
      </c>
      <c r="P306" t="str">
        <f t="shared" si="37"/>
        <v>B. Chen</v>
      </c>
      <c r="Q306" t="s">
        <v>729</v>
      </c>
      <c r="R306" t="s">
        <v>1251</v>
      </c>
      <c r="S306" s="23">
        <v>930.71</v>
      </c>
      <c r="T306" s="23">
        <v>1625.42</v>
      </c>
      <c r="U306" s="23">
        <f t="shared" si="38"/>
        <v>1625.42</v>
      </c>
      <c r="V306" s="8">
        <v>0.13800000000000001</v>
      </c>
      <c r="W306" s="8">
        <f t="shared" si="39"/>
        <v>0.13800000000000001</v>
      </c>
      <c r="X306">
        <v>7</v>
      </c>
    </row>
    <row r="307" spans="1:24" x14ac:dyDescent="0.35">
      <c r="A307" s="4" t="s">
        <v>23</v>
      </c>
      <c r="B307" s="5" t="str">
        <f>IF(COUNTIF($A$2:A307,A307)=1,"Original","Duplicate")</f>
        <v>Original</v>
      </c>
      <c r="C307" s="7">
        <v>45416</v>
      </c>
      <c r="D307" s="7">
        <v>45441</v>
      </c>
      <c r="E307" s="7" t="str">
        <f t="shared" si="32"/>
        <v>Valid</v>
      </c>
      <c r="F307" s="7">
        <f t="shared" si="33"/>
        <v>45441</v>
      </c>
      <c r="G307">
        <f t="shared" si="34"/>
        <v>25</v>
      </c>
      <c r="H307" t="s">
        <v>646</v>
      </c>
      <c r="I307" t="s">
        <v>651</v>
      </c>
      <c r="J307" t="s">
        <v>669</v>
      </c>
      <c r="K307" t="str">
        <f t="shared" si="35"/>
        <v>Abuja</v>
      </c>
      <c r="L307" t="s">
        <v>703</v>
      </c>
      <c r="M307" t="s">
        <v>709</v>
      </c>
      <c r="N307" t="str">
        <f t="shared" si="36"/>
        <v>Marketplace</v>
      </c>
      <c r="O307" t="s">
        <v>719</v>
      </c>
      <c r="P307" t="str">
        <f t="shared" si="37"/>
        <v>O. Wang</v>
      </c>
      <c r="Q307" t="s">
        <v>732</v>
      </c>
      <c r="R307" t="s">
        <v>742</v>
      </c>
      <c r="S307" s="23">
        <v>1295.3399999999999</v>
      </c>
      <c r="T307" s="23">
        <v>2530.81</v>
      </c>
      <c r="U307" s="23">
        <f t="shared" si="38"/>
        <v>2530.81</v>
      </c>
      <c r="V307" s="8">
        <v>3.1E-2</v>
      </c>
      <c r="W307" s="8">
        <f t="shared" si="39"/>
        <v>3.1E-2</v>
      </c>
      <c r="X307">
        <v>6</v>
      </c>
    </row>
    <row r="308" spans="1:24" x14ac:dyDescent="0.35">
      <c r="A308" s="4" t="s">
        <v>473</v>
      </c>
      <c r="B308" s="5" t="str">
        <f>IF(COUNTIF($A$2:A308,A308)=1,"Original","Duplicate")</f>
        <v>Original</v>
      </c>
      <c r="C308" s="7">
        <v>45417</v>
      </c>
      <c r="D308" s="7">
        <v>45430</v>
      </c>
      <c r="E308" s="7" t="str">
        <f t="shared" si="32"/>
        <v>Valid</v>
      </c>
      <c r="F308" s="7">
        <f t="shared" si="33"/>
        <v>45430</v>
      </c>
      <c r="G308">
        <f t="shared" si="34"/>
        <v>13</v>
      </c>
      <c r="H308" t="s">
        <v>649</v>
      </c>
      <c r="I308" t="s">
        <v>657</v>
      </c>
      <c r="J308" t="s">
        <v>673</v>
      </c>
      <c r="K308" t="str">
        <f t="shared" si="35"/>
        <v>Marseille</v>
      </c>
      <c r="L308" t="s">
        <v>701</v>
      </c>
      <c r="M308" t="s">
        <v>709</v>
      </c>
      <c r="N308" t="str">
        <f t="shared" si="36"/>
        <v>Marketplace</v>
      </c>
      <c r="O308" t="s">
        <v>720</v>
      </c>
      <c r="P308" t="str">
        <f t="shared" si="37"/>
        <v>A. Patel</v>
      </c>
      <c r="Q308" t="s">
        <v>727</v>
      </c>
      <c r="R308" t="s">
        <v>1192</v>
      </c>
      <c r="S308" s="23">
        <v>1264.04</v>
      </c>
      <c r="T308" s="23">
        <v>1870.89</v>
      </c>
      <c r="U308" s="23">
        <f t="shared" si="38"/>
        <v>1870.89</v>
      </c>
      <c r="V308" s="8">
        <v>0</v>
      </c>
      <c r="W308" s="8">
        <f t="shared" si="39"/>
        <v>0</v>
      </c>
      <c r="X308">
        <v>13</v>
      </c>
    </row>
    <row r="309" spans="1:24" x14ac:dyDescent="0.35">
      <c r="A309" s="4" t="s">
        <v>401</v>
      </c>
      <c r="B309" s="5" t="str">
        <f>IF(COUNTIF($A$2:A309,A309)=1,"Original","Duplicate")</f>
        <v>Original</v>
      </c>
      <c r="C309" s="7">
        <v>45419</v>
      </c>
      <c r="D309" s="7">
        <v>45424</v>
      </c>
      <c r="E309" s="7" t="str">
        <f t="shared" si="32"/>
        <v>Valid</v>
      </c>
      <c r="F309" s="7">
        <f t="shared" si="33"/>
        <v>45424</v>
      </c>
      <c r="G309">
        <f t="shared" si="34"/>
        <v>5</v>
      </c>
      <c r="H309" t="s">
        <v>646</v>
      </c>
      <c r="I309" t="s">
        <v>651</v>
      </c>
      <c r="J309" t="s">
        <v>669</v>
      </c>
      <c r="K309" t="str">
        <f t="shared" si="35"/>
        <v>Abuja</v>
      </c>
      <c r="L309" t="s">
        <v>703</v>
      </c>
      <c r="M309" t="s">
        <v>710</v>
      </c>
      <c r="N309" t="str">
        <f t="shared" si="36"/>
        <v>Distributor</v>
      </c>
      <c r="O309" t="s">
        <v>716</v>
      </c>
      <c r="P309" t="str">
        <f t="shared" si="37"/>
        <v>L. Okafor</v>
      </c>
      <c r="Q309" t="s">
        <v>731</v>
      </c>
      <c r="R309" t="s">
        <v>1120</v>
      </c>
      <c r="S309" s="23">
        <v>1163.99</v>
      </c>
      <c r="T309" s="23">
        <v>1617.85</v>
      </c>
      <c r="U309" s="23">
        <f t="shared" si="38"/>
        <v>1617.85</v>
      </c>
      <c r="V309" s="8">
        <v>0.127</v>
      </c>
      <c r="W309" s="8">
        <f t="shared" si="39"/>
        <v>0.127</v>
      </c>
      <c r="X309">
        <v>14</v>
      </c>
    </row>
    <row r="310" spans="1:24" x14ac:dyDescent="0.35">
      <c r="A310" s="4" t="s">
        <v>490</v>
      </c>
      <c r="B310" s="5" t="str">
        <f>IF(COUNTIF($A$2:A310,A310)=1,"Original","Duplicate")</f>
        <v>Original</v>
      </c>
      <c r="C310" s="7">
        <v>45422</v>
      </c>
      <c r="D310" s="7">
        <v>45428</v>
      </c>
      <c r="E310" s="7" t="str">
        <f t="shared" si="32"/>
        <v>Valid</v>
      </c>
      <c r="F310" s="7">
        <f t="shared" si="33"/>
        <v>45428</v>
      </c>
      <c r="G310">
        <f t="shared" si="34"/>
        <v>6</v>
      </c>
      <c r="H310" t="s">
        <v>649</v>
      </c>
      <c r="I310" t="s">
        <v>658</v>
      </c>
      <c r="J310" t="s">
        <v>674</v>
      </c>
      <c r="K310" t="str">
        <f t="shared" si="35"/>
        <v>Birmingham</v>
      </c>
      <c r="L310" t="s">
        <v>703</v>
      </c>
      <c r="M310" t="s">
        <v>711</v>
      </c>
      <c r="N310" t="str">
        <f t="shared" si="36"/>
        <v>Direct</v>
      </c>
      <c r="O310" t="s">
        <v>715</v>
      </c>
      <c r="P310" t="str">
        <f t="shared" si="37"/>
        <v>G. Dubois</v>
      </c>
      <c r="Q310" t="s">
        <v>731</v>
      </c>
      <c r="R310" t="s">
        <v>1209</v>
      </c>
      <c r="S310" s="23">
        <v>210.76</v>
      </c>
      <c r="T310" s="23">
        <v>221.58</v>
      </c>
      <c r="U310" s="23">
        <f t="shared" si="38"/>
        <v>221.58</v>
      </c>
      <c r="V310" s="8">
        <v>8.8999999999999996E-2</v>
      </c>
      <c r="W310" s="8">
        <f t="shared" si="39"/>
        <v>8.8999999999999996E-2</v>
      </c>
      <c r="X310">
        <v>5</v>
      </c>
    </row>
    <row r="311" spans="1:24" x14ac:dyDescent="0.35">
      <c r="A311" s="4" t="s">
        <v>502</v>
      </c>
      <c r="B311" s="5" t="str">
        <f>IF(COUNTIF($A$2:A311,A311)=1,"Original","Duplicate")</f>
        <v>Original</v>
      </c>
      <c r="C311" s="7">
        <v>45424</v>
      </c>
      <c r="D311" s="7">
        <v>45436</v>
      </c>
      <c r="E311" s="7" t="str">
        <f t="shared" si="32"/>
        <v>Valid</v>
      </c>
      <c r="F311" s="7">
        <f t="shared" si="33"/>
        <v>45436</v>
      </c>
      <c r="G311">
        <f t="shared" si="34"/>
        <v>12</v>
      </c>
      <c r="H311" t="s">
        <v>649</v>
      </c>
      <c r="I311" t="s">
        <v>658</v>
      </c>
      <c r="J311" t="s">
        <v>693</v>
      </c>
      <c r="K311" t="str">
        <f t="shared" si="35"/>
        <v>Manchester</v>
      </c>
      <c r="L311" t="s">
        <v>702</v>
      </c>
      <c r="M311" t="s">
        <v>709</v>
      </c>
      <c r="N311" t="str">
        <f t="shared" si="36"/>
        <v>Marketplace</v>
      </c>
      <c r="O311" t="s">
        <v>723</v>
      </c>
      <c r="P311" t="str">
        <f t="shared" si="37"/>
        <v>K. Singh</v>
      </c>
      <c r="Q311" t="s">
        <v>728</v>
      </c>
      <c r="R311" t="s">
        <v>1221</v>
      </c>
      <c r="S311" s="23">
        <v>111.02</v>
      </c>
      <c r="T311" s="23">
        <v>172.88</v>
      </c>
      <c r="U311" s="23">
        <f t="shared" si="38"/>
        <v>172.88</v>
      </c>
      <c r="V311" s="8">
        <v>0.19700000000000001</v>
      </c>
      <c r="W311" s="8">
        <f t="shared" si="39"/>
        <v>0.19700000000000001</v>
      </c>
      <c r="X311">
        <v>29</v>
      </c>
    </row>
    <row r="312" spans="1:24" x14ac:dyDescent="0.35">
      <c r="A312" s="4" t="s">
        <v>62</v>
      </c>
      <c r="B312" s="5" t="str">
        <f>IF(COUNTIF($A$2:A312,A312)=1,"Original","Duplicate")</f>
        <v>Original</v>
      </c>
      <c r="C312" s="7">
        <v>45426</v>
      </c>
      <c r="D312" s="7">
        <v>45440</v>
      </c>
      <c r="E312" s="7" t="str">
        <f t="shared" si="32"/>
        <v>Valid</v>
      </c>
      <c r="F312" s="7">
        <f t="shared" si="33"/>
        <v>45440</v>
      </c>
      <c r="G312">
        <f t="shared" si="34"/>
        <v>14</v>
      </c>
      <c r="H312" t="s">
        <v>649</v>
      </c>
      <c r="I312" t="s">
        <v>658</v>
      </c>
      <c r="J312" t="s">
        <v>674</v>
      </c>
      <c r="K312" t="str">
        <f t="shared" si="35"/>
        <v>Birmingham</v>
      </c>
      <c r="L312" t="s">
        <v>704</v>
      </c>
      <c r="M312" t="s">
        <v>707</v>
      </c>
      <c r="N312" t="str">
        <f t="shared" si="36"/>
        <v>Retail</v>
      </c>
      <c r="O312" t="s">
        <v>717</v>
      </c>
      <c r="P312" t="str">
        <f t="shared" si="37"/>
        <v>B. Chen</v>
      </c>
      <c r="Q312" t="s">
        <v>729</v>
      </c>
      <c r="R312" t="s">
        <v>781</v>
      </c>
      <c r="S312" s="23">
        <v>1421.14</v>
      </c>
      <c r="T312" s="23">
        <v>3524</v>
      </c>
      <c r="U312" s="23">
        <f t="shared" si="38"/>
        <v>3524</v>
      </c>
      <c r="V312" s="8">
        <v>0</v>
      </c>
      <c r="W312" s="8">
        <f t="shared" si="39"/>
        <v>0</v>
      </c>
      <c r="X312">
        <v>31</v>
      </c>
    </row>
    <row r="313" spans="1:24" x14ac:dyDescent="0.35">
      <c r="A313" s="4" t="s">
        <v>388</v>
      </c>
      <c r="B313" s="5" t="str">
        <f>IF(COUNTIF($A$2:A313,A313)=1,"Original","Duplicate")</f>
        <v>Original</v>
      </c>
      <c r="C313" s="7">
        <v>45429</v>
      </c>
      <c r="D313" s="7">
        <v>45439</v>
      </c>
      <c r="E313" s="7" t="str">
        <f t="shared" si="32"/>
        <v>Valid</v>
      </c>
      <c r="F313" s="7">
        <f t="shared" si="33"/>
        <v>45439</v>
      </c>
      <c r="G313">
        <f t="shared" si="34"/>
        <v>10</v>
      </c>
      <c r="H313" t="s">
        <v>648</v>
      </c>
      <c r="I313" t="s">
        <v>660</v>
      </c>
      <c r="J313" t="s">
        <v>697</v>
      </c>
      <c r="K313" t="str">
        <f t="shared" si="35"/>
        <v>Austin</v>
      </c>
      <c r="L313" t="s">
        <v>703</v>
      </c>
      <c r="M313" t="s">
        <v>708</v>
      </c>
      <c r="N313" t="str">
        <f t="shared" si="36"/>
        <v>Online</v>
      </c>
      <c r="O313" t="s">
        <v>712</v>
      </c>
      <c r="P313" t="str">
        <f t="shared" si="37"/>
        <v>C. Otieno</v>
      </c>
      <c r="Q313" t="s">
        <v>730</v>
      </c>
      <c r="R313" t="s">
        <v>1108</v>
      </c>
      <c r="S313" s="23">
        <v>1484.23</v>
      </c>
      <c r="T313" s="23">
        <v>3472.81</v>
      </c>
      <c r="U313" s="23">
        <f t="shared" si="38"/>
        <v>3472.81</v>
      </c>
      <c r="V313" s="8">
        <v>0.25600000000000001</v>
      </c>
      <c r="W313" s="8">
        <f t="shared" si="39"/>
        <v>0.25600000000000001</v>
      </c>
      <c r="X313">
        <v>12</v>
      </c>
    </row>
    <row r="314" spans="1:24" x14ac:dyDescent="0.35">
      <c r="A314" s="4" t="s">
        <v>38</v>
      </c>
      <c r="B314" s="5" t="str">
        <f>IF(COUNTIF($A$2:A314,A314)=1,"Original","Duplicate")</f>
        <v>Original</v>
      </c>
      <c r="C314" s="7">
        <v>45430</v>
      </c>
      <c r="D314" s="7">
        <v>45435</v>
      </c>
      <c r="E314" s="7" t="str">
        <f t="shared" si="32"/>
        <v>Valid</v>
      </c>
      <c r="F314" s="7">
        <f t="shared" si="33"/>
        <v>45435</v>
      </c>
      <c r="G314">
        <f t="shared" si="34"/>
        <v>5</v>
      </c>
      <c r="H314" t="s">
        <v>648</v>
      </c>
      <c r="I314" t="s">
        <v>660</v>
      </c>
      <c r="J314" t="s">
        <v>677</v>
      </c>
      <c r="K314" t="str">
        <f t="shared" si="35"/>
        <v>Chicago</v>
      </c>
      <c r="L314" t="s">
        <v>706</v>
      </c>
      <c r="M314" t="s">
        <v>707</v>
      </c>
      <c r="N314" t="str">
        <f t="shared" si="36"/>
        <v>Retail</v>
      </c>
      <c r="O314" t="s">
        <v>722</v>
      </c>
      <c r="P314" t="str">
        <f t="shared" si="37"/>
        <v>H. Kim</v>
      </c>
      <c r="Q314" t="s">
        <v>731</v>
      </c>
      <c r="R314" t="s">
        <v>757</v>
      </c>
      <c r="S314" s="23">
        <v>1274.5899999999999</v>
      </c>
      <c r="T314" s="23">
        <v>2553.69</v>
      </c>
      <c r="U314" s="23">
        <f t="shared" si="38"/>
        <v>2553.69</v>
      </c>
      <c r="V314" s="8">
        <v>0.01</v>
      </c>
      <c r="W314" s="8">
        <f t="shared" si="39"/>
        <v>0.01</v>
      </c>
      <c r="X314">
        <v>8</v>
      </c>
    </row>
    <row r="315" spans="1:24" x14ac:dyDescent="0.35">
      <c r="A315" s="4" t="s">
        <v>425</v>
      </c>
      <c r="B315" s="5" t="str">
        <f>IF(COUNTIF($A$2:A315,A315)=1,"Original","Duplicate")</f>
        <v>Original</v>
      </c>
      <c r="C315" s="7">
        <v>45430</v>
      </c>
      <c r="D315" s="7">
        <v>45433</v>
      </c>
      <c r="E315" s="7" t="str">
        <f t="shared" si="32"/>
        <v>Valid</v>
      </c>
      <c r="F315" s="7">
        <f t="shared" si="33"/>
        <v>45433</v>
      </c>
      <c r="G315">
        <f t="shared" si="34"/>
        <v>3</v>
      </c>
      <c r="H315" t="s">
        <v>649</v>
      </c>
      <c r="I315" t="s">
        <v>657</v>
      </c>
      <c r="J315" t="s">
        <v>673</v>
      </c>
      <c r="K315" t="str">
        <f t="shared" si="35"/>
        <v>Marseille</v>
      </c>
      <c r="L315" t="s">
        <v>703</v>
      </c>
      <c r="M315" t="s">
        <v>709</v>
      </c>
      <c r="N315" t="str">
        <f t="shared" si="36"/>
        <v>Marketplace</v>
      </c>
      <c r="O315" t="s">
        <v>726</v>
      </c>
      <c r="P315" t="str">
        <f t="shared" si="37"/>
        <v>D. Smith</v>
      </c>
      <c r="Q315" t="s">
        <v>728</v>
      </c>
      <c r="R315" t="s">
        <v>1144</v>
      </c>
      <c r="S315" s="23">
        <v>663.66</v>
      </c>
      <c r="T315" s="23">
        <v>824.26</v>
      </c>
      <c r="U315" s="23">
        <f t="shared" si="38"/>
        <v>824.26</v>
      </c>
      <c r="V315" s="8">
        <v>0.23899999999999999</v>
      </c>
      <c r="W315" s="8">
        <f t="shared" si="39"/>
        <v>0.23899999999999999</v>
      </c>
      <c r="X315">
        <v>11</v>
      </c>
    </row>
    <row r="316" spans="1:24" x14ac:dyDescent="0.35">
      <c r="A316" s="4" t="s">
        <v>573</v>
      </c>
      <c r="B316" s="5" t="str">
        <f>IF(COUNTIF($A$2:A316,A316)=1,"Original","Duplicate")</f>
        <v>Original</v>
      </c>
      <c r="C316" s="7">
        <v>45430</v>
      </c>
      <c r="D316" s="7">
        <v>45434</v>
      </c>
      <c r="E316" s="7" t="str">
        <f t="shared" si="32"/>
        <v>Valid</v>
      </c>
      <c r="F316" s="7">
        <f t="shared" si="33"/>
        <v>45434</v>
      </c>
      <c r="G316">
        <f t="shared" si="34"/>
        <v>4</v>
      </c>
      <c r="H316" t="s">
        <v>646</v>
      </c>
      <c r="I316" t="s">
        <v>650</v>
      </c>
      <c r="J316" t="s">
        <v>664</v>
      </c>
      <c r="K316" t="str">
        <f t="shared" si="35"/>
        <v>Nairobi</v>
      </c>
      <c r="L316" t="s">
        <v>701</v>
      </c>
      <c r="M316" t="s">
        <v>711</v>
      </c>
      <c r="N316" t="str">
        <f t="shared" si="36"/>
        <v>Direct</v>
      </c>
      <c r="O316" t="s">
        <v>722</v>
      </c>
      <c r="P316" t="str">
        <f t="shared" si="37"/>
        <v>H. Kim</v>
      </c>
      <c r="Q316" t="s">
        <v>733</v>
      </c>
      <c r="R316" t="s">
        <v>1291</v>
      </c>
      <c r="S316" s="23">
        <v>857.42</v>
      </c>
      <c r="T316" s="23">
        <v>1658.92</v>
      </c>
      <c r="U316" s="23">
        <f t="shared" si="38"/>
        <v>1658.92</v>
      </c>
      <c r="V316" s="8">
        <v>0.122</v>
      </c>
      <c r="W316" s="8">
        <f t="shared" si="39"/>
        <v>0.122</v>
      </c>
      <c r="X316">
        <v>9</v>
      </c>
    </row>
    <row r="317" spans="1:24" x14ac:dyDescent="0.35">
      <c r="A317" s="4" t="s">
        <v>203</v>
      </c>
      <c r="B317" s="5" t="str">
        <f>IF(COUNTIF($A$2:A317,A317)=1,"Original","Duplicate")</f>
        <v>Original</v>
      </c>
      <c r="C317" s="7">
        <v>45431</v>
      </c>
      <c r="D317" s="7">
        <v>45451</v>
      </c>
      <c r="E317" s="7" t="str">
        <f t="shared" si="32"/>
        <v>Valid</v>
      </c>
      <c r="F317" s="7">
        <f t="shared" si="33"/>
        <v>45451</v>
      </c>
      <c r="G317">
        <f t="shared" si="34"/>
        <v>20</v>
      </c>
      <c r="H317" t="s">
        <v>648</v>
      </c>
      <c r="I317" t="s">
        <v>655</v>
      </c>
      <c r="J317" t="s">
        <v>672</v>
      </c>
      <c r="K317" t="str">
        <f t="shared" si="35"/>
        <v>Brasília</v>
      </c>
      <c r="L317" t="s">
        <v>705</v>
      </c>
      <c r="M317" t="s">
        <v>707</v>
      </c>
      <c r="N317" t="str">
        <f t="shared" si="36"/>
        <v>Retail</v>
      </c>
      <c r="O317" t="s">
        <v>718</v>
      </c>
      <c r="P317" t="str">
        <f t="shared" si="37"/>
        <v>E. Garcia</v>
      </c>
      <c r="Q317" t="s">
        <v>732</v>
      </c>
      <c r="R317" t="s">
        <v>923</v>
      </c>
      <c r="S317" s="23">
        <v>1075.9000000000001</v>
      </c>
      <c r="T317" s="23">
        <v>1242.1500000000001</v>
      </c>
      <c r="U317" s="23">
        <f t="shared" si="38"/>
        <v>1242.1500000000001</v>
      </c>
      <c r="V317" s="8">
        <v>1.2E-2</v>
      </c>
      <c r="W317" s="8">
        <f t="shared" si="39"/>
        <v>1.2E-2</v>
      </c>
      <c r="X317">
        <v>7</v>
      </c>
    </row>
    <row r="318" spans="1:24" x14ac:dyDescent="0.35">
      <c r="A318" s="4" t="s">
        <v>59</v>
      </c>
      <c r="B318" s="5" t="str">
        <f>IF(COUNTIF($A$2:A318,A318)=1,"Original","Duplicate")</f>
        <v>Original</v>
      </c>
      <c r="C318" s="7">
        <v>45432</v>
      </c>
      <c r="D318" s="7">
        <v>45445</v>
      </c>
      <c r="E318" s="7" t="str">
        <f t="shared" si="32"/>
        <v>Valid</v>
      </c>
      <c r="F318" s="7">
        <f t="shared" si="33"/>
        <v>45445</v>
      </c>
      <c r="G318">
        <f t="shared" si="34"/>
        <v>13</v>
      </c>
      <c r="H318" t="s">
        <v>648</v>
      </c>
      <c r="I318" t="s">
        <v>653</v>
      </c>
      <c r="J318" t="s">
        <v>688</v>
      </c>
      <c r="K318" t="str">
        <f t="shared" si="35"/>
        <v>Vancouver</v>
      </c>
      <c r="L318" t="s">
        <v>706</v>
      </c>
      <c r="M318" t="s">
        <v>709</v>
      </c>
      <c r="N318" t="str">
        <f t="shared" si="36"/>
        <v>Marketplace</v>
      </c>
      <c r="O318" t="s">
        <v>723</v>
      </c>
      <c r="P318" t="str">
        <f t="shared" si="37"/>
        <v>K. Singh</v>
      </c>
      <c r="Q318" t="s">
        <v>727</v>
      </c>
      <c r="R318" t="s">
        <v>778</v>
      </c>
      <c r="S318" s="23">
        <v>675.43</v>
      </c>
      <c r="T318" s="23">
        <v>996.36</v>
      </c>
      <c r="U318" s="23">
        <f t="shared" si="38"/>
        <v>996.36</v>
      </c>
      <c r="V318" s="8">
        <v>0.182</v>
      </c>
      <c r="W318" s="8">
        <f t="shared" si="39"/>
        <v>0.182</v>
      </c>
      <c r="X318">
        <v>22</v>
      </c>
    </row>
    <row r="319" spans="1:24" x14ac:dyDescent="0.35">
      <c r="A319" s="4" t="s">
        <v>120</v>
      </c>
      <c r="B319" s="5" t="str">
        <f>IF(COUNTIF($A$2:A319,A319)=1,"Original","Duplicate")</f>
        <v>Original</v>
      </c>
      <c r="C319" s="7">
        <v>45433</v>
      </c>
      <c r="D319" s="7">
        <v>45439</v>
      </c>
      <c r="E319" s="7" t="str">
        <f t="shared" si="32"/>
        <v>Valid</v>
      </c>
      <c r="F319" s="7">
        <f t="shared" si="33"/>
        <v>45439</v>
      </c>
      <c r="G319">
        <f t="shared" si="34"/>
        <v>6</v>
      </c>
      <c r="H319" t="s">
        <v>646</v>
      </c>
      <c r="I319" t="s">
        <v>661</v>
      </c>
      <c r="J319" t="s">
        <v>682</v>
      </c>
      <c r="K319" t="str">
        <f t="shared" si="35"/>
        <v>Johannesburg</v>
      </c>
      <c r="L319" t="s">
        <v>703</v>
      </c>
      <c r="M319" t="s">
        <v>708</v>
      </c>
      <c r="N319" t="str">
        <f t="shared" si="36"/>
        <v>Online</v>
      </c>
      <c r="O319" t="s">
        <v>724</v>
      </c>
      <c r="P319" t="str">
        <f t="shared" si="37"/>
        <v>M. Rossi</v>
      </c>
      <c r="Q319" t="s">
        <v>727</v>
      </c>
      <c r="R319" t="s">
        <v>839</v>
      </c>
      <c r="S319" s="23">
        <v>1157.51</v>
      </c>
      <c r="T319" s="23">
        <v>1394.3</v>
      </c>
      <c r="U319" s="23">
        <f t="shared" si="38"/>
        <v>1394.3</v>
      </c>
      <c r="V319" s="8">
        <v>0.27800000000000002</v>
      </c>
      <c r="W319" s="8">
        <f t="shared" si="39"/>
        <v>0.27800000000000002</v>
      </c>
      <c r="X319">
        <v>12</v>
      </c>
    </row>
    <row r="320" spans="1:24" x14ac:dyDescent="0.35">
      <c r="A320" s="4" t="s">
        <v>82</v>
      </c>
      <c r="B320" s="5" t="str">
        <f>IF(COUNTIF($A$2:A320,A320)=1,"Original","Duplicate")</f>
        <v>Original</v>
      </c>
      <c r="C320" s="7">
        <v>45434</v>
      </c>
      <c r="D320" s="7">
        <v>45449</v>
      </c>
      <c r="E320" s="7" t="str">
        <f t="shared" si="32"/>
        <v>Valid</v>
      </c>
      <c r="F320" s="7">
        <f t="shared" si="33"/>
        <v>45449</v>
      </c>
      <c r="G320">
        <f t="shared" si="34"/>
        <v>15</v>
      </c>
      <c r="H320" t="s">
        <v>647</v>
      </c>
      <c r="I320" t="s">
        <v>652</v>
      </c>
      <c r="J320" t="s">
        <v>694</v>
      </c>
      <c r="K320" t="str">
        <f t="shared" si="35"/>
        <v>Nagoya</v>
      </c>
      <c r="L320" t="s">
        <v>701</v>
      </c>
      <c r="M320" t="s">
        <v>710</v>
      </c>
      <c r="N320" t="str">
        <f t="shared" si="36"/>
        <v>Distributor</v>
      </c>
      <c r="O320" t="s">
        <v>712</v>
      </c>
      <c r="P320" t="str">
        <f t="shared" si="37"/>
        <v>C. Otieno</v>
      </c>
      <c r="Q320" t="s">
        <v>732</v>
      </c>
      <c r="R320" t="s">
        <v>801</v>
      </c>
      <c r="S320" s="23">
        <v>673.88</v>
      </c>
      <c r="T320" s="23">
        <v>1228.01</v>
      </c>
      <c r="U320" s="23">
        <f t="shared" si="38"/>
        <v>1228.01</v>
      </c>
      <c r="V320" s="8">
        <v>0.105</v>
      </c>
      <c r="W320" s="8">
        <f t="shared" si="39"/>
        <v>0.105</v>
      </c>
      <c r="X320">
        <v>13</v>
      </c>
    </row>
    <row r="321" spans="1:24" x14ac:dyDescent="0.35">
      <c r="A321" s="4" t="s">
        <v>182</v>
      </c>
      <c r="B321" s="5" t="str">
        <f>IF(COUNTIF($A$2:A321,A321)=1,"Original","Duplicate")</f>
        <v>Original</v>
      </c>
      <c r="C321" s="7">
        <v>45435</v>
      </c>
      <c r="D321" s="7">
        <v>45457</v>
      </c>
      <c r="E321" s="7" t="str">
        <f t="shared" si="32"/>
        <v>Valid</v>
      </c>
      <c r="F321" s="7">
        <f t="shared" si="33"/>
        <v>45457</v>
      </c>
      <c r="G321">
        <f t="shared" si="34"/>
        <v>22</v>
      </c>
      <c r="H321" t="s">
        <v>649</v>
      </c>
      <c r="I321" t="s">
        <v>657</v>
      </c>
      <c r="J321" t="s">
        <v>673</v>
      </c>
      <c r="K321" t="str">
        <f t="shared" si="35"/>
        <v>Marseille</v>
      </c>
      <c r="L321" t="s">
        <v>705</v>
      </c>
      <c r="M321" t="s">
        <v>708</v>
      </c>
      <c r="N321" t="str">
        <f t="shared" si="36"/>
        <v>Online</v>
      </c>
      <c r="O321" t="s">
        <v>725</v>
      </c>
      <c r="P321" t="str">
        <f t="shared" si="37"/>
        <v>N. Brown</v>
      </c>
      <c r="Q321" t="s">
        <v>732</v>
      </c>
      <c r="R321" t="s">
        <v>901</v>
      </c>
      <c r="S321" s="23">
        <v>1481.74</v>
      </c>
      <c r="T321" s="23">
        <v>1848.97</v>
      </c>
      <c r="U321" s="23">
        <f t="shared" si="38"/>
        <v>1848.97</v>
      </c>
      <c r="V321" s="8">
        <v>0.254</v>
      </c>
      <c r="W321" s="8">
        <f t="shared" si="39"/>
        <v>0.254</v>
      </c>
      <c r="X321">
        <v>9</v>
      </c>
    </row>
    <row r="322" spans="1:24" x14ac:dyDescent="0.35">
      <c r="A322" s="4" t="s">
        <v>189</v>
      </c>
      <c r="B322" s="5" t="str">
        <f>IF(COUNTIF($A$2:A322,A322)=1,"Original","Duplicate")</f>
        <v>Original</v>
      </c>
      <c r="C322" s="7">
        <v>45435</v>
      </c>
      <c r="D322" s="7">
        <v>45446</v>
      </c>
      <c r="E322" s="7" t="str">
        <f t="shared" si="32"/>
        <v>Valid</v>
      </c>
      <c r="F322" s="7">
        <f t="shared" si="33"/>
        <v>45446</v>
      </c>
      <c r="G322">
        <f t="shared" si="34"/>
        <v>11</v>
      </c>
      <c r="H322" t="s">
        <v>646</v>
      </c>
      <c r="I322" t="s">
        <v>661</v>
      </c>
      <c r="J322" t="s">
        <v>682</v>
      </c>
      <c r="K322" t="str">
        <f t="shared" si="35"/>
        <v>Johannesburg</v>
      </c>
      <c r="L322" t="s">
        <v>705</v>
      </c>
      <c r="M322" t="s">
        <v>710</v>
      </c>
      <c r="N322" t="str">
        <f t="shared" si="36"/>
        <v>Distributor</v>
      </c>
      <c r="O322" t="s">
        <v>721</v>
      </c>
      <c r="P322" t="str">
        <f t="shared" si="37"/>
        <v>F. Müller</v>
      </c>
      <c r="Q322" t="s">
        <v>728</v>
      </c>
      <c r="R322" t="s">
        <v>908</v>
      </c>
      <c r="S322" s="23">
        <v>180.89</v>
      </c>
      <c r="T322" s="23">
        <v>249.57</v>
      </c>
      <c r="U322" s="23">
        <f t="shared" si="38"/>
        <v>249.57</v>
      </c>
      <c r="V322" s="8">
        <v>2.1999999999999999E-2</v>
      </c>
      <c r="W322" s="8">
        <f t="shared" si="39"/>
        <v>2.1999999999999999E-2</v>
      </c>
      <c r="X322">
        <v>8</v>
      </c>
    </row>
    <row r="323" spans="1:24" x14ac:dyDescent="0.35">
      <c r="A323" s="4" t="s">
        <v>325</v>
      </c>
      <c r="B323" s="5" t="str">
        <f>IF(COUNTIF($A$2:A323,A323)=1,"Original","Duplicate")</f>
        <v>Original</v>
      </c>
      <c r="C323" s="7">
        <v>45435</v>
      </c>
      <c r="D323" s="7">
        <v>45449</v>
      </c>
      <c r="E323" s="7" t="str">
        <f t="shared" ref="E323:E386" si="40">IF(D323&lt;C323,"Invalid","Valid")</f>
        <v>Valid</v>
      </c>
      <c r="F323" s="7">
        <f t="shared" ref="F323:F386" si="41">IF(D323&gt;C323,D323,WORKDAY(C323,5))</f>
        <v>45449</v>
      </c>
      <c r="G323">
        <f t="shared" ref="G323:G386" si="42">F323-C323</f>
        <v>14</v>
      </c>
      <c r="H323" t="s">
        <v>648</v>
      </c>
      <c r="I323" t="s">
        <v>655</v>
      </c>
      <c r="J323" t="s">
        <v>692</v>
      </c>
      <c r="K323" t="str">
        <f t="shared" ref="K323:K386" si="43">IF(J323="", "Unknown", J323)</f>
        <v>Rio de Janeiro</v>
      </c>
      <c r="L323" t="s">
        <v>703</v>
      </c>
      <c r="M323" t="s">
        <v>708</v>
      </c>
      <c r="N323" t="str">
        <f t="shared" ref="N323:N386" si="44">IF(M323="", "Unknown", M323)</f>
        <v>Online</v>
      </c>
      <c r="O323" t="s">
        <v>714</v>
      </c>
      <c r="P323" t="str">
        <f t="shared" ref="P323:P386" si="45">IF(O323="","Unassigned",O323)</f>
        <v>I. Johnson</v>
      </c>
      <c r="Q323" t="s">
        <v>729</v>
      </c>
      <c r="R323" t="s">
        <v>1045</v>
      </c>
      <c r="S323" s="23">
        <v>51.13</v>
      </c>
      <c r="T323" s="23">
        <v>57.53</v>
      </c>
      <c r="U323" s="23">
        <f t="shared" ref="U323:U386" si="46">IF(T323&gt;0,T323,S323*1.2)</f>
        <v>57.53</v>
      </c>
      <c r="V323" s="8">
        <v>4.4999999999999998E-2</v>
      </c>
      <c r="W323" s="8">
        <f t="shared" ref="W323:W386" si="47">IF(V323&lt;0.3,V323,0.3)</f>
        <v>4.4999999999999998E-2</v>
      </c>
      <c r="X323">
        <v>16</v>
      </c>
    </row>
    <row r="324" spans="1:24" x14ac:dyDescent="0.35">
      <c r="A324" s="4" t="s">
        <v>508</v>
      </c>
      <c r="B324" s="5" t="str">
        <f>IF(COUNTIF($A$2:A324,A324)=1,"Original","Duplicate")</f>
        <v>Original</v>
      </c>
      <c r="C324" s="7">
        <v>45439</v>
      </c>
      <c r="D324" s="7">
        <v>45460</v>
      </c>
      <c r="E324" s="7" t="str">
        <f t="shared" si="40"/>
        <v>Valid</v>
      </c>
      <c r="F324" s="7">
        <f t="shared" si="41"/>
        <v>45460</v>
      </c>
      <c r="G324">
        <f t="shared" si="42"/>
        <v>21</v>
      </c>
      <c r="H324" t="s">
        <v>647</v>
      </c>
      <c r="I324" t="s">
        <v>654</v>
      </c>
      <c r="J324" t="s">
        <v>680</v>
      </c>
      <c r="K324" t="str">
        <f t="shared" si="43"/>
        <v>Delhi</v>
      </c>
      <c r="L324" t="s">
        <v>705</v>
      </c>
      <c r="M324" t="s">
        <v>708</v>
      </c>
      <c r="N324" t="str">
        <f t="shared" si="44"/>
        <v>Online</v>
      </c>
      <c r="O324" t="s">
        <v>722</v>
      </c>
      <c r="P324" t="str">
        <f t="shared" si="45"/>
        <v>H. Kim</v>
      </c>
      <c r="Q324" t="s">
        <v>733</v>
      </c>
      <c r="R324" t="s">
        <v>1227</v>
      </c>
      <c r="S324" s="23">
        <v>465.02</v>
      </c>
      <c r="T324" s="23">
        <v>651.55999999999995</v>
      </c>
      <c r="U324" s="23">
        <f t="shared" si="46"/>
        <v>651.55999999999995</v>
      </c>
      <c r="V324" s="8">
        <v>4.2000000000000003E-2</v>
      </c>
      <c r="W324" s="8">
        <f t="shared" si="47"/>
        <v>4.2000000000000003E-2</v>
      </c>
      <c r="X324">
        <v>19</v>
      </c>
    </row>
    <row r="325" spans="1:24" x14ac:dyDescent="0.35">
      <c r="A325" s="4" t="s">
        <v>112</v>
      </c>
      <c r="B325" s="5" t="str">
        <f>IF(COUNTIF($A$2:A325,A325)=1,"Original","Duplicate")</f>
        <v>Original</v>
      </c>
      <c r="C325" s="7">
        <v>45440</v>
      </c>
      <c r="D325" s="7">
        <v>45438</v>
      </c>
      <c r="E325" s="7" t="str">
        <f t="shared" si="40"/>
        <v>Invalid</v>
      </c>
      <c r="F325" s="7">
        <f t="shared" si="41"/>
        <v>45447</v>
      </c>
      <c r="G325">
        <f t="shared" si="42"/>
        <v>7</v>
      </c>
      <c r="H325" t="s">
        <v>646</v>
      </c>
      <c r="I325" t="s">
        <v>651</v>
      </c>
      <c r="J325" t="s">
        <v>669</v>
      </c>
      <c r="K325" t="str">
        <f t="shared" si="43"/>
        <v>Abuja</v>
      </c>
      <c r="L325" t="s">
        <v>706</v>
      </c>
      <c r="M325" t="s">
        <v>708</v>
      </c>
      <c r="N325" t="str">
        <f t="shared" si="44"/>
        <v>Online</v>
      </c>
      <c r="O325" t="s">
        <v>721</v>
      </c>
      <c r="P325" t="str">
        <f t="shared" si="45"/>
        <v>F. Müller</v>
      </c>
      <c r="Q325" t="s">
        <v>733</v>
      </c>
      <c r="R325" t="s">
        <v>831</v>
      </c>
      <c r="S325" s="23">
        <v>1227.08</v>
      </c>
      <c r="T325" s="23">
        <v>1896.62</v>
      </c>
      <c r="U325" s="23">
        <f t="shared" si="46"/>
        <v>1896.62</v>
      </c>
      <c r="V325" s="8">
        <v>0</v>
      </c>
      <c r="W325" s="8">
        <f t="shared" si="47"/>
        <v>0</v>
      </c>
      <c r="X325">
        <v>18</v>
      </c>
    </row>
    <row r="326" spans="1:24" x14ac:dyDescent="0.35">
      <c r="A326" s="4" t="s">
        <v>334</v>
      </c>
      <c r="B326" s="5" t="str">
        <f>IF(COUNTIF($A$2:A326,A326)=1,"Original","Duplicate")</f>
        <v>Original</v>
      </c>
      <c r="C326" s="7">
        <v>45440</v>
      </c>
      <c r="D326" s="7">
        <v>45461</v>
      </c>
      <c r="E326" s="7" t="str">
        <f t="shared" si="40"/>
        <v>Valid</v>
      </c>
      <c r="F326" s="7">
        <f t="shared" si="41"/>
        <v>45461</v>
      </c>
      <c r="G326">
        <f t="shared" si="42"/>
        <v>21</v>
      </c>
      <c r="H326" t="s">
        <v>649</v>
      </c>
      <c r="I326" t="s">
        <v>656</v>
      </c>
      <c r="J326" t="s">
        <v>698</v>
      </c>
      <c r="K326" t="str">
        <f t="shared" si="43"/>
        <v>Frankfurt</v>
      </c>
      <c r="L326" t="s">
        <v>705</v>
      </c>
      <c r="M326" t="s">
        <v>708</v>
      </c>
      <c r="N326" t="str">
        <f t="shared" si="44"/>
        <v>Online</v>
      </c>
      <c r="O326" t="s">
        <v>718</v>
      </c>
      <c r="P326" t="str">
        <f t="shared" si="45"/>
        <v>E. Garcia</v>
      </c>
      <c r="Q326" t="s">
        <v>730</v>
      </c>
      <c r="R326" t="s">
        <v>1054</v>
      </c>
      <c r="S326" s="23">
        <v>986.85</v>
      </c>
      <c r="T326" s="23">
        <v>2422.1</v>
      </c>
      <c r="U326" s="23">
        <f t="shared" si="46"/>
        <v>2422.1</v>
      </c>
      <c r="V326" s="8">
        <v>7.5999999999999998E-2</v>
      </c>
      <c r="W326" s="8">
        <f t="shared" si="47"/>
        <v>7.5999999999999998E-2</v>
      </c>
      <c r="X326">
        <v>10</v>
      </c>
    </row>
    <row r="327" spans="1:24" x14ac:dyDescent="0.35">
      <c r="A327" s="4" t="s">
        <v>143</v>
      </c>
      <c r="B327" s="5" t="str">
        <f>IF(COUNTIF($A$2:A327,A327)=1,"Original","Duplicate")</f>
        <v>Original</v>
      </c>
      <c r="C327" s="7">
        <v>45442</v>
      </c>
      <c r="D327" s="7">
        <v>45456</v>
      </c>
      <c r="E327" s="7" t="str">
        <f t="shared" si="40"/>
        <v>Valid</v>
      </c>
      <c r="F327" s="7">
        <f t="shared" si="41"/>
        <v>45456</v>
      </c>
      <c r="G327">
        <f t="shared" si="42"/>
        <v>14</v>
      </c>
      <c r="H327" t="s">
        <v>648</v>
      </c>
      <c r="I327" t="s">
        <v>660</v>
      </c>
      <c r="J327" t="s">
        <v>686</v>
      </c>
      <c r="K327" t="str">
        <f t="shared" si="43"/>
        <v>San Francisco</v>
      </c>
      <c r="L327" t="s">
        <v>705</v>
      </c>
      <c r="M327" t="s">
        <v>707</v>
      </c>
      <c r="N327" t="str">
        <f t="shared" si="44"/>
        <v>Retail</v>
      </c>
      <c r="O327" t="s">
        <v>721</v>
      </c>
      <c r="P327" t="str">
        <f t="shared" si="45"/>
        <v>F. Müller</v>
      </c>
      <c r="Q327" t="s">
        <v>730</v>
      </c>
      <c r="R327" t="s">
        <v>862</v>
      </c>
      <c r="S327" s="23">
        <v>157.78</v>
      </c>
      <c r="T327" s="23">
        <v>361.1</v>
      </c>
      <c r="U327" s="23">
        <f t="shared" si="46"/>
        <v>361.1</v>
      </c>
      <c r="V327" s="8">
        <v>0.187</v>
      </c>
      <c r="W327" s="8">
        <f t="shared" si="47"/>
        <v>0.187</v>
      </c>
      <c r="X327">
        <v>9</v>
      </c>
    </row>
    <row r="328" spans="1:24" x14ac:dyDescent="0.35">
      <c r="A328" s="4" t="s">
        <v>124</v>
      </c>
      <c r="B328" s="5" t="str">
        <f>IF(COUNTIF($A$2:A328,A328)=1,"Original","Duplicate")</f>
        <v>Original</v>
      </c>
      <c r="C328" s="7">
        <v>45445</v>
      </c>
      <c r="D328" s="7">
        <v>45451</v>
      </c>
      <c r="E328" s="7" t="str">
        <f t="shared" si="40"/>
        <v>Valid</v>
      </c>
      <c r="F328" s="7">
        <f t="shared" si="41"/>
        <v>45451</v>
      </c>
      <c r="G328">
        <f t="shared" si="42"/>
        <v>6</v>
      </c>
      <c r="H328" t="s">
        <v>646</v>
      </c>
      <c r="I328" t="s">
        <v>650</v>
      </c>
      <c r="J328" t="s">
        <v>662</v>
      </c>
      <c r="K328" t="str">
        <f t="shared" si="43"/>
        <v>Kisumu</v>
      </c>
      <c r="L328" t="s">
        <v>704</v>
      </c>
      <c r="M328" t="s">
        <v>709</v>
      </c>
      <c r="N328" t="str">
        <f t="shared" si="44"/>
        <v>Marketplace</v>
      </c>
      <c r="O328" t="s">
        <v>720</v>
      </c>
      <c r="P328" t="str">
        <f t="shared" si="45"/>
        <v>A. Patel</v>
      </c>
      <c r="Q328" t="s">
        <v>733</v>
      </c>
      <c r="R328" t="s">
        <v>843</v>
      </c>
      <c r="S328" s="23">
        <v>292.94</v>
      </c>
      <c r="T328" s="23">
        <v>356.55</v>
      </c>
      <c r="U328" s="23">
        <f t="shared" si="46"/>
        <v>356.55</v>
      </c>
      <c r="V328" s="8">
        <v>0.22900000000000001</v>
      </c>
      <c r="W328" s="8">
        <f t="shared" si="47"/>
        <v>0.22900000000000001</v>
      </c>
      <c r="X328">
        <v>2</v>
      </c>
    </row>
    <row r="329" spans="1:24" x14ac:dyDescent="0.35">
      <c r="A329" s="4" t="s">
        <v>380</v>
      </c>
      <c r="B329" s="5" t="str">
        <f>IF(COUNTIF($A$2:A329,A329)=1,"Original","Duplicate")</f>
        <v>Original</v>
      </c>
      <c r="C329" s="7">
        <v>45445</v>
      </c>
      <c r="D329" s="7">
        <v>45458</v>
      </c>
      <c r="E329" s="7" t="str">
        <f t="shared" si="40"/>
        <v>Valid</v>
      </c>
      <c r="F329" s="7">
        <f t="shared" si="41"/>
        <v>45458</v>
      </c>
      <c r="G329">
        <f t="shared" si="42"/>
        <v>13</v>
      </c>
      <c r="H329" t="s">
        <v>646</v>
      </c>
      <c r="I329" t="s">
        <v>650</v>
      </c>
      <c r="J329" t="s">
        <v>675</v>
      </c>
      <c r="K329" t="str">
        <f t="shared" si="43"/>
        <v>Mombasa</v>
      </c>
      <c r="L329" t="s">
        <v>702</v>
      </c>
      <c r="M329" t="s">
        <v>708</v>
      </c>
      <c r="N329" t="str">
        <f t="shared" si="44"/>
        <v>Online</v>
      </c>
      <c r="O329" t="s">
        <v>719</v>
      </c>
      <c r="P329" t="str">
        <f t="shared" si="45"/>
        <v>O. Wang</v>
      </c>
      <c r="Q329" t="s">
        <v>730</v>
      </c>
      <c r="R329" t="s">
        <v>1100</v>
      </c>
      <c r="S329" s="23">
        <v>1295.18</v>
      </c>
      <c r="T329" s="23">
        <v>3024.03</v>
      </c>
      <c r="U329" s="23">
        <f t="shared" si="46"/>
        <v>3024.03</v>
      </c>
      <c r="V329" s="8">
        <v>0.192</v>
      </c>
      <c r="W329" s="8">
        <f t="shared" si="47"/>
        <v>0.192</v>
      </c>
      <c r="X329">
        <v>8</v>
      </c>
    </row>
    <row r="330" spans="1:24" x14ac:dyDescent="0.35">
      <c r="A330" s="4" t="s">
        <v>462</v>
      </c>
      <c r="B330" s="5" t="str">
        <f>IF(COUNTIF($A$2:A330,A330)=1,"Original","Duplicate")</f>
        <v>Original</v>
      </c>
      <c r="C330" s="7">
        <v>45446</v>
      </c>
      <c r="D330" s="7">
        <v>45467</v>
      </c>
      <c r="E330" s="7" t="str">
        <f t="shared" si="40"/>
        <v>Valid</v>
      </c>
      <c r="F330" s="7">
        <f t="shared" si="41"/>
        <v>45467</v>
      </c>
      <c r="G330">
        <f t="shared" si="42"/>
        <v>21</v>
      </c>
      <c r="H330" t="s">
        <v>648</v>
      </c>
      <c r="I330" t="s">
        <v>653</v>
      </c>
      <c r="J330" t="s">
        <v>667</v>
      </c>
      <c r="K330" t="str">
        <f t="shared" si="43"/>
        <v>Toronto</v>
      </c>
      <c r="L330" t="s">
        <v>705</v>
      </c>
      <c r="M330" t="s">
        <v>711</v>
      </c>
      <c r="N330" t="str">
        <f t="shared" si="44"/>
        <v>Direct</v>
      </c>
      <c r="O330" t="s">
        <v>715</v>
      </c>
      <c r="P330" t="str">
        <f t="shared" si="45"/>
        <v>G. Dubois</v>
      </c>
      <c r="Q330" t="s">
        <v>732</v>
      </c>
      <c r="R330" t="s">
        <v>1181</v>
      </c>
      <c r="S330" s="23">
        <v>1205.5</v>
      </c>
      <c r="T330" s="23">
        <v>2210.17</v>
      </c>
      <c r="U330" s="23">
        <f t="shared" si="46"/>
        <v>2210.17</v>
      </c>
      <c r="V330" s="8">
        <v>0.104</v>
      </c>
      <c r="W330" s="8">
        <f t="shared" si="47"/>
        <v>0.104</v>
      </c>
      <c r="X330">
        <v>23</v>
      </c>
    </row>
    <row r="331" spans="1:24" x14ac:dyDescent="0.35">
      <c r="A331" s="4" t="s">
        <v>179</v>
      </c>
      <c r="B331" s="5" t="str">
        <f>IF(COUNTIF($A$2:A331,A331)=1,"Original","Duplicate")</f>
        <v>Original</v>
      </c>
      <c r="C331" s="7">
        <v>45447</v>
      </c>
      <c r="D331" s="7">
        <v>45459</v>
      </c>
      <c r="E331" s="7" t="str">
        <f t="shared" si="40"/>
        <v>Valid</v>
      </c>
      <c r="F331" s="7">
        <f t="shared" si="41"/>
        <v>45459</v>
      </c>
      <c r="G331">
        <f t="shared" si="42"/>
        <v>12</v>
      </c>
      <c r="H331" t="s">
        <v>647</v>
      </c>
      <c r="I331" t="s">
        <v>659</v>
      </c>
      <c r="J331" t="s">
        <v>685</v>
      </c>
      <c r="K331" t="str">
        <f t="shared" si="43"/>
        <v>Shanghai</v>
      </c>
      <c r="L331" t="s">
        <v>701</v>
      </c>
      <c r="M331" t="s">
        <v>707</v>
      </c>
      <c r="N331" t="str">
        <f t="shared" si="44"/>
        <v>Retail</v>
      </c>
      <c r="O331" t="s">
        <v>713</v>
      </c>
      <c r="P331" t="str">
        <f t="shared" si="45"/>
        <v>J. Njeri</v>
      </c>
      <c r="Q331" t="s">
        <v>728</v>
      </c>
      <c r="R331" t="s">
        <v>898</v>
      </c>
      <c r="S331" s="23">
        <v>918.42</v>
      </c>
      <c r="T331" s="23">
        <v>1511.71</v>
      </c>
      <c r="U331" s="23">
        <f t="shared" si="46"/>
        <v>1511.71</v>
      </c>
      <c r="V331" s="8">
        <v>0.02</v>
      </c>
      <c r="W331" s="8">
        <f t="shared" si="47"/>
        <v>0.02</v>
      </c>
      <c r="X331">
        <v>8</v>
      </c>
    </row>
    <row r="332" spans="1:24" x14ac:dyDescent="0.35">
      <c r="A332" s="4" t="s">
        <v>542</v>
      </c>
      <c r="B332" s="5" t="str">
        <f>IF(COUNTIF($A$2:A332,A332)=1,"Original","Duplicate")</f>
        <v>Original</v>
      </c>
      <c r="C332" s="7">
        <v>45448</v>
      </c>
      <c r="D332" s="7">
        <v>45466</v>
      </c>
      <c r="E332" s="7" t="str">
        <f t="shared" si="40"/>
        <v>Valid</v>
      </c>
      <c r="F332" s="7">
        <f t="shared" si="41"/>
        <v>45466</v>
      </c>
      <c r="G332">
        <f t="shared" si="42"/>
        <v>18</v>
      </c>
      <c r="H332" t="s">
        <v>646</v>
      </c>
      <c r="I332" t="s">
        <v>650</v>
      </c>
      <c r="J332" t="s">
        <v>664</v>
      </c>
      <c r="K332" t="str">
        <f t="shared" si="43"/>
        <v>Nairobi</v>
      </c>
      <c r="L332" t="s">
        <v>704</v>
      </c>
      <c r="M332" t="s">
        <v>710</v>
      </c>
      <c r="N332" t="str">
        <f t="shared" si="44"/>
        <v>Distributor</v>
      </c>
      <c r="O332" t="s">
        <v>726</v>
      </c>
      <c r="P332" t="str">
        <f t="shared" si="45"/>
        <v>D. Smith</v>
      </c>
      <c r="Q332" t="s">
        <v>731</v>
      </c>
      <c r="R332" t="s">
        <v>1261</v>
      </c>
      <c r="S332" s="23">
        <v>1208.74</v>
      </c>
      <c r="T332" s="23">
        <v>1594.78</v>
      </c>
      <c r="U332" s="23">
        <f t="shared" si="46"/>
        <v>1594.78</v>
      </c>
      <c r="V332" s="8">
        <v>5.8999999999999997E-2</v>
      </c>
      <c r="W332" s="8">
        <f t="shared" si="47"/>
        <v>5.8999999999999997E-2</v>
      </c>
      <c r="X332">
        <v>39</v>
      </c>
    </row>
    <row r="333" spans="1:24" x14ac:dyDescent="0.35">
      <c r="A333" s="4" t="s">
        <v>428</v>
      </c>
      <c r="B333" s="5" t="str">
        <f>IF(COUNTIF($A$2:A333,A333)=1,"Original","Duplicate")</f>
        <v>Original</v>
      </c>
      <c r="C333" s="7">
        <v>45449</v>
      </c>
      <c r="D333" s="7">
        <v>45467</v>
      </c>
      <c r="E333" s="7" t="str">
        <f t="shared" si="40"/>
        <v>Valid</v>
      </c>
      <c r="F333" s="7">
        <f t="shared" si="41"/>
        <v>45467</v>
      </c>
      <c r="G333">
        <f t="shared" si="42"/>
        <v>18</v>
      </c>
      <c r="H333" t="s">
        <v>647</v>
      </c>
      <c r="I333" t="s">
        <v>654</v>
      </c>
      <c r="J333" t="s">
        <v>668</v>
      </c>
      <c r="K333" t="str">
        <f t="shared" si="43"/>
        <v>Bengaluru</v>
      </c>
      <c r="L333" t="s">
        <v>705</v>
      </c>
      <c r="M333" t="s">
        <v>711</v>
      </c>
      <c r="N333" t="str">
        <f t="shared" si="44"/>
        <v>Direct</v>
      </c>
      <c r="O333" t="s">
        <v>722</v>
      </c>
      <c r="P333" t="str">
        <f t="shared" si="45"/>
        <v>H. Kim</v>
      </c>
      <c r="Q333" t="s">
        <v>729</v>
      </c>
      <c r="R333" t="s">
        <v>1147</v>
      </c>
      <c r="S333" s="23">
        <v>1253.25</v>
      </c>
      <c r="T333" s="23">
        <v>3087.13</v>
      </c>
      <c r="U333" s="23">
        <f t="shared" si="46"/>
        <v>3087.13</v>
      </c>
      <c r="V333" s="8">
        <v>7.1999999999999995E-2</v>
      </c>
      <c r="W333" s="8">
        <f t="shared" si="47"/>
        <v>7.1999999999999995E-2</v>
      </c>
      <c r="X333">
        <v>11</v>
      </c>
    </row>
    <row r="334" spans="1:24" x14ac:dyDescent="0.35">
      <c r="A334" s="4" t="s">
        <v>141</v>
      </c>
      <c r="B334" s="5" t="str">
        <f>IF(COUNTIF($A$2:A334,A334)=1,"Original","Duplicate")</f>
        <v>Original</v>
      </c>
      <c r="C334" s="7">
        <v>45450</v>
      </c>
      <c r="D334" s="7">
        <v>45469</v>
      </c>
      <c r="E334" s="7" t="str">
        <f t="shared" si="40"/>
        <v>Valid</v>
      </c>
      <c r="F334" s="7">
        <f t="shared" si="41"/>
        <v>45469</v>
      </c>
      <c r="G334">
        <f t="shared" si="42"/>
        <v>19</v>
      </c>
      <c r="H334" t="s">
        <v>649</v>
      </c>
      <c r="I334" t="s">
        <v>656</v>
      </c>
      <c r="J334" t="s">
        <v>671</v>
      </c>
      <c r="K334" t="str">
        <f t="shared" si="43"/>
        <v>Berlin</v>
      </c>
      <c r="L334" t="s">
        <v>703</v>
      </c>
      <c r="M334" t="s">
        <v>709</v>
      </c>
      <c r="N334" t="str">
        <f t="shared" si="44"/>
        <v>Marketplace</v>
      </c>
      <c r="O334" t="s">
        <v>724</v>
      </c>
      <c r="P334" t="str">
        <f t="shared" si="45"/>
        <v>M. Rossi</v>
      </c>
      <c r="Q334" t="s">
        <v>727</v>
      </c>
      <c r="R334" t="s">
        <v>860</v>
      </c>
      <c r="S334" s="23">
        <v>1064.32</v>
      </c>
      <c r="T334" s="23">
        <v>1848.39</v>
      </c>
      <c r="U334" s="23">
        <f t="shared" si="46"/>
        <v>1848.39</v>
      </c>
      <c r="V334" s="8">
        <v>7.2999999999999995E-2</v>
      </c>
      <c r="W334" s="8">
        <f t="shared" si="47"/>
        <v>7.2999999999999995E-2</v>
      </c>
      <c r="X334">
        <v>38</v>
      </c>
    </row>
    <row r="335" spans="1:24" x14ac:dyDescent="0.35">
      <c r="A335" s="4" t="s">
        <v>556</v>
      </c>
      <c r="B335" s="5" t="str">
        <f>IF(COUNTIF($A$2:A335,A335)=1,"Original","Duplicate")</f>
        <v>Original</v>
      </c>
      <c r="C335" s="7">
        <v>45450</v>
      </c>
      <c r="D335" s="7">
        <v>45452</v>
      </c>
      <c r="E335" s="7" t="str">
        <f t="shared" si="40"/>
        <v>Valid</v>
      </c>
      <c r="F335" s="7">
        <f t="shared" si="41"/>
        <v>45452</v>
      </c>
      <c r="G335">
        <f t="shared" si="42"/>
        <v>2</v>
      </c>
      <c r="H335" t="s">
        <v>647</v>
      </c>
      <c r="I335" t="s">
        <v>659</v>
      </c>
      <c r="J335" t="s">
        <v>685</v>
      </c>
      <c r="K335" t="str">
        <f t="shared" si="43"/>
        <v>Shanghai</v>
      </c>
      <c r="L335" t="s">
        <v>701</v>
      </c>
      <c r="M335" t="s">
        <v>707</v>
      </c>
      <c r="N335" t="str">
        <f t="shared" si="44"/>
        <v>Retail</v>
      </c>
      <c r="O335" t="s">
        <v>719</v>
      </c>
      <c r="P335" t="str">
        <f t="shared" si="45"/>
        <v>O. Wang</v>
      </c>
      <c r="Q335" t="s">
        <v>732</v>
      </c>
      <c r="R335" t="s">
        <v>1274</v>
      </c>
      <c r="S335" s="23">
        <v>1370.28</v>
      </c>
      <c r="T335" s="23">
        <v>2209.66</v>
      </c>
      <c r="U335" s="23">
        <f t="shared" si="46"/>
        <v>2209.66</v>
      </c>
      <c r="V335" s="8">
        <v>0.13300000000000001</v>
      </c>
      <c r="W335" s="8">
        <f t="shared" si="47"/>
        <v>0.13300000000000001</v>
      </c>
      <c r="X335">
        <v>16</v>
      </c>
    </row>
    <row r="336" spans="1:24" x14ac:dyDescent="0.35">
      <c r="A336" s="4" t="s">
        <v>328</v>
      </c>
      <c r="B336" s="5" t="str">
        <f>IF(COUNTIF($A$2:A336,A336)=1,"Original","Duplicate")</f>
        <v>Original</v>
      </c>
      <c r="C336" s="7">
        <v>45451</v>
      </c>
      <c r="D336" s="7">
        <v>45467</v>
      </c>
      <c r="E336" s="7" t="str">
        <f t="shared" si="40"/>
        <v>Valid</v>
      </c>
      <c r="F336" s="7">
        <f t="shared" si="41"/>
        <v>45467</v>
      </c>
      <c r="G336">
        <f t="shared" si="42"/>
        <v>16</v>
      </c>
      <c r="H336" t="s">
        <v>646</v>
      </c>
      <c r="I336" t="s">
        <v>661</v>
      </c>
      <c r="J336" t="s">
        <v>687</v>
      </c>
      <c r="K336" t="str">
        <f t="shared" si="43"/>
        <v>Durban</v>
      </c>
      <c r="L336" t="s">
        <v>702</v>
      </c>
      <c r="M336" t="s">
        <v>710</v>
      </c>
      <c r="N336" t="str">
        <f t="shared" si="44"/>
        <v>Distributor</v>
      </c>
      <c r="O336" t="s">
        <v>722</v>
      </c>
      <c r="P336" t="str">
        <f t="shared" si="45"/>
        <v>H. Kim</v>
      </c>
      <c r="Q336" t="s">
        <v>732</v>
      </c>
      <c r="R336" t="s">
        <v>1048</v>
      </c>
      <c r="S336" s="23">
        <v>597.85</v>
      </c>
      <c r="T336" s="23">
        <v>741.92</v>
      </c>
      <c r="U336" s="23">
        <f t="shared" si="46"/>
        <v>741.92</v>
      </c>
      <c r="V336" s="8">
        <v>3.1E-2</v>
      </c>
      <c r="W336" s="8">
        <f t="shared" si="47"/>
        <v>3.1E-2</v>
      </c>
      <c r="X336">
        <v>7</v>
      </c>
    </row>
    <row r="337" spans="1:24" x14ac:dyDescent="0.35">
      <c r="A337" s="4" t="s">
        <v>125</v>
      </c>
      <c r="B337" s="5" t="str">
        <f>IF(COUNTIF($A$2:A337,A337)=1,"Original","Duplicate")</f>
        <v>Original</v>
      </c>
      <c r="C337" s="7">
        <v>45452</v>
      </c>
      <c r="D337" s="7">
        <v>45480</v>
      </c>
      <c r="E337" s="7" t="str">
        <f t="shared" si="40"/>
        <v>Valid</v>
      </c>
      <c r="F337" s="7">
        <f t="shared" si="41"/>
        <v>45480</v>
      </c>
      <c r="G337">
        <f t="shared" si="42"/>
        <v>28</v>
      </c>
      <c r="H337" t="s">
        <v>647</v>
      </c>
      <c r="I337" t="s">
        <v>659</v>
      </c>
      <c r="J337" t="s">
        <v>676</v>
      </c>
      <c r="K337" t="str">
        <f t="shared" si="43"/>
        <v>Shenzhen</v>
      </c>
      <c r="L337" t="s">
        <v>701</v>
      </c>
      <c r="M337" t="s">
        <v>708</v>
      </c>
      <c r="N337" t="str">
        <f t="shared" si="44"/>
        <v>Online</v>
      </c>
      <c r="O337" t="s">
        <v>713</v>
      </c>
      <c r="P337" t="str">
        <f t="shared" si="45"/>
        <v>J. Njeri</v>
      </c>
      <c r="Q337" t="s">
        <v>727</v>
      </c>
      <c r="R337" t="s">
        <v>844</v>
      </c>
      <c r="S337" s="23">
        <v>550.22</v>
      </c>
      <c r="T337" s="23">
        <v>1025.05</v>
      </c>
      <c r="U337" s="23">
        <f t="shared" si="46"/>
        <v>1025.05</v>
      </c>
      <c r="V337" s="8">
        <v>0</v>
      </c>
      <c r="W337" s="8">
        <f t="shared" si="47"/>
        <v>0</v>
      </c>
      <c r="X337">
        <v>27</v>
      </c>
    </row>
    <row r="338" spans="1:24" x14ac:dyDescent="0.35">
      <c r="A338" s="4" t="s">
        <v>126</v>
      </c>
      <c r="B338" s="5" t="str">
        <f>IF(COUNTIF($A$2:A338,A338)=1,"Original","Duplicate")</f>
        <v>Original</v>
      </c>
      <c r="C338" s="7">
        <v>45453</v>
      </c>
      <c r="D338" s="7">
        <v>45454</v>
      </c>
      <c r="E338" s="7" t="str">
        <f t="shared" si="40"/>
        <v>Valid</v>
      </c>
      <c r="F338" s="7">
        <f t="shared" si="41"/>
        <v>45454</v>
      </c>
      <c r="G338">
        <f t="shared" si="42"/>
        <v>1</v>
      </c>
      <c r="H338" t="s">
        <v>649</v>
      </c>
      <c r="I338" t="s">
        <v>658</v>
      </c>
      <c r="J338" t="s">
        <v>674</v>
      </c>
      <c r="K338" t="str">
        <f t="shared" si="43"/>
        <v>Birmingham</v>
      </c>
      <c r="L338" t="s">
        <v>705</v>
      </c>
      <c r="M338" t="s">
        <v>709</v>
      </c>
      <c r="N338" t="str">
        <f t="shared" si="44"/>
        <v>Marketplace</v>
      </c>
      <c r="O338" t="s">
        <v>724</v>
      </c>
      <c r="P338" t="str">
        <f t="shared" si="45"/>
        <v>M. Rossi</v>
      </c>
      <c r="Q338" t="s">
        <v>731</v>
      </c>
      <c r="R338" t="s">
        <v>845</v>
      </c>
      <c r="S338" s="23">
        <v>1187.1300000000001</v>
      </c>
      <c r="T338" s="23">
        <v>1795.17</v>
      </c>
      <c r="U338" s="23">
        <f t="shared" si="46"/>
        <v>1795.17</v>
      </c>
      <c r="V338" s="8">
        <v>1.2E-2</v>
      </c>
      <c r="W338" s="8">
        <f t="shared" si="47"/>
        <v>1.2E-2</v>
      </c>
      <c r="X338">
        <v>17</v>
      </c>
    </row>
    <row r="339" spans="1:24" x14ac:dyDescent="0.35">
      <c r="A339" s="4" t="s">
        <v>463</v>
      </c>
      <c r="B339" s="5" t="str">
        <f>IF(COUNTIF($A$2:A339,A339)=1,"Original","Duplicate")</f>
        <v>Original</v>
      </c>
      <c r="C339" s="7">
        <v>45454</v>
      </c>
      <c r="D339" s="7">
        <v>45482</v>
      </c>
      <c r="E339" s="7" t="str">
        <f t="shared" si="40"/>
        <v>Valid</v>
      </c>
      <c r="F339" s="7">
        <f t="shared" si="41"/>
        <v>45482</v>
      </c>
      <c r="G339">
        <f t="shared" si="42"/>
        <v>28</v>
      </c>
      <c r="H339" t="s">
        <v>646</v>
      </c>
      <c r="I339" t="s">
        <v>651</v>
      </c>
      <c r="J339" t="s">
        <v>663</v>
      </c>
      <c r="K339" t="str">
        <f t="shared" si="43"/>
        <v>Port Harcourt</v>
      </c>
      <c r="L339" t="s">
        <v>701</v>
      </c>
      <c r="M339" t="s">
        <v>709</v>
      </c>
      <c r="N339" t="str">
        <f t="shared" si="44"/>
        <v>Marketplace</v>
      </c>
      <c r="O339" t="s">
        <v>714</v>
      </c>
      <c r="P339" t="str">
        <f t="shared" si="45"/>
        <v>I. Johnson</v>
      </c>
      <c r="Q339" t="s">
        <v>730</v>
      </c>
      <c r="R339" t="s">
        <v>1182</v>
      </c>
      <c r="S339" s="23">
        <v>895.54</v>
      </c>
      <c r="T339" s="23">
        <v>1045</v>
      </c>
      <c r="U339" s="23">
        <f t="shared" si="46"/>
        <v>1045</v>
      </c>
      <c r="V339" s="8">
        <v>0.216</v>
      </c>
      <c r="W339" s="8">
        <f t="shared" si="47"/>
        <v>0.216</v>
      </c>
      <c r="X339">
        <v>15</v>
      </c>
    </row>
    <row r="340" spans="1:24" x14ac:dyDescent="0.35">
      <c r="A340" s="4" t="s">
        <v>158</v>
      </c>
      <c r="B340" s="5" t="str">
        <f>IF(COUNTIF($A$2:A340,A340)=1,"Original","Duplicate")</f>
        <v>Original</v>
      </c>
      <c r="C340" s="7">
        <v>45458</v>
      </c>
      <c r="D340" s="7">
        <v>45479</v>
      </c>
      <c r="E340" s="7" t="str">
        <f t="shared" si="40"/>
        <v>Valid</v>
      </c>
      <c r="F340" s="7">
        <f t="shared" si="41"/>
        <v>45479</v>
      </c>
      <c r="G340">
        <f t="shared" si="42"/>
        <v>21</v>
      </c>
      <c r="H340" t="s">
        <v>648</v>
      </c>
      <c r="I340" t="s">
        <v>653</v>
      </c>
      <c r="J340" t="s">
        <v>667</v>
      </c>
      <c r="K340" t="str">
        <f t="shared" si="43"/>
        <v>Toronto</v>
      </c>
      <c r="L340" t="s">
        <v>706</v>
      </c>
      <c r="M340" t="s">
        <v>710</v>
      </c>
      <c r="N340" t="str">
        <f t="shared" si="44"/>
        <v>Distributor</v>
      </c>
      <c r="O340" t="s">
        <v>716</v>
      </c>
      <c r="P340" t="str">
        <f t="shared" si="45"/>
        <v>L. Okafor</v>
      </c>
      <c r="Q340" t="s">
        <v>728</v>
      </c>
      <c r="R340" t="s">
        <v>877</v>
      </c>
      <c r="S340" s="23">
        <v>817.23</v>
      </c>
      <c r="T340" s="23">
        <v>1467.17</v>
      </c>
      <c r="U340" s="23">
        <f t="shared" si="46"/>
        <v>1467.17</v>
      </c>
      <c r="V340" s="8">
        <v>0.245</v>
      </c>
      <c r="W340" s="8">
        <f t="shared" si="47"/>
        <v>0.245</v>
      </c>
      <c r="X340">
        <v>9</v>
      </c>
    </row>
    <row r="341" spans="1:24" x14ac:dyDescent="0.35">
      <c r="A341" s="4" t="s">
        <v>292</v>
      </c>
      <c r="B341" s="5" t="str">
        <f>IF(COUNTIF($A$2:A341,A341)=1,"Original","Duplicate")</f>
        <v>Original</v>
      </c>
      <c r="C341" s="7">
        <v>45459</v>
      </c>
      <c r="D341" s="7">
        <v>45476</v>
      </c>
      <c r="E341" s="7" t="str">
        <f t="shared" si="40"/>
        <v>Valid</v>
      </c>
      <c r="F341" s="7">
        <f t="shared" si="41"/>
        <v>45476</v>
      </c>
      <c r="G341">
        <f t="shared" si="42"/>
        <v>17</v>
      </c>
      <c r="H341" t="s">
        <v>646</v>
      </c>
      <c r="I341" t="s">
        <v>661</v>
      </c>
      <c r="J341" t="s">
        <v>682</v>
      </c>
      <c r="K341" t="str">
        <f t="shared" si="43"/>
        <v>Johannesburg</v>
      </c>
      <c r="L341" t="s">
        <v>706</v>
      </c>
      <c r="M341" t="s">
        <v>709</v>
      </c>
      <c r="N341" t="str">
        <f t="shared" si="44"/>
        <v>Marketplace</v>
      </c>
      <c r="O341" t="s">
        <v>721</v>
      </c>
      <c r="P341" t="str">
        <f t="shared" si="45"/>
        <v>F. Müller</v>
      </c>
      <c r="Q341" t="s">
        <v>730</v>
      </c>
      <c r="R341" t="s">
        <v>1012</v>
      </c>
      <c r="S341" s="23">
        <v>1173.83</v>
      </c>
      <c r="T341" s="23">
        <v>2328.9</v>
      </c>
      <c r="U341" s="23">
        <f t="shared" si="46"/>
        <v>2328.9</v>
      </c>
      <c r="V341" s="8">
        <v>0.12</v>
      </c>
      <c r="W341" s="8">
        <f t="shared" si="47"/>
        <v>0.12</v>
      </c>
      <c r="X341">
        <v>17</v>
      </c>
    </row>
    <row r="342" spans="1:24" x14ac:dyDescent="0.35">
      <c r="A342" s="4" t="s">
        <v>602</v>
      </c>
      <c r="B342" s="5" t="str">
        <f>IF(COUNTIF($A$2:A342,A342)=1,"Original","Duplicate")</f>
        <v>Original</v>
      </c>
      <c r="C342" s="7">
        <v>45459</v>
      </c>
      <c r="D342" s="7">
        <v>45464</v>
      </c>
      <c r="E342" s="7" t="str">
        <f t="shared" si="40"/>
        <v>Valid</v>
      </c>
      <c r="F342" s="7">
        <f t="shared" si="41"/>
        <v>45464</v>
      </c>
      <c r="G342">
        <f t="shared" si="42"/>
        <v>5</v>
      </c>
      <c r="H342" t="s">
        <v>647</v>
      </c>
      <c r="I342" t="s">
        <v>652</v>
      </c>
      <c r="J342" t="s">
        <v>689</v>
      </c>
      <c r="K342" t="str">
        <f t="shared" si="43"/>
        <v>Tokyo</v>
      </c>
      <c r="L342" t="s">
        <v>705</v>
      </c>
      <c r="M342" t="s">
        <v>710</v>
      </c>
      <c r="N342" t="str">
        <f t="shared" si="44"/>
        <v>Distributor</v>
      </c>
      <c r="O342" t="s">
        <v>721</v>
      </c>
      <c r="P342" t="str">
        <f t="shared" si="45"/>
        <v>F. Müller</v>
      </c>
      <c r="Q342" t="s">
        <v>730</v>
      </c>
      <c r="R342" t="s">
        <v>1320</v>
      </c>
      <c r="S342" s="23">
        <v>1367.13</v>
      </c>
      <c r="T342" s="23">
        <v>3062.01</v>
      </c>
      <c r="U342" s="23">
        <f t="shared" si="46"/>
        <v>3062.01</v>
      </c>
      <c r="V342" s="8">
        <v>0.10299999999999999</v>
      </c>
      <c r="W342" s="8">
        <f t="shared" si="47"/>
        <v>0.10299999999999999</v>
      </c>
      <c r="X342">
        <v>25</v>
      </c>
    </row>
    <row r="343" spans="1:24" x14ac:dyDescent="0.35">
      <c r="A343" s="4" t="s">
        <v>318</v>
      </c>
      <c r="B343" s="5" t="str">
        <f>IF(COUNTIF($A$2:A343,A343)=1,"Original","Duplicate")</f>
        <v>Original</v>
      </c>
      <c r="C343" s="7">
        <v>45462</v>
      </c>
      <c r="D343" s="7">
        <v>45463</v>
      </c>
      <c r="E343" s="7" t="str">
        <f t="shared" si="40"/>
        <v>Valid</v>
      </c>
      <c r="F343" s="7">
        <f t="shared" si="41"/>
        <v>45463</v>
      </c>
      <c r="G343">
        <f t="shared" si="42"/>
        <v>1</v>
      </c>
      <c r="H343" t="s">
        <v>646</v>
      </c>
      <c r="I343" t="s">
        <v>650</v>
      </c>
      <c r="J343" t="s">
        <v>662</v>
      </c>
      <c r="K343" t="str">
        <f t="shared" si="43"/>
        <v>Kisumu</v>
      </c>
      <c r="L343" t="s">
        <v>705</v>
      </c>
      <c r="M343" t="s">
        <v>711</v>
      </c>
      <c r="N343" t="str">
        <f t="shared" si="44"/>
        <v>Direct</v>
      </c>
      <c r="O343" t="s">
        <v>713</v>
      </c>
      <c r="P343" t="str">
        <f t="shared" si="45"/>
        <v>J. Njeri</v>
      </c>
      <c r="Q343" t="s">
        <v>731</v>
      </c>
      <c r="R343" t="s">
        <v>1038</v>
      </c>
      <c r="S343" s="23">
        <v>231.63</v>
      </c>
      <c r="T343" s="23">
        <v>537.39</v>
      </c>
      <c r="U343" s="23">
        <f t="shared" si="46"/>
        <v>537.39</v>
      </c>
      <c r="V343" s="8">
        <v>0.08</v>
      </c>
      <c r="W343" s="8">
        <f t="shared" si="47"/>
        <v>0.08</v>
      </c>
      <c r="X343">
        <v>12</v>
      </c>
    </row>
    <row r="344" spans="1:24" x14ac:dyDescent="0.35">
      <c r="A344" s="4" t="s">
        <v>374</v>
      </c>
      <c r="B344" s="5" t="str">
        <f>IF(COUNTIF($A$2:A344,A344)=1,"Original","Duplicate")</f>
        <v>Original</v>
      </c>
      <c r="C344" s="7">
        <v>45466</v>
      </c>
      <c r="D344" s="7">
        <v>45468</v>
      </c>
      <c r="E344" s="7" t="str">
        <f t="shared" si="40"/>
        <v>Valid</v>
      </c>
      <c r="F344" s="7">
        <f t="shared" si="41"/>
        <v>45468</v>
      </c>
      <c r="G344">
        <f t="shared" si="42"/>
        <v>2</v>
      </c>
      <c r="H344" t="s">
        <v>649</v>
      </c>
      <c r="I344" t="s">
        <v>658</v>
      </c>
      <c r="J344" t="s">
        <v>674</v>
      </c>
      <c r="K344" t="str">
        <f t="shared" si="43"/>
        <v>Birmingham</v>
      </c>
      <c r="L344" t="s">
        <v>705</v>
      </c>
      <c r="M344" t="s">
        <v>709</v>
      </c>
      <c r="N344" t="str">
        <f t="shared" si="44"/>
        <v>Marketplace</v>
      </c>
      <c r="O344" t="s">
        <v>716</v>
      </c>
      <c r="P344" t="str">
        <f t="shared" si="45"/>
        <v>L. Okafor</v>
      </c>
      <c r="Q344" t="s">
        <v>733</v>
      </c>
      <c r="R344" t="s">
        <v>1094</v>
      </c>
      <c r="S344" s="23">
        <v>951.44</v>
      </c>
      <c r="T344" s="23">
        <v>1646.43</v>
      </c>
      <c r="U344" s="23">
        <f t="shared" si="46"/>
        <v>1646.43</v>
      </c>
      <c r="V344" s="8">
        <v>0.11</v>
      </c>
      <c r="W344" s="8">
        <f t="shared" si="47"/>
        <v>0.11</v>
      </c>
      <c r="X344">
        <v>24</v>
      </c>
    </row>
    <row r="345" spans="1:24" x14ac:dyDescent="0.35">
      <c r="A345" s="4" t="s">
        <v>480</v>
      </c>
      <c r="B345" s="5" t="str">
        <f>IF(COUNTIF($A$2:A345,A345)=1,"Original","Duplicate")</f>
        <v>Original</v>
      </c>
      <c r="C345" s="7">
        <v>45466</v>
      </c>
      <c r="D345" s="7">
        <v>45471</v>
      </c>
      <c r="E345" s="7" t="str">
        <f t="shared" si="40"/>
        <v>Valid</v>
      </c>
      <c r="F345" s="7">
        <f t="shared" si="41"/>
        <v>45471</v>
      </c>
      <c r="G345">
        <f t="shared" si="42"/>
        <v>5</v>
      </c>
      <c r="H345" t="s">
        <v>646</v>
      </c>
      <c r="I345" t="s">
        <v>651</v>
      </c>
      <c r="J345" t="s">
        <v>663</v>
      </c>
      <c r="K345" t="str">
        <f t="shared" si="43"/>
        <v>Port Harcourt</v>
      </c>
      <c r="L345" t="s">
        <v>703</v>
      </c>
      <c r="M345" t="s">
        <v>711</v>
      </c>
      <c r="N345" t="str">
        <f t="shared" si="44"/>
        <v>Direct</v>
      </c>
      <c r="O345" t="s">
        <v>724</v>
      </c>
      <c r="P345" t="str">
        <f t="shared" si="45"/>
        <v>M. Rossi</v>
      </c>
      <c r="Q345" t="s">
        <v>733</v>
      </c>
      <c r="R345" t="s">
        <v>1199</v>
      </c>
      <c r="S345" s="23">
        <v>242.31</v>
      </c>
      <c r="T345" s="23">
        <v>587.95000000000005</v>
      </c>
      <c r="U345" s="23">
        <f t="shared" si="46"/>
        <v>587.95000000000005</v>
      </c>
      <c r="V345" s="8">
        <v>0.22900000000000001</v>
      </c>
      <c r="W345" s="8">
        <f t="shared" si="47"/>
        <v>0.22900000000000001</v>
      </c>
      <c r="X345">
        <v>6</v>
      </c>
    </row>
    <row r="346" spans="1:24" x14ac:dyDescent="0.35">
      <c r="A346" s="4" t="s">
        <v>627</v>
      </c>
      <c r="B346" s="5" t="str">
        <f>IF(COUNTIF($A$2:A346,A346)=1,"Original","Duplicate")</f>
        <v>Original</v>
      </c>
      <c r="C346" s="7">
        <v>45468</v>
      </c>
      <c r="D346" s="7">
        <v>45473</v>
      </c>
      <c r="E346" s="7" t="str">
        <f t="shared" si="40"/>
        <v>Valid</v>
      </c>
      <c r="F346" s="7">
        <f t="shared" si="41"/>
        <v>45473</v>
      </c>
      <c r="G346">
        <f t="shared" si="42"/>
        <v>5</v>
      </c>
      <c r="H346" t="s">
        <v>646</v>
      </c>
      <c r="I346" t="s">
        <v>650</v>
      </c>
      <c r="J346" t="s">
        <v>662</v>
      </c>
      <c r="K346" t="str">
        <f t="shared" si="43"/>
        <v>Kisumu</v>
      </c>
      <c r="L346" t="s">
        <v>702</v>
      </c>
      <c r="M346" t="s">
        <v>711</v>
      </c>
      <c r="N346" t="str">
        <f t="shared" si="44"/>
        <v>Direct</v>
      </c>
      <c r="O346" t="s">
        <v>724</v>
      </c>
      <c r="P346" t="str">
        <f t="shared" si="45"/>
        <v>M. Rossi</v>
      </c>
      <c r="Q346" t="s">
        <v>729</v>
      </c>
      <c r="R346" t="s">
        <v>1345</v>
      </c>
      <c r="S346" s="23">
        <v>1323.55</v>
      </c>
      <c r="T346" s="23">
        <v>3230.35</v>
      </c>
      <c r="U346" s="23">
        <f t="shared" si="46"/>
        <v>3230.35</v>
      </c>
      <c r="V346" s="8">
        <v>2.1999999999999999E-2</v>
      </c>
      <c r="W346" s="8">
        <f t="shared" si="47"/>
        <v>2.1999999999999999E-2</v>
      </c>
      <c r="X346">
        <v>26</v>
      </c>
    </row>
    <row r="347" spans="1:24" x14ac:dyDescent="0.35">
      <c r="A347" s="4" t="s">
        <v>127</v>
      </c>
      <c r="B347" s="5" t="str">
        <f>IF(COUNTIF($A$2:A347,A347)=1,"Original","Duplicate")</f>
        <v>Original</v>
      </c>
      <c r="C347" s="7">
        <v>45472</v>
      </c>
      <c r="D347" s="7">
        <v>45499</v>
      </c>
      <c r="E347" s="7" t="str">
        <f t="shared" si="40"/>
        <v>Valid</v>
      </c>
      <c r="F347" s="7">
        <f t="shared" si="41"/>
        <v>45499</v>
      </c>
      <c r="G347">
        <f t="shared" si="42"/>
        <v>27</v>
      </c>
      <c r="H347" t="s">
        <v>646</v>
      </c>
      <c r="I347" t="s">
        <v>661</v>
      </c>
      <c r="J347" t="s">
        <v>687</v>
      </c>
      <c r="K347" t="str">
        <f t="shared" si="43"/>
        <v>Durban</v>
      </c>
      <c r="L347" t="s">
        <v>706</v>
      </c>
      <c r="M347" t="s">
        <v>710</v>
      </c>
      <c r="N347" t="str">
        <f t="shared" si="44"/>
        <v>Distributor</v>
      </c>
      <c r="O347" t="s">
        <v>717</v>
      </c>
      <c r="P347" t="str">
        <f t="shared" si="45"/>
        <v>B. Chen</v>
      </c>
      <c r="Q347" t="s">
        <v>729</v>
      </c>
      <c r="R347" t="s">
        <v>846</v>
      </c>
      <c r="S347" s="23">
        <v>5.36</v>
      </c>
      <c r="T347" s="23">
        <v>4.37</v>
      </c>
      <c r="U347" s="23">
        <f t="shared" si="46"/>
        <v>4.37</v>
      </c>
      <c r="V347" s="8">
        <v>0.11799999999999999</v>
      </c>
      <c r="W347" s="8">
        <f t="shared" si="47"/>
        <v>0.11799999999999999</v>
      </c>
      <c r="X347">
        <v>9</v>
      </c>
    </row>
    <row r="348" spans="1:24" x14ac:dyDescent="0.35">
      <c r="A348" s="4" t="s">
        <v>40</v>
      </c>
      <c r="B348" s="5" t="str">
        <f>IF(COUNTIF($A$2:A348,A348)=1,"Original","Duplicate")</f>
        <v>Original</v>
      </c>
      <c r="C348" s="7">
        <v>45473</v>
      </c>
      <c r="D348" s="7">
        <v>45487</v>
      </c>
      <c r="E348" s="7" t="str">
        <f t="shared" si="40"/>
        <v>Valid</v>
      </c>
      <c r="F348" s="7">
        <f t="shared" si="41"/>
        <v>45487</v>
      </c>
      <c r="G348">
        <f t="shared" si="42"/>
        <v>14</v>
      </c>
      <c r="H348" t="s">
        <v>648</v>
      </c>
      <c r="I348" t="s">
        <v>655</v>
      </c>
      <c r="J348" t="s">
        <v>672</v>
      </c>
      <c r="K348" t="str">
        <f t="shared" si="43"/>
        <v>Brasília</v>
      </c>
      <c r="L348" t="s">
        <v>702</v>
      </c>
      <c r="M348" t="s">
        <v>707</v>
      </c>
      <c r="N348" t="str">
        <f t="shared" si="44"/>
        <v>Retail</v>
      </c>
      <c r="O348" t="s">
        <v>712</v>
      </c>
      <c r="P348" t="str">
        <f t="shared" si="45"/>
        <v>C. Otieno</v>
      </c>
      <c r="Q348" t="s">
        <v>733</v>
      </c>
      <c r="R348" t="s">
        <v>759</v>
      </c>
      <c r="S348" s="23">
        <v>1491.85</v>
      </c>
      <c r="T348" s="23">
        <v>2583.02</v>
      </c>
      <c r="U348" s="23">
        <f t="shared" si="46"/>
        <v>2583.02</v>
      </c>
      <c r="V348" s="8">
        <v>0.16800000000000001</v>
      </c>
      <c r="W348" s="8">
        <f t="shared" si="47"/>
        <v>0.16800000000000001</v>
      </c>
      <c r="X348">
        <v>4</v>
      </c>
    </row>
    <row r="349" spans="1:24" x14ac:dyDescent="0.35">
      <c r="A349" s="4" t="s">
        <v>92</v>
      </c>
      <c r="B349" s="5" t="str">
        <f>IF(COUNTIF($A$2:A349,A349)=1,"Original","Duplicate")</f>
        <v>Original</v>
      </c>
      <c r="C349" s="7">
        <v>45473</v>
      </c>
      <c r="D349" s="7">
        <v>45471</v>
      </c>
      <c r="E349" s="7" t="str">
        <f t="shared" si="40"/>
        <v>Invalid</v>
      </c>
      <c r="F349" s="7">
        <f t="shared" si="41"/>
        <v>45478</v>
      </c>
      <c r="G349">
        <f t="shared" si="42"/>
        <v>5</v>
      </c>
      <c r="H349" t="s">
        <v>648</v>
      </c>
      <c r="I349" t="s">
        <v>655</v>
      </c>
      <c r="J349" t="s">
        <v>692</v>
      </c>
      <c r="K349" t="str">
        <f t="shared" si="43"/>
        <v>Rio de Janeiro</v>
      </c>
      <c r="L349" t="s">
        <v>705</v>
      </c>
      <c r="M349" t="s">
        <v>711</v>
      </c>
      <c r="N349" t="str">
        <f t="shared" si="44"/>
        <v>Direct</v>
      </c>
      <c r="O349" t="s">
        <v>716</v>
      </c>
      <c r="P349" t="str">
        <f t="shared" si="45"/>
        <v>L. Okafor</v>
      </c>
      <c r="Q349" t="s">
        <v>733</v>
      </c>
      <c r="R349" t="s">
        <v>811</v>
      </c>
      <c r="S349" s="23">
        <v>1112.98</v>
      </c>
      <c r="T349" s="23">
        <v>2095.73</v>
      </c>
      <c r="U349" s="23">
        <f t="shared" si="46"/>
        <v>2095.73</v>
      </c>
      <c r="V349" s="8">
        <v>7.1999999999999995E-2</v>
      </c>
      <c r="W349" s="8">
        <f t="shared" si="47"/>
        <v>7.1999999999999995E-2</v>
      </c>
      <c r="X349">
        <v>17</v>
      </c>
    </row>
    <row r="350" spans="1:24" x14ac:dyDescent="0.35">
      <c r="A350" s="4" t="s">
        <v>609</v>
      </c>
      <c r="B350" s="5" t="str">
        <f>IF(COUNTIF($A$2:A350,A350)=1,"Original","Duplicate")</f>
        <v>Original</v>
      </c>
      <c r="C350" s="7">
        <v>45473</v>
      </c>
      <c r="D350" s="7">
        <v>45494</v>
      </c>
      <c r="E350" s="7" t="str">
        <f t="shared" si="40"/>
        <v>Valid</v>
      </c>
      <c r="F350" s="7">
        <f t="shared" si="41"/>
        <v>45494</v>
      </c>
      <c r="G350">
        <f t="shared" si="42"/>
        <v>21</v>
      </c>
      <c r="H350" t="s">
        <v>646</v>
      </c>
      <c r="I350" t="s">
        <v>650</v>
      </c>
      <c r="J350" t="s">
        <v>662</v>
      </c>
      <c r="K350" t="str">
        <f t="shared" si="43"/>
        <v>Kisumu</v>
      </c>
      <c r="L350" t="s">
        <v>705</v>
      </c>
      <c r="M350" t="s">
        <v>707</v>
      </c>
      <c r="N350" t="str">
        <f t="shared" si="44"/>
        <v>Retail</v>
      </c>
      <c r="O350" t="s">
        <v>723</v>
      </c>
      <c r="P350" t="str">
        <f t="shared" si="45"/>
        <v>K. Singh</v>
      </c>
      <c r="Q350" t="s">
        <v>731</v>
      </c>
      <c r="R350" t="s">
        <v>1327</v>
      </c>
      <c r="S350" s="23">
        <v>753.43</v>
      </c>
      <c r="T350" s="23">
        <v>1787.2</v>
      </c>
      <c r="U350" s="23">
        <f t="shared" si="46"/>
        <v>1787.2</v>
      </c>
      <c r="V350" s="8">
        <v>7.2999999999999995E-2</v>
      </c>
      <c r="W350" s="8">
        <f t="shared" si="47"/>
        <v>7.2999999999999995E-2</v>
      </c>
      <c r="X350">
        <v>9</v>
      </c>
    </row>
    <row r="351" spans="1:24" x14ac:dyDescent="0.35">
      <c r="A351" s="4" t="s">
        <v>534</v>
      </c>
      <c r="B351" s="5" t="str">
        <f>IF(COUNTIF($A$2:A351,A351)=1,"Original","Duplicate")</f>
        <v>Original</v>
      </c>
      <c r="C351" s="7">
        <v>45482</v>
      </c>
      <c r="D351" s="7">
        <v>45512</v>
      </c>
      <c r="E351" s="7" t="str">
        <f t="shared" si="40"/>
        <v>Valid</v>
      </c>
      <c r="F351" s="7">
        <f t="shared" si="41"/>
        <v>45512</v>
      </c>
      <c r="G351">
        <f t="shared" si="42"/>
        <v>30</v>
      </c>
      <c r="H351" t="s">
        <v>649</v>
      </c>
      <c r="I351" t="s">
        <v>657</v>
      </c>
      <c r="J351" t="s">
        <v>673</v>
      </c>
      <c r="K351" t="str">
        <f t="shared" si="43"/>
        <v>Marseille</v>
      </c>
      <c r="L351" t="s">
        <v>701</v>
      </c>
      <c r="M351" t="s">
        <v>711</v>
      </c>
      <c r="N351" t="str">
        <f t="shared" si="44"/>
        <v>Direct</v>
      </c>
      <c r="O351" t="s">
        <v>713</v>
      </c>
      <c r="P351" t="str">
        <f t="shared" si="45"/>
        <v>J. Njeri</v>
      </c>
      <c r="Q351" t="s">
        <v>727</v>
      </c>
      <c r="R351" t="s">
        <v>1253</v>
      </c>
      <c r="S351" s="23">
        <v>1062.3800000000001</v>
      </c>
      <c r="T351" s="23">
        <v>1503.96</v>
      </c>
      <c r="U351" s="23">
        <f t="shared" si="46"/>
        <v>1503.96</v>
      </c>
      <c r="V351" s="8">
        <v>0.18</v>
      </c>
      <c r="W351" s="8">
        <f t="shared" si="47"/>
        <v>0.18</v>
      </c>
      <c r="X351">
        <v>6</v>
      </c>
    </row>
    <row r="352" spans="1:24" x14ac:dyDescent="0.35">
      <c r="A352" s="4" t="s">
        <v>536</v>
      </c>
      <c r="B352" s="5" t="str">
        <f>IF(COUNTIF($A$2:A352,A352)=1,"Original","Duplicate")</f>
        <v>Original</v>
      </c>
      <c r="C352" s="7">
        <v>45482</v>
      </c>
      <c r="D352" s="7">
        <v>45485</v>
      </c>
      <c r="E352" s="7" t="str">
        <f t="shared" si="40"/>
        <v>Valid</v>
      </c>
      <c r="F352" s="7">
        <f t="shared" si="41"/>
        <v>45485</v>
      </c>
      <c r="G352">
        <f t="shared" si="42"/>
        <v>3</v>
      </c>
      <c r="H352" t="s">
        <v>647</v>
      </c>
      <c r="I352" t="s">
        <v>659</v>
      </c>
      <c r="J352" t="s">
        <v>685</v>
      </c>
      <c r="K352" t="str">
        <f t="shared" si="43"/>
        <v>Shanghai</v>
      </c>
      <c r="L352" t="s">
        <v>705</v>
      </c>
      <c r="M352" t="s">
        <v>707</v>
      </c>
      <c r="N352" t="str">
        <f t="shared" si="44"/>
        <v>Retail</v>
      </c>
      <c r="O352" t="s">
        <v>726</v>
      </c>
      <c r="P352" t="str">
        <f t="shared" si="45"/>
        <v>D. Smith</v>
      </c>
      <c r="Q352" t="s">
        <v>733</v>
      </c>
      <c r="R352" t="s">
        <v>1255</v>
      </c>
      <c r="S352" s="23">
        <v>748.39</v>
      </c>
      <c r="T352" s="23">
        <v>979.42</v>
      </c>
      <c r="U352" s="23">
        <f t="shared" si="46"/>
        <v>979.42</v>
      </c>
      <c r="V352" s="8">
        <v>0</v>
      </c>
      <c r="W352" s="8">
        <f t="shared" si="47"/>
        <v>0</v>
      </c>
      <c r="X352">
        <v>23</v>
      </c>
    </row>
    <row r="353" spans="1:24" x14ac:dyDescent="0.35">
      <c r="A353" s="4" t="s">
        <v>350</v>
      </c>
      <c r="B353" s="5" t="str">
        <f>IF(COUNTIF($A$2:A353,A353)=1,"Original","Duplicate")</f>
        <v>Original</v>
      </c>
      <c r="C353" s="7">
        <v>45484</v>
      </c>
      <c r="D353" s="7">
        <v>45504</v>
      </c>
      <c r="E353" s="7" t="str">
        <f t="shared" si="40"/>
        <v>Valid</v>
      </c>
      <c r="F353" s="7">
        <f t="shared" si="41"/>
        <v>45504</v>
      </c>
      <c r="G353">
        <f t="shared" si="42"/>
        <v>20</v>
      </c>
      <c r="H353" t="s">
        <v>647</v>
      </c>
      <c r="I353" t="s">
        <v>659</v>
      </c>
      <c r="J353" t="s">
        <v>676</v>
      </c>
      <c r="K353" t="str">
        <f t="shared" si="43"/>
        <v>Shenzhen</v>
      </c>
      <c r="L353" t="s">
        <v>704</v>
      </c>
      <c r="M353" t="s">
        <v>708</v>
      </c>
      <c r="N353" t="str">
        <f t="shared" si="44"/>
        <v>Online</v>
      </c>
      <c r="O353" t="s">
        <v>715</v>
      </c>
      <c r="P353" t="str">
        <f t="shared" si="45"/>
        <v>G. Dubois</v>
      </c>
      <c r="Q353" t="s">
        <v>730</v>
      </c>
      <c r="R353" t="s">
        <v>1070</v>
      </c>
      <c r="S353" s="23">
        <v>647.26</v>
      </c>
      <c r="T353" s="23">
        <v>1374.72</v>
      </c>
      <c r="U353" s="23">
        <f t="shared" si="46"/>
        <v>1374.72</v>
      </c>
      <c r="V353" s="8">
        <v>6.6000000000000003E-2</v>
      </c>
      <c r="W353" s="8">
        <f t="shared" si="47"/>
        <v>6.6000000000000003E-2</v>
      </c>
      <c r="X353">
        <v>22</v>
      </c>
    </row>
    <row r="354" spans="1:24" x14ac:dyDescent="0.35">
      <c r="A354" s="4" t="s">
        <v>358</v>
      </c>
      <c r="B354" s="5" t="str">
        <f>IF(COUNTIF($A$2:A354,A354)=1,"Original","Duplicate")</f>
        <v>Original</v>
      </c>
      <c r="C354" s="7">
        <v>45486</v>
      </c>
      <c r="D354" s="7">
        <v>45485</v>
      </c>
      <c r="E354" s="7" t="str">
        <f t="shared" si="40"/>
        <v>Invalid</v>
      </c>
      <c r="F354" s="7">
        <f t="shared" si="41"/>
        <v>45492</v>
      </c>
      <c r="G354">
        <f t="shared" si="42"/>
        <v>6</v>
      </c>
      <c r="H354" t="s">
        <v>647</v>
      </c>
      <c r="I354" t="s">
        <v>652</v>
      </c>
      <c r="J354" t="s">
        <v>694</v>
      </c>
      <c r="K354" t="str">
        <f t="shared" si="43"/>
        <v>Nagoya</v>
      </c>
      <c r="L354" t="s">
        <v>705</v>
      </c>
      <c r="M354" t="s">
        <v>709</v>
      </c>
      <c r="N354" t="str">
        <f t="shared" si="44"/>
        <v>Marketplace</v>
      </c>
      <c r="O354" t="s">
        <v>721</v>
      </c>
      <c r="P354" t="str">
        <f t="shared" si="45"/>
        <v>F. Müller</v>
      </c>
      <c r="Q354" t="s">
        <v>729</v>
      </c>
      <c r="R354" t="s">
        <v>1078</v>
      </c>
      <c r="S354" s="23">
        <v>105.13</v>
      </c>
      <c r="T354" s="23">
        <v>244.13</v>
      </c>
      <c r="U354" s="23">
        <f t="shared" si="46"/>
        <v>244.13</v>
      </c>
      <c r="V354" s="8">
        <v>7.0999999999999994E-2</v>
      </c>
      <c r="W354" s="8">
        <f t="shared" si="47"/>
        <v>7.0999999999999994E-2</v>
      </c>
      <c r="X354">
        <v>14</v>
      </c>
    </row>
    <row r="355" spans="1:24" x14ac:dyDescent="0.35">
      <c r="A355" s="4" t="s">
        <v>563</v>
      </c>
      <c r="B355" s="5" t="str">
        <f>IF(COUNTIF($A$2:A355,A355)=1,"Original","Duplicate")</f>
        <v>Original</v>
      </c>
      <c r="C355" s="7">
        <v>45486</v>
      </c>
      <c r="D355" s="7">
        <v>45507</v>
      </c>
      <c r="E355" s="7" t="str">
        <f t="shared" si="40"/>
        <v>Valid</v>
      </c>
      <c r="F355" s="7">
        <f t="shared" si="41"/>
        <v>45507</v>
      </c>
      <c r="G355">
        <f t="shared" si="42"/>
        <v>21</v>
      </c>
      <c r="H355" t="s">
        <v>648</v>
      </c>
      <c r="I355" t="s">
        <v>655</v>
      </c>
      <c r="J355" t="s">
        <v>692</v>
      </c>
      <c r="K355" t="str">
        <f t="shared" si="43"/>
        <v>Rio de Janeiro</v>
      </c>
      <c r="L355" t="s">
        <v>701</v>
      </c>
      <c r="M355" t="s">
        <v>709</v>
      </c>
      <c r="N355" t="str">
        <f t="shared" si="44"/>
        <v>Marketplace</v>
      </c>
      <c r="O355" t="s">
        <v>724</v>
      </c>
      <c r="P355" t="str">
        <f t="shared" si="45"/>
        <v>M. Rossi</v>
      </c>
      <c r="Q355" t="s">
        <v>732</v>
      </c>
      <c r="R355" t="s">
        <v>1281</v>
      </c>
      <c r="S355" s="23">
        <v>702.98</v>
      </c>
      <c r="T355" s="23">
        <v>1104.8</v>
      </c>
      <c r="U355" s="23">
        <f t="shared" si="46"/>
        <v>1104.8</v>
      </c>
      <c r="V355" s="8">
        <v>0.17499999999999999</v>
      </c>
      <c r="W355" s="8">
        <f t="shared" si="47"/>
        <v>0.17499999999999999</v>
      </c>
      <c r="X355">
        <v>12</v>
      </c>
    </row>
    <row r="356" spans="1:24" x14ac:dyDescent="0.35">
      <c r="A356" s="4" t="s">
        <v>185</v>
      </c>
      <c r="B356" s="5" t="str">
        <f>IF(COUNTIF($A$2:A356,A356)=1,"Original","Duplicate")</f>
        <v>Original</v>
      </c>
      <c r="C356" s="7">
        <v>45488</v>
      </c>
      <c r="D356" s="7">
        <v>45488</v>
      </c>
      <c r="E356" s="7" t="str">
        <f t="shared" si="40"/>
        <v>Valid</v>
      </c>
      <c r="F356" s="7">
        <f t="shared" si="41"/>
        <v>45495</v>
      </c>
      <c r="G356">
        <f t="shared" si="42"/>
        <v>7</v>
      </c>
      <c r="H356" t="s">
        <v>647</v>
      </c>
      <c r="I356" t="s">
        <v>652</v>
      </c>
      <c r="J356" t="s">
        <v>689</v>
      </c>
      <c r="K356" t="str">
        <f t="shared" si="43"/>
        <v>Tokyo</v>
      </c>
      <c r="L356" t="s">
        <v>705</v>
      </c>
      <c r="M356" t="s">
        <v>709</v>
      </c>
      <c r="N356" t="str">
        <f t="shared" si="44"/>
        <v>Marketplace</v>
      </c>
      <c r="O356" t="s">
        <v>715</v>
      </c>
      <c r="P356" t="str">
        <f t="shared" si="45"/>
        <v>G. Dubois</v>
      </c>
      <c r="Q356" t="s">
        <v>733</v>
      </c>
      <c r="R356" t="s">
        <v>904</v>
      </c>
      <c r="S356" s="23">
        <v>801.77</v>
      </c>
      <c r="T356" s="23">
        <v>1218.92</v>
      </c>
      <c r="U356" s="23">
        <f t="shared" si="46"/>
        <v>1218.92</v>
      </c>
      <c r="V356" s="8">
        <v>0.254</v>
      </c>
      <c r="W356" s="8">
        <f t="shared" si="47"/>
        <v>0.254</v>
      </c>
      <c r="X356">
        <v>16</v>
      </c>
    </row>
    <row r="357" spans="1:24" x14ac:dyDescent="0.35">
      <c r="A357" s="4" t="s">
        <v>398</v>
      </c>
      <c r="B357" s="5" t="str">
        <f>IF(COUNTIF($A$2:A357,A357)=1,"Original","Duplicate")</f>
        <v>Original</v>
      </c>
      <c r="C357" s="7">
        <v>45491</v>
      </c>
      <c r="D357" s="7">
        <v>45511</v>
      </c>
      <c r="E357" s="7" t="str">
        <f t="shared" si="40"/>
        <v>Valid</v>
      </c>
      <c r="F357" s="7">
        <f t="shared" si="41"/>
        <v>45511</v>
      </c>
      <c r="G357">
        <f t="shared" si="42"/>
        <v>20</v>
      </c>
      <c r="H357" t="s">
        <v>649</v>
      </c>
      <c r="I357" t="s">
        <v>657</v>
      </c>
      <c r="J357" t="s">
        <v>673</v>
      </c>
      <c r="K357" t="str">
        <f t="shared" si="43"/>
        <v>Marseille</v>
      </c>
      <c r="L357" t="s">
        <v>701</v>
      </c>
      <c r="M357" t="s">
        <v>707</v>
      </c>
      <c r="N357" t="str">
        <f t="shared" si="44"/>
        <v>Retail</v>
      </c>
      <c r="O357" t="s">
        <v>721</v>
      </c>
      <c r="P357" t="str">
        <f t="shared" si="45"/>
        <v>F. Müller</v>
      </c>
      <c r="Q357" t="s">
        <v>732</v>
      </c>
      <c r="R357" t="s">
        <v>1117</v>
      </c>
      <c r="S357" s="23">
        <v>941.35</v>
      </c>
      <c r="T357" s="23">
        <v>899.83</v>
      </c>
      <c r="U357" s="23">
        <f t="shared" si="46"/>
        <v>899.83</v>
      </c>
      <c r="V357" s="8">
        <v>5.8000000000000003E-2</v>
      </c>
      <c r="W357" s="8">
        <f t="shared" si="47"/>
        <v>5.8000000000000003E-2</v>
      </c>
      <c r="X357">
        <v>18</v>
      </c>
    </row>
    <row r="358" spans="1:24" x14ac:dyDescent="0.35">
      <c r="A358" s="4" t="s">
        <v>42</v>
      </c>
      <c r="B358" s="5" t="str">
        <f>IF(COUNTIF($A$2:A358,A358)=1,"Original","Duplicate")</f>
        <v>Original</v>
      </c>
      <c r="C358" s="7">
        <v>45492</v>
      </c>
      <c r="D358" s="7">
        <v>45492</v>
      </c>
      <c r="E358" s="7" t="str">
        <f t="shared" si="40"/>
        <v>Valid</v>
      </c>
      <c r="F358" s="7">
        <f t="shared" si="41"/>
        <v>45499</v>
      </c>
      <c r="G358">
        <f t="shared" si="42"/>
        <v>7</v>
      </c>
      <c r="H358" t="s">
        <v>646</v>
      </c>
      <c r="I358" t="s">
        <v>650</v>
      </c>
      <c r="J358" t="s">
        <v>662</v>
      </c>
      <c r="K358" t="str">
        <f t="shared" si="43"/>
        <v>Kisumu</v>
      </c>
      <c r="L358" t="s">
        <v>705</v>
      </c>
      <c r="M358" t="s">
        <v>707</v>
      </c>
      <c r="N358" t="str">
        <f t="shared" si="44"/>
        <v>Retail</v>
      </c>
      <c r="O358" t="s">
        <v>720</v>
      </c>
      <c r="P358" t="str">
        <f t="shared" si="45"/>
        <v>A. Patel</v>
      </c>
      <c r="Q358" t="s">
        <v>730</v>
      </c>
      <c r="R358" t="s">
        <v>761</v>
      </c>
      <c r="S358" s="23">
        <v>857.24</v>
      </c>
      <c r="T358" s="23">
        <v>758.23</v>
      </c>
      <c r="U358" s="23">
        <f t="shared" si="46"/>
        <v>758.23</v>
      </c>
      <c r="V358" s="8">
        <v>0.125</v>
      </c>
      <c r="W358" s="8">
        <f t="shared" si="47"/>
        <v>0.125</v>
      </c>
      <c r="X358">
        <v>6</v>
      </c>
    </row>
    <row r="359" spans="1:24" x14ac:dyDescent="0.35">
      <c r="A359" s="4" t="s">
        <v>417</v>
      </c>
      <c r="B359" s="5" t="str">
        <f>IF(COUNTIF($A$2:A359,A359)=1,"Original","Duplicate")</f>
        <v>Original</v>
      </c>
      <c r="C359" s="7">
        <v>45497</v>
      </c>
      <c r="D359" s="7">
        <v>45512</v>
      </c>
      <c r="E359" s="7" t="str">
        <f t="shared" si="40"/>
        <v>Valid</v>
      </c>
      <c r="F359" s="7">
        <f t="shared" si="41"/>
        <v>45512</v>
      </c>
      <c r="G359">
        <f t="shared" si="42"/>
        <v>15</v>
      </c>
      <c r="H359" t="s">
        <v>649</v>
      </c>
      <c r="I359" t="s">
        <v>657</v>
      </c>
      <c r="J359" t="s">
        <v>673</v>
      </c>
      <c r="K359" t="str">
        <f t="shared" si="43"/>
        <v>Marseille</v>
      </c>
      <c r="L359" t="s">
        <v>706</v>
      </c>
      <c r="M359" t="s">
        <v>709</v>
      </c>
      <c r="N359" t="str">
        <f t="shared" si="44"/>
        <v>Marketplace</v>
      </c>
      <c r="O359" t="s">
        <v>722</v>
      </c>
      <c r="P359" t="str">
        <f t="shared" si="45"/>
        <v>H. Kim</v>
      </c>
      <c r="Q359" t="s">
        <v>731</v>
      </c>
      <c r="R359" t="s">
        <v>1136</v>
      </c>
      <c r="S359" s="23">
        <v>501.5</v>
      </c>
      <c r="T359" s="23">
        <v>1201.47</v>
      </c>
      <c r="U359" s="23">
        <f t="shared" si="46"/>
        <v>1201.47</v>
      </c>
      <c r="V359" s="8">
        <v>0.126</v>
      </c>
      <c r="W359" s="8">
        <f t="shared" si="47"/>
        <v>0.126</v>
      </c>
      <c r="X359">
        <v>5</v>
      </c>
    </row>
    <row r="360" spans="1:24" x14ac:dyDescent="0.35">
      <c r="A360" s="4" t="s">
        <v>35</v>
      </c>
      <c r="B360" s="5" t="str">
        <f>IF(COUNTIF($A$2:A360,A360)=1,"Original","Duplicate")</f>
        <v>Original</v>
      </c>
      <c r="C360" s="7">
        <v>45498</v>
      </c>
      <c r="D360" s="7">
        <v>45497</v>
      </c>
      <c r="E360" s="7" t="str">
        <f t="shared" si="40"/>
        <v>Invalid</v>
      </c>
      <c r="F360" s="7">
        <f t="shared" si="41"/>
        <v>45505</v>
      </c>
      <c r="G360">
        <f t="shared" si="42"/>
        <v>7</v>
      </c>
      <c r="H360" t="s">
        <v>646</v>
      </c>
      <c r="I360" t="s">
        <v>650</v>
      </c>
      <c r="J360" t="s">
        <v>675</v>
      </c>
      <c r="K360" t="str">
        <f t="shared" si="43"/>
        <v>Mombasa</v>
      </c>
      <c r="L360" t="s">
        <v>703</v>
      </c>
      <c r="M360" t="s">
        <v>711</v>
      </c>
      <c r="N360" t="str">
        <f t="shared" si="44"/>
        <v>Direct</v>
      </c>
      <c r="O360" t="s">
        <v>713</v>
      </c>
      <c r="P360" t="str">
        <f t="shared" si="45"/>
        <v>J. Njeri</v>
      </c>
      <c r="Q360" t="s">
        <v>731</v>
      </c>
      <c r="R360" t="s">
        <v>754</v>
      </c>
      <c r="S360" s="23">
        <v>1494.4</v>
      </c>
      <c r="T360" s="23">
        <v>3661.07</v>
      </c>
      <c r="U360" s="23">
        <f t="shared" si="46"/>
        <v>3661.07</v>
      </c>
      <c r="V360" s="8">
        <v>7.1999999999999995E-2</v>
      </c>
      <c r="W360" s="8">
        <f t="shared" si="47"/>
        <v>7.1999999999999995E-2</v>
      </c>
      <c r="X360">
        <v>7</v>
      </c>
    </row>
    <row r="361" spans="1:24" x14ac:dyDescent="0.35">
      <c r="A361" s="4" t="s">
        <v>360</v>
      </c>
      <c r="B361" s="5" t="str">
        <f>IF(COUNTIF($A$2:A361,A361)=1,"Original","Duplicate")</f>
        <v>Original</v>
      </c>
      <c r="C361" s="7">
        <v>45498</v>
      </c>
      <c r="D361" s="7">
        <v>45506</v>
      </c>
      <c r="E361" s="7" t="str">
        <f t="shared" si="40"/>
        <v>Valid</v>
      </c>
      <c r="F361" s="7">
        <f t="shared" si="41"/>
        <v>45506</v>
      </c>
      <c r="G361">
        <f t="shared" si="42"/>
        <v>8</v>
      </c>
      <c r="H361" t="s">
        <v>648</v>
      </c>
      <c r="I361" t="s">
        <v>653</v>
      </c>
      <c r="J361" t="s">
        <v>681</v>
      </c>
      <c r="K361" t="str">
        <f t="shared" si="43"/>
        <v>Montreal</v>
      </c>
      <c r="L361" t="s">
        <v>704</v>
      </c>
      <c r="M361" t="s">
        <v>711</v>
      </c>
      <c r="N361" t="str">
        <f t="shared" si="44"/>
        <v>Direct</v>
      </c>
      <c r="O361" t="s">
        <v>713</v>
      </c>
      <c r="P361" t="str">
        <f t="shared" si="45"/>
        <v>J. Njeri</v>
      </c>
      <c r="Q361" t="s">
        <v>733</v>
      </c>
      <c r="R361" t="s">
        <v>1080</v>
      </c>
      <c r="S361" s="23">
        <v>986.81</v>
      </c>
      <c r="T361" s="23">
        <v>2050.31</v>
      </c>
      <c r="U361" s="23">
        <f t="shared" si="46"/>
        <v>2050.31</v>
      </c>
      <c r="V361" s="8">
        <v>0.10299999999999999</v>
      </c>
      <c r="W361" s="8">
        <f t="shared" si="47"/>
        <v>0.10299999999999999</v>
      </c>
      <c r="X361">
        <v>43</v>
      </c>
    </row>
    <row r="362" spans="1:24" x14ac:dyDescent="0.35">
      <c r="A362" s="4" t="s">
        <v>636</v>
      </c>
      <c r="B362" s="5" t="str">
        <f>IF(COUNTIF($A$2:A362,A362)=1,"Original","Duplicate")</f>
        <v>Original</v>
      </c>
      <c r="C362" s="7">
        <v>45501</v>
      </c>
      <c r="D362" s="7">
        <v>45527</v>
      </c>
      <c r="E362" s="7" t="str">
        <f t="shared" si="40"/>
        <v>Valid</v>
      </c>
      <c r="F362" s="7">
        <f t="shared" si="41"/>
        <v>45527</v>
      </c>
      <c r="G362">
        <f t="shared" si="42"/>
        <v>26</v>
      </c>
      <c r="H362" t="s">
        <v>647</v>
      </c>
      <c r="I362" t="s">
        <v>654</v>
      </c>
      <c r="J362" t="s">
        <v>696</v>
      </c>
      <c r="K362" t="str">
        <f t="shared" si="43"/>
        <v>Hyderabad</v>
      </c>
      <c r="L362" t="s">
        <v>701</v>
      </c>
      <c r="M362" t="s">
        <v>707</v>
      </c>
      <c r="N362" t="str">
        <f t="shared" si="44"/>
        <v>Retail</v>
      </c>
      <c r="O362" t="s">
        <v>713</v>
      </c>
      <c r="P362" t="str">
        <f t="shared" si="45"/>
        <v>J. Njeri</v>
      </c>
      <c r="Q362" t="s">
        <v>729</v>
      </c>
      <c r="R362" t="s">
        <v>1354</v>
      </c>
      <c r="S362" s="23">
        <v>1339.24</v>
      </c>
      <c r="T362" s="23">
        <v>1558.89</v>
      </c>
      <c r="U362" s="23">
        <f t="shared" si="46"/>
        <v>1558.89</v>
      </c>
      <c r="V362" s="8">
        <v>0.192</v>
      </c>
      <c r="W362" s="8">
        <f t="shared" si="47"/>
        <v>0.192</v>
      </c>
      <c r="X362">
        <v>24</v>
      </c>
    </row>
    <row r="363" spans="1:24" x14ac:dyDescent="0.35">
      <c r="A363" s="4" t="s">
        <v>267</v>
      </c>
      <c r="B363" s="5" t="str">
        <f>IF(COUNTIF($A$2:A363,A363)=1,"Original","Duplicate")</f>
        <v>Original</v>
      </c>
      <c r="C363" s="7">
        <v>45502</v>
      </c>
      <c r="D363" s="7">
        <v>45504</v>
      </c>
      <c r="E363" s="7" t="str">
        <f t="shared" si="40"/>
        <v>Valid</v>
      </c>
      <c r="F363" s="7">
        <f t="shared" si="41"/>
        <v>45504</v>
      </c>
      <c r="G363">
        <f t="shared" si="42"/>
        <v>2</v>
      </c>
      <c r="H363" t="s">
        <v>648</v>
      </c>
      <c r="I363" t="s">
        <v>660</v>
      </c>
      <c r="J363" t="s">
        <v>700</v>
      </c>
      <c r="K363" t="str">
        <f t="shared" si="43"/>
        <v>New York</v>
      </c>
      <c r="L363" t="s">
        <v>702</v>
      </c>
      <c r="M363" t="s">
        <v>709</v>
      </c>
      <c r="N363" t="str">
        <f t="shared" si="44"/>
        <v>Marketplace</v>
      </c>
      <c r="O363" t="s">
        <v>714</v>
      </c>
      <c r="P363" t="str">
        <f t="shared" si="45"/>
        <v>I. Johnson</v>
      </c>
      <c r="Q363" t="s">
        <v>728</v>
      </c>
      <c r="R363" t="s">
        <v>987</v>
      </c>
      <c r="S363" s="23">
        <v>798.97</v>
      </c>
      <c r="T363" s="23">
        <v>1814.06</v>
      </c>
      <c r="U363" s="23">
        <f t="shared" si="46"/>
        <v>1814.06</v>
      </c>
      <c r="V363" s="8">
        <v>0.122</v>
      </c>
      <c r="W363" s="8">
        <f t="shared" si="47"/>
        <v>0.122</v>
      </c>
      <c r="X363">
        <v>16</v>
      </c>
    </row>
    <row r="364" spans="1:24" x14ac:dyDescent="0.35">
      <c r="A364" s="4" t="s">
        <v>607</v>
      </c>
      <c r="B364" s="5" t="str">
        <f>IF(COUNTIF($A$2:A364,A364)=1,"Original","Duplicate")</f>
        <v>Original</v>
      </c>
      <c r="C364" s="7">
        <v>45504</v>
      </c>
      <c r="D364" s="7">
        <v>45519</v>
      </c>
      <c r="E364" s="7" t="str">
        <f t="shared" si="40"/>
        <v>Valid</v>
      </c>
      <c r="F364" s="7">
        <f t="shared" si="41"/>
        <v>45519</v>
      </c>
      <c r="G364">
        <f t="shared" si="42"/>
        <v>15</v>
      </c>
      <c r="H364" t="s">
        <v>647</v>
      </c>
      <c r="I364" t="s">
        <v>652</v>
      </c>
      <c r="J364" t="s">
        <v>689</v>
      </c>
      <c r="K364" t="str">
        <f t="shared" si="43"/>
        <v>Tokyo</v>
      </c>
      <c r="L364" t="s">
        <v>701</v>
      </c>
      <c r="M364" t="s">
        <v>709</v>
      </c>
      <c r="N364" t="str">
        <f t="shared" si="44"/>
        <v>Marketplace</v>
      </c>
      <c r="O364" t="s">
        <v>721</v>
      </c>
      <c r="P364" t="str">
        <f t="shared" si="45"/>
        <v>F. Müller</v>
      </c>
      <c r="Q364" t="s">
        <v>732</v>
      </c>
      <c r="R364" t="s">
        <v>1325</v>
      </c>
      <c r="S364" s="23">
        <v>1252.52</v>
      </c>
      <c r="T364" s="23">
        <v>1417.24</v>
      </c>
      <c r="U364" s="23">
        <f t="shared" si="46"/>
        <v>1417.24</v>
      </c>
      <c r="V364" s="8">
        <v>0.192</v>
      </c>
      <c r="W364" s="8">
        <f t="shared" si="47"/>
        <v>0.192</v>
      </c>
      <c r="X364">
        <v>5</v>
      </c>
    </row>
    <row r="365" spans="1:24" x14ac:dyDescent="0.35">
      <c r="A365" s="4" t="s">
        <v>598</v>
      </c>
      <c r="B365" s="5" t="str">
        <f>IF(COUNTIF($A$2:A365,A365)=1,"Original","Duplicate")</f>
        <v>Original</v>
      </c>
      <c r="C365" s="7">
        <v>45507</v>
      </c>
      <c r="D365" s="7">
        <v>45513</v>
      </c>
      <c r="E365" s="7" t="str">
        <f t="shared" si="40"/>
        <v>Valid</v>
      </c>
      <c r="F365" s="7">
        <f t="shared" si="41"/>
        <v>45513</v>
      </c>
      <c r="G365">
        <f t="shared" si="42"/>
        <v>6</v>
      </c>
      <c r="H365" t="s">
        <v>646</v>
      </c>
      <c r="I365" t="s">
        <v>650</v>
      </c>
      <c r="J365" t="s">
        <v>675</v>
      </c>
      <c r="K365" t="str">
        <f t="shared" si="43"/>
        <v>Mombasa</v>
      </c>
      <c r="L365" t="s">
        <v>704</v>
      </c>
      <c r="M365" t="s">
        <v>709</v>
      </c>
      <c r="N365" t="str">
        <f t="shared" si="44"/>
        <v>Marketplace</v>
      </c>
      <c r="O365" t="s">
        <v>722</v>
      </c>
      <c r="P365" t="str">
        <f t="shared" si="45"/>
        <v>H. Kim</v>
      </c>
      <c r="Q365" t="s">
        <v>731</v>
      </c>
      <c r="R365" t="s">
        <v>1316</v>
      </c>
      <c r="S365" s="23">
        <v>643.21</v>
      </c>
      <c r="T365" s="23">
        <v>1112.81</v>
      </c>
      <c r="U365" s="23">
        <f t="shared" si="46"/>
        <v>1112.81</v>
      </c>
      <c r="V365" s="8">
        <v>0.14099999999999999</v>
      </c>
      <c r="W365" s="8">
        <f t="shared" si="47"/>
        <v>0.14099999999999999</v>
      </c>
      <c r="X365">
        <v>4</v>
      </c>
    </row>
    <row r="366" spans="1:24" x14ac:dyDescent="0.35">
      <c r="A366" s="4" t="s">
        <v>509</v>
      </c>
      <c r="B366" s="5" t="str">
        <f>IF(COUNTIF($A$2:A366,A366)=1,"Original","Duplicate")</f>
        <v>Original</v>
      </c>
      <c r="C366" s="7">
        <v>45508</v>
      </c>
      <c r="D366" s="7">
        <v>45521</v>
      </c>
      <c r="E366" s="7" t="str">
        <f t="shared" si="40"/>
        <v>Valid</v>
      </c>
      <c r="F366" s="7">
        <f t="shared" si="41"/>
        <v>45521</v>
      </c>
      <c r="G366">
        <f t="shared" si="42"/>
        <v>13</v>
      </c>
      <c r="H366" t="s">
        <v>648</v>
      </c>
      <c r="I366" t="s">
        <v>660</v>
      </c>
      <c r="J366" t="s">
        <v>697</v>
      </c>
      <c r="K366" t="str">
        <f t="shared" si="43"/>
        <v>Austin</v>
      </c>
      <c r="L366" t="s">
        <v>704</v>
      </c>
      <c r="M366" t="s">
        <v>707</v>
      </c>
      <c r="N366" t="str">
        <f t="shared" si="44"/>
        <v>Retail</v>
      </c>
      <c r="O366" t="s">
        <v>726</v>
      </c>
      <c r="P366" t="str">
        <f t="shared" si="45"/>
        <v>D. Smith</v>
      </c>
      <c r="Q366" t="s">
        <v>732</v>
      </c>
      <c r="R366" t="s">
        <v>1228</v>
      </c>
      <c r="S366" s="23">
        <v>352.79</v>
      </c>
      <c r="T366" s="23">
        <v>754.22</v>
      </c>
      <c r="U366" s="23">
        <f t="shared" si="46"/>
        <v>754.22</v>
      </c>
      <c r="V366" s="8">
        <v>0.113</v>
      </c>
      <c r="W366" s="8">
        <f t="shared" si="47"/>
        <v>0.113</v>
      </c>
      <c r="X366">
        <v>7</v>
      </c>
    </row>
    <row r="367" spans="1:24" x14ac:dyDescent="0.35">
      <c r="A367" s="4" t="s">
        <v>170</v>
      </c>
      <c r="B367" s="5" t="str">
        <f>IF(COUNTIF($A$2:A367,A367)=1,"Original","Duplicate")</f>
        <v>Original</v>
      </c>
      <c r="C367" s="7">
        <v>45511</v>
      </c>
      <c r="D367" s="7">
        <v>45521</v>
      </c>
      <c r="E367" s="7" t="str">
        <f t="shared" si="40"/>
        <v>Valid</v>
      </c>
      <c r="F367" s="7">
        <f t="shared" si="41"/>
        <v>45521</v>
      </c>
      <c r="G367">
        <f t="shared" si="42"/>
        <v>10</v>
      </c>
      <c r="H367" t="s">
        <v>647</v>
      </c>
      <c r="I367" t="s">
        <v>652</v>
      </c>
      <c r="J367" t="s">
        <v>666</v>
      </c>
      <c r="K367" t="str">
        <f t="shared" si="43"/>
        <v>Osaka</v>
      </c>
      <c r="L367" t="s">
        <v>704</v>
      </c>
      <c r="M367" t="s">
        <v>708</v>
      </c>
      <c r="N367" t="str">
        <f t="shared" si="44"/>
        <v>Online</v>
      </c>
      <c r="O367" t="s">
        <v>723</v>
      </c>
      <c r="P367" t="str">
        <f t="shared" si="45"/>
        <v>K. Singh</v>
      </c>
      <c r="Q367" t="s">
        <v>729</v>
      </c>
      <c r="R367" t="s">
        <v>889</v>
      </c>
      <c r="S367" s="23">
        <v>436.58</v>
      </c>
      <c r="T367" s="23">
        <v>527.48</v>
      </c>
      <c r="U367" s="23">
        <f t="shared" si="46"/>
        <v>527.48</v>
      </c>
      <c r="V367" s="8">
        <v>0.111</v>
      </c>
      <c r="W367" s="8">
        <f t="shared" si="47"/>
        <v>0.111</v>
      </c>
      <c r="X367">
        <v>19</v>
      </c>
    </row>
    <row r="368" spans="1:24" x14ac:dyDescent="0.35">
      <c r="A368" s="4" t="s">
        <v>367</v>
      </c>
      <c r="B368" s="5" t="str">
        <f>IF(COUNTIF($A$2:A368,A368)=1,"Original","Duplicate")</f>
        <v>Original</v>
      </c>
      <c r="C368" s="7">
        <v>45512</v>
      </c>
      <c r="D368" s="7">
        <v>45524</v>
      </c>
      <c r="E368" s="7" t="str">
        <f t="shared" si="40"/>
        <v>Valid</v>
      </c>
      <c r="F368" s="7">
        <f t="shared" si="41"/>
        <v>45524</v>
      </c>
      <c r="G368">
        <f t="shared" si="42"/>
        <v>12</v>
      </c>
      <c r="H368" t="s">
        <v>647</v>
      </c>
      <c r="I368" t="s">
        <v>652</v>
      </c>
      <c r="J368" t="s">
        <v>666</v>
      </c>
      <c r="K368" t="str">
        <f t="shared" si="43"/>
        <v>Osaka</v>
      </c>
      <c r="L368" t="s">
        <v>705</v>
      </c>
      <c r="M368" t="s">
        <v>707</v>
      </c>
      <c r="N368" t="str">
        <f t="shared" si="44"/>
        <v>Retail</v>
      </c>
      <c r="O368" t="s">
        <v>722</v>
      </c>
      <c r="P368" t="str">
        <f t="shared" si="45"/>
        <v>H. Kim</v>
      </c>
      <c r="Q368" t="s">
        <v>729</v>
      </c>
      <c r="R368" t="s">
        <v>1087</v>
      </c>
      <c r="S368" s="23">
        <v>1233.3599999999999</v>
      </c>
      <c r="T368" s="23">
        <v>2120.4</v>
      </c>
      <c r="U368" s="23">
        <f t="shared" si="46"/>
        <v>2120.4</v>
      </c>
      <c r="V368" s="8">
        <v>0.17899999999999999</v>
      </c>
      <c r="W368" s="8">
        <f t="shared" si="47"/>
        <v>0.17899999999999999</v>
      </c>
      <c r="X368">
        <v>20</v>
      </c>
    </row>
    <row r="369" spans="1:24" x14ac:dyDescent="0.35">
      <c r="A369" s="4" t="s">
        <v>405</v>
      </c>
      <c r="B369" s="5" t="str">
        <f>IF(COUNTIF($A$2:A369,A369)=1,"Original","Duplicate")</f>
        <v>Original</v>
      </c>
      <c r="C369" s="7">
        <v>45514</v>
      </c>
      <c r="D369" s="7">
        <v>45542</v>
      </c>
      <c r="E369" s="7" t="str">
        <f t="shared" si="40"/>
        <v>Valid</v>
      </c>
      <c r="F369" s="7">
        <f t="shared" si="41"/>
        <v>45542</v>
      </c>
      <c r="G369">
        <f t="shared" si="42"/>
        <v>28</v>
      </c>
      <c r="H369" t="s">
        <v>649</v>
      </c>
      <c r="I369" t="s">
        <v>657</v>
      </c>
      <c r="J369" t="s">
        <v>673</v>
      </c>
      <c r="K369" t="str">
        <f t="shared" si="43"/>
        <v>Marseille</v>
      </c>
      <c r="L369" t="s">
        <v>703</v>
      </c>
      <c r="M369" t="s">
        <v>711</v>
      </c>
      <c r="N369" t="str">
        <f t="shared" si="44"/>
        <v>Direct</v>
      </c>
      <c r="O369" t="s">
        <v>721</v>
      </c>
      <c r="P369" t="str">
        <f t="shared" si="45"/>
        <v>F. Müller</v>
      </c>
      <c r="Q369" t="s">
        <v>728</v>
      </c>
      <c r="R369" t="s">
        <v>1124</v>
      </c>
      <c r="S369" s="23">
        <v>229.96</v>
      </c>
      <c r="T369" s="23">
        <v>564.26</v>
      </c>
      <c r="U369" s="23">
        <f t="shared" si="46"/>
        <v>564.26</v>
      </c>
      <c r="V369" s="8">
        <v>0.105</v>
      </c>
      <c r="W369" s="8">
        <f t="shared" si="47"/>
        <v>0.105</v>
      </c>
      <c r="X369">
        <v>5</v>
      </c>
    </row>
    <row r="370" spans="1:24" x14ac:dyDescent="0.35">
      <c r="A370" s="4" t="s">
        <v>206</v>
      </c>
      <c r="B370" s="5" t="str">
        <f>IF(COUNTIF($A$2:A370,A370)=1,"Original","Duplicate")</f>
        <v>Original</v>
      </c>
      <c r="C370" s="7">
        <v>45516</v>
      </c>
      <c r="D370" s="7">
        <v>45538</v>
      </c>
      <c r="E370" s="7" t="str">
        <f t="shared" si="40"/>
        <v>Valid</v>
      </c>
      <c r="F370" s="7">
        <f t="shared" si="41"/>
        <v>45538</v>
      </c>
      <c r="G370">
        <f t="shared" si="42"/>
        <v>22</v>
      </c>
      <c r="H370" t="s">
        <v>648</v>
      </c>
      <c r="I370" t="s">
        <v>660</v>
      </c>
      <c r="J370" t="s">
        <v>697</v>
      </c>
      <c r="K370" t="str">
        <f t="shared" si="43"/>
        <v>Austin</v>
      </c>
      <c r="L370" t="s">
        <v>704</v>
      </c>
      <c r="M370" t="s">
        <v>710</v>
      </c>
      <c r="N370" t="str">
        <f t="shared" si="44"/>
        <v>Distributor</v>
      </c>
      <c r="O370" t="s">
        <v>714</v>
      </c>
      <c r="P370" t="str">
        <f t="shared" si="45"/>
        <v>I. Johnson</v>
      </c>
      <c r="Q370" t="s">
        <v>731</v>
      </c>
      <c r="R370" t="s">
        <v>926</v>
      </c>
      <c r="S370" s="23">
        <v>797.8</v>
      </c>
      <c r="T370" s="23">
        <v>886.22</v>
      </c>
      <c r="U370" s="23">
        <f t="shared" si="46"/>
        <v>886.22</v>
      </c>
      <c r="V370" s="8">
        <v>0.23599999999999999</v>
      </c>
      <c r="W370" s="8">
        <f t="shared" si="47"/>
        <v>0.23599999999999999</v>
      </c>
      <c r="X370">
        <v>36</v>
      </c>
    </row>
    <row r="371" spans="1:24" x14ac:dyDescent="0.35">
      <c r="A371" s="4" t="s">
        <v>415</v>
      </c>
      <c r="B371" s="5" t="str">
        <f>IF(COUNTIF($A$2:A371,A371)=1,"Original","Duplicate")</f>
        <v>Original</v>
      </c>
      <c r="C371" s="7">
        <v>45516</v>
      </c>
      <c r="D371" s="7">
        <v>45519</v>
      </c>
      <c r="E371" s="7" t="str">
        <f t="shared" si="40"/>
        <v>Valid</v>
      </c>
      <c r="F371" s="7">
        <f t="shared" si="41"/>
        <v>45519</v>
      </c>
      <c r="G371">
        <f t="shared" si="42"/>
        <v>3</v>
      </c>
      <c r="H371" t="s">
        <v>648</v>
      </c>
      <c r="I371" t="s">
        <v>660</v>
      </c>
      <c r="J371" t="s">
        <v>677</v>
      </c>
      <c r="K371" t="str">
        <f t="shared" si="43"/>
        <v>Chicago</v>
      </c>
      <c r="L371" t="s">
        <v>701</v>
      </c>
      <c r="M371" t="s">
        <v>709</v>
      </c>
      <c r="N371" t="str">
        <f t="shared" si="44"/>
        <v>Marketplace</v>
      </c>
      <c r="O371" t="s">
        <v>726</v>
      </c>
      <c r="P371" t="str">
        <f t="shared" si="45"/>
        <v>D. Smith</v>
      </c>
      <c r="Q371" t="s">
        <v>728</v>
      </c>
      <c r="R371" t="s">
        <v>1134</v>
      </c>
      <c r="S371" s="23">
        <v>850.7</v>
      </c>
      <c r="T371" s="23">
        <v>1118.56</v>
      </c>
      <c r="U371" s="23">
        <f t="shared" si="46"/>
        <v>1118.56</v>
      </c>
      <c r="V371" s="8">
        <v>0.18</v>
      </c>
      <c r="W371" s="8">
        <f t="shared" si="47"/>
        <v>0.18</v>
      </c>
      <c r="X371">
        <v>19</v>
      </c>
    </row>
    <row r="372" spans="1:24" x14ac:dyDescent="0.35">
      <c r="A372" s="4" t="s">
        <v>122</v>
      </c>
      <c r="B372" s="5" t="str">
        <f>IF(COUNTIF($A$2:A372,A372)=1,"Original","Duplicate")</f>
        <v>Original</v>
      </c>
      <c r="C372" s="7">
        <v>45518</v>
      </c>
      <c r="D372" s="7">
        <v>45539</v>
      </c>
      <c r="E372" s="7" t="str">
        <f t="shared" si="40"/>
        <v>Valid</v>
      </c>
      <c r="F372" s="7">
        <f t="shared" si="41"/>
        <v>45539</v>
      </c>
      <c r="G372">
        <f t="shared" si="42"/>
        <v>21</v>
      </c>
      <c r="H372" t="s">
        <v>649</v>
      </c>
      <c r="I372" t="s">
        <v>658</v>
      </c>
      <c r="J372" t="s">
        <v>693</v>
      </c>
      <c r="K372" t="str">
        <f t="shared" si="43"/>
        <v>Manchester</v>
      </c>
      <c r="L372" t="s">
        <v>703</v>
      </c>
      <c r="M372" t="s">
        <v>708</v>
      </c>
      <c r="N372" t="str">
        <f t="shared" si="44"/>
        <v>Online</v>
      </c>
      <c r="O372" t="s">
        <v>713</v>
      </c>
      <c r="P372" t="str">
        <f t="shared" si="45"/>
        <v>J. Njeri</v>
      </c>
      <c r="Q372" t="s">
        <v>730</v>
      </c>
      <c r="R372" t="s">
        <v>841</v>
      </c>
      <c r="S372" s="23">
        <v>1138.8</v>
      </c>
      <c r="T372" s="23">
        <v>2250.81</v>
      </c>
      <c r="U372" s="23">
        <f t="shared" si="46"/>
        <v>2250.81</v>
      </c>
      <c r="V372" s="8">
        <v>0.123</v>
      </c>
      <c r="W372" s="8">
        <f t="shared" si="47"/>
        <v>0.123</v>
      </c>
      <c r="X372">
        <v>12</v>
      </c>
    </row>
    <row r="373" spans="1:24" x14ac:dyDescent="0.35">
      <c r="A373" s="4" t="s">
        <v>551</v>
      </c>
      <c r="B373" s="5" t="str">
        <f>IF(COUNTIF($A$2:A373,A373)=1,"Original","Duplicate")</f>
        <v>Original</v>
      </c>
      <c r="C373" s="7">
        <v>45520</v>
      </c>
      <c r="D373" s="7">
        <v>45530</v>
      </c>
      <c r="E373" s="7" t="str">
        <f t="shared" si="40"/>
        <v>Valid</v>
      </c>
      <c r="F373" s="7">
        <f t="shared" si="41"/>
        <v>45530</v>
      </c>
      <c r="G373">
        <f t="shared" si="42"/>
        <v>10</v>
      </c>
      <c r="H373" t="s">
        <v>648</v>
      </c>
      <c r="I373" t="s">
        <v>660</v>
      </c>
      <c r="J373" t="s">
        <v>677</v>
      </c>
      <c r="K373" t="str">
        <f t="shared" si="43"/>
        <v>Chicago</v>
      </c>
      <c r="L373" t="s">
        <v>701</v>
      </c>
      <c r="M373" t="s">
        <v>710</v>
      </c>
      <c r="N373" t="str">
        <f t="shared" si="44"/>
        <v>Distributor</v>
      </c>
      <c r="O373" t="s">
        <v>716</v>
      </c>
      <c r="P373" t="str">
        <f t="shared" si="45"/>
        <v>L. Okafor</v>
      </c>
      <c r="Q373" t="s">
        <v>731</v>
      </c>
      <c r="R373" t="s">
        <v>1121</v>
      </c>
      <c r="S373" s="23">
        <v>1291.7</v>
      </c>
      <c r="T373" s="23">
        <v>2657.84</v>
      </c>
      <c r="U373" s="23">
        <f t="shared" si="46"/>
        <v>2657.84</v>
      </c>
      <c r="V373" s="8">
        <v>8.6999999999999994E-2</v>
      </c>
      <c r="W373" s="8">
        <f t="shared" si="47"/>
        <v>8.6999999999999994E-2</v>
      </c>
      <c r="X373">
        <v>21</v>
      </c>
    </row>
    <row r="374" spans="1:24" x14ac:dyDescent="0.35">
      <c r="A374" s="4" t="s">
        <v>613</v>
      </c>
      <c r="B374" s="5" t="str">
        <f>IF(COUNTIF($A$2:A374,A374)=1,"Original","Duplicate")</f>
        <v>Original</v>
      </c>
      <c r="C374" s="7">
        <v>45521</v>
      </c>
      <c r="D374" s="7">
        <v>45519</v>
      </c>
      <c r="E374" s="7" t="str">
        <f t="shared" si="40"/>
        <v>Invalid</v>
      </c>
      <c r="F374" s="7">
        <f t="shared" si="41"/>
        <v>45527</v>
      </c>
      <c r="G374">
        <f t="shared" si="42"/>
        <v>6</v>
      </c>
      <c r="H374" t="s">
        <v>648</v>
      </c>
      <c r="I374" t="s">
        <v>655</v>
      </c>
      <c r="J374" t="s">
        <v>692</v>
      </c>
      <c r="K374" t="str">
        <f t="shared" si="43"/>
        <v>Rio de Janeiro</v>
      </c>
      <c r="L374" t="s">
        <v>704</v>
      </c>
      <c r="M374" t="s">
        <v>711</v>
      </c>
      <c r="N374" t="str">
        <f t="shared" si="44"/>
        <v>Direct</v>
      </c>
      <c r="O374" t="s">
        <v>724</v>
      </c>
      <c r="P374" t="str">
        <f t="shared" si="45"/>
        <v>M. Rossi</v>
      </c>
      <c r="Q374" t="s">
        <v>732</v>
      </c>
      <c r="R374" t="s">
        <v>1331</v>
      </c>
      <c r="S374" s="23">
        <v>165.3</v>
      </c>
      <c r="T374" s="23">
        <v>275.07</v>
      </c>
      <c r="U374" s="23">
        <f t="shared" si="46"/>
        <v>275.07</v>
      </c>
      <c r="V374" s="8">
        <v>0.13300000000000001</v>
      </c>
      <c r="W374" s="8">
        <f t="shared" si="47"/>
        <v>0.13300000000000001</v>
      </c>
      <c r="X374">
        <v>25</v>
      </c>
    </row>
    <row r="375" spans="1:24" x14ac:dyDescent="0.35">
      <c r="A375" s="4" t="s">
        <v>441</v>
      </c>
      <c r="B375" s="5" t="str">
        <f>IF(COUNTIF($A$2:A375,A375)=1,"Original","Duplicate")</f>
        <v>Original</v>
      </c>
      <c r="C375" s="7">
        <v>45522</v>
      </c>
      <c r="D375" s="7">
        <v>45547</v>
      </c>
      <c r="E375" s="7" t="str">
        <f t="shared" si="40"/>
        <v>Valid</v>
      </c>
      <c r="F375" s="7">
        <f t="shared" si="41"/>
        <v>45547</v>
      </c>
      <c r="G375">
        <f t="shared" si="42"/>
        <v>25</v>
      </c>
      <c r="H375" t="s">
        <v>647</v>
      </c>
      <c r="I375" t="s">
        <v>654</v>
      </c>
      <c r="J375" t="s">
        <v>691</v>
      </c>
      <c r="K375" t="str">
        <f t="shared" si="43"/>
        <v>Mumbai</v>
      </c>
      <c r="L375" t="s">
        <v>704</v>
      </c>
      <c r="M375" t="s">
        <v>709</v>
      </c>
      <c r="N375" t="str">
        <f t="shared" si="44"/>
        <v>Marketplace</v>
      </c>
      <c r="O375" t="s">
        <v>712</v>
      </c>
      <c r="P375" t="str">
        <f t="shared" si="45"/>
        <v>C. Otieno</v>
      </c>
      <c r="Q375" t="s">
        <v>730</v>
      </c>
      <c r="R375" t="s">
        <v>1160</v>
      </c>
      <c r="S375" s="23">
        <v>1154.03</v>
      </c>
      <c r="T375" s="23">
        <v>1590.36</v>
      </c>
      <c r="U375" s="23">
        <f t="shared" si="46"/>
        <v>1590.36</v>
      </c>
      <c r="V375" s="8">
        <v>0.314</v>
      </c>
      <c r="W375" s="8">
        <f t="shared" si="47"/>
        <v>0.3</v>
      </c>
      <c r="X375">
        <v>18</v>
      </c>
    </row>
    <row r="376" spans="1:24" x14ac:dyDescent="0.35">
      <c r="A376" s="4" t="s">
        <v>505</v>
      </c>
      <c r="B376" s="5" t="str">
        <f>IF(COUNTIF($A$2:A376,A376)=1,"Original","Duplicate")</f>
        <v>Original</v>
      </c>
      <c r="C376" s="7">
        <v>45523</v>
      </c>
      <c r="D376" s="7">
        <v>45542</v>
      </c>
      <c r="E376" s="7" t="str">
        <f t="shared" si="40"/>
        <v>Valid</v>
      </c>
      <c r="F376" s="7">
        <f t="shared" si="41"/>
        <v>45542</v>
      </c>
      <c r="G376">
        <f t="shared" si="42"/>
        <v>19</v>
      </c>
      <c r="H376" t="s">
        <v>649</v>
      </c>
      <c r="I376" t="s">
        <v>657</v>
      </c>
      <c r="J376" t="s">
        <v>679</v>
      </c>
      <c r="K376" t="str">
        <f t="shared" si="43"/>
        <v>Lyon</v>
      </c>
      <c r="L376" t="s">
        <v>701</v>
      </c>
      <c r="M376" t="s">
        <v>711</v>
      </c>
      <c r="N376" t="str">
        <f t="shared" si="44"/>
        <v>Direct</v>
      </c>
      <c r="O376" t="s">
        <v>713</v>
      </c>
      <c r="P376" t="str">
        <f t="shared" si="45"/>
        <v>J. Njeri</v>
      </c>
      <c r="Q376" t="s">
        <v>727</v>
      </c>
      <c r="R376" t="s">
        <v>1224</v>
      </c>
      <c r="S376" s="23">
        <v>297.58999999999997</v>
      </c>
      <c r="T376" s="23">
        <v>666.41</v>
      </c>
      <c r="U376" s="23">
        <f t="shared" si="46"/>
        <v>666.41</v>
      </c>
      <c r="V376" s="8">
        <v>0</v>
      </c>
      <c r="W376" s="8">
        <f t="shared" si="47"/>
        <v>0</v>
      </c>
      <c r="X376">
        <v>10</v>
      </c>
    </row>
    <row r="377" spans="1:24" x14ac:dyDescent="0.35">
      <c r="A377" s="4" t="s">
        <v>615</v>
      </c>
      <c r="B377" s="5" t="str">
        <f>IF(COUNTIF($A$2:A377,A377)=1,"Original","Duplicate")</f>
        <v>Original</v>
      </c>
      <c r="C377" s="7">
        <v>45523</v>
      </c>
      <c r="D377" s="7">
        <v>45537</v>
      </c>
      <c r="E377" s="7" t="str">
        <f t="shared" si="40"/>
        <v>Valid</v>
      </c>
      <c r="F377" s="7">
        <f t="shared" si="41"/>
        <v>45537</v>
      </c>
      <c r="G377">
        <f t="shared" si="42"/>
        <v>14</v>
      </c>
      <c r="H377" t="s">
        <v>648</v>
      </c>
      <c r="I377" t="s">
        <v>653</v>
      </c>
      <c r="J377" t="s">
        <v>667</v>
      </c>
      <c r="K377" t="str">
        <f t="shared" si="43"/>
        <v>Toronto</v>
      </c>
      <c r="L377" t="s">
        <v>704</v>
      </c>
      <c r="M377" t="s">
        <v>710</v>
      </c>
      <c r="N377" t="str">
        <f t="shared" si="44"/>
        <v>Distributor</v>
      </c>
      <c r="O377" t="s">
        <v>712</v>
      </c>
      <c r="P377" t="str">
        <f t="shared" si="45"/>
        <v>C. Otieno</v>
      </c>
      <c r="Q377" t="s">
        <v>728</v>
      </c>
      <c r="R377" t="s">
        <v>1333</v>
      </c>
      <c r="S377" s="23">
        <v>1337.01</v>
      </c>
      <c r="T377" s="23">
        <v>1269.78</v>
      </c>
      <c r="U377" s="23">
        <f t="shared" si="46"/>
        <v>1269.78</v>
      </c>
      <c r="V377" s="8">
        <v>0.16</v>
      </c>
      <c r="W377" s="8">
        <f t="shared" si="47"/>
        <v>0.16</v>
      </c>
      <c r="X377">
        <v>7</v>
      </c>
    </row>
    <row r="378" spans="1:24" x14ac:dyDescent="0.35">
      <c r="A378" s="4" t="s">
        <v>457</v>
      </c>
      <c r="B378" s="5" t="str">
        <f>IF(COUNTIF($A$2:A378,A378)=1,"Original","Duplicate")</f>
        <v>Original</v>
      </c>
      <c r="C378" s="7">
        <v>45526</v>
      </c>
      <c r="D378" s="7">
        <v>45539</v>
      </c>
      <c r="E378" s="7" t="str">
        <f t="shared" si="40"/>
        <v>Valid</v>
      </c>
      <c r="F378" s="7">
        <f t="shared" si="41"/>
        <v>45539</v>
      </c>
      <c r="G378">
        <f t="shared" si="42"/>
        <v>13</v>
      </c>
      <c r="H378" t="s">
        <v>649</v>
      </c>
      <c r="I378" t="s">
        <v>656</v>
      </c>
      <c r="J378" t="s">
        <v>698</v>
      </c>
      <c r="K378" t="str">
        <f t="shared" si="43"/>
        <v>Frankfurt</v>
      </c>
      <c r="L378" t="s">
        <v>703</v>
      </c>
      <c r="M378" t="s">
        <v>707</v>
      </c>
      <c r="N378" t="str">
        <f t="shared" si="44"/>
        <v>Retail</v>
      </c>
      <c r="O378" t="s">
        <v>716</v>
      </c>
      <c r="P378" t="str">
        <f t="shared" si="45"/>
        <v>L. Okafor</v>
      </c>
      <c r="Q378" t="s">
        <v>728</v>
      </c>
      <c r="R378" t="s">
        <v>1176</v>
      </c>
      <c r="S378" s="23">
        <v>90.04</v>
      </c>
      <c r="T378" s="23">
        <v>194.62</v>
      </c>
      <c r="U378" s="23">
        <f t="shared" si="46"/>
        <v>194.62</v>
      </c>
      <c r="V378" s="8">
        <v>4.2999999999999997E-2</v>
      </c>
      <c r="W378" s="8">
        <f t="shared" si="47"/>
        <v>4.2999999999999997E-2</v>
      </c>
      <c r="X378">
        <v>32</v>
      </c>
    </row>
    <row r="379" spans="1:24" x14ac:dyDescent="0.35">
      <c r="A379" s="4" t="s">
        <v>49</v>
      </c>
      <c r="B379" s="5" t="str">
        <f>IF(COUNTIF($A$2:A379,A379)=1,"Original","Duplicate")</f>
        <v>Original</v>
      </c>
      <c r="C379" s="7">
        <v>45527</v>
      </c>
      <c r="D379" s="7">
        <v>45525</v>
      </c>
      <c r="E379" s="7" t="str">
        <f t="shared" si="40"/>
        <v>Invalid</v>
      </c>
      <c r="F379" s="7">
        <f t="shared" si="41"/>
        <v>45534</v>
      </c>
      <c r="G379">
        <f t="shared" si="42"/>
        <v>7</v>
      </c>
      <c r="H379" t="s">
        <v>646</v>
      </c>
      <c r="I379" t="s">
        <v>661</v>
      </c>
      <c r="J379" t="s">
        <v>682</v>
      </c>
      <c r="K379" t="str">
        <f t="shared" si="43"/>
        <v>Johannesburg</v>
      </c>
      <c r="L379" t="s">
        <v>702</v>
      </c>
      <c r="M379" t="s">
        <v>707</v>
      </c>
      <c r="N379" t="str">
        <f t="shared" si="44"/>
        <v>Retail</v>
      </c>
      <c r="O379" t="s">
        <v>718</v>
      </c>
      <c r="P379" t="str">
        <f t="shared" si="45"/>
        <v>E. Garcia</v>
      </c>
      <c r="Q379" t="s">
        <v>727</v>
      </c>
      <c r="R379" t="s">
        <v>768</v>
      </c>
      <c r="S379" s="23">
        <v>1432.52</v>
      </c>
      <c r="T379" s="23">
        <v>3036.87</v>
      </c>
      <c r="U379" s="23">
        <f t="shared" si="46"/>
        <v>3036.87</v>
      </c>
      <c r="V379" s="8">
        <v>0</v>
      </c>
      <c r="W379" s="8">
        <f t="shared" si="47"/>
        <v>0</v>
      </c>
      <c r="X379">
        <v>9</v>
      </c>
    </row>
    <row r="380" spans="1:24" x14ac:dyDescent="0.35">
      <c r="A380" s="4" t="s">
        <v>55</v>
      </c>
      <c r="B380" s="5" t="str">
        <f>IF(COUNTIF($A$2:A380,A380)=1,"Original","Duplicate")</f>
        <v>Original</v>
      </c>
      <c r="C380" s="7">
        <v>45531</v>
      </c>
      <c r="D380" s="7">
        <v>45554</v>
      </c>
      <c r="E380" s="7" t="str">
        <f t="shared" si="40"/>
        <v>Valid</v>
      </c>
      <c r="F380" s="7">
        <f t="shared" si="41"/>
        <v>45554</v>
      </c>
      <c r="G380">
        <f t="shared" si="42"/>
        <v>23</v>
      </c>
      <c r="H380" t="s">
        <v>649</v>
      </c>
      <c r="I380" t="s">
        <v>656</v>
      </c>
      <c r="J380" t="s">
        <v>671</v>
      </c>
      <c r="K380" t="str">
        <f t="shared" si="43"/>
        <v>Berlin</v>
      </c>
      <c r="L380" t="s">
        <v>705</v>
      </c>
      <c r="M380" t="s">
        <v>711</v>
      </c>
      <c r="N380" t="str">
        <f t="shared" si="44"/>
        <v>Direct</v>
      </c>
      <c r="O380" t="s">
        <v>726</v>
      </c>
      <c r="P380" t="str">
        <f t="shared" si="45"/>
        <v>D. Smith</v>
      </c>
      <c r="Q380" t="s">
        <v>732</v>
      </c>
      <c r="R380" t="s">
        <v>774</v>
      </c>
      <c r="S380" s="23">
        <v>1024.01</v>
      </c>
      <c r="T380" s="23">
        <v>1580.97</v>
      </c>
      <c r="U380" s="23">
        <f t="shared" si="46"/>
        <v>1580.97</v>
      </c>
      <c r="V380" s="8">
        <v>3.6999999999999998E-2</v>
      </c>
      <c r="W380" s="8">
        <f t="shared" si="47"/>
        <v>3.6999999999999998E-2</v>
      </c>
      <c r="X380">
        <v>27</v>
      </c>
    </row>
    <row r="381" spans="1:24" x14ac:dyDescent="0.35">
      <c r="A381" s="4" t="s">
        <v>172</v>
      </c>
      <c r="B381" s="5" t="str">
        <f>IF(COUNTIF($A$2:A381,A381)=1,"Original","Duplicate")</f>
        <v>Original</v>
      </c>
      <c r="C381" s="7">
        <v>45531</v>
      </c>
      <c r="D381" s="7">
        <v>45553</v>
      </c>
      <c r="E381" s="7" t="str">
        <f t="shared" si="40"/>
        <v>Valid</v>
      </c>
      <c r="F381" s="7">
        <f t="shared" si="41"/>
        <v>45553</v>
      </c>
      <c r="G381">
        <f t="shared" si="42"/>
        <v>22</v>
      </c>
      <c r="H381" t="s">
        <v>647</v>
      </c>
      <c r="I381" t="s">
        <v>654</v>
      </c>
      <c r="J381" t="s">
        <v>680</v>
      </c>
      <c r="K381" t="str">
        <f t="shared" si="43"/>
        <v>Delhi</v>
      </c>
      <c r="L381" t="s">
        <v>704</v>
      </c>
      <c r="M381" t="s">
        <v>711</v>
      </c>
      <c r="N381" t="str">
        <f t="shared" si="44"/>
        <v>Direct</v>
      </c>
      <c r="O381" t="s">
        <v>717</v>
      </c>
      <c r="P381" t="str">
        <f t="shared" si="45"/>
        <v>B. Chen</v>
      </c>
      <c r="Q381" t="s">
        <v>727</v>
      </c>
      <c r="R381" t="s">
        <v>891</v>
      </c>
      <c r="S381" s="23">
        <v>896.75</v>
      </c>
      <c r="T381" s="23">
        <v>1651.14</v>
      </c>
      <c r="U381" s="23">
        <f t="shared" si="46"/>
        <v>1651.14</v>
      </c>
      <c r="V381" s="8">
        <v>2.5000000000000001E-2</v>
      </c>
      <c r="W381" s="8">
        <f t="shared" si="47"/>
        <v>2.5000000000000001E-2</v>
      </c>
      <c r="X381">
        <v>15</v>
      </c>
    </row>
    <row r="382" spans="1:24" x14ac:dyDescent="0.35">
      <c r="A382" s="4" t="s">
        <v>91</v>
      </c>
      <c r="B382" s="5" t="str">
        <f>IF(COUNTIF($A$2:A382,A382)=1,"Original","Duplicate")</f>
        <v>Original</v>
      </c>
      <c r="C382" s="7">
        <v>45532</v>
      </c>
      <c r="D382" s="7">
        <v>45560</v>
      </c>
      <c r="E382" s="7" t="str">
        <f t="shared" si="40"/>
        <v>Valid</v>
      </c>
      <c r="F382" s="7">
        <f t="shared" si="41"/>
        <v>45560</v>
      </c>
      <c r="G382">
        <f t="shared" si="42"/>
        <v>28</v>
      </c>
      <c r="H382" t="s">
        <v>648</v>
      </c>
      <c r="I382" t="s">
        <v>655</v>
      </c>
      <c r="J382" t="s">
        <v>692</v>
      </c>
      <c r="K382" t="str">
        <f t="shared" si="43"/>
        <v>Rio de Janeiro</v>
      </c>
      <c r="L382" t="s">
        <v>703</v>
      </c>
      <c r="M382" t="s">
        <v>708</v>
      </c>
      <c r="N382" t="str">
        <f t="shared" si="44"/>
        <v>Online</v>
      </c>
      <c r="P382" t="str">
        <f t="shared" si="45"/>
        <v>Unassigned</v>
      </c>
      <c r="Q382" t="s">
        <v>733</v>
      </c>
      <c r="R382" t="s">
        <v>810</v>
      </c>
      <c r="S382" s="23">
        <v>1394.65</v>
      </c>
      <c r="T382" s="23">
        <v>3144.1</v>
      </c>
      <c r="U382" s="23">
        <f t="shared" si="46"/>
        <v>3144.1</v>
      </c>
      <c r="V382" s="8">
        <v>0.13400000000000001</v>
      </c>
      <c r="W382" s="8">
        <f t="shared" si="47"/>
        <v>0.13400000000000001</v>
      </c>
      <c r="X382">
        <v>13</v>
      </c>
    </row>
    <row r="383" spans="1:24" x14ac:dyDescent="0.35">
      <c r="A383" s="4" t="s">
        <v>424</v>
      </c>
      <c r="B383" s="5" t="str">
        <f>IF(COUNTIF($A$2:A383,A383)=1,"Original","Duplicate")</f>
        <v>Original</v>
      </c>
      <c r="C383" s="7">
        <v>45534</v>
      </c>
      <c r="D383" s="7">
        <v>45540</v>
      </c>
      <c r="E383" s="7" t="str">
        <f t="shared" si="40"/>
        <v>Valid</v>
      </c>
      <c r="F383" s="7">
        <f t="shared" si="41"/>
        <v>45540</v>
      </c>
      <c r="G383">
        <f t="shared" si="42"/>
        <v>6</v>
      </c>
      <c r="H383" t="s">
        <v>647</v>
      </c>
      <c r="I383" t="s">
        <v>652</v>
      </c>
      <c r="J383" t="s">
        <v>694</v>
      </c>
      <c r="K383" t="str">
        <f t="shared" si="43"/>
        <v>Nagoya</v>
      </c>
      <c r="L383" t="s">
        <v>702</v>
      </c>
      <c r="M383" t="s">
        <v>708</v>
      </c>
      <c r="N383" t="str">
        <f t="shared" si="44"/>
        <v>Online</v>
      </c>
      <c r="O383" t="s">
        <v>725</v>
      </c>
      <c r="P383" t="str">
        <f t="shared" si="45"/>
        <v>N. Brown</v>
      </c>
      <c r="Q383" t="s">
        <v>731</v>
      </c>
      <c r="R383" t="s">
        <v>1143</v>
      </c>
      <c r="S383" s="23">
        <v>466.16</v>
      </c>
      <c r="T383" s="23">
        <v>876.81</v>
      </c>
      <c r="U383" s="23">
        <f t="shared" si="46"/>
        <v>876.81</v>
      </c>
      <c r="V383" s="8">
        <v>0.24099999999999999</v>
      </c>
      <c r="W383" s="8">
        <f t="shared" si="47"/>
        <v>0.24099999999999999</v>
      </c>
      <c r="X383">
        <v>8</v>
      </c>
    </row>
    <row r="384" spans="1:24" x14ac:dyDescent="0.35">
      <c r="A384" s="4" t="s">
        <v>569</v>
      </c>
      <c r="B384" s="5" t="str">
        <f>IF(COUNTIF($A$2:A384,A384)=1,"Original","Duplicate")</f>
        <v>Original</v>
      </c>
      <c r="C384" s="7">
        <v>45535</v>
      </c>
      <c r="D384" s="7">
        <v>45561</v>
      </c>
      <c r="E384" s="7" t="str">
        <f t="shared" si="40"/>
        <v>Valid</v>
      </c>
      <c r="F384" s="7">
        <f t="shared" si="41"/>
        <v>45561</v>
      </c>
      <c r="G384">
        <f t="shared" si="42"/>
        <v>26</v>
      </c>
      <c r="H384" t="s">
        <v>647</v>
      </c>
      <c r="I384" t="s">
        <v>652</v>
      </c>
      <c r="J384" t="s">
        <v>689</v>
      </c>
      <c r="K384" t="str">
        <f t="shared" si="43"/>
        <v>Tokyo</v>
      </c>
      <c r="L384" t="s">
        <v>702</v>
      </c>
      <c r="M384" t="s">
        <v>708</v>
      </c>
      <c r="N384" t="str">
        <f t="shared" si="44"/>
        <v>Online</v>
      </c>
      <c r="O384" t="s">
        <v>714</v>
      </c>
      <c r="P384" t="str">
        <f t="shared" si="45"/>
        <v>I. Johnson</v>
      </c>
      <c r="Q384" t="s">
        <v>730</v>
      </c>
      <c r="R384" t="s">
        <v>1287</v>
      </c>
      <c r="S384" s="23">
        <v>1189.03</v>
      </c>
      <c r="T384" s="23">
        <v>2949.62</v>
      </c>
      <c r="U384" s="23">
        <f t="shared" si="46"/>
        <v>2949.62</v>
      </c>
      <c r="V384" s="8">
        <v>0.125</v>
      </c>
      <c r="W384" s="8">
        <f t="shared" si="47"/>
        <v>0.125</v>
      </c>
      <c r="X384">
        <v>13</v>
      </c>
    </row>
    <row r="385" spans="1:24" x14ac:dyDescent="0.35">
      <c r="A385" s="4" t="s">
        <v>264</v>
      </c>
      <c r="B385" s="5" t="str">
        <f>IF(COUNTIF($A$2:A385,A385)=1,"Original","Duplicate")</f>
        <v>Original</v>
      </c>
      <c r="C385" s="7">
        <v>45537</v>
      </c>
      <c r="D385" s="7">
        <v>45543</v>
      </c>
      <c r="E385" s="7" t="str">
        <f t="shared" si="40"/>
        <v>Valid</v>
      </c>
      <c r="F385" s="7">
        <f t="shared" si="41"/>
        <v>45543</v>
      </c>
      <c r="G385">
        <f t="shared" si="42"/>
        <v>6</v>
      </c>
      <c r="H385" t="s">
        <v>648</v>
      </c>
      <c r="I385" t="s">
        <v>660</v>
      </c>
      <c r="J385" t="s">
        <v>697</v>
      </c>
      <c r="K385" t="str">
        <f t="shared" si="43"/>
        <v>Austin</v>
      </c>
      <c r="L385" t="s">
        <v>704</v>
      </c>
      <c r="M385" t="s">
        <v>711</v>
      </c>
      <c r="N385" t="str">
        <f t="shared" si="44"/>
        <v>Direct</v>
      </c>
      <c r="O385" t="s">
        <v>722</v>
      </c>
      <c r="P385" t="str">
        <f t="shared" si="45"/>
        <v>H. Kim</v>
      </c>
      <c r="Q385" t="s">
        <v>727</v>
      </c>
      <c r="R385" t="s">
        <v>984</v>
      </c>
      <c r="S385" s="23">
        <v>462.94</v>
      </c>
      <c r="T385" s="23">
        <v>1015.7</v>
      </c>
      <c r="U385" s="23">
        <f t="shared" si="46"/>
        <v>1015.7</v>
      </c>
      <c r="V385" s="8">
        <v>0.14299999999999999</v>
      </c>
      <c r="W385" s="8">
        <f t="shared" si="47"/>
        <v>0.14299999999999999</v>
      </c>
      <c r="X385">
        <v>14</v>
      </c>
    </row>
    <row r="386" spans="1:24" x14ac:dyDescent="0.35">
      <c r="A386" s="4" t="s">
        <v>246</v>
      </c>
      <c r="B386" s="5" t="str">
        <f>IF(COUNTIF($A$2:A386,A386)=1,"Original","Duplicate")</f>
        <v>Original</v>
      </c>
      <c r="C386" s="7">
        <v>45538</v>
      </c>
      <c r="D386" s="7">
        <v>45543</v>
      </c>
      <c r="E386" s="7" t="str">
        <f t="shared" si="40"/>
        <v>Valid</v>
      </c>
      <c r="F386" s="7">
        <f t="shared" si="41"/>
        <v>45543</v>
      </c>
      <c r="G386">
        <f t="shared" si="42"/>
        <v>5</v>
      </c>
      <c r="H386" t="s">
        <v>646</v>
      </c>
      <c r="I386" t="s">
        <v>651</v>
      </c>
      <c r="J386" t="s">
        <v>665</v>
      </c>
      <c r="K386" t="str">
        <f t="shared" si="43"/>
        <v>Lagos</v>
      </c>
      <c r="L386" t="s">
        <v>705</v>
      </c>
      <c r="M386" t="s">
        <v>711</v>
      </c>
      <c r="N386" t="str">
        <f t="shared" si="44"/>
        <v>Direct</v>
      </c>
      <c r="O386" t="s">
        <v>723</v>
      </c>
      <c r="P386" t="str">
        <f t="shared" si="45"/>
        <v>K. Singh</v>
      </c>
      <c r="Q386" t="s">
        <v>728</v>
      </c>
      <c r="R386" t="s">
        <v>966</v>
      </c>
      <c r="S386" s="23">
        <v>197.63</v>
      </c>
      <c r="T386" s="23">
        <v>325.79000000000002</v>
      </c>
      <c r="U386" s="23">
        <f t="shared" si="46"/>
        <v>325.79000000000002</v>
      </c>
      <c r="V386" s="8">
        <v>0.11600000000000001</v>
      </c>
      <c r="W386" s="8">
        <f t="shared" si="47"/>
        <v>0.11600000000000001</v>
      </c>
      <c r="X386">
        <v>10</v>
      </c>
    </row>
    <row r="387" spans="1:24" x14ac:dyDescent="0.35">
      <c r="A387" s="4" t="s">
        <v>495</v>
      </c>
      <c r="B387" s="5" t="str">
        <f>IF(COUNTIF($A$2:A387,A387)=1,"Original","Duplicate")</f>
        <v>Original</v>
      </c>
      <c r="C387" s="7">
        <v>45538</v>
      </c>
      <c r="D387" s="7">
        <v>45542</v>
      </c>
      <c r="E387" s="7" t="str">
        <f t="shared" ref="E387:E450" si="48">IF(D387&lt;C387,"Invalid","Valid")</f>
        <v>Valid</v>
      </c>
      <c r="F387" s="7">
        <f t="shared" ref="F387:F450" si="49">IF(D387&gt;C387,D387,WORKDAY(C387,5))</f>
        <v>45542</v>
      </c>
      <c r="G387">
        <f t="shared" ref="G387:G450" si="50">F387-C387</f>
        <v>4</v>
      </c>
      <c r="H387" t="s">
        <v>647</v>
      </c>
      <c r="I387" t="s">
        <v>652</v>
      </c>
      <c r="J387" t="s">
        <v>689</v>
      </c>
      <c r="K387" t="str">
        <f t="shared" ref="K387:K450" si="51">IF(J387="", "Unknown", J387)</f>
        <v>Tokyo</v>
      </c>
      <c r="L387" t="s">
        <v>705</v>
      </c>
      <c r="M387" t="s">
        <v>710</v>
      </c>
      <c r="N387" t="str">
        <f t="shared" ref="N387:N450" si="52">IF(M387="", "Unknown", M387)</f>
        <v>Distributor</v>
      </c>
      <c r="O387" t="s">
        <v>725</v>
      </c>
      <c r="P387" t="str">
        <f t="shared" ref="P387:P450" si="53">IF(O387="","Unassigned",O387)</f>
        <v>N. Brown</v>
      </c>
      <c r="Q387" t="s">
        <v>728</v>
      </c>
      <c r="R387" t="s">
        <v>1214</v>
      </c>
      <c r="S387" s="23">
        <v>43.23</v>
      </c>
      <c r="T387" s="23">
        <v>94.78</v>
      </c>
      <c r="U387" s="23">
        <f t="shared" ref="U387:U450" si="54">IF(T387&gt;0,T387,S387*1.2)</f>
        <v>94.78</v>
      </c>
      <c r="V387" s="8">
        <v>9.0999999999999998E-2</v>
      </c>
      <c r="W387" s="8">
        <f t="shared" ref="W387:W450" si="55">IF(V387&lt;0.3,V387,0.3)</f>
        <v>9.0999999999999998E-2</v>
      </c>
      <c r="X387">
        <v>55</v>
      </c>
    </row>
    <row r="388" spans="1:24" x14ac:dyDescent="0.35">
      <c r="A388" s="4" t="s">
        <v>247</v>
      </c>
      <c r="B388" s="5" t="str">
        <f>IF(COUNTIF($A$2:A388,A388)=1,"Original","Duplicate")</f>
        <v>Original</v>
      </c>
      <c r="C388" s="7">
        <v>45540</v>
      </c>
      <c r="D388" s="7">
        <v>45560</v>
      </c>
      <c r="E388" s="7" t="str">
        <f t="shared" si="48"/>
        <v>Valid</v>
      </c>
      <c r="F388" s="7">
        <f t="shared" si="49"/>
        <v>45560</v>
      </c>
      <c r="G388">
        <f t="shared" si="50"/>
        <v>20</v>
      </c>
      <c r="H388" t="s">
        <v>647</v>
      </c>
      <c r="I388" t="s">
        <v>652</v>
      </c>
      <c r="J388" t="s">
        <v>666</v>
      </c>
      <c r="K388" t="str">
        <f t="shared" si="51"/>
        <v>Osaka</v>
      </c>
      <c r="L388" t="s">
        <v>706</v>
      </c>
      <c r="M388" t="s">
        <v>710</v>
      </c>
      <c r="N388" t="str">
        <f t="shared" si="52"/>
        <v>Distributor</v>
      </c>
      <c r="O388" t="s">
        <v>726</v>
      </c>
      <c r="P388" t="str">
        <f t="shared" si="53"/>
        <v>D. Smith</v>
      </c>
      <c r="Q388" t="s">
        <v>732</v>
      </c>
      <c r="R388" t="s">
        <v>967</v>
      </c>
      <c r="S388" s="23">
        <v>195.54</v>
      </c>
      <c r="T388" s="23">
        <v>405.97</v>
      </c>
      <c r="U388" s="23">
        <f t="shared" si="54"/>
        <v>405.97</v>
      </c>
      <c r="V388" s="8">
        <v>0.187</v>
      </c>
      <c r="W388" s="8">
        <f t="shared" si="55"/>
        <v>0.187</v>
      </c>
      <c r="X388">
        <v>16</v>
      </c>
    </row>
    <row r="389" spans="1:24" x14ac:dyDescent="0.35">
      <c r="A389" s="4" t="s">
        <v>413</v>
      </c>
      <c r="B389" s="5" t="str">
        <f>IF(COUNTIF($A$2:A389,A389)=1,"Original","Duplicate")</f>
        <v>Original</v>
      </c>
      <c r="C389" s="7">
        <v>45541</v>
      </c>
      <c r="D389" s="7">
        <v>45569</v>
      </c>
      <c r="E389" s="7" t="str">
        <f t="shared" si="48"/>
        <v>Valid</v>
      </c>
      <c r="F389" s="7">
        <f t="shared" si="49"/>
        <v>45569</v>
      </c>
      <c r="G389">
        <f t="shared" si="50"/>
        <v>28</v>
      </c>
      <c r="H389" t="s">
        <v>646</v>
      </c>
      <c r="I389" t="s">
        <v>661</v>
      </c>
      <c r="J389" t="s">
        <v>695</v>
      </c>
      <c r="K389" t="str">
        <f t="shared" si="51"/>
        <v>Cape Town</v>
      </c>
      <c r="L389" t="s">
        <v>701</v>
      </c>
      <c r="M389" t="s">
        <v>709</v>
      </c>
      <c r="N389" t="str">
        <f t="shared" si="52"/>
        <v>Marketplace</v>
      </c>
      <c r="O389" t="s">
        <v>726</v>
      </c>
      <c r="P389" t="str">
        <f t="shared" si="53"/>
        <v>D. Smith</v>
      </c>
      <c r="Q389" t="s">
        <v>732</v>
      </c>
      <c r="R389" t="s">
        <v>1132</v>
      </c>
      <c r="S389" s="23">
        <v>1174.17</v>
      </c>
      <c r="T389" s="23">
        <v>1641.61</v>
      </c>
      <c r="U389" s="23">
        <f t="shared" si="54"/>
        <v>1641.61</v>
      </c>
      <c r="V389" s="8">
        <v>0.122</v>
      </c>
      <c r="W389" s="8">
        <f t="shared" si="55"/>
        <v>0.122</v>
      </c>
      <c r="X389">
        <v>9</v>
      </c>
    </row>
    <row r="390" spans="1:24" x14ac:dyDescent="0.35">
      <c r="A390" s="4" t="s">
        <v>597</v>
      </c>
      <c r="B390" s="5" t="str">
        <f>IF(COUNTIF($A$2:A390,A390)=1,"Original","Duplicate")</f>
        <v>Original</v>
      </c>
      <c r="C390" s="7">
        <v>45541</v>
      </c>
      <c r="D390" s="7">
        <v>45539</v>
      </c>
      <c r="E390" s="7" t="str">
        <f t="shared" si="48"/>
        <v>Invalid</v>
      </c>
      <c r="F390" s="7">
        <f t="shared" si="49"/>
        <v>45548</v>
      </c>
      <c r="G390">
        <f t="shared" si="50"/>
        <v>7</v>
      </c>
      <c r="H390" t="s">
        <v>647</v>
      </c>
      <c r="I390" t="s">
        <v>652</v>
      </c>
      <c r="J390" t="s">
        <v>666</v>
      </c>
      <c r="K390" t="str">
        <f t="shared" si="51"/>
        <v>Osaka</v>
      </c>
      <c r="L390" t="s">
        <v>701</v>
      </c>
      <c r="M390" t="s">
        <v>711</v>
      </c>
      <c r="N390" t="str">
        <f t="shared" si="52"/>
        <v>Direct</v>
      </c>
      <c r="O390" t="s">
        <v>720</v>
      </c>
      <c r="P390" t="str">
        <f t="shared" si="53"/>
        <v>A. Patel</v>
      </c>
      <c r="Q390" t="s">
        <v>731</v>
      </c>
      <c r="R390" t="s">
        <v>1315</v>
      </c>
      <c r="S390" s="23">
        <v>1368.17</v>
      </c>
      <c r="T390" s="23">
        <v>2307.75</v>
      </c>
      <c r="U390" s="23">
        <f t="shared" si="54"/>
        <v>2307.75</v>
      </c>
      <c r="V390" s="8">
        <v>0.16300000000000001</v>
      </c>
      <c r="W390" s="8">
        <f t="shared" si="55"/>
        <v>0.16300000000000001</v>
      </c>
      <c r="X390">
        <v>21</v>
      </c>
    </row>
    <row r="391" spans="1:24" x14ac:dyDescent="0.35">
      <c r="A391" s="4" t="s">
        <v>301</v>
      </c>
      <c r="B391" s="5" t="str">
        <f>IF(COUNTIF($A$2:A391,A391)=1,"Original","Duplicate")</f>
        <v>Original</v>
      </c>
      <c r="C391" s="7">
        <v>45542</v>
      </c>
      <c r="D391" s="7">
        <v>45542</v>
      </c>
      <c r="E391" s="7" t="str">
        <f t="shared" si="48"/>
        <v>Valid</v>
      </c>
      <c r="F391" s="7">
        <f t="shared" si="49"/>
        <v>45548</v>
      </c>
      <c r="G391">
        <f t="shared" si="50"/>
        <v>6</v>
      </c>
      <c r="H391" t="s">
        <v>647</v>
      </c>
      <c r="I391" t="s">
        <v>654</v>
      </c>
      <c r="J391" t="s">
        <v>691</v>
      </c>
      <c r="K391" t="str">
        <f t="shared" si="51"/>
        <v>Mumbai</v>
      </c>
      <c r="L391" t="s">
        <v>702</v>
      </c>
      <c r="M391" t="s">
        <v>710</v>
      </c>
      <c r="N391" t="str">
        <f t="shared" si="52"/>
        <v>Distributor</v>
      </c>
      <c r="O391" t="s">
        <v>717</v>
      </c>
      <c r="P391" t="str">
        <f t="shared" si="53"/>
        <v>B. Chen</v>
      </c>
      <c r="Q391" t="s">
        <v>729</v>
      </c>
      <c r="R391" t="s">
        <v>1021</v>
      </c>
      <c r="S391" s="23">
        <v>1066.6500000000001</v>
      </c>
      <c r="T391" s="23">
        <v>2569.77</v>
      </c>
      <c r="U391" s="23">
        <f t="shared" si="54"/>
        <v>2569.77</v>
      </c>
      <c r="V391" s="8">
        <v>0.13400000000000001</v>
      </c>
      <c r="W391" s="8">
        <f t="shared" si="55"/>
        <v>0.13400000000000001</v>
      </c>
      <c r="X391">
        <v>9</v>
      </c>
    </row>
    <row r="392" spans="1:24" x14ac:dyDescent="0.35">
      <c r="A392" s="4" t="s">
        <v>448</v>
      </c>
      <c r="B392" s="5" t="str">
        <f>IF(COUNTIF($A$2:A392,A392)=1,"Original","Duplicate")</f>
        <v>Original</v>
      </c>
      <c r="C392" s="7">
        <v>45542</v>
      </c>
      <c r="D392" s="7">
        <v>45553</v>
      </c>
      <c r="E392" s="7" t="str">
        <f t="shared" si="48"/>
        <v>Valid</v>
      </c>
      <c r="F392" s="7">
        <f t="shared" si="49"/>
        <v>45553</v>
      </c>
      <c r="G392">
        <f t="shared" si="50"/>
        <v>11</v>
      </c>
      <c r="H392" t="s">
        <v>647</v>
      </c>
      <c r="I392" t="s">
        <v>659</v>
      </c>
      <c r="J392" t="s">
        <v>699</v>
      </c>
      <c r="K392" t="str">
        <f t="shared" si="51"/>
        <v>Beijing</v>
      </c>
      <c r="L392" t="s">
        <v>704</v>
      </c>
      <c r="M392" t="s">
        <v>710</v>
      </c>
      <c r="N392" t="str">
        <f t="shared" si="52"/>
        <v>Distributor</v>
      </c>
      <c r="O392" t="s">
        <v>719</v>
      </c>
      <c r="P392" t="str">
        <f t="shared" si="53"/>
        <v>O. Wang</v>
      </c>
      <c r="Q392" t="s">
        <v>729</v>
      </c>
      <c r="R392" t="s">
        <v>1167</v>
      </c>
      <c r="S392" s="23">
        <v>181.74</v>
      </c>
      <c r="T392" s="23">
        <v>190.84</v>
      </c>
      <c r="U392" s="23">
        <f t="shared" si="54"/>
        <v>190.84</v>
      </c>
      <c r="V392" s="8">
        <v>0.214</v>
      </c>
      <c r="W392" s="8">
        <f t="shared" si="55"/>
        <v>0.214</v>
      </c>
      <c r="X392">
        <v>13</v>
      </c>
    </row>
    <row r="393" spans="1:24" x14ac:dyDescent="0.35">
      <c r="A393" s="4" t="s">
        <v>226</v>
      </c>
      <c r="B393" s="5" t="str">
        <f>IF(COUNTIF($A$2:A393,A393)=1,"Original","Duplicate")</f>
        <v>Original</v>
      </c>
      <c r="C393" s="7">
        <v>45544</v>
      </c>
      <c r="D393" s="7">
        <v>45566</v>
      </c>
      <c r="E393" s="7" t="str">
        <f t="shared" si="48"/>
        <v>Valid</v>
      </c>
      <c r="F393" s="7">
        <f t="shared" si="49"/>
        <v>45566</v>
      </c>
      <c r="G393">
        <f t="shared" si="50"/>
        <v>22</v>
      </c>
      <c r="H393" t="s">
        <v>647</v>
      </c>
      <c r="I393" t="s">
        <v>659</v>
      </c>
      <c r="J393" t="s">
        <v>676</v>
      </c>
      <c r="K393" t="str">
        <f t="shared" si="51"/>
        <v>Shenzhen</v>
      </c>
      <c r="L393" t="s">
        <v>704</v>
      </c>
      <c r="M393" t="s">
        <v>711</v>
      </c>
      <c r="N393" t="str">
        <f t="shared" si="52"/>
        <v>Direct</v>
      </c>
      <c r="O393" t="s">
        <v>716</v>
      </c>
      <c r="P393" t="str">
        <f t="shared" si="53"/>
        <v>L. Okafor</v>
      </c>
      <c r="Q393" t="s">
        <v>728</v>
      </c>
      <c r="R393" t="s">
        <v>946</v>
      </c>
      <c r="S393" s="23">
        <v>1166.18</v>
      </c>
      <c r="T393" s="23">
        <v>1335.02</v>
      </c>
      <c r="U393" s="23">
        <f t="shared" si="54"/>
        <v>1335.02</v>
      </c>
      <c r="V393" s="8">
        <v>0.128</v>
      </c>
      <c r="W393" s="8">
        <f t="shared" si="55"/>
        <v>0.128</v>
      </c>
      <c r="X393">
        <v>6</v>
      </c>
    </row>
    <row r="394" spans="1:24" x14ac:dyDescent="0.35">
      <c r="A394" s="4" t="s">
        <v>338</v>
      </c>
      <c r="B394" s="5" t="str">
        <f>IF(COUNTIF($A$2:A394,A394)=1,"Original","Duplicate")</f>
        <v>Original</v>
      </c>
      <c r="C394" s="7">
        <v>45544</v>
      </c>
      <c r="D394" s="7">
        <v>45573</v>
      </c>
      <c r="E394" s="7" t="str">
        <f t="shared" si="48"/>
        <v>Valid</v>
      </c>
      <c r="F394" s="7">
        <f t="shared" si="49"/>
        <v>45573</v>
      </c>
      <c r="G394">
        <f t="shared" si="50"/>
        <v>29</v>
      </c>
      <c r="H394" t="s">
        <v>648</v>
      </c>
      <c r="I394" t="s">
        <v>655</v>
      </c>
      <c r="J394" t="s">
        <v>670</v>
      </c>
      <c r="K394" t="str">
        <f t="shared" si="51"/>
        <v>São Paulo</v>
      </c>
      <c r="L394" t="s">
        <v>702</v>
      </c>
      <c r="M394" t="s">
        <v>711</v>
      </c>
      <c r="N394" t="str">
        <f t="shared" si="52"/>
        <v>Direct</v>
      </c>
      <c r="O394" t="s">
        <v>713</v>
      </c>
      <c r="P394" t="str">
        <f t="shared" si="53"/>
        <v>J. Njeri</v>
      </c>
      <c r="Q394" t="s">
        <v>727</v>
      </c>
      <c r="R394" t="s">
        <v>1058</v>
      </c>
      <c r="S394" s="23">
        <v>1010.33</v>
      </c>
      <c r="T394" s="23">
        <v>2492.14</v>
      </c>
      <c r="U394" s="23">
        <f t="shared" si="54"/>
        <v>2492.14</v>
      </c>
      <c r="V394" s="8">
        <v>5.0999999999999997E-2</v>
      </c>
      <c r="W394" s="8">
        <f t="shared" si="55"/>
        <v>5.0999999999999997E-2</v>
      </c>
      <c r="X394">
        <v>11</v>
      </c>
    </row>
    <row r="395" spans="1:24" x14ac:dyDescent="0.35">
      <c r="A395" s="4" t="s">
        <v>511</v>
      </c>
      <c r="B395" s="5" t="str">
        <f>IF(COUNTIF($A$2:A395,A395)=1,"Original","Duplicate")</f>
        <v>Original</v>
      </c>
      <c r="C395" s="7">
        <v>45544</v>
      </c>
      <c r="D395" s="7">
        <v>45548</v>
      </c>
      <c r="E395" s="7" t="str">
        <f t="shared" si="48"/>
        <v>Valid</v>
      </c>
      <c r="F395" s="7">
        <f t="shared" si="49"/>
        <v>45548</v>
      </c>
      <c r="G395">
        <f t="shared" si="50"/>
        <v>4</v>
      </c>
      <c r="H395" t="s">
        <v>649</v>
      </c>
      <c r="I395" t="s">
        <v>658</v>
      </c>
      <c r="J395" t="s">
        <v>683</v>
      </c>
      <c r="K395" t="str">
        <f t="shared" si="51"/>
        <v>London</v>
      </c>
      <c r="L395" t="s">
        <v>704</v>
      </c>
      <c r="M395" t="s">
        <v>709</v>
      </c>
      <c r="N395" t="str">
        <f t="shared" si="52"/>
        <v>Marketplace</v>
      </c>
      <c r="O395" t="s">
        <v>721</v>
      </c>
      <c r="P395" t="str">
        <f t="shared" si="53"/>
        <v>F. Müller</v>
      </c>
      <c r="Q395" t="s">
        <v>729</v>
      </c>
      <c r="R395" t="s">
        <v>1230</v>
      </c>
      <c r="S395" s="23">
        <v>1133.08</v>
      </c>
      <c r="T395" s="23">
        <v>976.17</v>
      </c>
      <c r="U395" s="23">
        <f t="shared" si="54"/>
        <v>976.17</v>
      </c>
      <c r="V395" s="8">
        <v>4.2000000000000003E-2</v>
      </c>
      <c r="W395" s="8">
        <f t="shared" si="55"/>
        <v>4.2000000000000003E-2</v>
      </c>
      <c r="X395">
        <v>27</v>
      </c>
    </row>
    <row r="396" spans="1:24" x14ac:dyDescent="0.35">
      <c r="A396" s="4" t="s">
        <v>222</v>
      </c>
      <c r="B396" s="5" t="str">
        <f>IF(COUNTIF($A$2:A396,A396)=1,"Original","Duplicate")</f>
        <v>Original</v>
      </c>
      <c r="C396" s="7">
        <v>45545</v>
      </c>
      <c r="D396" s="7">
        <v>45572</v>
      </c>
      <c r="E396" s="7" t="str">
        <f t="shared" si="48"/>
        <v>Valid</v>
      </c>
      <c r="F396" s="7">
        <f t="shared" si="49"/>
        <v>45572</v>
      </c>
      <c r="G396">
        <f t="shared" si="50"/>
        <v>27</v>
      </c>
      <c r="H396" t="s">
        <v>646</v>
      </c>
      <c r="I396" t="s">
        <v>650</v>
      </c>
      <c r="J396" t="s">
        <v>662</v>
      </c>
      <c r="K396" t="str">
        <f t="shared" si="51"/>
        <v>Kisumu</v>
      </c>
      <c r="L396" t="s">
        <v>704</v>
      </c>
      <c r="M396" t="s">
        <v>707</v>
      </c>
      <c r="N396" t="str">
        <f t="shared" si="52"/>
        <v>Retail</v>
      </c>
      <c r="O396" t="s">
        <v>716</v>
      </c>
      <c r="P396" t="str">
        <f t="shared" si="53"/>
        <v>L. Okafor</v>
      </c>
      <c r="Q396" t="s">
        <v>728</v>
      </c>
      <c r="R396" t="s">
        <v>942</v>
      </c>
      <c r="S396" s="23">
        <v>1248.3900000000001</v>
      </c>
      <c r="T396" s="23">
        <v>1805.11</v>
      </c>
      <c r="U396" s="23">
        <f t="shared" si="54"/>
        <v>1805.11</v>
      </c>
      <c r="V396" s="8">
        <v>0.20300000000000001</v>
      </c>
      <c r="W396" s="8">
        <f t="shared" si="55"/>
        <v>0.20300000000000001</v>
      </c>
      <c r="X396">
        <v>11</v>
      </c>
    </row>
    <row r="397" spans="1:24" x14ac:dyDescent="0.35">
      <c r="A397" s="4" t="s">
        <v>250</v>
      </c>
      <c r="B397" s="5" t="str">
        <f>IF(COUNTIF($A$2:A397,A397)=1,"Original","Duplicate")</f>
        <v>Original</v>
      </c>
      <c r="C397" s="7">
        <v>45548</v>
      </c>
      <c r="D397" s="7">
        <v>45567</v>
      </c>
      <c r="E397" s="7" t="str">
        <f t="shared" si="48"/>
        <v>Valid</v>
      </c>
      <c r="F397" s="7">
        <f t="shared" si="49"/>
        <v>45567</v>
      </c>
      <c r="G397">
        <f t="shared" si="50"/>
        <v>19</v>
      </c>
      <c r="H397" t="s">
        <v>646</v>
      </c>
      <c r="I397" t="s">
        <v>650</v>
      </c>
      <c r="J397" t="s">
        <v>675</v>
      </c>
      <c r="K397" t="str">
        <f t="shared" si="51"/>
        <v>Mombasa</v>
      </c>
      <c r="L397" t="s">
        <v>705</v>
      </c>
      <c r="M397" t="s">
        <v>707</v>
      </c>
      <c r="N397" t="str">
        <f t="shared" si="52"/>
        <v>Retail</v>
      </c>
      <c r="O397" t="s">
        <v>724</v>
      </c>
      <c r="P397" t="str">
        <f t="shared" si="53"/>
        <v>M. Rossi</v>
      </c>
      <c r="Q397" t="s">
        <v>730</v>
      </c>
      <c r="R397" t="s">
        <v>970</v>
      </c>
      <c r="S397" s="23">
        <v>1338.99</v>
      </c>
      <c r="T397" s="23">
        <v>1765.76</v>
      </c>
      <c r="U397" s="23">
        <f t="shared" si="54"/>
        <v>1765.76</v>
      </c>
      <c r="V397" s="8">
        <v>0.126</v>
      </c>
      <c r="W397" s="8">
        <f t="shared" si="55"/>
        <v>0.126</v>
      </c>
      <c r="X397">
        <v>24</v>
      </c>
    </row>
    <row r="398" spans="1:24" x14ac:dyDescent="0.35">
      <c r="A398" s="4" t="s">
        <v>119</v>
      </c>
      <c r="B398" s="5" t="str">
        <f>IF(COUNTIF($A$2:A398,A398)=1,"Original","Duplicate")</f>
        <v>Original</v>
      </c>
      <c r="C398" s="7">
        <v>45549</v>
      </c>
      <c r="D398" s="7">
        <v>45570</v>
      </c>
      <c r="E398" s="7" t="str">
        <f t="shared" si="48"/>
        <v>Valid</v>
      </c>
      <c r="F398" s="7">
        <f t="shared" si="49"/>
        <v>45570</v>
      </c>
      <c r="G398">
        <f t="shared" si="50"/>
        <v>21</v>
      </c>
      <c r="H398" t="s">
        <v>647</v>
      </c>
      <c r="I398" t="s">
        <v>659</v>
      </c>
      <c r="J398" t="s">
        <v>685</v>
      </c>
      <c r="K398" t="str">
        <f t="shared" si="51"/>
        <v>Shanghai</v>
      </c>
      <c r="L398" t="s">
        <v>705</v>
      </c>
      <c r="M398" t="s">
        <v>708</v>
      </c>
      <c r="N398" t="str">
        <f t="shared" si="52"/>
        <v>Online</v>
      </c>
      <c r="O398" t="s">
        <v>722</v>
      </c>
      <c r="P398" t="str">
        <f t="shared" si="53"/>
        <v>H. Kim</v>
      </c>
      <c r="Q398" t="s">
        <v>731</v>
      </c>
      <c r="R398" t="s">
        <v>838</v>
      </c>
      <c r="S398" s="23">
        <v>1405.56</v>
      </c>
      <c r="T398" s="23">
        <v>2968.87</v>
      </c>
      <c r="U398" s="23">
        <f t="shared" si="54"/>
        <v>2968.87</v>
      </c>
      <c r="V398" s="8">
        <v>0.16900000000000001</v>
      </c>
      <c r="W398" s="8">
        <f t="shared" si="55"/>
        <v>0.16900000000000001</v>
      </c>
      <c r="X398">
        <v>5</v>
      </c>
    </row>
    <row r="399" spans="1:24" x14ac:dyDescent="0.35">
      <c r="A399" s="4" t="s">
        <v>233</v>
      </c>
      <c r="B399" s="5" t="str">
        <f>IF(COUNTIF($A$2:A399,A399)=1,"Original","Duplicate")</f>
        <v>Original</v>
      </c>
      <c r="C399" s="7">
        <v>45554</v>
      </c>
      <c r="D399" s="7">
        <v>45579</v>
      </c>
      <c r="E399" s="7" t="str">
        <f t="shared" si="48"/>
        <v>Valid</v>
      </c>
      <c r="F399" s="7">
        <f t="shared" si="49"/>
        <v>45579</v>
      </c>
      <c r="G399">
        <f t="shared" si="50"/>
        <v>25</v>
      </c>
      <c r="H399" t="s">
        <v>648</v>
      </c>
      <c r="I399" t="s">
        <v>655</v>
      </c>
      <c r="J399" t="s">
        <v>692</v>
      </c>
      <c r="K399" t="str">
        <f t="shared" si="51"/>
        <v>Rio de Janeiro</v>
      </c>
      <c r="L399" t="s">
        <v>705</v>
      </c>
      <c r="M399" t="s">
        <v>707</v>
      </c>
      <c r="N399" t="str">
        <f t="shared" si="52"/>
        <v>Retail</v>
      </c>
      <c r="O399" t="s">
        <v>723</v>
      </c>
      <c r="P399" t="str">
        <f t="shared" si="53"/>
        <v>K. Singh</v>
      </c>
      <c r="Q399" t="s">
        <v>728</v>
      </c>
      <c r="R399" t="s">
        <v>953</v>
      </c>
      <c r="S399" s="23">
        <v>386.96</v>
      </c>
      <c r="T399" s="23">
        <v>937.46</v>
      </c>
      <c r="U399" s="23">
        <f t="shared" si="54"/>
        <v>937.46</v>
      </c>
      <c r="V399" s="8">
        <v>0.26600000000000001</v>
      </c>
      <c r="W399" s="8">
        <f t="shared" si="55"/>
        <v>0.26600000000000001</v>
      </c>
      <c r="X399">
        <v>41</v>
      </c>
    </row>
    <row r="400" spans="1:24" x14ac:dyDescent="0.35">
      <c r="A400" s="4" t="s">
        <v>209</v>
      </c>
      <c r="B400" s="5" t="str">
        <f>IF(COUNTIF($A$2:A400,A400)=1,"Original","Duplicate")</f>
        <v>Original</v>
      </c>
      <c r="C400" s="7">
        <v>45557</v>
      </c>
      <c r="D400" s="7">
        <v>45566</v>
      </c>
      <c r="E400" s="7" t="str">
        <f t="shared" si="48"/>
        <v>Valid</v>
      </c>
      <c r="F400" s="7">
        <f t="shared" si="49"/>
        <v>45566</v>
      </c>
      <c r="G400">
        <f t="shared" si="50"/>
        <v>9</v>
      </c>
      <c r="H400" t="s">
        <v>648</v>
      </c>
      <c r="I400" t="s">
        <v>655</v>
      </c>
      <c r="J400" t="s">
        <v>670</v>
      </c>
      <c r="K400" t="str">
        <f t="shared" si="51"/>
        <v>São Paulo</v>
      </c>
      <c r="L400" t="s">
        <v>703</v>
      </c>
      <c r="M400" t="s">
        <v>708</v>
      </c>
      <c r="N400" t="str">
        <f t="shared" si="52"/>
        <v>Online</v>
      </c>
      <c r="O400" t="s">
        <v>723</v>
      </c>
      <c r="P400" t="str">
        <f t="shared" si="53"/>
        <v>K. Singh</v>
      </c>
      <c r="Q400" t="s">
        <v>732</v>
      </c>
      <c r="R400" t="s">
        <v>929</v>
      </c>
      <c r="S400" s="23">
        <v>1378.8</v>
      </c>
      <c r="T400" s="23">
        <v>1952.04</v>
      </c>
      <c r="U400" s="23">
        <f t="shared" si="54"/>
        <v>1952.04</v>
      </c>
      <c r="V400" s="8">
        <v>0.159</v>
      </c>
      <c r="W400" s="8">
        <f t="shared" si="55"/>
        <v>0.159</v>
      </c>
      <c r="X400">
        <v>19</v>
      </c>
    </row>
    <row r="401" spans="1:24" x14ac:dyDescent="0.35">
      <c r="A401" s="4" t="s">
        <v>164</v>
      </c>
      <c r="B401" s="5" t="str">
        <f>IF(COUNTIF($A$2:A401,A401)=1,"Original","Duplicate")</f>
        <v>Original</v>
      </c>
      <c r="C401" s="7">
        <v>45558</v>
      </c>
      <c r="D401" s="7">
        <v>45583</v>
      </c>
      <c r="E401" s="7" t="str">
        <f t="shared" si="48"/>
        <v>Valid</v>
      </c>
      <c r="F401" s="7">
        <f t="shared" si="49"/>
        <v>45583</v>
      </c>
      <c r="G401">
        <f t="shared" si="50"/>
        <v>25</v>
      </c>
      <c r="H401" t="s">
        <v>648</v>
      </c>
      <c r="I401" t="s">
        <v>653</v>
      </c>
      <c r="J401" t="s">
        <v>688</v>
      </c>
      <c r="K401" t="str">
        <f t="shared" si="51"/>
        <v>Vancouver</v>
      </c>
      <c r="L401" t="s">
        <v>705</v>
      </c>
      <c r="M401" t="s">
        <v>708</v>
      </c>
      <c r="N401" t="str">
        <f t="shared" si="52"/>
        <v>Online</v>
      </c>
      <c r="O401" t="s">
        <v>725</v>
      </c>
      <c r="P401" t="str">
        <f t="shared" si="53"/>
        <v>N. Brown</v>
      </c>
      <c r="Q401" t="s">
        <v>730</v>
      </c>
      <c r="R401" t="s">
        <v>883</v>
      </c>
      <c r="S401" s="23">
        <v>1297</v>
      </c>
      <c r="T401" s="23">
        <v>2411.52</v>
      </c>
      <c r="U401" s="23">
        <f t="shared" si="54"/>
        <v>2411.52</v>
      </c>
      <c r="V401" s="8">
        <v>2.1000000000000001E-2</v>
      </c>
      <c r="W401" s="8">
        <f t="shared" si="55"/>
        <v>2.1000000000000001E-2</v>
      </c>
      <c r="X401">
        <v>18</v>
      </c>
    </row>
    <row r="402" spans="1:24" x14ac:dyDescent="0.35">
      <c r="A402" s="4" t="s">
        <v>458</v>
      </c>
      <c r="B402" s="5" t="str">
        <f>IF(COUNTIF($A$2:A402,A402)=1,"Original","Duplicate")</f>
        <v>Original</v>
      </c>
      <c r="C402" s="7">
        <v>45560</v>
      </c>
      <c r="D402" s="7">
        <v>45568</v>
      </c>
      <c r="E402" s="7" t="str">
        <f t="shared" si="48"/>
        <v>Valid</v>
      </c>
      <c r="F402" s="7">
        <f t="shared" si="49"/>
        <v>45568</v>
      </c>
      <c r="G402">
        <f t="shared" si="50"/>
        <v>8</v>
      </c>
      <c r="H402" t="s">
        <v>648</v>
      </c>
      <c r="I402" t="s">
        <v>653</v>
      </c>
      <c r="J402" t="s">
        <v>667</v>
      </c>
      <c r="K402" t="str">
        <f t="shared" si="51"/>
        <v>Toronto</v>
      </c>
      <c r="L402" t="s">
        <v>704</v>
      </c>
      <c r="M402" t="s">
        <v>708</v>
      </c>
      <c r="N402" t="str">
        <f t="shared" si="52"/>
        <v>Online</v>
      </c>
      <c r="O402" t="s">
        <v>718</v>
      </c>
      <c r="P402" t="str">
        <f t="shared" si="53"/>
        <v>E. Garcia</v>
      </c>
      <c r="Q402" t="s">
        <v>728</v>
      </c>
      <c r="R402" t="s">
        <v>1177</v>
      </c>
      <c r="S402" s="23">
        <v>558.19000000000005</v>
      </c>
      <c r="T402" s="23">
        <v>1031.6400000000001</v>
      </c>
      <c r="U402" s="23">
        <f t="shared" si="54"/>
        <v>1031.6400000000001</v>
      </c>
      <c r="V402" s="8">
        <v>0</v>
      </c>
      <c r="W402" s="8">
        <f t="shared" si="55"/>
        <v>0</v>
      </c>
      <c r="X402">
        <v>21</v>
      </c>
    </row>
    <row r="403" spans="1:24" x14ac:dyDescent="0.35">
      <c r="A403" s="4" t="s">
        <v>224</v>
      </c>
      <c r="B403" s="5" t="str">
        <f>IF(COUNTIF($A$2:A403,A403)=1,"Original","Duplicate")</f>
        <v>Original</v>
      </c>
      <c r="C403" s="7">
        <v>45567</v>
      </c>
      <c r="D403" s="7">
        <v>45588</v>
      </c>
      <c r="E403" s="7" t="str">
        <f t="shared" si="48"/>
        <v>Valid</v>
      </c>
      <c r="F403" s="7">
        <f t="shared" si="49"/>
        <v>45588</v>
      </c>
      <c r="G403">
        <f t="shared" si="50"/>
        <v>21</v>
      </c>
      <c r="H403" t="s">
        <v>646</v>
      </c>
      <c r="I403" t="s">
        <v>661</v>
      </c>
      <c r="J403" t="s">
        <v>687</v>
      </c>
      <c r="K403" t="str">
        <f t="shared" si="51"/>
        <v>Durban</v>
      </c>
      <c r="L403" t="s">
        <v>701</v>
      </c>
      <c r="M403" t="s">
        <v>709</v>
      </c>
      <c r="N403" t="str">
        <f t="shared" si="52"/>
        <v>Marketplace</v>
      </c>
      <c r="O403" t="s">
        <v>720</v>
      </c>
      <c r="P403" t="str">
        <f t="shared" si="53"/>
        <v>A. Patel</v>
      </c>
      <c r="Q403" t="s">
        <v>727</v>
      </c>
      <c r="R403" t="s">
        <v>944</v>
      </c>
      <c r="S403" s="23">
        <v>1095.6099999999999</v>
      </c>
      <c r="T403" s="23">
        <v>2366.5100000000002</v>
      </c>
      <c r="U403" s="23">
        <f t="shared" si="54"/>
        <v>2366.5100000000002</v>
      </c>
      <c r="V403" s="8">
        <v>0.152</v>
      </c>
      <c r="W403" s="8">
        <f t="shared" si="55"/>
        <v>0.152</v>
      </c>
      <c r="X403">
        <v>9</v>
      </c>
    </row>
    <row r="404" spans="1:24" x14ac:dyDescent="0.35">
      <c r="A404" s="4" t="s">
        <v>196</v>
      </c>
      <c r="B404" s="5" t="str">
        <f>IF(COUNTIF($A$2:A404,A404)=1,"Original","Duplicate")</f>
        <v>Original</v>
      </c>
      <c r="C404" s="7">
        <v>45568</v>
      </c>
      <c r="D404" s="7">
        <v>45576</v>
      </c>
      <c r="E404" s="7" t="str">
        <f t="shared" si="48"/>
        <v>Valid</v>
      </c>
      <c r="F404" s="7">
        <f t="shared" si="49"/>
        <v>45576</v>
      </c>
      <c r="G404">
        <f t="shared" si="50"/>
        <v>8</v>
      </c>
      <c r="H404" t="s">
        <v>647</v>
      </c>
      <c r="I404" t="s">
        <v>659</v>
      </c>
      <c r="J404" t="s">
        <v>699</v>
      </c>
      <c r="K404" t="str">
        <f t="shared" si="51"/>
        <v>Beijing</v>
      </c>
      <c r="L404" t="s">
        <v>706</v>
      </c>
      <c r="M404" t="s">
        <v>711</v>
      </c>
      <c r="N404" t="str">
        <f t="shared" si="52"/>
        <v>Direct</v>
      </c>
      <c r="O404" t="s">
        <v>717</v>
      </c>
      <c r="P404" t="str">
        <f t="shared" si="53"/>
        <v>B. Chen</v>
      </c>
      <c r="Q404" t="s">
        <v>730</v>
      </c>
      <c r="R404" t="s">
        <v>915</v>
      </c>
      <c r="S404" s="23">
        <v>1132.6099999999999</v>
      </c>
      <c r="T404" s="23">
        <v>2206.63</v>
      </c>
      <c r="U404" s="23">
        <f t="shared" si="54"/>
        <v>2206.63</v>
      </c>
      <c r="V404" s="8">
        <v>6.3E-2</v>
      </c>
      <c r="W404" s="8">
        <f t="shared" si="55"/>
        <v>6.3E-2</v>
      </c>
      <c r="X404">
        <v>20</v>
      </c>
    </row>
    <row r="405" spans="1:24" x14ac:dyDescent="0.35">
      <c r="A405" s="4" t="s">
        <v>108</v>
      </c>
      <c r="B405" s="5" t="str">
        <f>IF(COUNTIF($A$2:A405,A405)=1,"Original","Duplicate")</f>
        <v>Original</v>
      </c>
      <c r="C405" s="7">
        <v>45569</v>
      </c>
      <c r="D405" s="7">
        <v>45598</v>
      </c>
      <c r="E405" s="7" t="str">
        <f t="shared" si="48"/>
        <v>Valid</v>
      </c>
      <c r="F405" s="7">
        <f t="shared" si="49"/>
        <v>45598</v>
      </c>
      <c r="G405">
        <f t="shared" si="50"/>
        <v>29</v>
      </c>
      <c r="H405" t="s">
        <v>646</v>
      </c>
      <c r="I405" t="s">
        <v>651</v>
      </c>
      <c r="J405" t="s">
        <v>669</v>
      </c>
      <c r="K405" t="str">
        <f t="shared" si="51"/>
        <v>Abuja</v>
      </c>
      <c r="L405" t="s">
        <v>701</v>
      </c>
      <c r="M405" t="s">
        <v>710</v>
      </c>
      <c r="N405" t="str">
        <f t="shared" si="52"/>
        <v>Distributor</v>
      </c>
      <c r="O405" t="s">
        <v>721</v>
      </c>
      <c r="P405" t="str">
        <f t="shared" si="53"/>
        <v>F. Müller</v>
      </c>
      <c r="Q405" t="s">
        <v>733</v>
      </c>
      <c r="R405" t="s">
        <v>827</v>
      </c>
      <c r="S405" s="23">
        <v>412.09</v>
      </c>
      <c r="T405" s="23">
        <v>968.94</v>
      </c>
      <c r="U405" s="23">
        <f t="shared" si="54"/>
        <v>968.94</v>
      </c>
      <c r="V405" s="8">
        <v>9.9000000000000005E-2</v>
      </c>
      <c r="W405" s="8">
        <f t="shared" si="55"/>
        <v>9.9000000000000005E-2</v>
      </c>
      <c r="X405">
        <v>23</v>
      </c>
    </row>
    <row r="406" spans="1:24" x14ac:dyDescent="0.35">
      <c r="A406" s="4" t="s">
        <v>280</v>
      </c>
      <c r="B406" s="5" t="str">
        <f>IF(COUNTIF($A$2:A406,A406)=1,"Original","Duplicate")</f>
        <v>Original</v>
      </c>
      <c r="C406" s="7">
        <v>45573</v>
      </c>
      <c r="D406" s="7">
        <v>45573</v>
      </c>
      <c r="E406" s="7" t="str">
        <f t="shared" si="48"/>
        <v>Valid</v>
      </c>
      <c r="F406" s="7">
        <f t="shared" si="49"/>
        <v>45580</v>
      </c>
      <c r="G406">
        <f t="shared" si="50"/>
        <v>7</v>
      </c>
      <c r="H406" t="s">
        <v>649</v>
      </c>
      <c r="I406" t="s">
        <v>658</v>
      </c>
      <c r="J406" t="s">
        <v>683</v>
      </c>
      <c r="K406" t="str">
        <f t="shared" si="51"/>
        <v>London</v>
      </c>
      <c r="L406" t="s">
        <v>701</v>
      </c>
      <c r="M406" t="s">
        <v>708</v>
      </c>
      <c r="N406" t="str">
        <f t="shared" si="52"/>
        <v>Online</v>
      </c>
      <c r="O406" t="s">
        <v>718</v>
      </c>
      <c r="P406" t="str">
        <f t="shared" si="53"/>
        <v>E. Garcia</v>
      </c>
      <c r="Q406" t="s">
        <v>732</v>
      </c>
      <c r="R406" t="s">
        <v>1000</v>
      </c>
      <c r="S406" s="23">
        <v>1108.1099999999999</v>
      </c>
      <c r="T406" s="23">
        <v>2503.79</v>
      </c>
      <c r="U406" s="23">
        <f t="shared" si="54"/>
        <v>2503.79</v>
      </c>
      <c r="V406" s="8">
        <v>0.184</v>
      </c>
      <c r="W406" s="8">
        <f t="shared" si="55"/>
        <v>0.184</v>
      </c>
      <c r="X406">
        <v>19</v>
      </c>
    </row>
    <row r="407" spans="1:24" x14ac:dyDescent="0.35">
      <c r="A407" s="4" t="s">
        <v>184</v>
      </c>
      <c r="B407" s="5" t="str">
        <f>IF(COUNTIF($A$2:A407,A407)=1,"Original","Duplicate")</f>
        <v>Original</v>
      </c>
      <c r="C407" s="7">
        <v>45574</v>
      </c>
      <c r="D407" s="7">
        <v>45604</v>
      </c>
      <c r="E407" s="7" t="str">
        <f t="shared" si="48"/>
        <v>Valid</v>
      </c>
      <c r="F407" s="7">
        <f t="shared" si="49"/>
        <v>45604</v>
      </c>
      <c r="G407">
        <f t="shared" si="50"/>
        <v>30</v>
      </c>
      <c r="H407" t="s">
        <v>649</v>
      </c>
      <c r="I407" t="s">
        <v>658</v>
      </c>
      <c r="J407" t="s">
        <v>693</v>
      </c>
      <c r="K407" t="str">
        <f t="shared" si="51"/>
        <v>Manchester</v>
      </c>
      <c r="L407" t="s">
        <v>705</v>
      </c>
      <c r="M407" t="s">
        <v>710</v>
      </c>
      <c r="N407" t="str">
        <f t="shared" si="52"/>
        <v>Distributor</v>
      </c>
      <c r="O407" t="s">
        <v>713</v>
      </c>
      <c r="P407" t="str">
        <f t="shared" si="53"/>
        <v>J. Njeri</v>
      </c>
      <c r="Q407" t="s">
        <v>727</v>
      </c>
      <c r="R407" t="s">
        <v>903</v>
      </c>
      <c r="S407" s="23">
        <v>343.85</v>
      </c>
      <c r="T407" s="23">
        <v>538.04</v>
      </c>
      <c r="U407" s="23">
        <f t="shared" si="54"/>
        <v>538.04</v>
      </c>
      <c r="V407" s="8">
        <v>0.13900000000000001</v>
      </c>
      <c r="W407" s="8">
        <f t="shared" si="55"/>
        <v>0.13900000000000001</v>
      </c>
      <c r="X407">
        <v>5</v>
      </c>
    </row>
    <row r="408" spans="1:24" x14ac:dyDescent="0.35">
      <c r="A408" s="4" t="s">
        <v>526</v>
      </c>
      <c r="B408" s="5" t="str">
        <f>IF(COUNTIF($A$2:A408,A408)=1,"Original","Duplicate")</f>
        <v>Original</v>
      </c>
      <c r="C408" s="7">
        <v>45575</v>
      </c>
      <c r="D408" s="7">
        <v>45576</v>
      </c>
      <c r="E408" s="7" t="str">
        <f t="shared" si="48"/>
        <v>Valid</v>
      </c>
      <c r="F408" s="7">
        <f t="shared" si="49"/>
        <v>45576</v>
      </c>
      <c r="G408">
        <f t="shared" si="50"/>
        <v>1</v>
      </c>
      <c r="H408" t="s">
        <v>649</v>
      </c>
      <c r="I408" t="s">
        <v>658</v>
      </c>
      <c r="J408" t="s">
        <v>693</v>
      </c>
      <c r="K408" t="str">
        <f t="shared" si="51"/>
        <v>Manchester</v>
      </c>
      <c r="L408" t="s">
        <v>703</v>
      </c>
      <c r="M408" t="s">
        <v>710</v>
      </c>
      <c r="N408" t="str">
        <f t="shared" si="52"/>
        <v>Distributor</v>
      </c>
      <c r="O408" t="s">
        <v>716</v>
      </c>
      <c r="P408" t="str">
        <f t="shared" si="53"/>
        <v>L. Okafor</v>
      </c>
      <c r="Q408" t="s">
        <v>727</v>
      </c>
      <c r="R408" t="s">
        <v>1245</v>
      </c>
      <c r="S408" s="23">
        <v>1389.46</v>
      </c>
      <c r="T408" s="23">
        <v>1784.7</v>
      </c>
      <c r="U408" s="23">
        <f t="shared" si="54"/>
        <v>1784.7</v>
      </c>
      <c r="V408" s="8">
        <v>0.14599999999999999</v>
      </c>
      <c r="W408" s="8">
        <f t="shared" si="55"/>
        <v>0.14599999999999999</v>
      </c>
      <c r="X408">
        <v>33</v>
      </c>
    </row>
    <row r="409" spans="1:24" x14ac:dyDescent="0.35">
      <c r="A409" s="4" t="s">
        <v>232</v>
      </c>
      <c r="B409" s="5" t="str">
        <f>IF(COUNTIF($A$2:A409,A409)=1,"Original","Duplicate")</f>
        <v>Original</v>
      </c>
      <c r="C409" s="7">
        <v>45576</v>
      </c>
      <c r="D409" s="7">
        <v>45605</v>
      </c>
      <c r="E409" s="7" t="str">
        <f t="shared" si="48"/>
        <v>Valid</v>
      </c>
      <c r="F409" s="7">
        <f t="shared" si="49"/>
        <v>45605</v>
      </c>
      <c r="G409">
        <f t="shared" si="50"/>
        <v>29</v>
      </c>
      <c r="H409" t="s">
        <v>647</v>
      </c>
      <c r="I409" t="s">
        <v>659</v>
      </c>
      <c r="J409" t="s">
        <v>685</v>
      </c>
      <c r="K409" t="str">
        <f t="shared" si="51"/>
        <v>Shanghai</v>
      </c>
      <c r="L409" t="s">
        <v>703</v>
      </c>
      <c r="M409" t="s">
        <v>708</v>
      </c>
      <c r="N409" t="str">
        <f t="shared" si="52"/>
        <v>Online</v>
      </c>
      <c r="O409" t="s">
        <v>721</v>
      </c>
      <c r="P409" t="str">
        <f t="shared" si="53"/>
        <v>F. Müller</v>
      </c>
      <c r="Q409" t="s">
        <v>728</v>
      </c>
      <c r="R409" t="s">
        <v>952</v>
      </c>
      <c r="S409" s="23">
        <v>391.64</v>
      </c>
      <c r="T409" s="23">
        <v>504.76</v>
      </c>
      <c r="U409" s="23">
        <f t="shared" si="54"/>
        <v>504.76</v>
      </c>
      <c r="V409" s="8">
        <v>4.0000000000000001E-3</v>
      </c>
      <c r="W409" s="8">
        <f t="shared" si="55"/>
        <v>4.0000000000000001E-3</v>
      </c>
      <c r="X409">
        <v>13</v>
      </c>
    </row>
    <row r="410" spans="1:24" x14ac:dyDescent="0.35">
      <c r="A410" s="4" t="s">
        <v>633</v>
      </c>
      <c r="B410" s="5" t="str">
        <f>IF(COUNTIF($A$2:A410,A410)=1,"Original","Duplicate")</f>
        <v>Original</v>
      </c>
      <c r="C410" s="7">
        <v>45578</v>
      </c>
      <c r="D410" s="7">
        <v>45589</v>
      </c>
      <c r="E410" s="7" t="str">
        <f t="shared" si="48"/>
        <v>Valid</v>
      </c>
      <c r="F410" s="7">
        <f t="shared" si="49"/>
        <v>45589</v>
      </c>
      <c r="G410">
        <f t="shared" si="50"/>
        <v>11</v>
      </c>
      <c r="H410" t="s">
        <v>649</v>
      </c>
      <c r="I410" t="s">
        <v>657</v>
      </c>
      <c r="J410" t="s">
        <v>690</v>
      </c>
      <c r="K410" t="str">
        <f t="shared" si="51"/>
        <v>Paris</v>
      </c>
      <c r="L410" t="s">
        <v>702</v>
      </c>
      <c r="M410" t="s">
        <v>710</v>
      </c>
      <c r="N410" t="str">
        <f t="shared" si="52"/>
        <v>Distributor</v>
      </c>
      <c r="O410" t="s">
        <v>721</v>
      </c>
      <c r="P410" t="str">
        <f t="shared" si="53"/>
        <v>F. Müller</v>
      </c>
      <c r="Q410" t="s">
        <v>727</v>
      </c>
      <c r="R410" t="s">
        <v>1351</v>
      </c>
      <c r="S410" s="23">
        <v>816.7</v>
      </c>
      <c r="T410" s="23">
        <v>1010.75</v>
      </c>
      <c r="U410" s="23">
        <f t="shared" si="54"/>
        <v>1010.75</v>
      </c>
      <c r="V410" s="8">
        <v>4.7E-2</v>
      </c>
      <c r="W410" s="8">
        <f t="shared" si="55"/>
        <v>4.7E-2</v>
      </c>
      <c r="X410">
        <v>43</v>
      </c>
    </row>
    <row r="411" spans="1:24" x14ac:dyDescent="0.35">
      <c r="A411" s="4" t="s">
        <v>63</v>
      </c>
      <c r="B411" s="5" t="str">
        <f>IF(COUNTIF($A$2:A411,A411)=1,"Original","Duplicate")</f>
        <v>Original</v>
      </c>
      <c r="C411" s="7">
        <v>45579</v>
      </c>
      <c r="D411" s="7">
        <v>45604</v>
      </c>
      <c r="E411" s="7" t="str">
        <f t="shared" si="48"/>
        <v>Valid</v>
      </c>
      <c r="F411" s="7">
        <f t="shared" si="49"/>
        <v>45604</v>
      </c>
      <c r="G411">
        <f t="shared" si="50"/>
        <v>25</v>
      </c>
      <c r="H411" t="s">
        <v>646</v>
      </c>
      <c r="I411" t="s">
        <v>651</v>
      </c>
      <c r="J411" t="s">
        <v>665</v>
      </c>
      <c r="K411" t="str">
        <f t="shared" si="51"/>
        <v>Lagos</v>
      </c>
      <c r="L411" t="s">
        <v>706</v>
      </c>
      <c r="M411" t="s">
        <v>708</v>
      </c>
      <c r="N411" t="str">
        <f t="shared" si="52"/>
        <v>Online</v>
      </c>
      <c r="O411" t="s">
        <v>719</v>
      </c>
      <c r="P411" t="str">
        <f t="shared" si="53"/>
        <v>O. Wang</v>
      </c>
      <c r="Q411" t="s">
        <v>729</v>
      </c>
      <c r="R411" t="s">
        <v>782</v>
      </c>
      <c r="S411" s="23">
        <v>859.35</v>
      </c>
      <c r="T411" s="23">
        <v>1825.61</v>
      </c>
      <c r="U411" s="23">
        <f t="shared" si="54"/>
        <v>1825.61</v>
      </c>
      <c r="V411" s="8">
        <v>0.187</v>
      </c>
      <c r="W411" s="8">
        <f t="shared" si="55"/>
        <v>0.187</v>
      </c>
      <c r="X411">
        <v>24</v>
      </c>
    </row>
    <row r="412" spans="1:24" x14ac:dyDescent="0.35">
      <c r="A412" s="4" t="s">
        <v>123</v>
      </c>
      <c r="B412" s="5" t="str">
        <f>IF(COUNTIF($A$2:A412,A412)=1,"Original","Duplicate")</f>
        <v>Original</v>
      </c>
      <c r="C412" s="7">
        <v>45581</v>
      </c>
      <c r="D412" s="7">
        <v>45604</v>
      </c>
      <c r="E412" s="7" t="str">
        <f t="shared" si="48"/>
        <v>Valid</v>
      </c>
      <c r="F412" s="7">
        <f t="shared" si="49"/>
        <v>45604</v>
      </c>
      <c r="G412">
        <f t="shared" si="50"/>
        <v>23</v>
      </c>
      <c r="H412" t="s">
        <v>647</v>
      </c>
      <c r="I412" t="s">
        <v>652</v>
      </c>
      <c r="J412" t="s">
        <v>666</v>
      </c>
      <c r="K412" t="str">
        <f t="shared" si="51"/>
        <v>Osaka</v>
      </c>
      <c r="L412" t="s">
        <v>705</v>
      </c>
      <c r="M412" t="s">
        <v>707</v>
      </c>
      <c r="N412" t="str">
        <f t="shared" si="52"/>
        <v>Retail</v>
      </c>
      <c r="O412" t="s">
        <v>713</v>
      </c>
      <c r="P412" t="str">
        <f t="shared" si="53"/>
        <v>J. Njeri</v>
      </c>
      <c r="Q412" t="s">
        <v>729</v>
      </c>
      <c r="R412" t="s">
        <v>842</v>
      </c>
      <c r="S412" s="23">
        <v>82.14</v>
      </c>
      <c r="T412" s="23">
        <v>166.04</v>
      </c>
      <c r="U412" s="23">
        <f t="shared" si="54"/>
        <v>166.04</v>
      </c>
      <c r="V412" s="8">
        <v>0</v>
      </c>
      <c r="W412" s="8">
        <f t="shared" si="55"/>
        <v>0</v>
      </c>
      <c r="X412">
        <v>10</v>
      </c>
    </row>
    <row r="413" spans="1:24" x14ac:dyDescent="0.35">
      <c r="A413" s="4" t="s">
        <v>66</v>
      </c>
      <c r="B413" s="5" t="str">
        <f>IF(COUNTIF($A$2:A413,A413)=1,"Original","Duplicate")</f>
        <v>Original</v>
      </c>
      <c r="C413" s="7">
        <v>45582</v>
      </c>
      <c r="D413" s="7">
        <v>45602</v>
      </c>
      <c r="E413" s="7" t="str">
        <f t="shared" si="48"/>
        <v>Valid</v>
      </c>
      <c r="F413" s="7">
        <f t="shared" si="49"/>
        <v>45602</v>
      </c>
      <c r="G413">
        <f t="shared" si="50"/>
        <v>20</v>
      </c>
      <c r="H413" t="s">
        <v>647</v>
      </c>
      <c r="I413" t="s">
        <v>654</v>
      </c>
      <c r="J413" t="s">
        <v>668</v>
      </c>
      <c r="K413" t="str">
        <f t="shared" si="51"/>
        <v>Bengaluru</v>
      </c>
      <c r="L413" t="s">
        <v>706</v>
      </c>
      <c r="M413" t="s">
        <v>710</v>
      </c>
      <c r="N413" t="str">
        <f t="shared" si="52"/>
        <v>Distributor</v>
      </c>
      <c r="O413" t="s">
        <v>719</v>
      </c>
      <c r="P413" t="str">
        <f t="shared" si="53"/>
        <v>O. Wang</v>
      </c>
      <c r="Q413" t="s">
        <v>732</v>
      </c>
      <c r="R413" t="s">
        <v>785</v>
      </c>
      <c r="S413" s="23">
        <v>72.94</v>
      </c>
      <c r="T413" s="23">
        <v>106.3</v>
      </c>
      <c r="U413" s="23">
        <f t="shared" si="54"/>
        <v>106.3</v>
      </c>
      <c r="V413" s="8">
        <v>0.29499999999999998</v>
      </c>
      <c r="W413" s="8">
        <f t="shared" si="55"/>
        <v>0.29499999999999998</v>
      </c>
      <c r="X413">
        <v>8</v>
      </c>
    </row>
    <row r="414" spans="1:24" x14ac:dyDescent="0.35">
      <c r="A414" s="4" t="s">
        <v>626</v>
      </c>
      <c r="B414" s="5" t="str">
        <f>IF(COUNTIF($A$2:A414,A414)=1,"Original","Duplicate")</f>
        <v>Original</v>
      </c>
      <c r="C414" s="7">
        <v>45584</v>
      </c>
      <c r="D414" s="7">
        <v>45602</v>
      </c>
      <c r="E414" s="7" t="str">
        <f t="shared" si="48"/>
        <v>Valid</v>
      </c>
      <c r="F414" s="7">
        <f t="shared" si="49"/>
        <v>45602</v>
      </c>
      <c r="G414">
        <f t="shared" si="50"/>
        <v>18</v>
      </c>
      <c r="H414" t="s">
        <v>648</v>
      </c>
      <c r="I414" t="s">
        <v>660</v>
      </c>
      <c r="J414" t="s">
        <v>677</v>
      </c>
      <c r="K414" t="str">
        <f t="shared" si="51"/>
        <v>Chicago</v>
      </c>
      <c r="L414" t="s">
        <v>702</v>
      </c>
      <c r="N414" t="str">
        <f t="shared" si="52"/>
        <v>Unknown</v>
      </c>
      <c r="O414" t="s">
        <v>712</v>
      </c>
      <c r="P414" t="str">
        <f t="shared" si="53"/>
        <v>C. Otieno</v>
      </c>
      <c r="Q414" t="s">
        <v>732</v>
      </c>
      <c r="R414" t="s">
        <v>1344</v>
      </c>
      <c r="S414" s="23">
        <v>942.02</v>
      </c>
      <c r="T414" s="23">
        <v>1028.46</v>
      </c>
      <c r="U414" s="23">
        <f t="shared" si="54"/>
        <v>1028.46</v>
      </c>
      <c r="V414" s="8">
        <v>0</v>
      </c>
      <c r="W414" s="8">
        <f t="shared" si="55"/>
        <v>0</v>
      </c>
      <c r="X414">
        <v>9</v>
      </c>
    </row>
    <row r="415" spans="1:24" x14ac:dyDescent="0.35">
      <c r="A415" s="4" t="s">
        <v>199</v>
      </c>
      <c r="B415" s="5" t="str">
        <f>IF(COUNTIF($A$2:A415,A415)=1,"Original","Duplicate")</f>
        <v>Original</v>
      </c>
      <c r="C415" s="7">
        <v>45587</v>
      </c>
      <c r="D415" s="7">
        <v>45594</v>
      </c>
      <c r="E415" s="7" t="str">
        <f t="shared" si="48"/>
        <v>Valid</v>
      </c>
      <c r="F415" s="7">
        <f t="shared" si="49"/>
        <v>45594</v>
      </c>
      <c r="G415">
        <f t="shared" si="50"/>
        <v>7</v>
      </c>
      <c r="H415" t="s">
        <v>646</v>
      </c>
      <c r="I415" t="s">
        <v>651</v>
      </c>
      <c r="J415" t="s">
        <v>663</v>
      </c>
      <c r="K415" t="str">
        <f t="shared" si="51"/>
        <v>Port Harcourt</v>
      </c>
      <c r="L415" t="s">
        <v>706</v>
      </c>
      <c r="M415" t="s">
        <v>710</v>
      </c>
      <c r="N415" t="str">
        <f t="shared" si="52"/>
        <v>Distributor</v>
      </c>
      <c r="O415" t="s">
        <v>724</v>
      </c>
      <c r="P415" t="str">
        <f t="shared" si="53"/>
        <v>M. Rossi</v>
      </c>
      <c r="Q415" t="s">
        <v>732</v>
      </c>
      <c r="R415" t="s">
        <v>918</v>
      </c>
      <c r="S415" s="23">
        <v>1023.06</v>
      </c>
      <c r="T415" s="23">
        <v>1355.61</v>
      </c>
      <c r="U415" s="23">
        <f t="shared" si="54"/>
        <v>1355.61</v>
      </c>
      <c r="V415" s="8">
        <v>0.153</v>
      </c>
      <c r="W415" s="8">
        <f t="shared" si="55"/>
        <v>0.153</v>
      </c>
      <c r="X415">
        <v>23</v>
      </c>
    </row>
    <row r="416" spans="1:24" x14ac:dyDescent="0.35">
      <c r="A416" s="4" t="s">
        <v>16</v>
      </c>
      <c r="B416" s="5" t="str">
        <f>IF(COUNTIF($A$2:A416,A416)=1,"Original","Duplicate")</f>
        <v>Original</v>
      </c>
      <c r="C416" s="7">
        <v>45588</v>
      </c>
      <c r="D416" s="7">
        <v>45587</v>
      </c>
      <c r="E416" s="7" t="str">
        <f t="shared" si="48"/>
        <v>Invalid</v>
      </c>
      <c r="F416" s="7">
        <f t="shared" si="49"/>
        <v>45595</v>
      </c>
      <c r="G416">
        <f t="shared" si="50"/>
        <v>7</v>
      </c>
      <c r="H416" t="s">
        <v>646</v>
      </c>
      <c r="I416" t="s">
        <v>651</v>
      </c>
      <c r="J416" t="s">
        <v>663</v>
      </c>
      <c r="K416" t="str">
        <f t="shared" si="51"/>
        <v>Port Harcourt</v>
      </c>
      <c r="L416" t="s">
        <v>702</v>
      </c>
      <c r="M416" t="s">
        <v>708</v>
      </c>
      <c r="N416" t="str">
        <f t="shared" si="52"/>
        <v>Online</v>
      </c>
      <c r="O416" t="s">
        <v>713</v>
      </c>
      <c r="P416" t="str">
        <f t="shared" si="53"/>
        <v>J. Njeri</v>
      </c>
      <c r="Q416" t="s">
        <v>728</v>
      </c>
      <c r="R416" t="s">
        <v>735</v>
      </c>
      <c r="S416" s="23">
        <v>1084.3900000000001</v>
      </c>
      <c r="T416" s="23">
        <v>759.33</v>
      </c>
      <c r="U416" s="23">
        <f t="shared" si="54"/>
        <v>759.33</v>
      </c>
      <c r="V416" s="8">
        <v>0.23699999999999999</v>
      </c>
      <c r="W416" s="8">
        <f t="shared" si="55"/>
        <v>0.23699999999999999</v>
      </c>
      <c r="X416">
        <v>31</v>
      </c>
    </row>
    <row r="417" spans="1:24" x14ac:dyDescent="0.35">
      <c r="A417" s="4" t="s">
        <v>210</v>
      </c>
      <c r="B417" s="5" t="str">
        <f>IF(COUNTIF($A$2:A417,A417)=1,"Original","Duplicate")</f>
        <v>Original</v>
      </c>
      <c r="C417" s="7">
        <v>45588</v>
      </c>
      <c r="D417" s="7">
        <v>45610</v>
      </c>
      <c r="E417" s="7" t="str">
        <f t="shared" si="48"/>
        <v>Valid</v>
      </c>
      <c r="F417" s="7">
        <f t="shared" si="49"/>
        <v>45610</v>
      </c>
      <c r="G417">
        <f t="shared" si="50"/>
        <v>22</v>
      </c>
      <c r="H417" t="s">
        <v>647</v>
      </c>
      <c r="I417" t="s">
        <v>652</v>
      </c>
      <c r="J417" t="s">
        <v>666</v>
      </c>
      <c r="K417" t="str">
        <f t="shared" si="51"/>
        <v>Osaka</v>
      </c>
      <c r="L417" t="s">
        <v>703</v>
      </c>
      <c r="M417" t="s">
        <v>711</v>
      </c>
      <c r="N417" t="str">
        <f t="shared" si="52"/>
        <v>Direct</v>
      </c>
      <c r="O417" t="s">
        <v>717</v>
      </c>
      <c r="P417" t="str">
        <f t="shared" si="53"/>
        <v>B. Chen</v>
      </c>
      <c r="Q417" t="s">
        <v>730</v>
      </c>
      <c r="R417" t="s">
        <v>930</v>
      </c>
      <c r="S417" s="23">
        <v>1406.4</v>
      </c>
      <c r="T417" s="23">
        <v>1564.76</v>
      </c>
      <c r="U417" s="23">
        <f t="shared" si="54"/>
        <v>1564.76</v>
      </c>
      <c r="V417" s="8">
        <v>0.185</v>
      </c>
      <c r="W417" s="8">
        <f t="shared" si="55"/>
        <v>0.185</v>
      </c>
      <c r="X417">
        <v>17</v>
      </c>
    </row>
    <row r="418" spans="1:24" x14ac:dyDescent="0.35">
      <c r="A418" s="4" t="s">
        <v>521</v>
      </c>
      <c r="B418" s="5" t="str">
        <f>IF(COUNTIF($A$2:A418,A418)=1,"Original","Duplicate")</f>
        <v>Original</v>
      </c>
      <c r="C418" s="7">
        <v>45589</v>
      </c>
      <c r="D418" s="7">
        <v>45593</v>
      </c>
      <c r="E418" s="7" t="str">
        <f t="shared" si="48"/>
        <v>Valid</v>
      </c>
      <c r="F418" s="7">
        <f t="shared" si="49"/>
        <v>45593</v>
      </c>
      <c r="G418">
        <f t="shared" si="50"/>
        <v>4</v>
      </c>
      <c r="H418" t="s">
        <v>647</v>
      </c>
      <c r="I418" t="s">
        <v>659</v>
      </c>
      <c r="J418" t="s">
        <v>685</v>
      </c>
      <c r="K418" t="str">
        <f t="shared" si="51"/>
        <v>Shanghai</v>
      </c>
      <c r="L418" t="s">
        <v>705</v>
      </c>
      <c r="M418" t="s">
        <v>710</v>
      </c>
      <c r="N418" t="str">
        <f t="shared" si="52"/>
        <v>Distributor</v>
      </c>
      <c r="O418" t="s">
        <v>714</v>
      </c>
      <c r="P418" t="str">
        <f t="shared" si="53"/>
        <v>I. Johnson</v>
      </c>
      <c r="Q418" t="s">
        <v>729</v>
      </c>
      <c r="R418" t="s">
        <v>1240</v>
      </c>
      <c r="S418" s="23">
        <v>1331.77</v>
      </c>
      <c r="T418" s="23">
        <v>2606.11</v>
      </c>
      <c r="U418" s="23">
        <f t="shared" si="54"/>
        <v>2606.11</v>
      </c>
      <c r="V418" s="8">
        <v>0.02</v>
      </c>
      <c r="W418" s="8">
        <f t="shared" si="55"/>
        <v>0.02</v>
      </c>
      <c r="X418">
        <v>6</v>
      </c>
    </row>
    <row r="419" spans="1:24" x14ac:dyDescent="0.35">
      <c r="A419" s="4" t="s">
        <v>57</v>
      </c>
      <c r="B419" s="5" t="str">
        <f>IF(COUNTIF($A$2:A419,A419)=1,"Original","Duplicate")</f>
        <v>Original</v>
      </c>
      <c r="C419" s="7">
        <v>45590</v>
      </c>
      <c r="D419" s="7">
        <v>45610</v>
      </c>
      <c r="E419" s="7" t="str">
        <f t="shared" si="48"/>
        <v>Valid</v>
      </c>
      <c r="F419" s="7">
        <f t="shared" si="49"/>
        <v>45610</v>
      </c>
      <c r="G419">
        <f t="shared" si="50"/>
        <v>20</v>
      </c>
      <c r="H419" t="s">
        <v>646</v>
      </c>
      <c r="I419" t="s">
        <v>650</v>
      </c>
      <c r="J419" t="s">
        <v>675</v>
      </c>
      <c r="K419" t="str">
        <f t="shared" si="51"/>
        <v>Mombasa</v>
      </c>
      <c r="L419" t="s">
        <v>701</v>
      </c>
      <c r="M419" t="s">
        <v>711</v>
      </c>
      <c r="N419" t="str">
        <f t="shared" si="52"/>
        <v>Direct</v>
      </c>
      <c r="O419" t="s">
        <v>722</v>
      </c>
      <c r="P419" t="str">
        <f t="shared" si="53"/>
        <v>H. Kim</v>
      </c>
      <c r="Q419" t="s">
        <v>728</v>
      </c>
      <c r="R419" t="s">
        <v>776</v>
      </c>
      <c r="S419" s="23">
        <v>1396.48</v>
      </c>
      <c r="T419" s="23">
        <v>3204.5</v>
      </c>
      <c r="U419" s="23">
        <f t="shared" si="54"/>
        <v>3204.5</v>
      </c>
      <c r="V419" s="8">
        <v>0.318</v>
      </c>
      <c r="W419" s="8">
        <f t="shared" si="55"/>
        <v>0.3</v>
      </c>
      <c r="X419">
        <v>14</v>
      </c>
    </row>
    <row r="420" spans="1:24" x14ac:dyDescent="0.35">
      <c r="A420" s="4" t="s">
        <v>575</v>
      </c>
      <c r="B420" s="5" t="str">
        <f>IF(COUNTIF($A$2:A420,A420)=1,"Original","Duplicate")</f>
        <v>Original</v>
      </c>
      <c r="C420" s="7">
        <v>45590</v>
      </c>
      <c r="D420" s="7">
        <v>45601</v>
      </c>
      <c r="E420" s="7" t="str">
        <f t="shared" si="48"/>
        <v>Valid</v>
      </c>
      <c r="F420" s="7">
        <f t="shared" si="49"/>
        <v>45601</v>
      </c>
      <c r="G420">
        <f t="shared" si="50"/>
        <v>11</v>
      </c>
      <c r="H420" t="s">
        <v>648</v>
      </c>
      <c r="I420" t="s">
        <v>660</v>
      </c>
      <c r="J420" t="s">
        <v>700</v>
      </c>
      <c r="K420" t="str">
        <f t="shared" si="51"/>
        <v>New York</v>
      </c>
      <c r="L420" t="s">
        <v>701</v>
      </c>
      <c r="M420" t="s">
        <v>710</v>
      </c>
      <c r="N420" t="str">
        <f t="shared" si="52"/>
        <v>Distributor</v>
      </c>
      <c r="O420" t="s">
        <v>725</v>
      </c>
      <c r="P420" t="str">
        <f t="shared" si="53"/>
        <v>N. Brown</v>
      </c>
      <c r="Q420" t="s">
        <v>727</v>
      </c>
      <c r="R420" t="s">
        <v>1293</v>
      </c>
      <c r="S420" s="23">
        <v>446.66</v>
      </c>
      <c r="T420" s="23">
        <v>527.64</v>
      </c>
      <c r="U420" s="23">
        <f t="shared" si="54"/>
        <v>527.64</v>
      </c>
      <c r="V420" s="8">
        <v>0.14499999999999999</v>
      </c>
      <c r="W420" s="8">
        <f t="shared" si="55"/>
        <v>0.14499999999999999</v>
      </c>
      <c r="X420">
        <v>15</v>
      </c>
    </row>
    <row r="421" spans="1:24" x14ac:dyDescent="0.35">
      <c r="A421" s="4" t="s">
        <v>268</v>
      </c>
      <c r="B421" s="5" t="str">
        <f>IF(COUNTIF($A$2:A421,A421)=1,"Original","Duplicate")</f>
        <v>Original</v>
      </c>
      <c r="C421" s="7">
        <v>45592</v>
      </c>
      <c r="D421" s="7">
        <v>45616</v>
      </c>
      <c r="E421" s="7" t="str">
        <f t="shared" si="48"/>
        <v>Valid</v>
      </c>
      <c r="F421" s="7">
        <f t="shared" si="49"/>
        <v>45616</v>
      </c>
      <c r="G421">
        <f t="shared" si="50"/>
        <v>24</v>
      </c>
      <c r="H421" t="s">
        <v>647</v>
      </c>
      <c r="I421" t="s">
        <v>652</v>
      </c>
      <c r="J421" t="s">
        <v>694</v>
      </c>
      <c r="K421" t="str">
        <f t="shared" si="51"/>
        <v>Nagoya</v>
      </c>
      <c r="L421" t="s">
        <v>703</v>
      </c>
      <c r="M421" t="s">
        <v>708</v>
      </c>
      <c r="N421" t="str">
        <f t="shared" si="52"/>
        <v>Online</v>
      </c>
      <c r="O421" t="s">
        <v>722</v>
      </c>
      <c r="P421" t="str">
        <f t="shared" si="53"/>
        <v>H. Kim</v>
      </c>
      <c r="Q421" t="s">
        <v>732</v>
      </c>
      <c r="R421" t="s">
        <v>988</v>
      </c>
      <c r="S421" s="23">
        <v>317.25</v>
      </c>
      <c r="T421" s="23">
        <v>758.92</v>
      </c>
      <c r="U421" s="23">
        <f t="shared" si="54"/>
        <v>758.92</v>
      </c>
      <c r="V421" s="8">
        <v>5.2999999999999999E-2</v>
      </c>
      <c r="W421" s="8">
        <f t="shared" si="55"/>
        <v>5.2999999999999999E-2</v>
      </c>
      <c r="X421">
        <v>9</v>
      </c>
    </row>
    <row r="422" spans="1:24" x14ac:dyDescent="0.35">
      <c r="A422" s="4" t="s">
        <v>356</v>
      </c>
      <c r="B422" s="5" t="str">
        <f>IF(COUNTIF($A$2:A422,A422)=1,"Original","Duplicate")</f>
        <v>Original</v>
      </c>
      <c r="C422" s="7">
        <v>45594</v>
      </c>
      <c r="D422" s="7">
        <v>45600</v>
      </c>
      <c r="E422" s="7" t="str">
        <f t="shared" si="48"/>
        <v>Valid</v>
      </c>
      <c r="F422" s="7">
        <f t="shared" si="49"/>
        <v>45600</v>
      </c>
      <c r="G422">
        <f t="shared" si="50"/>
        <v>6</v>
      </c>
      <c r="H422" t="s">
        <v>646</v>
      </c>
      <c r="I422" t="s">
        <v>650</v>
      </c>
      <c r="J422" t="s">
        <v>664</v>
      </c>
      <c r="K422" t="str">
        <f t="shared" si="51"/>
        <v>Nairobi</v>
      </c>
      <c r="L422" t="s">
        <v>701</v>
      </c>
      <c r="M422" t="s">
        <v>710</v>
      </c>
      <c r="N422" t="str">
        <f t="shared" si="52"/>
        <v>Distributor</v>
      </c>
      <c r="O422" t="s">
        <v>724</v>
      </c>
      <c r="P422" t="str">
        <f t="shared" si="53"/>
        <v>M. Rossi</v>
      </c>
      <c r="Q422" t="s">
        <v>728</v>
      </c>
      <c r="R422" t="s">
        <v>1076</v>
      </c>
      <c r="S422" s="23">
        <v>805.81</v>
      </c>
      <c r="T422" s="23">
        <v>1823.04</v>
      </c>
      <c r="U422" s="23">
        <f t="shared" si="54"/>
        <v>1823.04</v>
      </c>
      <c r="V422" s="8">
        <v>0</v>
      </c>
      <c r="W422" s="8">
        <f t="shared" si="55"/>
        <v>0</v>
      </c>
      <c r="X422">
        <v>11</v>
      </c>
    </row>
    <row r="423" spans="1:24" x14ac:dyDescent="0.35">
      <c r="A423" s="4" t="s">
        <v>176</v>
      </c>
      <c r="B423" s="5" t="str">
        <f>IF(COUNTIF($A$2:A423,A423)=1,"Original","Duplicate")</f>
        <v>Original</v>
      </c>
      <c r="C423" s="7">
        <v>45595</v>
      </c>
      <c r="D423" s="7">
        <v>45620</v>
      </c>
      <c r="E423" s="7" t="str">
        <f t="shared" si="48"/>
        <v>Valid</v>
      </c>
      <c r="F423" s="7">
        <f t="shared" si="49"/>
        <v>45620</v>
      </c>
      <c r="G423">
        <f t="shared" si="50"/>
        <v>25</v>
      </c>
      <c r="H423" t="s">
        <v>647</v>
      </c>
      <c r="I423" t="s">
        <v>659</v>
      </c>
      <c r="J423" t="s">
        <v>676</v>
      </c>
      <c r="K423" t="str">
        <f t="shared" si="51"/>
        <v>Shenzhen</v>
      </c>
      <c r="L423" t="s">
        <v>705</v>
      </c>
      <c r="M423" t="s">
        <v>708</v>
      </c>
      <c r="N423" t="str">
        <f t="shared" si="52"/>
        <v>Online</v>
      </c>
      <c r="O423" t="s">
        <v>718</v>
      </c>
      <c r="P423" t="str">
        <f t="shared" si="53"/>
        <v>E. Garcia</v>
      </c>
      <c r="Q423" t="s">
        <v>727</v>
      </c>
      <c r="R423" t="s">
        <v>895</v>
      </c>
      <c r="S423" s="23">
        <v>811.05</v>
      </c>
      <c r="T423" s="23">
        <v>1217.71</v>
      </c>
      <c r="U423" s="23">
        <f t="shared" si="54"/>
        <v>1217.71</v>
      </c>
      <c r="V423" s="8">
        <v>7.1999999999999995E-2</v>
      </c>
      <c r="W423" s="8">
        <f t="shared" si="55"/>
        <v>7.1999999999999995E-2</v>
      </c>
      <c r="X423">
        <v>5</v>
      </c>
    </row>
    <row r="424" spans="1:24" x14ac:dyDescent="0.35">
      <c r="A424" s="4" t="s">
        <v>444</v>
      </c>
      <c r="B424" s="5" t="str">
        <f>IF(COUNTIF($A$2:A424,A424)=1,"Original","Duplicate")</f>
        <v>Original</v>
      </c>
      <c r="C424" s="7">
        <v>45597</v>
      </c>
      <c r="D424" s="7">
        <v>45608</v>
      </c>
      <c r="E424" s="7" t="str">
        <f t="shared" si="48"/>
        <v>Valid</v>
      </c>
      <c r="F424" s="7">
        <f t="shared" si="49"/>
        <v>45608</v>
      </c>
      <c r="G424">
        <f t="shared" si="50"/>
        <v>11</v>
      </c>
      <c r="H424" t="s">
        <v>649</v>
      </c>
      <c r="I424" t="s">
        <v>656</v>
      </c>
      <c r="J424" t="s">
        <v>698</v>
      </c>
      <c r="K424" t="str">
        <f t="shared" si="51"/>
        <v>Frankfurt</v>
      </c>
      <c r="L424" t="s">
        <v>704</v>
      </c>
      <c r="M424" t="s">
        <v>708</v>
      </c>
      <c r="N424" t="str">
        <f t="shared" si="52"/>
        <v>Online</v>
      </c>
      <c r="O424" t="s">
        <v>717</v>
      </c>
      <c r="P424" t="str">
        <f t="shared" si="53"/>
        <v>B. Chen</v>
      </c>
      <c r="Q424" t="s">
        <v>728</v>
      </c>
      <c r="R424" t="s">
        <v>1163</v>
      </c>
      <c r="S424" s="23">
        <v>599.84</v>
      </c>
      <c r="T424" s="23">
        <v>1330.85</v>
      </c>
      <c r="U424" s="23">
        <f t="shared" si="54"/>
        <v>1330.85</v>
      </c>
      <c r="V424" s="8">
        <v>0.115</v>
      </c>
      <c r="W424" s="8">
        <f t="shared" si="55"/>
        <v>0.115</v>
      </c>
      <c r="X424">
        <v>11</v>
      </c>
    </row>
    <row r="425" spans="1:24" x14ac:dyDescent="0.35">
      <c r="A425" s="4" t="s">
        <v>78</v>
      </c>
      <c r="B425" s="5" t="str">
        <f>IF(COUNTIF($A$2:A425,A425)=1,"Original","Duplicate")</f>
        <v>Original</v>
      </c>
      <c r="C425" s="7">
        <v>45598</v>
      </c>
      <c r="D425" s="7">
        <v>45614</v>
      </c>
      <c r="E425" s="7" t="str">
        <f t="shared" si="48"/>
        <v>Valid</v>
      </c>
      <c r="F425" s="7">
        <f t="shared" si="49"/>
        <v>45614</v>
      </c>
      <c r="G425">
        <f t="shared" si="50"/>
        <v>16</v>
      </c>
      <c r="H425" t="s">
        <v>647</v>
      </c>
      <c r="I425" t="s">
        <v>654</v>
      </c>
      <c r="J425" t="s">
        <v>691</v>
      </c>
      <c r="K425" t="str">
        <f t="shared" si="51"/>
        <v>Mumbai</v>
      </c>
      <c r="L425" t="s">
        <v>705</v>
      </c>
      <c r="M425" t="s">
        <v>710</v>
      </c>
      <c r="N425" t="str">
        <f t="shared" si="52"/>
        <v>Distributor</v>
      </c>
      <c r="O425" t="s">
        <v>719</v>
      </c>
      <c r="P425" t="str">
        <f t="shared" si="53"/>
        <v>O. Wang</v>
      </c>
      <c r="Q425" t="s">
        <v>732</v>
      </c>
      <c r="R425" t="s">
        <v>797</v>
      </c>
      <c r="S425" s="23">
        <v>1233.58</v>
      </c>
      <c r="T425" s="23">
        <v>1912.51</v>
      </c>
      <c r="U425" s="23">
        <f t="shared" si="54"/>
        <v>1912.51</v>
      </c>
      <c r="V425" s="8">
        <v>0.255</v>
      </c>
      <c r="W425" s="8">
        <f t="shared" si="55"/>
        <v>0.255</v>
      </c>
      <c r="X425">
        <v>51</v>
      </c>
    </row>
    <row r="426" spans="1:24" x14ac:dyDescent="0.35">
      <c r="A426" s="4" t="s">
        <v>138</v>
      </c>
      <c r="B426" s="5" t="str">
        <f>IF(COUNTIF($A$2:A426,A426)=1,"Original","Duplicate")</f>
        <v>Original</v>
      </c>
      <c r="C426" s="7">
        <v>45598</v>
      </c>
      <c r="D426" s="7">
        <v>45625</v>
      </c>
      <c r="E426" s="7" t="str">
        <f t="shared" si="48"/>
        <v>Valid</v>
      </c>
      <c r="F426" s="7">
        <f t="shared" si="49"/>
        <v>45625</v>
      </c>
      <c r="G426">
        <f t="shared" si="50"/>
        <v>27</v>
      </c>
      <c r="H426" t="s">
        <v>648</v>
      </c>
      <c r="I426" t="s">
        <v>655</v>
      </c>
      <c r="J426" t="s">
        <v>672</v>
      </c>
      <c r="K426" t="str">
        <f t="shared" si="51"/>
        <v>Brasília</v>
      </c>
      <c r="L426" t="s">
        <v>705</v>
      </c>
      <c r="M426" t="s">
        <v>711</v>
      </c>
      <c r="N426" t="str">
        <f t="shared" si="52"/>
        <v>Direct</v>
      </c>
      <c r="O426" t="s">
        <v>714</v>
      </c>
      <c r="P426" t="str">
        <f t="shared" si="53"/>
        <v>I. Johnson</v>
      </c>
      <c r="Q426" t="s">
        <v>729</v>
      </c>
      <c r="R426" t="s">
        <v>857</v>
      </c>
      <c r="S426" s="23">
        <v>1363.51</v>
      </c>
      <c r="T426" s="23">
        <v>1433.9</v>
      </c>
      <c r="U426" s="23">
        <f t="shared" si="54"/>
        <v>1433.9</v>
      </c>
      <c r="V426" s="8">
        <v>5.7000000000000002E-2</v>
      </c>
      <c r="W426" s="8">
        <f t="shared" si="55"/>
        <v>5.7000000000000002E-2</v>
      </c>
      <c r="X426">
        <v>8</v>
      </c>
    </row>
    <row r="427" spans="1:24" x14ac:dyDescent="0.35">
      <c r="A427" s="4" t="s">
        <v>327</v>
      </c>
      <c r="B427" s="5" t="str">
        <f>IF(COUNTIF($A$2:A427,A427)=1,"Original","Duplicate")</f>
        <v>Original</v>
      </c>
      <c r="C427" s="7">
        <v>45600</v>
      </c>
      <c r="D427" s="7">
        <v>45601</v>
      </c>
      <c r="E427" s="7" t="str">
        <f t="shared" si="48"/>
        <v>Valid</v>
      </c>
      <c r="F427" s="7">
        <f t="shared" si="49"/>
        <v>45601</v>
      </c>
      <c r="G427">
        <f t="shared" si="50"/>
        <v>1</v>
      </c>
      <c r="H427" t="s">
        <v>649</v>
      </c>
      <c r="I427" t="s">
        <v>658</v>
      </c>
      <c r="J427" t="s">
        <v>683</v>
      </c>
      <c r="K427" t="str">
        <f t="shared" si="51"/>
        <v>London</v>
      </c>
      <c r="L427" t="s">
        <v>701</v>
      </c>
      <c r="M427" t="s">
        <v>707</v>
      </c>
      <c r="N427" t="str">
        <f t="shared" si="52"/>
        <v>Retail</v>
      </c>
      <c r="O427" t="s">
        <v>724</v>
      </c>
      <c r="P427" t="str">
        <f t="shared" si="53"/>
        <v>M. Rossi</v>
      </c>
      <c r="Q427" t="s">
        <v>728</v>
      </c>
      <c r="R427" t="s">
        <v>1047</v>
      </c>
      <c r="S427" s="23">
        <v>840.68</v>
      </c>
      <c r="T427" s="23">
        <v>1493.53</v>
      </c>
      <c r="U427" s="23">
        <f t="shared" si="54"/>
        <v>1493.53</v>
      </c>
      <c r="V427" s="8">
        <v>0</v>
      </c>
      <c r="W427" s="8">
        <f t="shared" si="55"/>
        <v>0</v>
      </c>
      <c r="X427">
        <v>27</v>
      </c>
    </row>
    <row r="428" spans="1:24" x14ac:dyDescent="0.35">
      <c r="A428" s="4" t="s">
        <v>582</v>
      </c>
      <c r="B428" s="5" t="str">
        <f>IF(COUNTIF($A$2:A428,A428)=1,"Original","Duplicate")</f>
        <v>Original</v>
      </c>
      <c r="C428" s="7">
        <v>45600</v>
      </c>
      <c r="D428" s="7">
        <v>45603</v>
      </c>
      <c r="E428" s="7" t="str">
        <f t="shared" si="48"/>
        <v>Valid</v>
      </c>
      <c r="F428" s="7">
        <f t="shared" si="49"/>
        <v>45603</v>
      </c>
      <c r="G428">
        <f t="shared" si="50"/>
        <v>3</v>
      </c>
      <c r="H428" t="s">
        <v>649</v>
      </c>
      <c r="I428" t="s">
        <v>657</v>
      </c>
      <c r="J428" t="s">
        <v>679</v>
      </c>
      <c r="K428" t="str">
        <f t="shared" si="51"/>
        <v>Lyon</v>
      </c>
      <c r="L428" t="s">
        <v>701</v>
      </c>
      <c r="M428" t="s">
        <v>708</v>
      </c>
      <c r="N428" t="str">
        <f t="shared" si="52"/>
        <v>Online</v>
      </c>
      <c r="O428" t="s">
        <v>719</v>
      </c>
      <c r="P428" t="str">
        <f t="shared" si="53"/>
        <v>O. Wang</v>
      </c>
      <c r="Q428" t="s">
        <v>732</v>
      </c>
      <c r="R428" t="s">
        <v>1300</v>
      </c>
      <c r="S428" s="23">
        <v>740.68</v>
      </c>
      <c r="T428" s="23">
        <v>1837.19</v>
      </c>
      <c r="U428" s="23">
        <f t="shared" si="54"/>
        <v>1837.19</v>
      </c>
      <c r="V428" s="8">
        <v>0.19700000000000001</v>
      </c>
      <c r="W428" s="8">
        <f t="shared" si="55"/>
        <v>0.19700000000000001</v>
      </c>
      <c r="X428">
        <v>17</v>
      </c>
    </row>
    <row r="429" spans="1:24" x14ac:dyDescent="0.35">
      <c r="A429" s="4" t="s">
        <v>416</v>
      </c>
      <c r="B429" s="5" t="str">
        <f>IF(COUNTIF($A$2:A429,A429)=1,"Original","Duplicate")</f>
        <v>Original</v>
      </c>
      <c r="C429" s="7">
        <v>45601</v>
      </c>
      <c r="D429" s="7">
        <v>45604</v>
      </c>
      <c r="E429" s="7" t="str">
        <f t="shared" si="48"/>
        <v>Valid</v>
      </c>
      <c r="F429" s="7">
        <f t="shared" si="49"/>
        <v>45604</v>
      </c>
      <c r="G429">
        <f t="shared" si="50"/>
        <v>3</v>
      </c>
      <c r="H429" t="s">
        <v>648</v>
      </c>
      <c r="I429" t="s">
        <v>653</v>
      </c>
      <c r="J429" t="s">
        <v>667</v>
      </c>
      <c r="K429" t="str">
        <f t="shared" si="51"/>
        <v>Toronto</v>
      </c>
      <c r="L429" t="s">
        <v>702</v>
      </c>
      <c r="M429" t="s">
        <v>709</v>
      </c>
      <c r="N429" t="str">
        <f t="shared" si="52"/>
        <v>Marketplace</v>
      </c>
      <c r="O429" t="s">
        <v>719</v>
      </c>
      <c r="P429" t="str">
        <f t="shared" si="53"/>
        <v>O. Wang</v>
      </c>
      <c r="Q429" t="s">
        <v>727</v>
      </c>
      <c r="R429" t="s">
        <v>1135</v>
      </c>
      <c r="S429" s="23">
        <v>1020.4</v>
      </c>
      <c r="T429" s="23">
        <v>1184.71</v>
      </c>
      <c r="U429" s="23">
        <f t="shared" si="54"/>
        <v>1184.71</v>
      </c>
      <c r="V429" s="8">
        <v>0.106</v>
      </c>
      <c r="W429" s="8">
        <f t="shared" si="55"/>
        <v>0.106</v>
      </c>
      <c r="X429">
        <v>16</v>
      </c>
    </row>
    <row r="430" spans="1:24" x14ac:dyDescent="0.35">
      <c r="A430" s="4" t="s">
        <v>65</v>
      </c>
      <c r="B430" s="5" t="str">
        <f>IF(COUNTIF($A$2:A430,A430)=1,"Original","Duplicate")</f>
        <v>Original</v>
      </c>
      <c r="C430" s="7">
        <v>45602</v>
      </c>
      <c r="D430" s="7">
        <v>45618</v>
      </c>
      <c r="E430" s="7" t="str">
        <f t="shared" si="48"/>
        <v>Valid</v>
      </c>
      <c r="F430" s="7">
        <f t="shared" si="49"/>
        <v>45618</v>
      </c>
      <c r="G430">
        <f t="shared" si="50"/>
        <v>16</v>
      </c>
      <c r="H430" t="s">
        <v>648</v>
      </c>
      <c r="I430" t="s">
        <v>653</v>
      </c>
      <c r="J430" t="s">
        <v>667</v>
      </c>
      <c r="K430" t="str">
        <f t="shared" si="51"/>
        <v>Toronto</v>
      </c>
      <c r="L430" t="s">
        <v>703</v>
      </c>
      <c r="M430" t="s">
        <v>710</v>
      </c>
      <c r="N430" t="str">
        <f t="shared" si="52"/>
        <v>Distributor</v>
      </c>
      <c r="O430" t="s">
        <v>726</v>
      </c>
      <c r="P430" t="str">
        <f t="shared" si="53"/>
        <v>D. Smith</v>
      </c>
      <c r="Q430" t="s">
        <v>733</v>
      </c>
      <c r="R430" t="s">
        <v>784</v>
      </c>
      <c r="S430" s="23">
        <v>1454.11</v>
      </c>
      <c r="T430" s="23">
        <v>2629.75</v>
      </c>
      <c r="U430" s="23">
        <f t="shared" si="54"/>
        <v>2629.75</v>
      </c>
      <c r="V430" s="8">
        <v>0.29199999999999998</v>
      </c>
      <c r="W430" s="8">
        <f t="shared" si="55"/>
        <v>0.29199999999999998</v>
      </c>
      <c r="X430">
        <v>8</v>
      </c>
    </row>
    <row r="431" spans="1:24" x14ac:dyDescent="0.35">
      <c r="A431" s="4" t="s">
        <v>368</v>
      </c>
      <c r="B431" s="5" t="str">
        <f>IF(COUNTIF($A$2:A431,A431)=1,"Original","Duplicate")</f>
        <v>Original</v>
      </c>
      <c r="C431" s="7">
        <v>45603</v>
      </c>
      <c r="D431" s="7">
        <v>45622</v>
      </c>
      <c r="E431" s="7" t="str">
        <f t="shared" si="48"/>
        <v>Valid</v>
      </c>
      <c r="F431" s="7">
        <f t="shared" si="49"/>
        <v>45622</v>
      </c>
      <c r="G431">
        <f t="shared" si="50"/>
        <v>19</v>
      </c>
      <c r="H431" t="s">
        <v>648</v>
      </c>
      <c r="I431" t="s">
        <v>655</v>
      </c>
      <c r="J431" t="s">
        <v>692</v>
      </c>
      <c r="K431" t="str">
        <f t="shared" si="51"/>
        <v>Rio de Janeiro</v>
      </c>
      <c r="L431" t="s">
        <v>703</v>
      </c>
      <c r="M431" t="s">
        <v>710</v>
      </c>
      <c r="N431" t="str">
        <f t="shared" si="52"/>
        <v>Distributor</v>
      </c>
      <c r="O431" t="s">
        <v>713</v>
      </c>
      <c r="P431" t="str">
        <f t="shared" si="53"/>
        <v>J. Njeri</v>
      </c>
      <c r="Q431" t="s">
        <v>728</v>
      </c>
      <c r="R431" t="s">
        <v>1088</v>
      </c>
      <c r="S431" s="23">
        <v>55.35</v>
      </c>
      <c r="T431" s="23">
        <v>128.68</v>
      </c>
      <c r="U431" s="23">
        <f t="shared" si="54"/>
        <v>128.68</v>
      </c>
      <c r="V431" s="8">
        <v>0.128</v>
      </c>
      <c r="W431" s="8">
        <f t="shared" si="55"/>
        <v>0.128</v>
      </c>
      <c r="X431">
        <v>10</v>
      </c>
    </row>
    <row r="432" spans="1:24" x14ac:dyDescent="0.35">
      <c r="A432" s="4" t="s">
        <v>262</v>
      </c>
      <c r="B432" s="5" t="str">
        <f>IF(COUNTIF($A$2:A432,A432)=1,"Original","Duplicate")</f>
        <v>Original</v>
      </c>
      <c r="C432" s="7">
        <v>45604</v>
      </c>
      <c r="D432" s="7">
        <v>45604</v>
      </c>
      <c r="E432" s="7" t="str">
        <f t="shared" si="48"/>
        <v>Valid</v>
      </c>
      <c r="F432" s="7">
        <f t="shared" si="49"/>
        <v>45611</v>
      </c>
      <c r="G432">
        <f t="shared" si="50"/>
        <v>7</v>
      </c>
      <c r="H432" t="s">
        <v>646</v>
      </c>
      <c r="I432" t="s">
        <v>650</v>
      </c>
      <c r="J432" t="s">
        <v>678</v>
      </c>
      <c r="K432" t="str">
        <f t="shared" si="51"/>
        <v>Nakuru</v>
      </c>
      <c r="L432" t="s">
        <v>706</v>
      </c>
      <c r="M432" t="s">
        <v>709</v>
      </c>
      <c r="N432" t="str">
        <f t="shared" si="52"/>
        <v>Marketplace</v>
      </c>
      <c r="O432" t="s">
        <v>724</v>
      </c>
      <c r="P432" t="str">
        <f t="shared" si="53"/>
        <v>M. Rossi</v>
      </c>
      <c r="Q432" t="s">
        <v>729</v>
      </c>
      <c r="R432" t="s">
        <v>982</v>
      </c>
      <c r="S432" s="23">
        <v>803.28</v>
      </c>
      <c r="T432" s="23">
        <v>1009</v>
      </c>
      <c r="U432" s="23">
        <f t="shared" si="54"/>
        <v>1009</v>
      </c>
      <c r="V432" s="8">
        <v>0.11</v>
      </c>
      <c r="W432" s="8">
        <f t="shared" si="55"/>
        <v>0.11</v>
      </c>
      <c r="X432">
        <v>4</v>
      </c>
    </row>
    <row r="433" spans="1:24" x14ac:dyDescent="0.35">
      <c r="A433" s="4" t="s">
        <v>593</v>
      </c>
      <c r="B433" s="5" t="str">
        <f>IF(COUNTIF($A$2:A433,A433)=1,"Original","Duplicate")</f>
        <v>Original</v>
      </c>
      <c r="C433" s="7">
        <v>45607</v>
      </c>
      <c r="D433" s="7">
        <v>45620</v>
      </c>
      <c r="E433" s="7" t="str">
        <f t="shared" si="48"/>
        <v>Valid</v>
      </c>
      <c r="F433" s="7">
        <f t="shared" si="49"/>
        <v>45620</v>
      </c>
      <c r="G433">
        <f t="shared" si="50"/>
        <v>13</v>
      </c>
      <c r="H433" t="s">
        <v>649</v>
      </c>
      <c r="I433" t="s">
        <v>658</v>
      </c>
      <c r="J433" t="s">
        <v>683</v>
      </c>
      <c r="K433" t="str">
        <f t="shared" si="51"/>
        <v>London</v>
      </c>
      <c r="L433" t="s">
        <v>701</v>
      </c>
      <c r="M433" t="s">
        <v>707</v>
      </c>
      <c r="N433" t="str">
        <f t="shared" si="52"/>
        <v>Retail</v>
      </c>
      <c r="O433" t="s">
        <v>718</v>
      </c>
      <c r="P433" t="str">
        <f t="shared" si="53"/>
        <v>E. Garcia</v>
      </c>
      <c r="Q433" t="s">
        <v>729</v>
      </c>
      <c r="R433" t="s">
        <v>1311</v>
      </c>
      <c r="S433" s="23">
        <v>164.53</v>
      </c>
      <c r="T433" s="23">
        <v>327.72</v>
      </c>
      <c r="U433" s="23">
        <f t="shared" si="54"/>
        <v>327.72</v>
      </c>
      <c r="V433" s="8">
        <v>6.7000000000000004E-2</v>
      </c>
      <c r="W433" s="8">
        <f t="shared" si="55"/>
        <v>6.7000000000000004E-2</v>
      </c>
      <c r="X433">
        <v>14</v>
      </c>
    </row>
    <row r="434" spans="1:24" x14ac:dyDescent="0.35">
      <c r="A434" s="4" t="s">
        <v>523</v>
      </c>
      <c r="B434" s="5" t="str">
        <f>IF(COUNTIF($A$2:A434,A434)=1,"Original","Duplicate")</f>
        <v>Original</v>
      </c>
      <c r="C434" s="7">
        <v>45608</v>
      </c>
      <c r="D434" s="7">
        <v>45617</v>
      </c>
      <c r="E434" s="7" t="str">
        <f t="shared" si="48"/>
        <v>Valid</v>
      </c>
      <c r="F434" s="7">
        <f t="shared" si="49"/>
        <v>45617</v>
      </c>
      <c r="G434">
        <f t="shared" si="50"/>
        <v>9</v>
      </c>
      <c r="H434" t="s">
        <v>647</v>
      </c>
      <c r="I434" t="s">
        <v>654</v>
      </c>
      <c r="J434" t="s">
        <v>691</v>
      </c>
      <c r="K434" t="str">
        <f t="shared" si="51"/>
        <v>Mumbai</v>
      </c>
      <c r="L434" t="s">
        <v>701</v>
      </c>
      <c r="M434" t="s">
        <v>711</v>
      </c>
      <c r="N434" t="str">
        <f t="shared" si="52"/>
        <v>Direct</v>
      </c>
      <c r="O434" t="s">
        <v>722</v>
      </c>
      <c r="P434" t="str">
        <f t="shared" si="53"/>
        <v>H. Kim</v>
      </c>
      <c r="Q434" t="s">
        <v>731</v>
      </c>
      <c r="R434" t="s">
        <v>1242</v>
      </c>
      <c r="S434" s="23">
        <v>903.41</v>
      </c>
      <c r="T434" s="23">
        <v>1860.41</v>
      </c>
      <c r="U434" s="23">
        <f t="shared" si="54"/>
        <v>1860.41</v>
      </c>
      <c r="V434" s="8">
        <v>0.108</v>
      </c>
      <c r="W434" s="8">
        <f t="shared" si="55"/>
        <v>0.108</v>
      </c>
      <c r="X434">
        <v>5</v>
      </c>
    </row>
    <row r="435" spans="1:24" x14ac:dyDescent="0.35">
      <c r="A435" s="4" t="s">
        <v>501</v>
      </c>
      <c r="B435" s="5" t="str">
        <f>IF(COUNTIF($A$2:A435,A435)=1,"Original","Duplicate")</f>
        <v>Original</v>
      </c>
      <c r="C435" s="7">
        <v>45613</v>
      </c>
      <c r="D435" s="7">
        <v>45624</v>
      </c>
      <c r="E435" s="7" t="str">
        <f t="shared" si="48"/>
        <v>Valid</v>
      </c>
      <c r="F435" s="7">
        <f t="shared" si="49"/>
        <v>45624</v>
      </c>
      <c r="G435">
        <f t="shared" si="50"/>
        <v>11</v>
      </c>
      <c r="H435" t="s">
        <v>648</v>
      </c>
      <c r="I435" t="s">
        <v>653</v>
      </c>
      <c r="K435" t="str">
        <f t="shared" si="51"/>
        <v>Unknown</v>
      </c>
      <c r="L435" t="s">
        <v>704</v>
      </c>
      <c r="M435" t="s">
        <v>710</v>
      </c>
      <c r="N435" t="str">
        <f t="shared" si="52"/>
        <v>Distributor</v>
      </c>
      <c r="O435" t="s">
        <v>720</v>
      </c>
      <c r="P435" t="str">
        <f t="shared" si="53"/>
        <v>A. Patel</v>
      </c>
      <c r="Q435" t="s">
        <v>728</v>
      </c>
      <c r="R435" t="s">
        <v>1220</v>
      </c>
      <c r="S435" s="23">
        <v>1008.16</v>
      </c>
      <c r="T435" s="23">
        <v>2077.5</v>
      </c>
      <c r="U435" s="23">
        <f t="shared" si="54"/>
        <v>2077.5</v>
      </c>
      <c r="V435" s="8">
        <v>7.3999999999999996E-2</v>
      </c>
      <c r="W435" s="8">
        <f t="shared" si="55"/>
        <v>7.3999999999999996E-2</v>
      </c>
      <c r="X435">
        <v>15</v>
      </c>
    </row>
    <row r="436" spans="1:24" x14ac:dyDescent="0.35">
      <c r="A436" s="4" t="s">
        <v>153</v>
      </c>
      <c r="B436" s="5" t="str">
        <f>IF(COUNTIF($A$2:A436,A436)=1,"Original","Duplicate")</f>
        <v>Original</v>
      </c>
      <c r="C436" s="7">
        <v>45616</v>
      </c>
      <c r="D436" s="7">
        <v>45641</v>
      </c>
      <c r="E436" s="7" t="str">
        <f t="shared" si="48"/>
        <v>Valid</v>
      </c>
      <c r="F436" s="7">
        <f t="shared" si="49"/>
        <v>45641</v>
      </c>
      <c r="G436">
        <f t="shared" si="50"/>
        <v>25</v>
      </c>
      <c r="H436" t="s">
        <v>649</v>
      </c>
      <c r="I436" t="s">
        <v>657</v>
      </c>
      <c r="J436" t="s">
        <v>690</v>
      </c>
      <c r="K436" t="str">
        <f t="shared" si="51"/>
        <v>Paris</v>
      </c>
      <c r="L436" t="s">
        <v>701</v>
      </c>
      <c r="M436" t="s">
        <v>708</v>
      </c>
      <c r="N436" t="str">
        <f t="shared" si="52"/>
        <v>Online</v>
      </c>
      <c r="O436" t="s">
        <v>715</v>
      </c>
      <c r="P436" t="str">
        <f t="shared" si="53"/>
        <v>G. Dubois</v>
      </c>
      <c r="Q436" t="s">
        <v>728</v>
      </c>
      <c r="R436" t="s">
        <v>872</v>
      </c>
      <c r="S436" s="23">
        <v>1203.58</v>
      </c>
      <c r="T436" s="23">
        <v>1856.16</v>
      </c>
      <c r="U436" s="23">
        <f t="shared" si="54"/>
        <v>1856.16</v>
      </c>
      <c r="V436" s="8">
        <v>0.129</v>
      </c>
      <c r="W436" s="8">
        <f t="shared" si="55"/>
        <v>0.129</v>
      </c>
      <c r="X436">
        <v>22</v>
      </c>
    </row>
    <row r="437" spans="1:24" x14ac:dyDescent="0.35">
      <c r="A437" s="4" t="s">
        <v>94</v>
      </c>
      <c r="B437" s="5" t="str">
        <f>IF(COUNTIF($A$2:A437,A437)=1,"Original","Duplicate")</f>
        <v>Original</v>
      </c>
      <c r="C437" s="7">
        <v>45617</v>
      </c>
      <c r="D437" s="7">
        <v>45647</v>
      </c>
      <c r="E437" s="7" t="str">
        <f t="shared" si="48"/>
        <v>Valid</v>
      </c>
      <c r="F437" s="7">
        <f t="shared" si="49"/>
        <v>45647</v>
      </c>
      <c r="G437">
        <f t="shared" si="50"/>
        <v>30</v>
      </c>
      <c r="H437" t="s">
        <v>649</v>
      </c>
      <c r="I437" t="s">
        <v>657</v>
      </c>
      <c r="J437" t="s">
        <v>673</v>
      </c>
      <c r="K437" t="str">
        <f t="shared" si="51"/>
        <v>Marseille</v>
      </c>
      <c r="L437" t="s">
        <v>705</v>
      </c>
      <c r="M437" t="s">
        <v>711</v>
      </c>
      <c r="N437" t="str">
        <f t="shared" si="52"/>
        <v>Direct</v>
      </c>
      <c r="O437" t="s">
        <v>714</v>
      </c>
      <c r="P437" t="str">
        <f t="shared" si="53"/>
        <v>I. Johnson</v>
      </c>
      <c r="Q437" t="s">
        <v>732</v>
      </c>
      <c r="R437" t="s">
        <v>813</v>
      </c>
      <c r="S437" s="23">
        <v>1122.68</v>
      </c>
      <c r="T437" s="23">
        <v>1997.19</v>
      </c>
      <c r="U437" s="23">
        <f t="shared" si="54"/>
        <v>1997.19</v>
      </c>
      <c r="V437" s="8">
        <v>0.186</v>
      </c>
      <c r="W437" s="8">
        <f t="shared" si="55"/>
        <v>0.186</v>
      </c>
      <c r="X437">
        <v>3</v>
      </c>
    </row>
    <row r="438" spans="1:24" x14ac:dyDescent="0.35">
      <c r="A438" s="4" t="s">
        <v>479</v>
      </c>
      <c r="B438" s="5" t="str">
        <f>IF(COUNTIF($A$2:A438,A438)=1,"Original","Duplicate")</f>
        <v>Original</v>
      </c>
      <c r="C438" s="7">
        <v>45618</v>
      </c>
      <c r="D438" s="7">
        <v>45641</v>
      </c>
      <c r="E438" s="7" t="str">
        <f t="shared" si="48"/>
        <v>Valid</v>
      </c>
      <c r="F438" s="7">
        <f t="shared" si="49"/>
        <v>45641</v>
      </c>
      <c r="G438">
        <f t="shared" si="50"/>
        <v>23</v>
      </c>
      <c r="H438" t="s">
        <v>646</v>
      </c>
      <c r="I438" t="s">
        <v>650</v>
      </c>
      <c r="J438" t="s">
        <v>675</v>
      </c>
      <c r="K438" t="str">
        <f t="shared" si="51"/>
        <v>Mombasa</v>
      </c>
      <c r="L438" t="s">
        <v>703</v>
      </c>
      <c r="M438" t="s">
        <v>710</v>
      </c>
      <c r="N438" t="str">
        <f t="shared" si="52"/>
        <v>Distributor</v>
      </c>
      <c r="O438" t="s">
        <v>712</v>
      </c>
      <c r="P438" t="str">
        <f t="shared" si="53"/>
        <v>C. Otieno</v>
      </c>
      <c r="Q438" t="s">
        <v>727</v>
      </c>
      <c r="R438" t="s">
        <v>1198</v>
      </c>
      <c r="S438" s="23">
        <v>1335.76</v>
      </c>
      <c r="T438" s="23">
        <v>2665.91</v>
      </c>
      <c r="U438" s="23">
        <f t="shared" si="54"/>
        <v>2665.91</v>
      </c>
      <c r="V438" s="8">
        <v>0.21099999999999999</v>
      </c>
      <c r="W438" s="8">
        <f t="shared" si="55"/>
        <v>0.21099999999999999</v>
      </c>
      <c r="X438">
        <v>40</v>
      </c>
    </row>
    <row r="439" spans="1:24" x14ac:dyDescent="0.35">
      <c r="A439" s="4" t="s">
        <v>372</v>
      </c>
      <c r="B439" s="5" t="str">
        <f>IF(COUNTIF($A$2:A439,A439)=1,"Original","Duplicate")</f>
        <v>Original</v>
      </c>
      <c r="C439" s="7">
        <v>45621</v>
      </c>
      <c r="D439" s="7">
        <v>45633</v>
      </c>
      <c r="E439" s="7" t="str">
        <f t="shared" si="48"/>
        <v>Valid</v>
      </c>
      <c r="F439" s="7">
        <f t="shared" si="49"/>
        <v>45633</v>
      </c>
      <c r="G439">
        <f t="shared" si="50"/>
        <v>12</v>
      </c>
      <c r="H439" t="s">
        <v>647</v>
      </c>
      <c r="I439" t="s">
        <v>659</v>
      </c>
      <c r="J439" t="s">
        <v>685</v>
      </c>
      <c r="K439" t="str">
        <f t="shared" si="51"/>
        <v>Shanghai</v>
      </c>
      <c r="L439" t="s">
        <v>701</v>
      </c>
      <c r="M439" t="s">
        <v>710</v>
      </c>
      <c r="N439" t="str">
        <f t="shared" si="52"/>
        <v>Distributor</v>
      </c>
      <c r="O439" t="s">
        <v>720</v>
      </c>
      <c r="P439" t="str">
        <f t="shared" si="53"/>
        <v>A. Patel</v>
      </c>
      <c r="Q439" t="s">
        <v>733</v>
      </c>
      <c r="R439" t="s">
        <v>1092</v>
      </c>
      <c r="S439" s="23">
        <v>769.9</v>
      </c>
      <c r="T439" s="23">
        <v>814.36</v>
      </c>
      <c r="U439" s="23">
        <f t="shared" si="54"/>
        <v>814.36</v>
      </c>
      <c r="V439" s="8">
        <v>0</v>
      </c>
      <c r="W439" s="8">
        <f t="shared" si="55"/>
        <v>0</v>
      </c>
      <c r="X439">
        <v>5</v>
      </c>
    </row>
    <row r="440" spans="1:24" x14ac:dyDescent="0.35">
      <c r="A440" s="4" t="s">
        <v>622</v>
      </c>
      <c r="B440" s="5" t="str">
        <f>IF(COUNTIF($A$2:A440,A440)=1,"Original","Duplicate")</f>
        <v>Original</v>
      </c>
      <c r="C440" s="7">
        <v>45623</v>
      </c>
      <c r="D440" s="7">
        <v>45650</v>
      </c>
      <c r="E440" s="7" t="str">
        <f t="shared" si="48"/>
        <v>Valid</v>
      </c>
      <c r="F440" s="7">
        <f t="shared" si="49"/>
        <v>45650</v>
      </c>
      <c r="G440">
        <f t="shared" si="50"/>
        <v>27</v>
      </c>
      <c r="H440" t="s">
        <v>646</v>
      </c>
      <c r="I440" t="s">
        <v>650</v>
      </c>
      <c r="J440" t="s">
        <v>675</v>
      </c>
      <c r="K440" t="str">
        <f t="shared" si="51"/>
        <v>Mombasa</v>
      </c>
      <c r="L440" t="s">
        <v>701</v>
      </c>
      <c r="M440" t="s">
        <v>710</v>
      </c>
      <c r="N440" t="str">
        <f t="shared" si="52"/>
        <v>Distributor</v>
      </c>
      <c r="O440" t="s">
        <v>717</v>
      </c>
      <c r="P440" t="str">
        <f t="shared" si="53"/>
        <v>B. Chen</v>
      </c>
      <c r="Q440" t="s">
        <v>728</v>
      </c>
      <c r="R440" t="s">
        <v>1340</v>
      </c>
      <c r="S440" s="23">
        <v>143.33000000000001</v>
      </c>
      <c r="T440" s="23">
        <v>233.51</v>
      </c>
      <c r="U440" s="23">
        <f t="shared" si="54"/>
        <v>233.51</v>
      </c>
      <c r="V440" s="8">
        <v>0.16300000000000001</v>
      </c>
      <c r="W440" s="8">
        <f t="shared" si="55"/>
        <v>0.16300000000000001</v>
      </c>
      <c r="X440">
        <v>14</v>
      </c>
    </row>
    <row r="441" spans="1:24" x14ac:dyDescent="0.35">
      <c r="A441" s="4" t="s">
        <v>41</v>
      </c>
      <c r="B441" s="5" t="str">
        <f>IF(COUNTIF($A$2:A441,A441)=1,"Original","Duplicate")</f>
        <v>Original</v>
      </c>
      <c r="C441" s="7">
        <v>45626</v>
      </c>
      <c r="D441" s="7">
        <v>45656</v>
      </c>
      <c r="E441" s="7" t="str">
        <f t="shared" si="48"/>
        <v>Valid</v>
      </c>
      <c r="F441" s="7">
        <f t="shared" si="49"/>
        <v>45656</v>
      </c>
      <c r="G441">
        <f t="shared" si="50"/>
        <v>30</v>
      </c>
      <c r="H441" t="s">
        <v>649</v>
      </c>
      <c r="I441" t="s">
        <v>657</v>
      </c>
      <c r="J441" t="s">
        <v>673</v>
      </c>
      <c r="K441" t="str">
        <f t="shared" si="51"/>
        <v>Marseille</v>
      </c>
      <c r="L441" t="s">
        <v>704</v>
      </c>
      <c r="M441" t="s">
        <v>709</v>
      </c>
      <c r="N441" t="str">
        <f t="shared" si="52"/>
        <v>Marketplace</v>
      </c>
      <c r="O441" t="s">
        <v>721</v>
      </c>
      <c r="P441" t="str">
        <f t="shared" si="53"/>
        <v>F. Müller</v>
      </c>
      <c r="Q441" t="s">
        <v>728</v>
      </c>
      <c r="R441" t="s">
        <v>760</v>
      </c>
      <c r="S441" s="23">
        <v>117.64</v>
      </c>
      <c r="T441" s="23">
        <v>175.67</v>
      </c>
      <c r="U441" s="23">
        <f t="shared" si="54"/>
        <v>175.67</v>
      </c>
      <c r="V441" s="8">
        <v>0</v>
      </c>
      <c r="W441" s="8">
        <f t="shared" si="55"/>
        <v>0</v>
      </c>
      <c r="X441">
        <v>10</v>
      </c>
    </row>
    <row r="442" spans="1:24" x14ac:dyDescent="0.35">
      <c r="A442" s="4" t="s">
        <v>430</v>
      </c>
      <c r="B442" s="5" t="str">
        <f>IF(COUNTIF($A$2:A442,A442)=1,"Original","Duplicate")</f>
        <v>Original</v>
      </c>
      <c r="C442" s="7">
        <v>45626</v>
      </c>
      <c r="D442" s="7">
        <v>45636</v>
      </c>
      <c r="E442" s="7" t="str">
        <f t="shared" si="48"/>
        <v>Valid</v>
      </c>
      <c r="F442" s="7">
        <f t="shared" si="49"/>
        <v>45636</v>
      </c>
      <c r="G442">
        <f t="shared" si="50"/>
        <v>10</v>
      </c>
      <c r="H442" t="s">
        <v>647</v>
      </c>
      <c r="I442" t="s">
        <v>654</v>
      </c>
      <c r="J442" t="s">
        <v>696</v>
      </c>
      <c r="K442" t="str">
        <f t="shared" si="51"/>
        <v>Hyderabad</v>
      </c>
      <c r="L442" t="s">
        <v>705</v>
      </c>
      <c r="M442" t="s">
        <v>707</v>
      </c>
      <c r="N442" t="str">
        <f t="shared" si="52"/>
        <v>Retail</v>
      </c>
      <c r="O442" t="s">
        <v>721</v>
      </c>
      <c r="P442" t="str">
        <f t="shared" si="53"/>
        <v>F. Müller</v>
      </c>
      <c r="Q442" t="s">
        <v>733</v>
      </c>
      <c r="R442" t="s">
        <v>1149</v>
      </c>
      <c r="S442" s="23">
        <v>851.49</v>
      </c>
      <c r="T442" s="23">
        <v>901.79</v>
      </c>
      <c r="U442" s="23">
        <f t="shared" si="54"/>
        <v>901.79</v>
      </c>
      <c r="V442" s="8">
        <v>0.245</v>
      </c>
      <c r="W442" s="8">
        <f t="shared" si="55"/>
        <v>0.245</v>
      </c>
      <c r="X442">
        <v>16</v>
      </c>
    </row>
    <row r="443" spans="1:24" x14ac:dyDescent="0.35">
      <c r="A443" s="4" t="s">
        <v>576</v>
      </c>
      <c r="B443" s="5" t="str">
        <f>IF(COUNTIF($A$2:A443,A443)=1,"Original","Duplicate")</f>
        <v>Original</v>
      </c>
      <c r="C443" s="7">
        <v>45626</v>
      </c>
      <c r="D443" s="7">
        <v>45645</v>
      </c>
      <c r="E443" s="7" t="str">
        <f t="shared" si="48"/>
        <v>Valid</v>
      </c>
      <c r="F443" s="7">
        <f t="shared" si="49"/>
        <v>45645</v>
      </c>
      <c r="G443">
        <f t="shared" si="50"/>
        <v>19</v>
      </c>
      <c r="H443" t="s">
        <v>646</v>
      </c>
      <c r="I443" t="s">
        <v>650</v>
      </c>
      <c r="J443" t="s">
        <v>662</v>
      </c>
      <c r="K443" t="str">
        <f t="shared" si="51"/>
        <v>Kisumu</v>
      </c>
      <c r="L443" t="s">
        <v>701</v>
      </c>
      <c r="M443" t="s">
        <v>708</v>
      </c>
      <c r="N443" t="str">
        <f t="shared" si="52"/>
        <v>Online</v>
      </c>
      <c r="O443" t="s">
        <v>716</v>
      </c>
      <c r="P443" t="str">
        <f t="shared" si="53"/>
        <v>L. Okafor</v>
      </c>
      <c r="Q443" t="s">
        <v>730</v>
      </c>
      <c r="R443" t="s">
        <v>1294</v>
      </c>
      <c r="S443" s="23">
        <v>1195.98</v>
      </c>
      <c r="T443" s="23">
        <v>1841.9</v>
      </c>
      <c r="U443" s="23">
        <f t="shared" si="54"/>
        <v>1841.9</v>
      </c>
      <c r="V443" s="8">
        <v>5.5E-2</v>
      </c>
      <c r="W443" s="8">
        <f t="shared" si="55"/>
        <v>5.5E-2</v>
      </c>
      <c r="X443">
        <v>19</v>
      </c>
    </row>
    <row r="444" spans="1:24" x14ac:dyDescent="0.35">
      <c r="A444" s="4" t="s">
        <v>257</v>
      </c>
      <c r="B444" s="5" t="str">
        <f>IF(COUNTIF($A$2:A444,A444)=1,"Original","Duplicate")</f>
        <v>Original</v>
      </c>
      <c r="C444" s="7">
        <v>45630</v>
      </c>
      <c r="D444" s="7">
        <v>45638</v>
      </c>
      <c r="E444" s="7" t="str">
        <f t="shared" si="48"/>
        <v>Valid</v>
      </c>
      <c r="F444" s="7">
        <f t="shared" si="49"/>
        <v>45638</v>
      </c>
      <c r="G444">
        <f t="shared" si="50"/>
        <v>8</v>
      </c>
      <c r="H444" t="s">
        <v>649</v>
      </c>
      <c r="I444" t="s">
        <v>656</v>
      </c>
      <c r="J444" t="s">
        <v>698</v>
      </c>
      <c r="K444" t="str">
        <f t="shared" si="51"/>
        <v>Frankfurt</v>
      </c>
      <c r="L444" t="s">
        <v>706</v>
      </c>
      <c r="M444" t="s">
        <v>709</v>
      </c>
      <c r="N444" t="str">
        <f t="shared" si="52"/>
        <v>Marketplace</v>
      </c>
      <c r="O444" t="s">
        <v>717</v>
      </c>
      <c r="P444" t="str">
        <f t="shared" si="53"/>
        <v>B. Chen</v>
      </c>
      <c r="Q444" t="s">
        <v>728</v>
      </c>
      <c r="R444" t="s">
        <v>977</v>
      </c>
      <c r="S444" s="23">
        <v>72.06</v>
      </c>
      <c r="T444" s="23">
        <v>122.74</v>
      </c>
      <c r="U444" s="23">
        <f t="shared" si="54"/>
        <v>122.74</v>
      </c>
      <c r="V444" s="8">
        <v>0.23799999999999999</v>
      </c>
      <c r="W444" s="8">
        <f t="shared" si="55"/>
        <v>0.23799999999999999</v>
      </c>
      <c r="X444">
        <v>8</v>
      </c>
    </row>
    <row r="445" spans="1:24" x14ac:dyDescent="0.35">
      <c r="A445" s="4" t="s">
        <v>118</v>
      </c>
      <c r="B445" s="5" t="str">
        <f>IF(COUNTIF($A$2:A445,A445)=1,"Original","Duplicate")</f>
        <v>Original</v>
      </c>
      <c r="C445" s="7">
        <v>45631</v>
      </c>
      <c r="D445" s="7">
        <v>45654</v>
      </c>
      <c r="E445" s="7" t="str">
        <f t="shared" si="48"/>
        <v>Valid</v>
      </c>
      <c r="F445" s="7">
        <f t="shared" si="49"/>
        <v>45654</v>
      </c>
      <c r="G445">
        <f t="shared" si="50"/>
        <v>23</v>
      </c>
      <c r="H445" t="s">
        <v>648</v>
      </c>
      <c r="I445" t="s">
        <v>653</v>
      </c>
      <c r="J445" t="s">
        <v>688</v>
      </c>
      <c r="K445" t="str">
        <f t="shared" si="51"/>
        <v>Vancouver</v>
      </c>
      <c r="L445" t="s">
        <v>701</v>
      </c>
      <c r="M445" t="s">
        <v>711</v>
      </c>
      <c r="N445" t="str">
        <f t="shared" si="52"/>
        <v>Direct</v>
      </c>
      <c r="O445" t="s">
        <v>721</v>
      </c>
      <c r="P445" t="str">
        <f t="shared" si="53"/>
        <v>F. Müller</v>
      </c>
      <c r="Q445" t="s">
        <v>733</v>
      </c>
      <c r="R445" t="s">
        <v>837</v>
      </c>
      <c r="S445" s="23">
        <v>107.03</v>
      </c>
      <c r="T445" s="23">
        <v>242.29</v>
      </c>
      <c r="U445" s="23">
        <f t="shared" si="54"/>
        <v>242.29</v>
      </c>
      <c r="V445" s="8">
        <v>0.18</v>
      </c>
      <c r="W445" s="8">
        <f t="shared" si="55"/>
        <v>0.18</v>
      </c>
      <c r="X445">
        <v>30</v>
      </c>
    </row>
    <row r="446" spans="1:24" x14ac:dyDescent="0.35">
      <c r="A446" s="4" t="s">
        <v>564</v>
      </c>
      <c r="B446" s="5" t="str">
        <f>IF(COUNTIF($A$2:A446,A446)=1,"Original","Duplicate")</f>
        <v>Original</v>
      </c>
      <c r="C446" s="7">
        <v>45633</v>
      </c>
      <c r="D446" s="7">
        <v>45652</v>
      </c>
      <c r="E446" s="7" t="str">
        <f t="shared" si="48"/>
        <v>Valid</v>
      </c>
      <c r="F446" s="7">
        <f t="shared" si="49"/>
        <v>45652</v>
      </c>
      <c r="G446">
        <f t="shared" si="50"/>
        <v>19</v>
      </c>
      <c r="H446" t="s">
        <v>649</v>
      </c>
      <c r="I446" t="s">
        <v>658</v>
      </c>
      <c r="J446" t="s">
        <v>683</v>
      </c>
      <c r="K446" t="str">
        <f t="shared" si="51"/>
        <v>London</v>
      </c>
      <c r="L446" t="s">
        <v>706</v>
      </c>
      <c r="M446" t="s">
        <v>708</v>
      </c>
      <c r="N446" t="str">
        <f t="shared" si="52"/>
        <v>Online</v>
      </c>
      <c r="O446" t="s">
        <v>726</v>
      </c>
      <c r="P446" t="str">
        <f t="shared" si="53"/>
        <v>D. Smith</v>
      </c>
      <c r="Q446" t="s">
        <v>729</v>
      </c>
      <c r="R446" t="s">
        <v>1282</v>
      </c>
      <c r="S446" s="23">
        <v>1035.24</v>
      </c>
      <c r="T446" s="23">
        <v>2383.41</v>
      </c>
      <c r="U446" s="23">
        <f t="shared" si="54"/>
        <v>2383.41</v>
      </c>
      <c r="V446" s="8">
        <v>0.17</v>
      </c>
      <c r="W446" s="8">
        <f t="shared" si="55"/>
        <v>0.17</v>
      </c>
      <c r="X446">
        <v>15</v>
      </c>
    </row>
    <row r="447" spans="1:24" x14ac:dyDescent="0.35">
      <c r="A447" s="4" t="s">
        <v>499</v>
      </c>
      <c r="B447" s="5" t="str">
        <f>IF(COUNTIF($A$2:A447,A447)=1,"Original","Duplicate")</f>
        <v>Original</v>
      </c>
      <c r="C447" s="7">
        <v>45634</v>
      </c>
      <c r="D447" s="7">
        <v>45634</v>
      </c>
      <c r="E447" s="7" t="str">
        <f t="shared" si="48"/>
        <v>Valid</v>
      </c>
      <c r="F447" s="7">
        <f t="shared" si="49"/>
        <v>45639</v>
      </c>
      <c r="G447">
        <f t="shared" si="50"/>
        <v>5</v>
      </c>
      <c r="H447" t="s">
        <v>649</v>
      </c>
      <c r="I447" t="s">
        <v>657</v>
      </c>
      <c r="J447" t="s">
        <v>679</v>
      </c>
      <c r="K447" t="str">
        <f t="shared" si="51"/>
        <v>Lyon</v>
      </c>
      <c r="L447" t="s">
        <v>706</v>
      </c>
      <c r="M447" t="s">
        <v>707</v>
      </c>
      <c r="N447" t="str">
        <f t="shared" si="52"/>
        <v>Retail</v>
      </c>
      <c r="O447" t="s">
        <v>722</v>
      </c>
      <c r="P447" t="str">
        <f t="shared" si="53"/>
        <v>H. Kim</v>
      </c>
      <c r="Q447" t="s">
        <v>727</v>
      </c>
      <c r="R447" t="s">
        <v>1218</v>
      </c>
      <c r="S447" s="23">
        <v>257.44</v>
      </c>
      <c r="T447" s="23">
        <v>290.33</v>
      </c>
      <c r="U447" s="23">
        <f t="shared" si="54"/>
        <v>290.33</v>
      </c>
      <c r="V447" s="8">
        <v>9.1999999999999998E-2</v>
      </c>
      <c r="W447" s="8">
        <f t="shared" si="55"/>
        <v>9.1999999999999998E-2</v>
      </c>
      <c r="X447">
        <v>23</v>
      </c>
    </row>
    <row r="448" spans="1:24" x14ac:dyDescent="0.35">
      <c r="A448" s="4" t="s">
        <v>31</v>
      </c>
      <c r="B448" s="5" t="str">
        <f>IF(COUNTIF($A$2:A448,A448)=1,"Original","Duplicate")</f>
        <v>Original</v>
      </c>
      <c r="C448" s="7">
        <v>45636</v>
      </c>
      <c r="D448" s="7">
        <v>45665</v>
      </c>
      <c r="E448" s="7" t="str">
        <f t="shared" si="48"/>
        <v>Valid</v>
      </c>
      <c r="F448" s="7">
        <f t="shared" si="49"/>
        <v>45665</v>
      </c>
      <c r="G448">
        <f t="shared" si="50"/>
        <v>29</v>
      </c>
      <c r="H448" t="s">
        <v>649</v>
      </c>
      <c r="I448" t="s">
        <v>657</v>
      </c>
      <c r="J448" t="s">
        <v>673</v>
      </c>
      <c r="K448" t="str">
        <f t="shared" si="51"/>
        <v>Marseille</v>
      </c>
      <c r="L448" t="s">
        <v>705</v>
      </c>
      <c r="M448" t="s">
        <v>707</v>
      </c>
      <c r="N448" t="str">
        <f t="shared" si="52"/>
        <v>Retail</v>
      </c>
      <c r="O448" t="s">
        <v>723</v>
      </c>
      <c r="P448" t="str">
        <f t="shared" si="53"/>
        <v>K. Singh</v>
      </c>
      <c r="Q448" t="s">
        <v>728</v>
      </c>
      <c r="R448" t="s">
        <v>750</v>
      </c>
      <c r="S448" s="23">
        <v>891.08</v>
      </c>
      <c r="T448" s="23">
        <v>1040.0999999999999</v>
      </c>
      <c r="U448" s="23">
        <f t="shared" si="54"/>
        <v>1040.0999999999999</v>
      </c>
      <c r="V448" s="8">
        <v>0.109</v>
      </c>
      <c r="W448" s="8">
        <f t="shared" si="55"/>
        <v>0.109</v>
      </c>
      <c r="X448">
        <v>28</v>
      </c>
    </row>
    <row r="449" spans="1:24" x14ac:dyDescent="0.35">
      <c r="A449" s="4" t="s">
        <v>447</v>
      </c>
      <c r="B449" s="5" t="str">
        <f>IF(COUNTIF($A$2:A449,A449)=1,"Original","Duplicate")</f>
        <v>Original</v>
      </c>
      <c r="C449" s="7">
        <v>45636</v>
      </c>
      <c r="D449" s="7">
        <v>45645</v>
      </c>
      <c r="E449" s="7" t="str">
        <f t="shared" si="48"/>
        <v>Valid</v>
      </c>
      <c r="F449" s="7">
        <f t="shared" si="49"/>
        <v>45645</v>
      </c>
      <c r="G449">
        <f t="shared" si="50"/>
        <v>9</v>
      </c>
      <c r="H449" t="s">
        <v>646</v>
      </c>
      <c r="I449" t="s">
        <v>651</v>
      </c>
      <c r="J449" t="s">
        <v>665</v>
      </c>
      <c r="K449" t="str">
        <f t="shared" si="51"/>
        <v>Lagos</v>
      </c>
      <c r="L449" t="s">
        <v>701</v>
      </c>
      <c r="M449" t="s">
        <v>707</v>
      </c>
      <c r="N449" t="str">
        <f t="shared" si="52"/>
        <v>Retail</v>
      </c>
      <c r="O449" t="s">
        <v>719</v>
      </c>
      <c r="P449" t="str">
        <f t="shared" si="53"/>
        <v>O. Wang</v>
      </c>
      <c r="Q449" t="s">
        <v>732</v>
      </c>
      <c r="R449" t="s">
        <v>1166</v>
      </c>
      <c r="S449" s="23">
        <v>488.68</v>
      </c>
      <c r="T449" s="23">
        <v>984.36</v>
      </c>
      <c r="U449" s="23">
        <f t="shared" si="54"/>
        <v>984.36</v>
      </c>
      <c r="V449" s="8">
        <v>5.8999999999999997E-2</v>
      </c>
      <c r="W449" s="8">
        <f t="shared" si="55"/>
        <v>5.8999999999999997E-2</v>
      </c>
      <c r="X449">
        <v>14</v>
      </c>
    </row>
    <row r="450" spans="1:24" x14ac:dyDescent="0.35">
      <c r="A450" s="4" t="s">
        <v>411</v>
      </c>
      <c r="B450" s="5" t="str">
        <f>IF(COUNTIF($A$2:A450,A450)=1,"Original","Duplicate")</f>
        <v>Original</v>
      </c>
      <c r="C450" s="7">
        <v>45638</v>
      </c>
      <c r="D450" s="7">
        <v>45646</v>
      </c>
      <c r="E450" s="7" t="str">
        <f t="shared" si="48"/>
        <v>Valid</v>
      </c>
      <c r="F450" s="7">
        <f t="shared" si="49"/>
        <v>45646</v>
      </c>
      <c r="G450">
        <f t="shared" si="50"/>
        <v>8</v>
      </c>
      <c r="H450" t="s">
        <v>647</v>
      </c>
      <c r="I450" t="s">
        <v>652</v>
      </c>
      <c r="J450" t="s">
        <v>689</v>
      </c>
      <c r="K450" t="str">
        <f t="shared" si="51"/>
        <v>Tokyo</v>
      </c>
      <c r="L450" t="s">
        <v>701</v>
      </c>
      <c r="M450" t="s">
        <v>707</v>
      </c>
      <c r="N450" t="str">
        <f t="shared" si="52"/>
        <v>Retail</v>
      </c>
      <c r="O450" t="s">
        <v>717</v>
      </c>
      <c r="P450" t="str">
        <f t="shared" si="53"/>
        <v>B. Chen</v>
      </c>
      <c r="Q450" t="s">
        <v>731</v>
      </c>
      <c r="R450" t="s">
        <v>1130</v>
      </c>
      <c r="S450" s="23">
        <v>1202.47</v>
      </c>
      <c r="T450" s="23">
        <v>1444.72</v>
      </c>
      <c r="U450" s="23">
        <f t="shared" si="54"/>
        <v>1444.72</v>
      </c>
      <c r="V450" s="8">
        <v>0.24099999999999999</v>
      </c>
      <c r="W450" s="8">
        <f t="shared" si="55"/>
        <v>0.24099999999999999</v>
      </c>
      <c r="X450">
        <v>17</v>
      </c>
    </row>
    <row r="451" spans="1:24" x14ac:dyDescent="0.35">
      <c r="A451" s="4" t="s">
        <v>151</v>
      </c>
      <c r="B451" s="5" t="str">
        <f>IF(COUNTIF($A$2:A451,A451)=1,"Original","Duplicate")</f>
        <v>Original</v>
      </c>
      <c r="C451" s="7">
        <v>45640</v>
      </c>
      <c r="D451" s="7">
        <v>45669</v>
      </c>
      <c r="E451" s="7" t="str">
        <f t="shared" ref="E451:E514" si="56">IF(D451&lt;C451,"Invalid","Valid")</f>
        <v>Valid</v>
      </c>
      <c r="F451" s="7">
        <f t="shared" ref="F451:F514" si="57">IF(D451&gt;C451,D451,WORKDAY(C451,5))</f>
        <v>45669</v>
      </c>
      <c r="G451">
        <f t="shared" ref="G451:G514" si="58">F451-C451</f>
        <v>29</v>
      </c>
      <c r="H451" t="s">
        <v>647</v>
      </c>
      <c r="I451" t="s">
        <v>659</v>
      </c>
      <c r="J451" t="s">
        <v>676</v>
      </c>
      <c r="K451" t="str">
        <f t="shared" ref="K451:K514" si="59">IF(J451="", "Unknown", J451)</f>
        <v>Shenzhen</v>
      </c>
      <c r="L451" t="s">
        <v>702</v>
      </c>
      <c r="M451" t="s">
        <v>708</v>
      </c>
      <c r="N451" t="str">
        <f t="shared" ref="N451:N514" si="60">IF(M451="", "Unknown", M451)</f>
        <v>Online</v>
      </c>
      <c r="O451" t="s">
        <v>713</v>
      </c>
      <c r="P451" t="str">
        <f t="shared" ref="P451:P514" si="61">IF(O451="","Unassigned",O451)</f>
        <v>J. Njeri</v>
      </c>
      <c r="Q451" t="s">
        <v>727</v>
      </c>
      <c r="R451" t="s">
        <v>870</v>
      </c>
      <c r="S451" s="23">
        <v>1412.15</v>
      </c>
      <c r="T451" s="23">
        <v>1631.04</v>
      </c>
      <c r="U451" s="23">
        <f t="shared" ref="U451:U514" si="62">IF(T451&gt;0,T451,S451*1.2)</f>
        <v>1631.04</v>
      </c>
      <c r="V451" s="8">
        <v>8.9999999999999993E-3</v>
      </c>
      <c r="W451" s="8">
        <f t="shared" ref="W451:W514" si="63">IF(V451&lt;0.3,V451,0.3)</f>
        <v>8.9999999999999993E-3</v>
      </c>
      <c r="X451">
        <v>6</v>
      </c>
    </row>
    <row r="452" spans="1:24" x14ac:dyDescent="0.35">
      <c r="A452" s="4" t="s">
        <v>88</v>
      </c>
      <c r="B452" s="5" t="str">
        <f>IF(COUNTIF($A$2:A452,A452)=1,"Original","Duplicate")</f>
        <v>Original</v>
      </c>
      <c r="C452" s="7">
        <v>45641</v>
      </c>
      <c r="D452" s="7">
        <v>45646</v>
      </c>
      <c r="E452" s="7" t="str">
        <f t="shared" si="56"/>
        <v>Valid</v>
      </c>
      <c r="F452" s="7">
        <f t="shared" si="57"/>
        <v>45646</v>
      </c>
      <c r="G452">
        <f t="shared" si="58"/>
        <v>5</v>
      </c>
      <c r="H452" t="s">
        <v>647</v>
      </c>
      <c r="I452" t="s">
        <v>659</v>
      </c>
      <c r="J452" t="s">
        <v>676</v>
      </c>
      <c r="K452" t="str">
        <f t="shared" si="59"/>
        <v>Shenzhen</v>
      </c>
      <c r="L452" t="s">
        <v>705</v>
      </c>
      <c r="M452" t="s">
        <v>711</v>
      </c>
      <c r="N452" t="str">
        <f t="shared" si="60"/>
        <v>Direct</v>
      </c>
      <c r="O452" t="s">
        <v>713</v>
      </c>
      <c r="P452" t="str">
        <f t="shared" si="61"/>
        <v>J. Njeri</v>
      </c>
      <c r="Q452" t="s">
        <v>729</v>
      </c>
      <c r="R452" t="s">
        <v>807</v>
      </c>
      <c r="S452" s="23">
        <v>717.55</v>
      </c>
      <c r="T452" s="23">
        <v>546.42999999999995</v>
      </c>
      <c r="U452" s="23">
        <f t="shared" si="62"/>
        <v>546.42999999999995</v>
      </c>
      <c r="V452" s="8">
        <v>4.7E-2</v>
      </c>
      <c r="W452" s="8">
        <f t="shared" si="63"/>
        <v>4.7E-2</v>
      </c>
      <c r="X452">
        <v>18</v>
      </c>
    </row>
    <row r="453" spans="1:24" x14ac:dyDescent="0.35">
      <c r="A453" s="4" t="s">
        <v>72</v>
      </c>
      <c r="B453" s="5" t="str">
        <f>IF(COUNTIF($A$2:A453,A453)=1,"Original","Duplicate")</f>
        <v>Original</v>
      </c>
      <c r="C453" s="7">
        <v>45643</v>
      </c>
      <c r="D453" s="7">
        <v>45644</v>
      </c>
      <c r="E453" s="7" t="str">
        <f t="shared" si="56"/>
        <v>Valid</v>
      </c>
      <c r="F453" s="7">
        <f t="shared" si="57"/>
        <v>45644</v>
      </c>
      <c r="G453">
        <f t="shared" si="58"/>
        <v>1</v>
      </c>
      <c r="H453" t="s">
        <v>649</v>
      </c>
      <c r="I453" t="s">
        <v>656</v>
      </c>
      <c r="J453" t="s">
        <v>684</v>
      </c>
      <c r="K453" t="str">
        <f t="shared" si="59"/>
        <v>Munich</v>
      </c>
      <c r="L453" t="s">
        <v>702</v>
      </c>
      <c r="M453" t="s">
        <v>707</v>
      </c>
      <c r="N453" t="str">
        <f t="shared" si="60"/>
        <v>Retail</v>
      </c>
      <c r="O453" t="s">
        <v>716</v>
      </c>
      <c r="P453" t="str">
        <f t="shared" si="61"/>
        <v>L. Okafor</v>
      </c>
      <c r="Q453" t="s">
        <v>733</v>
      </c>
      <c r="R453" t="s">
        <v>791</v>
      </c>
      <c r="S453" s="23">
        <v>346.82</v>
      </c>
      <c r="T453" s="23">
        <v>701.95</v>
      </c>
      <c r="U453" s="23">
        <f t="shared" si="62"/>
        <v>701.95</v>
      </c>
      <c r="V453" s="8">
        <v>0.14699999999999999</v>
      </c>
      <c r="W453" s="8">
        <f t="shared" si="63"/>
        <v>0.14699999999999999</v>
      </c>
      <c r="X453">
        <v>8</v>
      </c>
    </row>
    <row r="454" spans="1:24" x14ac:dyDescent="0.35">
      <c r="A454" s="4" t="s">
        <v>631</v>
      </c>
      <c r="B454" s="5" t="str">
        <f>IF(COUNTIF($A$2:A454,A454)=1,"Original","Duplicate")</f>
        <v>Original</v>
      </c>
      <c r="C454" s="7">
        <v>45643</v>
      </c>
      <c r="D454" s="7">
        <v>45673</v>
      </c>
      <c r="E454" s="7" t="str">
        <f t="shared" si="56"/>
        <v>Valid</v>
      </c>
      <c r="F454" s="7">
        <f t="shared" si="57"/>
        <v>45673</v>
      </c>
      <c r="G454">
        <f t="shared" si="58"/>
        <v>30</v>
      </c>
      <c r="H454" t="s">
        <v>649</v>
      </c>
      <c r="I454" t="s">
        <v>658</v>
      </c>
      <c r="J454" t="s">
        <v>693</v>
      </c>
      <c r="K454" t="str">
        <f t="shared" si="59"/>
        <v>Manchester</v>
      </c>
      <c r="L454" t="s">
        <v>701</v>
      </c>
      <c r="M454" t="s">
        <v>707</v>
      </c>
      <c r="N454" t="str">
        <f t="shared" si="60"/>
        <v>Retail</v>
      </c>
      <c r="O454" t="s">
        <v>726</v>
      </c>
      <c r="P454" t="str">
        <f t="shared" si="61"/>
        <v>D. Smith</v>
      </c>
      <c r="Q454" t="s">
        <v>732</v>
      </c>
      <c r="R454" t="s">
        <v>1349</v>
      </c>
      <c r="S454" s="23">
        <v>722.87</v>
      </c>
      <c r="T454" s="23">
        <v>-33.659999999999997</v>
      </c>
      <c r="U454" s="23">
        <f t="shared" si="62"/>
        <v>867.44399999999996</v>
      </c>
      <c r="V454" s="8">
        <v>0.10199999999999999</v>
      </c>
      <c r="W454" s="8">
        <f t="shared" si="63"/>
        <v>0.10199999999999999</v>
      </c>
      <c r="X454">
        <v>28</v>
      </c>
    </row>
    <row r="455" spans="1:24" x14ac:dyDescent="0.35">
      <c r="A455" s="4" t="s">
        <v>420</v>
      </c>
      <c r="B455" s="5" t="str">
        <f>IF(COUNTIF($A$2:A455,A455)=1,"Original","Duplicate")</f>
        <v>Original</v>
      </c>
      <c r="C455" s="7">
        <v>45646</v>
      </c>
      <c r="D455" s="7">
        <v>45671</v>
      </c>
      <c r="E455" s="7" t="str">
        <f t="shared" si="56"/>
        <v>Valid</v>
      </c>
      <c r="F455" s="7">
        <f t="shared" si="57"/>
        <v>45671</v>
      </c>
      <c r="G455">
        <f t="shared" si="58"/>
        <v>25</v>
      </c>
      <c r="H455" t="s">
        <v>647</v>
      </c>
      <c r="I455" t="s">
        <v>654</v>
      </c>
      <c r="J455" t="s">
        <v>680</v>
      </c>
      <c r="K455" t="str">
        <f t="shared" si="59"/>
        <v>Delhi</v>
      </c>
      <c r="L455" t="s">
        <v>705</v>
      </c>
      <c r="M455" t="s">
        <v>707</v>
      </c>
      <c r="N455" t="str">
        <f t="shared" si="60"/>
        <v>Retail</v>
      </c>
      <c r="O455" t="s">
        <v>724</v>
      </c>
      <c r="P455" t="str">
        <f t="shared" si="61"/>
        <v>M. Rossi</v>
      </c>
      <c r="Q455" t="s">
        <v>728</v>
      </c>
      <c r="R455" t="s">
        <v>1139</v>
      </c>
      <c r="S455" s="23">
        <v>1361.34</v>
      </c>
      <c r="T455" s="23">
        <v>1737.9</v>
      </c>
      <c r="U455" s="23">
        <f t="shared" si="62"/>
        <v>1737.9</v>
      </c>
      <c r="V455" s="8">
        <v>7.6999999999999999E-2</v>
      </c>
      <c r="W455" s="8">
        <f t="shared" si="63"/>
        <v>7.6999999999999999E-2</v>
      </c>
      <c r="X455">
        <v>14</v>
      </c>
    </row>
    <row r="456" spans="1:24" x14ac:dyDescent="0.35">
      <c r="A456" s="4" t="s">
        <v>149</v>
      </c>
      <c r="B456" s="5" t="str">
        <f>IF(COUNTIF($A$2:A456,A456)=1,"Original","Duplicate")</f>
        <v>Original</v>
      </c>
      <c r="C456" s="7">
        <v>45647</v>
      </c>
      <c r="D456" s="7">
        <v>45652</v>
      </c>
      <c r="E456" s="7" t="str">
        <f t="shared" si="56"/>
        <v>Valid</v>
      </c>
      <c r="F456" s="7">
        <f t="shared" si="57"/>
        <v>45652</v>
      </c>
      <c r="G456">
        <f t="shared" si="58"/>
        <v>5</v>
      </c>
      <c r="H456" t="s">
        <v>648</v>
      </c>
      <c r="I456" t="s">
        <v>660</v>
      </c>
      <c r="J456" t="s">
        <v>686</v>
      </c>
      <c r="K456" t="str">
        <f t="shared" si="59"/>
        <v>San Francisco</v>
      </c>
      <c r="L456" t="s">
        <v>704</v>
      </c>
      <c r="M456" t="s">
        <v>709</v>
      </c>
      <c r="N456" t="str">
        <f t="shared" si="60"/>
        <v>Marketplace</v>
      </c>
      <c r="O456" t="s">
        <v>724</v>
      </c>
      <c r="P456" t="str">
        <f t="shared" si="61"/>
        <v>M. Rossi</v>
      </c>
      <c r="Q456" t="s">
        <v>728</v>
      </c>
      <c r="R456" t="s">
        <v>868</v>
      </c>
      <c r="S456" s="23">
        <v>699.57</v>
      </c>
      <c r="T456" s="23">
        <v>572.71</v>
      </c>
      <c r="U456" s="23">
        <f t="shared" si="62"/>
        <v>572.71</v>
      </c>
      <c r="V456" s="8">
        <v>0.192</v>
      </c>
      <c r="W456" s="8">
        <f t="shared" si="63"/>
        <v>0.192</v>
      </c>
      <c r="X456">
        <v>26</v>
      </c>
    </row>
    <row r="457" spans="1:24" x14ac:dyDescent="0.35">
      <c r="A457" s="4" t="s">
        <v>156</v>
      </c>
      <c r="B457" s="5" t="str">
        <f>IF(COUNTIF($A$2:A457,A457)=1,"Original","Duplicate")</f>
        <v>Original</v>
      </c>
      <c r="C457" s="7">
        <v>45649</v>
      </c>
      <c r="D457" s="7">
        <v>45668</v>
      </c>
      <c r="E457" s="7" t="str">
        <f t="shared" si="56"/>
        <v>Valid</v>
      </c>
      <c r="F457" s="7">
        <f t="shared" si="57"/>
        <v>45668</v>
      </c>
      <c r="G457">
        <f t="shared" si="58"/>
        <v>19</v>
      </c>
      <c r="H457" t="s">
        <v>649</v>
      </c>
      <c r="I457" t="s">
        <v>656</v>
      </c>
      <c r="J457" t="s">
        <v>671</v>
      </c>
      <c r="K457" t="str">
        <f t="shared" si="59"/>
        <v>Berlin</v>
      </c>
      <c r="L457" t="s">
        <v>702</v>
      </c>
      <c r="M457" t="s">
        <v>707</v>
      </c>
      <c r="N457" t="str">
        <f t="shared" si="60"/>
        <v>Retail</v>
      </c>
      <c r="O457" t="s">
        <v>723</v>
      </c>
      <c r="P457" t="str">
        <f t="shared" si="61"/>
        <v>K. Singh</v>
      </c>
      <c r="Q457" t="s">
        <v>730</v>
      </c>
      <c r="R457" t="s">
        <v>875</v>
      </c>
      <c r="S457" s="23">
        <v>501.81</v>
      </c>
      <c r="T457" s="23">
        <v>921.62</v>
      </c>
      <c r="U457" s="23">
        <f t="shared" si="62"/>
        <v>921.62</v>
      </c>
      <c r="V457" s="8">
        <v>0.01</v>
      </c>
      <c r="W457" s="8">
        <f t="shared" si="63"/>
        <v>0.01</v>
      </c>
      <c r="X457">
        <v>9</v>
      </c>
    </row>
    <row r="458" spans="1:24" x14ac:dyDescent="0.35">
      <c r="A458" s="4" t="s">
        <v>450</v>
      </c>
      <c r="B458" s="5" t="str">
        <f>IF(COUNTIF($A$2:A458,A458)=1,"Original","Duplicate")</f>
        <v>Original</v>
      </c>
      <c r="C458" s="7">
        <v>45650</v>
      </c>
      <c r="D458" s="7">
        <v>45670</v>
      </c>
      <c r="E458" s="7" t="str">
        <f t="shared" si="56"/>
        <v>Valid</v>
      </c>
      <c r="F458" s="7">
        <f t="shared" si="57"/>
        <v>45670</v>
      </c>
      <c r="G458">
        <f t="shared" si="58"/>
        <v>20</v>
      </c>
      <c r="H458" t="s">
        <v>647</v>
      </c>
      <c r="I458" t="s">
        <v>654</v>
      </c>
      <c r="J458" t="s">
        <v>668</v>
      </c>
      <c r="K458" t="str">
        <f t="shared" si="59"/>
        <v>Bengaluru</v>
      </c>
      <c r="L458" t="s">
        <v>701</v>
      </c>
      <c r="M458" t="s">
        <v>709</v>
      </c>
      <c r="N458" t="str">
        <f t="shared" si="60"/>
        <v>Marketplace</v>
      </c>
      <c r="O458" t="s">
        <v>726</v>
      </c>
      <c r="P458" t="str">
        <f t="shared" si="61"/>
        <v>D. Smith</v>
      </c>
      <c r="Q458" t="s">
        <v>729</v>
      </c>
      <c r="R458" t="s">
        <v>1169</v>
      </c>
      <c r="S458" s="23">
        <v>126.15</v>
      </c>
      <c r="T458" s="23">
        <v>284.23</v>
      </c>
      <c r="U458" s="23">
        <f t="shared" si="62"/>
        <v>284.23</v>
      </c>
      <c r="V458" s="8">
        <v>0.113</v>
      </c>
      <c r="W458" s="8">
        <f t="shared" si="63"/>
        <v>0.113</v>
      </c>
      <c r="X458">
        <v>22</v>
      </c>
    </row>
    <row r="459" spans="1:24" x14ac:dyDescent="0.35">
      <c r="A459" s="4" t="s">
        <v>21</v>
      </c>
      <c r="B459" s="5" t="str">
        <f>IF(COUNTIF($A$2:A459,A459)=1,"Original","Duplicate")</f>
        <v>Original</v>
      </c>
      <c r="C459" s="7">
        <v>45653</v>
      </c>
      <c r="D459" s="7">
        <v>45671</v>
      </c>
      <c r="E459" s="7" t="str">
        <f t="shared" si="56"/>
        <v>Valid</v>
      </c>
      <c r="F459" s="7">
        <f t="shared" si="57"/>
        <v>45671</v>
      </c>
      <c r="G459">
        <f t="shared" si="58"/>
        <v>18</v>
      </c>
      <c r="H459" t="s">
        <v>647</v>
      </c>
      <c r="I459" t="s">
        <v>654</v>
      </c>
      <c r="J459" t="s">
        <v>668</v>
      </c>
      <c r="K459" t="str">
        <f t="shared" si="59"/>
        <v>Bengaluru</v>
      </c>
      <c r="L459" t="s">
        <v>705</v>
      </c>
      <c r="M459" t="s">
        <v>709</v>
      </c>
      <c r="N459" t="str">
        <f t="shared" si="60"/>
        <v>Marketplace</v>
      </c>
      <c r="O459" t="s">
        <v>718</v>
      </c>
      <c r="P459" t="str">
        <f t="shared" si="61"/>
        <v>E. Garcia</v>
      </c>
      <c r="Q459" t="s">
        <v>732</v>
      </c>
      <c r="R459" t="s">
        <v>740</v>
      </c>
      <c r="S459" s="23">
        <v>586.07000000000005</v>
      </c>
      <c r="T459" s="23">
        <v>845.97</v>
      </c>
      <c r="U459" s="23">
        <f t="shared" si="62"/>
        <v>845.97</v>
      </c>
      <c r="V459" s="8">
        <v>0.14699999999999999</v>
      </c>
      <c r="W459" s="8">
        <f t="shared" si="63"/>
        <v>0.14699999999999999</v>
      </c>
      <c r="X459">
        <v>4</v>
      </c>
    </row>
    <row r="460" spans="1:24" x14ac:dyDescent="0.35">
      <c r="A460" s="4" t="s">
        <v>45</v>
      </c>
      <c r="B460" s="5" t="str">
        <f>IF(COUNTIF($A$2:A460,A460)=1,"Original","Duplicate")</f>
        <v>Original</v>
      </c>
      <c r="C460" s="7">
        <v>45653</v>
      </c>
      <c r="D460" s="7">
        <v>45672</v>
      </c>
      <c r="E460" s="7" t="str">
        <f t="shared" si="56"/>
        <v>Valid</v>
      </c>
      <c r="F460" s="7">
        <f t="shared" si="57"/>
        <v>45672</v>
      </c>
      <c r="G460">
        <f t="shared" si="58"/>
        <v>19</v>
      </c>
      <c r="H460" t="s">
        <v>647</v>
      </c>
      <c r="I460" t="s">
        <v>654</v>
      </c>
      <c r="J460" t="s">
        <v>680</v>
      </c>
      <c r="K460" t="str">
        <f t="shared" si="59"/>
        <v>Delhi</v>
      </c>
      <c r="L460" t="s">
        <v>703</v>
      </c>
      <c r="M460" t="s">
        <v>710</v>
      </c>
      <c r="N460" t="str">
        <f t="shared" si="60"/>
        <v>Distributor</v>
      </c>
      <c r="O460" t="s">
        <v>715</v>
      </c>
      <c r="P460" t="str">
        <f t="shared" si="61"/>
        <v>G. Dubois</v>
      </c>
      <c r="Q460" t="s">
        <v>727</v>
      </c>
      <c r="R460" t="s">
        <v>764</v>
      </c>
      <c r="S460" s="23">
        <v>495.59</v>
      </c>
      <c r="T460" s="23">
        <v>631.78</v>
      </c>
      <c r="U460" s="23">
        <f t="shared" si="62"/>
        <v>631.78</v>
      </c>
      <c r="V460" s="8">
        <v>8.6999999999999994E-2</v>
      </c>
      <c r="W460" s="8">
        <f t="shared" si="63"/>
        <v>8.6999999999999994E-2</v>
      </c>
      <c r="X460">
        <v>17</v>
      </c>
    </row>
    <row r="461" spans="1:24" x14ac:dyDescent="0.35">
      <c r="A461" s="4" t="s">
        <v>132</v>
      </c>
      <c r="B461" s="5" t="str">
        <f>IF(COUNTIF($A$2:A461,A461)=1,"Original","Duplicate")</f>
        <v>Original</v>
      </c>
      <c r="C461" s="7">
        <v>45653</v>
      </c>
      <c r="D461" s="7">
        <v>45659</v>
      </c>
      <c r="E461" s="7" t="str">
        <f t="shared" si="56"/>
        <v>Valid</v>
      </c>
      <c r="F461" s="7">
        <f t="shared" si="57"/>
        <v>45659</v>
      </c>
      <c r="G461">
        <f t="shared" si="58"/>
        <v>6</v>
      </c>
      <c r="H461" t="s">
        <v>649</v>
      </c>
      <c r="I461" t="s">
        <v>656</v>
      </c>
      <c r="J461" t="s">
        <v>698</v>
      </c>
      <c r="K461" t="str">
        <f t="shared" si="59"/>
        <v>Frankfurt</v>
      </c>
      <c r="L461" t="s">
        <v>702</v>
      </c>
      <c r="M461" t="s">
        <v>711</v>
      </c>
      <c r="N461" t="str">
        <f t="shared" si="60"/>
        <v>Direct</v>
      </c>
      <c r="O461" t="s">
        <v>721</v>
      </c>
      <c r="P461" t="str">
        <f t="shared" si="61"/>
        <v>F. Müller</v>
      </c>
      <c r="Q461" t="s">
        <v>731</v>
      </c>
      <c r="R461" t="s">
        <v>851</v>
      </c>
      <c r="S461" s="23">
        <v>1391.99</v>
      </c>
      <c r="T461" s="23">
        <v>3469.7</v>
      </c>
      <c r="U461" s="23">
        <f t="shared" si="62"/>
        <v>3469.7</v>
      </c>
      <c r="V461" s="8">
        <v>0.184</v>
      </c>
      <c r="W461" s="8">
        <f t="shared" si="63"/>
        <v>0.184</v>
      </c>
      <c r="X461">
        <v>23</v>
      </c>
    </row>
    <row r="462" spans="1:24" x14ac:dyDescent="0.35">
      <c r="A462" s="4" t="s">
        <v>469</v>
      </c>
      <c r="B462" s="5" t="str">
        <f>IF(COUNTIF($A$2:A462,A462)=1,"Original","Duplicate")</f>
        <v>Original</v>
      </c>
      <c r="C462" s="7">
        <v>45653</v>
      </c>
      <c r="D462" s="7">
        <v>45655</v>
      </c>
      <c r="E462" s="7" t="str">
        <f t="shared" si="56"/>
        <v>Valid</v>
      </c>
      <c r="F462" s="7">
        <f t="shared" si="57"/>
        <v>45655</v>
      </c>
      <c r="G462">
        <f t="shared" si="58"/>
        <v>2</v>
      </c>
      <c r="H462" t="s">
        <v>648</v>
      </c>
      <c r="I462" t="s">
        <v>653</v>
      </c>
      <c r="J462" t="s">
        <v>688</v>
      </c>
      <c r="K462" t="str">
        <f t="shared" si="59"/>
        <v>Vancouver</v>
      </c>
      <c r="L462" t="s">
        <v>706</v>
      </c>
      <c r="M462" t="s">
        <v>709</v>
      </c>
      <c r="N462" t="str">
        <f t="shared" si="60"/>
        <v>Marketplace</v>
      </c>
      <c r="O462" t="s">
        <v>712</v>
      </c>
      <c r="P462" t="str">
        <f t="shared" si="61"/>
        <v>C. Otieno</v>
      </c>
      <c r="Q462" t="s">
        <v>733</v>
      </c>
      <c r="R462" t="s">
        <v>1188</v>
      </c>
      <c r="S462" s="23">
        <v>1146.72</v>
      </c>
      <c r="T462" s="23">
        <v>2074.34</v>
      </c>
      <c r="U462" s="23">
        <f t="shared" si="62"/>
        <v>2074.34</v>
      </c>
      <c r="V462" s="8">
        <v>0.111</v>
      </c>
      <c r="W462" s="8">
        <f t="shared" si="63"/>
        <v>0.111</v>
      </c>
      <c r="X462">
        <v>8</v>
      </c>
    </row>
    <row r="463" spans="1:24" x14ac:dyDescent="0.35">
      <c r="A463" s="4" t="s">
        <v>445</v>
      </c>
      <c r="B463" s="5" t="str">
        <f>IF(COUNTIF($A$2:A463,A463)=1,"Original","Duplicate")</f>
        <v>Original</v>
      </c>
      <c r="C463" s="7">
        <v>45654</v>
      </c>
      <c r="D463" s="7">
        <v>45665</v>
      </c>
      <c r="E463" s="7" t="str">
        <f t="shared" si="56"/>
        <v>Valid</v>
      </c>
      <c r="F463" s="7">
        <f t="shared" si="57"/>
        <v>45665</v>
      </c>
      <c r="G463">
        <f t="shared" si="58"/>
        <v>11</v>
      </c>
      <c r="H463" t="s">
        <v>647</v>
      </c>
      <c r="I463" t="s">
        <v>659</v>
      </c>
      <c r="J463" t="s">
        <v>676</v>
      </c>
      <c r="K463" t="str">
        <f t="shared" si="59"/>
        <v>Shenzhen</v>
      </c>
      <c r="L463" t="s">
        <v>706</v>
      </c>
      <c r="M463" t="s">
        <v>708</v>
      </c>
      <c r="N463" t="str">
        <f t="shared" si="60"/>
        <v>Online</v>
      </c>
      <c r="O463" t="s">
        <v>723</v>
      </c>
      <c r="P463" t="str">
        <f t="shared" si="61"/>
        <v>K. Singh</v>
      </c>
      <c r="Q463" t="s">
        <v>731</v>
      </c>
      <c r="R463" t="s">
        <v>1164</v>
      </c>
      <c r="S463" s="23">
        <v>1201.31</v>
      </c>
      <c r="T463" s="23">
        <v>2764.65</v>
      </c>
      <c r="U463" s="23">
        <f t="shared" si="62"/>
        <v>2764.65</v>
      </c>
      <c r="V463" s="8">
        <v>0</v>
      </c>
      <c r="W463" s="8">
        <f t="shared" si="63"/>
        <v>0</v>
      </c>
      <c r="X463">
        <v>21</v>
      </c>
    </row>
    <row r="464" spans="1:24" x14ac:dyDescent="0.35">
      <c r="A464" s="4" t="s">
        <v>324</v>
      </c>
      <c r="B464" s="5" t="str">
        <f>IF(COUNTIF($A$2:A464,A464)=1,"Original","Duplicate")</f>
        <v>Original</v>
      </c>
      <c r="C464" s="7">
        <v>45655</v>
      </c>
      <c r="D464" s="7">
        <v>45669</v>
      </c>
      <c r="E464" s="7" t="str">
        <f t="shared" si="56"/>
        <v>Valid</v>
      </c>
      <c r="F464" s="7">
        <f t="shared" si="57"/>
        <v>45669</v>
      </c>
      <c r="G464">
        <f t="shared" si="58"/>
        <v>14</v>
      </c>
      <c r="H464" t="s">
        <v>649</v>
      </c>
      <c r="I464" t="s">
        <v>658</v>
      </c>
      <c r="J464" t="s">
        <v>693</v>
      </c>
      <c r="K464" t="str">
        <f t="shared" si="59"/>
        <v>Manchester</v>
      </c>
      <c r="L464" t="s">
        <v>701</v>
      </c>
      <c r="M464" t="s">
        <v>711</v>
      </c>
      <c r="N464" t="str">
        <f t="shared" si="60"/>
        <v>Direct</v>
      </c>
      <c r="O464" t="s">
        <v>717</v>
      </c>
      <c r="P464" t="str">
        <f t="shared" si="61"/>
        <v>B. Chen</v>
      </c>
      <c r="Q464" t="s">
        <v>732</v>
      </c>
      <c r="R464" t="s">
        <v>1044</v>
      </c>
      <c r="S464" s="23">
        <v>1399.72</v>
      </c>
      <c r="T464" s="23">
        <v>3149.21</v>
      </c>
      <c r="U464" s="23">
        <f t="shared" si="62"/>
        <v>3149.21</v>
      </c>
      <c r="V464" s="8">
        <v>0.185</v>
      </c>
      <c r="W464" s="8">
        <f t="shared" si="63"/>
        <v>0.185</v>
      </c>
      <c r="X464">
        <v>12</v>
      </c>
    </row>
    <row r="465" spans="1:24" x14ac:dyDescent="0.35">
      <c r="A465" s="4" t="s">
        <v>26</v>
      </c>
      <c r="B465" s="5" t="str">
        <f>IF(COUNTIF($A$2:A465,A465)=1,"Original","Duplicate")</f>
        <v>Original</v>
      </c>
      <c r="C465" s="7">
        <v>45660</v>
      </c>
      <c r="D465" s="7">
        <v>45680</v>
      </c>
      <c r="E465" s="7" t="str">
        <f t="shared" si="56"/>
        <v>Valid</v>
      </c>
      <c r="F465" s="7">
        <f t="shared" si="57"/>
        <v>45680</v>
      </c>
      <c r="G465">
        <f t="shared" si="58"/>
        <v>20</v>
      </c>
      <c r="H465" t="s">
        <v>647</v>
      </c>
      <c r="I465" t="s">
        <v>652</v>
      </c>
      <c r="J465" t="s">
        <v>666</v>
      </c>
      <c r="K465" t="str">
        <f t="shared" si="59"/>
        <v>Osaka</v>
      </c>
      <c r="L465" t="s">
        <v>701</v>
      </c>
      <c r="M465" t="s">
        <v>710</v>
      </c>
      <c r="N465" t="str">
        <f t="shared" si="60"/>
        <v>Distributor</v>
      </c>
      <c r="O465" t="s">
        <v>721</v>
      </c>
      <c r="P465" t="str">
        <f t="shared" si="61"/>
        <v>F. Müller</v>
      </c>
      <c r="Q465" t="s">
        <v>730</v>
      </c>
      <c r="R465" t="s">
        <v>745</v>
      </c>
      <c r="S465" s="23">
        <v>908.6</v>
      </c>
      <c r="T465" s="23">
        <v>691.37</v>
      </c>
      <c r="U465" s="23">
        <f t="shared" si="62"/>
        <v>691.37</v>
      </c>
      <c r="V465" s="8">
        <v>0.25</v>
      </c>
      <c r="W465" s="8">
        <f t="shared" si="63"/>
        <v>0.25</v>
      </c>
      <c r="X465">
        <v>20</v>
      </c>
    </row>
    <row r="466" spans="1:24" x14ac:dyDescent="0.35">
      <c r="A466" s="4" t="s">
        <v>528</v>
      </c>
      <c r="B466" s="5" t="str">
        <f>IF(COUNTIF($A$2:A466,A466)=1,"Original","Duplicate")</f>
        <v>Original</v>
      </c>
      <c r="C466" s="7">
        <v>45661</v>
      </c>
      <c r="D466" s="7">
        <v>45662</v>
      </c>
      <c r="E466" s="7" t="str">
        <f t="shared" si="56"/>
        <v>Valid</v>
      </c>
      <c r="F466" s="7">
        <f t="shared" si="57"/>
        <v>45662</v>
      </c>
      <c r="G466">
        <f t="shared" si="58"/>
        <v>1</v>
      </c>
      <c r="H466" t="s">
        <v>647</v>
      </c>
      <c r="I466" t="s">
        <v>654</v>
      </c>
      <c r="J466" t="s">
        <v>680</v>
      </c>
      <c r="K466" t="str">
        <f t="shared" si="59"/>
        <v>Delhi</v>
      </c>
      <c r="L466" t="s">
        <v>702</v>
      </c>
      <c r="M466" t="s">
        <v>707</v>
      </c>
      <c r="N466" t="str">
        <f t="shared" si="60"/>
        <v>Retail</v>
      </c>
      <c r="O466" t="s">
        <v>714</v>
      </c>
      <c r="P466" t="str">
        <f t="shared" si="61"/>
        <v>I. Johnson</v>
      </c>
      <c r="Q466" t="s">
        <v>727</v>
      </c>
      <c r="R466" t="s">
        <v>1247</v>
      </c>
      <c r="S466" s="23">
        <v>1428.33</v>
      </c>
      <c r="T466" s="23">
        <v>3028.05</v>
      </c>
      <c r="U466" s="23">
        <f t="shared" si="62"/>
        <v>3028.05</v>
      </c>
      <c r="V466" s="8">
        <v>0</v>
      </c>
      <c r="W466" s="8">
        <f t="shared" si="63"/>
        <v>0</v>
      </c>
      <c r="X466">
        <v>11</v>
      </c>
    </row>
    <row r="467" spans="1:24" x14ac:dyDescent="0.35">
      <c r="A467" s="4" t="s">
        <v>392</v>
      </c>
      <c r="B467" s="5" t="str">
        <f>IF(COUNTIF($A$2:A467,A467)=1,"Original","Duplicate")</f>
        <v>Original</v>
      </c>
      <c r="C467" s="7">
        <v>45664</v>
      </c>
      <c r="D467" s="7">
        <v>45677</v>
      </c>
      <c r="E467" s="7" t="str">
        <f t="shared" si="56"/>
        <v>Valid</v>
      </c>
      <c r="F467" s="7">
        <f t="shared" si="57"/>
        <v>45677</v>
      </c>
      <c r="G467">
        <f t="shared" si="58"/>
        <v>13</v>
      </c>
      <c r="H467" t="s">
        <v>646</v>
      </c>
      <c r="I467" t="s">
        <v>661</v>
      </c>
      <c r="J467" t="s">
        <v>695</v>
      </c>
      <c r="K467" t="str">
        <f t="shared" si="59"/>
        <v>Cape Town</v>
      </c>
      <c r="L467" t="s">
        <v>701</v>
      </c>
      <c r="M467" t="s">
        <v>711</v>
      </c>
      <c r="N467" t="str">
        <f t="shared" si="60"/>
        <v>Direct</v>
      </c>
      <c r="O467" t="s">
        <v>723</v>
      </c>
      <c r="P467" t="str">
        <f t="shared" si="61"/>
        <v>K. Singh</v>
      </c>
      <c r="Q467" t="s">
        <v>729</v>
      </c>
      <c r="R467" t="s">
        <v>1112</v>
      </c>
      <c r="S467" s="23">
        <v>432.13</v>
      </c>
      <c r="T467" s="23">
        <v>1034.6600000000001</v>
      </c>
      <c r="U467" s="23">
        <f t="shared" si="62"/>
        <v>1034.6600000000001</v>
      </c>
      <c r="V467" s="8">
        <v>9.1999999999999998E-2</v>
      </c>
      <c r="W467" s="8">
        <f t="shared" si="63"/>
        <v>9.1999999999999998E-2</v>
      </c>
      <c r="X467">
        <v>7</v>
      </c>
    </row>
    <row r="468" spans="1:24" x14ac:dyDescent="0.35">
      <c r="A468" s="4" t="s">
        <v>148</v>
      </c>
      <c r="B468" s="5" t="str">
        <f>IF(COUNTIF($A$2:A468,A468)=1,"Original","Duplicate")</f>
        <v>Original</v>
      </c>
      <c r="C468" s="7">
        <v>45666</v>
      </c>
      <c r="D468" s="7">
        <v>45672</v>
      </c>
      <c r="E468" s="7" t="str">
        <f t="shared" si="56"/>
        <v>Valid</v>
      </c>
      <c r="F468" s="7">
        <f t="shared" si="57"/>
        <v>45672</v>
      </c>
      <c r="G468">
        <f t="shared" si="58"/>
        <v>6</v>
      </c>
      <c r="H468" t="s">
        <v>647</v>
      </c>
      <c r="I468" t="s">
        <v>659</v>
      </c>
      <c r="J468" t="s">
        <v>699</v>
      </c>
      <c r="K468" t="str">
        <f t="shared" si="59"/>
        <v>Beijing</v>
      </c>
      <c r="L468" t="s">
        <v>702</v>
      </c>
      <c r="M468" t="s">
        <v>708</v>
      </c>
      <c r="N468" t="str">
        <f t="shared" si="60"/>
        <v>Online</v>
      </c>
      <c r="O468" t="s">
        <v>712</v>
      </c>
      <c r="P468" t="str">
        <f t="shared" si="61"/>
        <v>C. Otieno</v>
      </c>
      <c r="Q468" t="s">
        <v>730</v>
      </c>
      <c r="R468" t="s">
        <v>867</v>
      </c>
      <c r="S468" s="23">
        <v>304.77999999999997</v>
      </c>
      <c r="T468" s="23">
        <v>537.27</v>
      </c>
      <c r="U468" s="23">
        <f t="shared" si="62"/>
        <v>537.27</v>
      </c>
      <c r="V468" s="8">
        <v>0.187</v>
      </c>
      <c r="W468" s="8">
        <f t="shared" si="63"/>
        <v>0.187</v>
      </c>
      <c r="X468">
        <v>8</v>
      </c>
    </row>
    <row r="469" spans="1:24" x14ac:dyDescent="0.35">
      <c r="A469" s="4" t="s">
        <v>549</v>
      </c>
      <c r="B469" s="5" t="str">
        <f>IF(COUNTIF($A$2:A469,A469)=1,"Original","Duplicate")</f>
        <v>Original</v>
      </c>
      <c r="C469" s="7">
        <v>45667</v>
      </c>
      <c r="D469" s="7">
        <v>45694</v>
      </c>
      <c r="E469" s="7" t="str">
        <f t="shared" si="56"/>
        <v>Valid</v>
      </c>
      <c r="F469" s="7">
        <f t="shared" si="57"/>
        <v>45694</v>
      </c>
      <c r="G469">
        <f t="shared" si="58"/>
        <v>27</v>
      </c>
      <c r="H469" t="s">
        <v>648</v>
      </c>
      <c r="I469" t="s">
        <v>655</v>
      </c>
      <c r="J469" t="s">
        <v>672</v>
      </c>
      <c r="K469" t="str">
        <f t="shared" si="59"/>
        <v>Brasília</v>
      </c>
      <c r="L469" t="s">
        <v>703</v>
      </c>
      <c r="M469" t="s">
        <v>707</v>
      </c>
      <c r="N469" t="str">
        <f t="shared" si="60"/>
        <v>Retail</v>
      </c>
      <c r="O469" t="s">
        <v>717</v>
      </c>
      <c r="P469" t="str">
        <f t="shared" si="61"/>
        <v>B. Chen</v>
      </c>
      <c r="Q469" t="s">
        <v>731</v>
      </c>
      <c r="R469" t="s">
        <v>1268</v>
      </c>
      <c r="S469" s="23">
        <v>725.62</v>
      </c>
      <c r="T469" s="23">
        <v>1559.19</v>
      </c>
      <c r="U469" s="23">
        <f t="shared" si="62"/>
        <v>1559.19</v>
      </c>
      <c r="V469" s="8">
        <v>0.19</v>
      </c>
      <c r="W469" s="8">
        <f t="shared" si="63"/>
        <v>0.19</v>
      </c>
      <c r="X469">
        <v>12</v>
      </c>
    </row>
    <row r="470" spans="1:24" x14ac:dyDescent="0.35">
      <c r="A470" s="4" t="s">
        <v>344</v>
      </c>
      <c r="B470" s="5" t="str">
        <f>IF(COUNTIF($A$2:A470,A470)=1,"Original","Duplicate")</f>
        <v>Original</v>
      </c>
      <c r="C470" s="7">
        <v>45668</v>
      </c>
      <c r="D470" s="7">
        <v>45680</v>
      </c>
      <c r="E470" s="7" t="str">
        <f t="shared" si="56"/>
        <v>Valid</v>
      </c>
      <c r="F470" s="7">
        <f t="shared" si="57"/>
        <v>45680</v>
      </c>
      <c r="G470">
        <f t="shared" si="58"/>
        <v>12</v>
      </c>
      <c r="H470" t="s">
        <v>648</v>
      </c>
      <c r="I470" t="s">
        <v>660</v>
      </c>
      <c r="J470" t="s">
        <v>697</v>
      </c>
      <c r="K470" t="str">
        <f t="shared" si="59"/>
        <v>Austin</v>
      </c>
      <c r="L470" t="s">
        <v>704</v>
      </c>
      <c r="M470" t="s">
        <v>710</v>
      </c>
      <c r="N470" t="str">
        <f t="shared" si="60"/>
        <v>Distributor</v>
      </c>
      <c r="O470" t="s">
        <v>722</v>
      </c>
      <c r="P470" t="str">
        <f t="shared" si="61"/>
        <v>H. Kim</v>
      </c>
      <c r="Q470" t="s">
        <v>730</v>
      </c>
      <c r="R470" t="s">
        <v>1064</v>
      </c>
      <c r="S470" s="23">
        <v>100.69</v>
      </c>
      <c r="T470" s="23">
        <v>226.14</v>
      </c>
      <c r="U470" s="23">
        <f t="shared" si="62"/>
        <v>226.14</v>
      </c>
      <c r="V470" s="8">
        <v>6.5000000000000002E-2</v>
      </c>
      <c r="W470" s="8">
        <f t="shared" si="63"/>
        <v>6.5000000000000002E-2</v>
      </c>
      <c r="X470">
        <v>12</v>
      </c>
    </row>
    <row r="471" spans="1:24" x14ac:dyDescent="0.35">
      <c r="A471" s="4" t="s">
        <v>201</v>
      </c>
      <c r="B471" s="5" t="str">
        <f>IF(COUNTIF($A$2:A471,A471)=1,"Original","Duplicate")</f>
        <v>Original</v>
      </c>
      <c r="C471" s="7">
        <v>45670</v>
      </c>
      <c r="D471" s="7">
        <v>45696</v>
      </c>
      <c r="E471" s="7" t="str">
        <f t="shared" si="56"/>
        <v>Valid</v>
      </c>
      <c r="F471" s="7">
        <f t="shared" si="57"/>
        <v>45696</v>
      </c>
      <c r="G471">
        <f t="shared" si="58"/>
        <v>26</v>
      </c>
      <c r="H471" t="s">
        <v>649</v>
      </c>
      <c r="I471" t="s">
        <v>657</v>
      </c>
      <c r="J471" t="s">
        <v>690</v>
      </c>
      <c r="K471" t="str">
        <f t="shared" si="59"/>
        <v>Paris</v>
      </c>
      <c r="L471" t="s">
        <v>703</v>
      </c>
      <c r="N471" t="str">
        <f t="shared" si="60"/>
        <v>Unknown</v>
      </c>
      <c r="O471" t="s">
        <v>718</v>
      </c>
      <c r="P471" t="str">
        <f t="shared" si="61"/>
        <v>E. Garcia</v>
      </c>
      <c r="Q471" t="s">
        <v>732</v>
      </c>
      <c r="R471" t="s">
        <v>920</v>
      </c>
      <c r="S471" s="23">
        <v>594.74</v>
      </c>
      <c r="T471" s="23">
        <v>1020.69</v>
      </c>
      <c r="U471" s="23">
        <f t="shared" si="62"/>
        <v>1020.69</v>
      </c>
      <c r="V471" s="8">
        <v>0.21099999999999999</v>
      </c>
      <c r="W471" s="8">
        <f t="shared" si="63"/>
        <v>0.21099999999999999</v>
      </c>
      <c r="X471">
        <v>6</v>
      </c>
    </row>
    <row r="472" spans="1:24" x14ac:dyDescent="0.35">
      <c r="A472" s="4" t="s">
        <v>128</v>
      </c>
      <c r="B472" s="5" t="str">
        <f>IF(COUNTIF($A$2:A472,A472)=1,"Original","Duplicate")</f>
        <v>Original</v>
      </c>
      <c r="C472" s="7">
        <v>45674</v>
      </c>
      <c r="D472" s="7">
        <v>45681</v>
      </c>
      <c r="E472" s="7" t="str">
        <f t="shared" si="56"/>
        <v>Valid</v>
      </c>
      <c r="F472" s="7">
        <f t="shared" si="57"/>
        <v>45681</v>
      </c>
      <c r="G472">
        <f t="shared" si="58"/>
        <v>7</v>
      </c>
      <c r="H472" t="s">
        <v>648</v>
      </c>
      <c r="I472" t="s">
        <v>660</v>
      </c>
      <c r="J472" t="s">
        <v>697</v>
      </c>
      <c r="K472" t="str">
        <f t="shared" si="59"/>
        <v>Austin</v>
      </c>
      <c r="L472" t="s">
        <v>706</v>
      </c>
      <c r="M472" t="s">
        <v>708</v>
      </c>
      <c r="N472" t="str">
        <f t="shared" si="60"/>
        <v>Online</v>
      </c>
      <c r="O472" t="s">
        <v>715</v>
      </c>
      <c r="P472" t="str">
        <f t="shared" si="61"/>
        <v>G. Dubois</v>
      </c>
      <c r="Q472" t="s">
        <v>733</v>
      </c>
      <c r="R472" t="s">
        <v>847</v>
      </c>
      <c r="S472" s="23">
        <v>142.09</v>
      </c>
      <c r="T472" s="23">
        <v>218.5</v>
      </c>
      <c r="U472" s="23">
        <f t="shared" si="62"/>
        <v>218.5</v>
      </c>
      <c r="V472" s="8">
        <v>0.11899999999999999</v>
      </c>
      <c r="W472" s="8">
        <f t="shared" si="63"/>
        <v>0.11899999999999999</v>
      </c>
      <c r="X472">
        <v>11</v>
      </c>
    </row>
    <row r="473" spans="1:24" x14ac:dyDescent="0.35">
      <c r="A473" s="4" t="s">
        <v>418</v>
      </c>
      <c r="B473" s="5" t="str">
        <f>IF(COUNTIF($A$2:A473,A473)=1,"Original","Duplicate")</f>
        <v>Original</v>
      </c>
      <c r="C473" s="7">
        <v>45677</v>
      </c>
      <c r="D473" s="7">
        <v>45691</v>
      </c>
      <c r="E473" s="7" t="str">
        <f t="shared" si="56"/>
        <v>Valid</v>
      </c>
      <c r="F473" s="7">
        <f t="shared" si="57"/>
        <v>45691</v>
      </c>
      <c r="G473">
        <f t="shared" si="58"/>
        <v>14</v>
      </c>
      <c r="H473" t="s">
        <v>648</v>
      </c>
      <c r="I473" t="s">
        <v>655</v>
      </c>
      <c r="J473" t="s">
        <v>672</v>
      </c>
      <c r="K473" t="str">
        <f t="shared" si="59"/>
        <v>Brasília</v>
      </c>
      <c r="L473" t="s">
        <v>706</v>
      </c>
      <c r="M473" t="s">
        <v>709</v>
      </c>
      <c r="N473" t="str">
        <f t="shared" si="60"/>
        <v>Marketplace</v>
      </c>
      <c r="O473" t="s">
        <v>721</v>
      </c>
      <c r="P473" t="str">
        <f t="shared" si="61"/>
        <v>F. Müller</v>
      </c>
      <c r="Q473" t="s">
        <v>727</v>
      </c>
      <c r="R473" t="s">
        <v>1137</v>
      </c>
      <c r="S473" s="23">
        <v>974.11</v>
      </c>
      <c r="T473" s="23">
        <v>880.99</v>
      </c>
      <c r="U473" s="23">
        <f t="shared" si="62"/>
        <v>880.99</v>
      </c>
      <c r="V473" s="8">
        <v>0.111</v>
      </c>
      <c r="W473" s="8">
        <f t="shared" si="63"/>
        <v>0.111</v>
      </c>
      <c r="X473">
        <v>10</v>
      </c>
    </row>
    <row r="474" spans="1:24" x14ac:dyDescent="0.35">
      <c r="A474" s="4" t="s">
        <v>68</v>
      </c>
      <c r="B474" s="5" t="str">
        <f>IF(COUNTIF($A$2:A474,A474)=1,"Original","Duplicate")</f>
        <v>Original</v>
      </c>
      <c r="C474" s="7">
        <v>45678</v>
      </c>
      <c r="D474" s="7">
        <v>45704</v>
      </c>
      <c r="E474" s="7" t="str">
        <f t="shared" si="56"/>
        <v>Valid</v>
      </c>
      <c r="F474" s="7">
        <f t="shared" si="57"/>
        <v>45704</v>
      </c>
      <c r="G474">
        <f t="shared" si="58"/>
        <v>26</v>
      </c>
      <c r="H474" t="s">
        <v>649</v>
      </c>
      <c r="I474" t="s">
        <v>657</v>
      </c>
      <c r="J474" t="s">
        <v>679</v>
      </c>
      <c r="K474" t="str">
        <f t="shared" si="59"/>
        <v>Lyon</v>
      </c>
      <c r="L474" t="s">
        <v>701</v>
      </c>
      <c r="M474" t="s">
        <v>710</v>
      </c>
      <c r="N474" t="str">
        <f t="shared" si="60"/>
        <v>Distributor</v>
      </c>
      <c r="O474" t="s">
        <v>719</v>
      </c>
      <c r="P474" t="str">
        <f t="shared" si="61"/>
        <v>O. Wang</v>
      </c>
      <c r="Q474" t="s">
        <v>731</v>
      </c>
      <c r="R474" t="s">
        <v>787</v>
      </c>
      <c r="S474" s="23">
        <v>204.11</v>
      </c>
      <c r="T474" s="23">
        <v>236.87</v>
      </c>
      <c r="U474" s="23">
        <f t="shared" si="62"/>
        <v>236.87</v>
      </c>
      <c r="V474" s="8">
        <v>0.182</v>
      </c>
      <c r="W474" s="8">
        <f t="shared" si="63"/>
        <v>0.182</v>
      </c>
      <c r="X474">
        <v>13</v>
      </c>
    </row>
    <row r="475" spans="1:24" x14ac:dyDescent="0.35">
      <c r="A475" s="4" t="s">
        <v>221</v>
      </c>
      <c r="B475" s="5" t="str">
        <f>IF(COUNTIF($A$2:A475,A475)=1,"Original","Duplicate")</f>
        <v>Original</v>
      </c>
      <c r="C475" s="7">
        <v>45678</v>
      </c>
      <c r="D475" s="7">
        <v>45702</v>
      </c>
      <c r="E475" s="7" t="str">
        <f t="shared" si="56"/>
        <v>Valid</v>
      </c>
      <c r="F475" s="7">
        <f t="shared" si="57"/>
        <v>45702</v>
      </c>
      <c r="G475">
        <f t="shared" si="58"/>
        <v>24</v>
      </c>
      <c r="H475" t="s">
        <v>646</v>
      </c>
      <c r="I475" t="s">
        <v>650</v>
      </c>
      <c r="J475" t="s">
        <v>664</v>
      </c>
      <c r="K475" t="str">
        <f t="shared" si="59"/>
        <v>Nairobi</v>
      </c>
      <c r="L475" t="s">
        <v>705</v>
      </c>
      <c r="M475" t="s">
        <v>707</v>
      </c>
      <c r="N475" t="str">
        <f t="shared" si="60"/>
        <v>Retail</v>
      </c>
      <c r="O475" t="s">
        <v>713</v>
      </c>
      <c r="P475" t="str">
        <f t="shared" si="61"/>
        <v>J. Njeri</v>
      </c>
      <c r="Q475" t="s">
        <v>733</v>
      </c>
      <c r="R475" t="s">
        <v>941</v>
      </c>
      <c r="S475" s="23">
        <v>1030.44</v>
      </c>
      <c r="T475" s="23">
        <v>2562.84</v>
      </c>
      <c r="U475" s="23">
        <f t="shared" si="62"/>
        <v>2562.84</v>
      </c>
      <c r="V475" s="8">
        <v>0.14799999999999999</v>
      </c>
      <c r="W475" s="8">
        <f t="shared" si="63"/>
        <v>0.14799999999999999</v>
      </c>
      <c r="X475">
        <v>13</v>
      </c>
    </row>
    <row r="476" spans="1:24" x14ac:dyDescent="0.35">
      <c r="A476" s="4" t="s">
        <v>313</v>
      </c>
      <c r="B476" s="5" t="str">
        <f>IF(COUNTIF($A$2:A476,A476)=1,"Original","Duplicate")</f>
        <v>Original</v>
      </c>
      <c r="C476" s="7">
        <v>45679</v>
      </c>
      <c r="D476" s="7">
        <v>45679</v>
      </c>
      <c r="E476" s="7" t="str">
        <f t="shared" si="56"/>
        <v>Valid</v>
      </c>
      <c r="F476" s="7">
        <f t="shared" si="57"/>
        <v>45686</v>
      </c>
      <c r="G476">
        <f t="shared" si="58"/>
        <v>7</v>
      </c>
      <c r="H476" t="s">
        <v>649</v>
      </c>
      <c r="I476" t="s">
        <v>657</v>
      </c>
      <c r="J476" t="s">
        <v>679</v>
      </c>
      <c r="K476" t="str">
        <f t="shared" si="59"/>
        <v>Lyon</v>
      </c>
      <c r="L476" t="s">
        <v>705</v>
      </c>
      <c r="M476" t="s">
        <v>708</v>
      </c>
      <c r="N476" t="str">
        <f t="shared" si="60"/>
        <v>Online</v>
      </c>
      <c r="O476" t="s">
        <v>717</v>
      </c>
      <c r="P476" t="str">
        <f t="shared" si="61"/>
        <v>B. Chen</v>
      </c>
      <c r="Q476" t="s">
        <v>733</v>
      </c>
      <c r="R476" t="s">
        <v>1033</v>
      </c>
      <c r="S476" s="23">
        <v>591.72</v>
      </c>
      <c r="T476" s="23">
        <v>577.24</v>
      </c>
      <c r="U476" s="23">
        <f t="shared" si="62"/>
        <v>577.24</v>
      </c>
      <c r="V476" s="8">
        <v>0</v>
      </c>
      <c r="W476" s="8">
        <f t="shared" si="63"/>
        <v>0</v>
      </c>
      <c r="X476">
        <v>22</v>
      </c>
    </row>
    <row r="477" spans="1:24" x14ac:dyDescent="0.35">
      <c r="A477" s="4" t="s">
        <v>322</v>
      </c>
      <c r="B477" s="5" t="str">
        <f>IF(COUNTIF($A$2:A477,A477)=1,"Original","Duplicate")</f>
        <v>Original</v>
      </c>
      <c r="C477" s="7">
        <v>45679</v>
      </c>
      <c r="D477" s="7">
        <v>45692</v>
      </c>
      <c r="E477" s="7" t="str">
        <f t="shared" si="56"/>
        <v>Valid</v>
      </c>
      <c r="F477" s="7">
        <f t="shared" si="57"/>
        <v>45692</v>
      </c>
      <c r="G477">
        <f t="shared" si="58"/>
        <v>13</v>
      </c>
      <c r="H477" t="s">
        <v>647</v>
      </c>
      <c r="I477" t="s">
        <v>652</v>
      </c>
      <c r="J477" t="s">
        <v>689</v>
      </c>
      <c r="K477" t="str">
        <f t="shared" si="59"/>
        <v>Tokyo</v>
      </c>
      <c r="L477" t="s">
        <v>705</v>
      </c>
      <c r="M477" t="s">
        <v>710</v>
      </c>
      <c r="N477" t="str">
        <f t="shared" si="60"/>
        <v>Distributor</v>
      </c>
      <c r="O477" t="s">
        <v>716</v>
      </c>
      <c r="P477" t="str">
        <f t="shared" si="61"/>
        <v>L. Okafor</v>
      </c>
      <c r="Q477" t="s">
        <v>728</v>
      </c>
      <c r="R477" t="s">
        <v>1042</v>
      </c>
      <c r="S477" s="23">
        <v>122.29</v>
      </c>
      <c r="T477" s="23">
        <v>224.95</v>
      </c>
      <c r="U477" s="23">
        <f t="shared" si="62"/>
        <v>224.95</v>
      </c>
      <c r="V477" s="8">
        <v>0.153</v>
      </c>
      <c r="W477" s="8">
        <f t="shared" si="63"/>
        <v>0.153</v>
      </c>
      <c r="X477">
        <v>28</v>
      </c>
    </row>
    <row r="478" spans="1:24" x14ac:dyDescent="0.35">
      <c r="A478" s="4" t="s">
        <v>115</v>
      </c>
      <c r="B478" s="5" t="str">
        <f>IF(COUNTIF($A$2:A478,A478)=1,"Original","Duplicate")</f>
        <v>Original</v>
      </c>
      <c r="C478" s="7">
        <v>45684</v>
      </c>
      <c r="D478" s="7">
        <v>45703</v>
      </c>
      <c r="E478" s="7" t="str">
        <f t="shared" si="56"/>
        <v>Valid</v>
      </c>
      <c r="F478" s="7">
        <f t="shared" si="57"/>
        <v>45703</v>
      </c>
      <c r="G478">
        <f t="shared" si="58"/>
        <v>19</v>
      </c>
      <c r="H478" t="s">
        <v>647</v>
      </c>
      <c r="I478" t="s">
        <v>659</v>
      </c>
      <c r="J478" t="s">
        <v>676</v>
      </c>
      <c r="K478" t="str">
        <f t="shared" si="59"/>
        <v>Shenzhen</v>
      </c>
      <c r="L478" t="s">
        <v>703</v>
      </c>
      <c r="M478" t="s">
        <v>711</v>
      </c>
      <c r="N478" t="str">
        <f t="shared" si="60"/>
        <v>Direct</v>
      </c>
      <c r="O478" t="s">
        <v>716</v>
      </c>
      <c r="P478" t="str">
        <f t="shared" si="61"/>
        <v>L. Okafor</v>
      </c>
      <c r="Q478" t="s">
        <v>730</v>
      </c>
      <c r="R478" t="s">
        <v>834</v>
      </c>
      <c r="S478" s="23">
        <v>1253.22</v>
      </c>
      <c r="T478" s="23">
        <v>3104.71</v>
      </c>
      <c r="U478" s="23">
        <f t="shared" si="62"/>
        <v>3104.71</v>
      </c>
      <c r="V478" s="8">
        <v>0</v>
      </c>
      <c r="W478" s="8">
        <f t="shared" si="63"/>
        <v>0</v>
      </c>
      <c r="X478">
        <v>17</v>
      </c>
    </row>
    <row r="479" spans="1:24" x14ac:dyDescent="0.35">
      <c r="A479" s="4" t="s">
        <v>227</v>
      </c>
      <c r="B479" s="5" t="str">
        <f>IF(COUNTIF($A$2:A479,A479)=1,"Original","Duplicate")</f>
        <v>Original</v>
      </c>
      <c r="C479" s="7">
        <v>45686</v>
      </c>
      <c r="D479" s="7">
        <v>45694</v>
      </c>
      <c r="E479" s="7" t="str">
        <f t="shared" si="56"/>
        <v>Valid</v>
      </c>
      <c r="F479" s="7">
        <f t="shared" si="57"/>
        <v>45694</v>
      </c>
      <c r="G479">
        <f t="shared" si="58"/>
        <v>8</v>
      </c>
      <c r="H479" t="s">
        <v>646</v>
      </c>
      <c r="I479" t="s">
        <v>650</v>
      </c>
      <c r="J479" t="s">
        <v>662</v>
      </c>
      <c r="K479" t="str">
        <f t="shared" si="59"/>
        <v>Kisumu</v>
      </c>
      <c r="L479" t="s">
        <v>702</v>
      </c>
      <c r="M479" t="s">
        <v>707</v>
      </c>
      <c r="N479" t="str">
        <f t="shared" si="60"/>
        <v>Retail</v>
      </c>
      <c r="O479" t="s">
        <v>717</v>
      </c>
      <c r="P479" t="str">
        <f t="shared" si="61"/>
        <v>B. Chen</v>
      </c>
      <c r="Q479" t="s">
        <v>730</v>
      </c>
      <c r="R479" t="s">
        <v>947</v>
      </c>
      <c r="S479" s="23">
        <v>1445.27</v>
      </c>
      <c r="T479" s="23">
        <v>2691.45</v>
      </c>
      <c r="U479" s="23">
        <f t="shared" si="62"/>
        <v>2691.45</v>
      </c>
      <c r="V479" s="8">
        <v>0</v>
      </c>
      <c r="W479" s="8">
        <f t="shared" si="63"/>
        <v>0</v>
      </c>
      <c r="X479">
        <v>9</v>
      </c>
    </row>
    <row r="480" spans="1:24" x14ac:dyDescent="0.35">
      <c r="A480" s="4" t="s">
        <v>394</v>
      </c>
      <c r="B480" s="5" t="str">
        <f>IF(COUNTIF($A$2:A480,A480)=1,"Original","Duplicate")</f>
        <v>Original</v>
      </c>
      <c r="C480" s="7">
        <v>45688</v>
      </c>
      <c r="D480" s="7">
        <v>45705</v>
      </c>
      <c r="E480" s="7" t="str">
        <f t="shared" si="56"/>
        <v>Valid</v>
      </c>
      <c r="F480" s="7">
        <f t="shared" si="57"/>
        <v>45705</v>
      </c>
      <c r="G480">
        <f t="shared" si="58"/>
        <v>17</v>
      </c>
      <c r="H480" t="s">
        <v>649</v>
      </c>
      <c r="I480" t="s">
        <v>658</v>
      </c>
      <c r="J480" t="s">
        <v>683</v>
      </c>
      <c r="K480" t="str">
        <f t="shared" si="59"/>
        <v>London</v>
      </c>
      <c r="L480" t="s">
        <v>706</v>
      </c>
      <c r="M480" t="s">
        <v>707</v>
      </c>
      <c r="N480" t="str">
        <f t="shared" si="60"/>
        <v>Retail</v>
      </c>
      <c r="O480" t="s">
        <v>722</v>
      </c>
      <c r="P480" t="str">
        <f t="shared" si="61"/>
        <v>H. Kim</v>
      </c>
      <c r="Q480" t="s">
        <v>727</v>
      </c>
      <c r="R480" t="s">
        <v>812</v>
      </c>
      <c r="S480" s="23">
        <v>378.26</v>
      </c>
      <c r="T480" s="23">
        <v>541.55999999999995</v>
      </c>
      <c r="U480" s="23">
        <f t="shared" si="62"/>
        <v>541.55999999999995</v>
      </c>
      <c r="V480" s="8">
        <v>0.16300000000000001</v>
      </c>
      <c r="W480" s="8">
        <f t="shared" si="63"/>
        <v>0.16300000000000001</v>
      </c>
      <c r="X480">
        <v>25</v>
      </c>
    </row>
    <row r="481" spans="1:24" x14ac:dyDescent="0.35">
      <c r="A481" s="4" t="s">
        <v>197</v>
      </c>
      <c r="B481" s="5" t="str">
        <f>IF(COUNTIF($A$2:A481,A481)=1,"Original","Duplicate")</f>
        <v>Original</v>
      </c>
      <c r="C481" s="7">
        <v>45690</v>
      </c>
      <c r="D481" s="7">
        <v>45720</v>
      </c>
      <c r="E481" s="7" t="str">
        <f t="shared" si="56"/>
        <v>Valid</v>
      </c>
      <c r="F481" s="7">
        <f t="shared" si="57"/>
        <v>45720</v>
      </c>
      <c r="G481">
        <f t="shared" si="58"/>
        <v>30</v>
      </c>
      <c r="H481" t="s">
        <v>647</v>
      </c>
      <c r="I481" t="s">
        <v>652</v>
      </c>
      <c r="J481" t="s">
        <v>666</v>
      </c>
      <c r="K481" t="str">
        <f t="shared" si="59"/>
        <v>Osaka</v>
      </c>
      <c r="L481" t="s">
        <v>702</v>
      </c>
      <c r="M481" t="s">
        <v>710</v>
      </c>
      <c r="N481" t="str">
        <f t="shared" si="60"/>
        <v>Distributor</v>
      </c>
      <c r="O481" t="s">
        <v>716</v>
      </c>
      <c r="P481" t="str">
        <f t="shared" si="61"/>
        <v>L. Okafor</v>
      </c>
      <c r="Q481" t="s">
        <v>733</v>
      </c>
      <c r="R481" t="s">
        <v>916</v>
      </c>
      <c r="S481" s="23">
        <v>766.59</v>
      </c>
      <c r="T481" s="23">
        <v>1912.8</v>
      </c>
      <c r="U481" s="23">
        <f t="shared" si="62"/>
        <v>1912.8</v>
      </c>
      <c r="V481" s="8">
        <v>0.19600000000000001</v>
      </c>
      <c r="W481" s="8">
        <f t="shared" si="63"/>
        <v>0.19600000000000001</v>
      </c>
      <c r="X481">
        <v>5</v>
      </c>
    </row>
    <row r="482" spans="1:24" x14ac:dyDescent="0.35">
      <c r="A482" s="4" t="s">
        <v>218</v>
      </c>
      <c r="B482" s="5" t="str">
        <f>IF(COUNTIF($A$2:A482,A482)=1,"Original","Duplicate")</f>
        <v>Original</v>
      </c>
      <c r="C482" s="7">
        <v>45692</v>
      </c>
      <c r="D482" s="7">
        <v>45713</v>
      </c>
      <c r="E482" s="7" t="str">
        <f t="shared" si="56"/>
        <v>Valid</v>
      </c>
      <c r="F482" s="7">
        <f t="shared" si="57"/>
        <v>45713</v>
      </c>
      <c r="G482">
        <f t="shared" si="58"/>
        <v>21</v>
      </c>
      <c r="H482" t="s">
        <v>649</v>
      </c>
      <c r="I482" t="s">
        <v>658</v>
      </c>
      <c r="J482" t="s">
        <v>674</v>
      </c>
      <c r="K482" t="str">
        <f t="shared" si="59"/>
        <v>Birmingham</v>
      </c>
      <c r="L482" t="s">
        <v>701</v>
      </c>
      <c r="M482" t="s">
        <v>709</v>
      </c>
      <c r="N482" t="str">
        <f t="shared" si="60"/>
        <v>Marketplace</v>
      </c>
      <c r="O482" t="s">
        <v>726</v>
      </c>
      <c r="P482" t="str">
        <f t="shared" si="61"/>
        <v>D. Smith</v>
      </c>
      <c r="Q482" t="s">
        <v>732</v>
      </c>
      <c r="R482" t="s">
        <v>938</v>
      </c>
      <c r="S482" s="23">
        <v>1016.32</v>
      </c>
      <c r="T482" s="23">
        <v>2253.42</v>
      </c>
      <c r="U482" s="23">
        <f t="shared" si="62"/>
        <v>2253.42</v>
      </c>
      <c r="V482" s="8">
        <v>5.5E-2</v>
      </c>
      <c r="W482" s="8">
        <f t="shared" si="63"/>
        <v>5.5E-2</v>
      </c>
      <c r="X482">
        <v>12</v>
      </c>
    </row>
    <row r="483" spans="1:24" x14ac:dyDescent="0.35">
      <c r="A483" s="4" t="s">
        <v>578</v>
      </c>
      <c r="B483" s="5" t="str">
        <f>IF(COUNTIF($A$2:A483,A483)=1,"Original","Duplicate")</f>
        <v>Original</v>
      </c>
      <c r="C483" s="7">
        <v>45692</v>
      </c>
      <c r="D483" s="7">
        <v>45696</v>
      </c>
      <c r="E483" s="7" t="str">
        <f t="shared" si="56"/>
        <v>Valid</v>
      </c>
      <c r="F483" s="7">
        <f t="shared" si="57"/>
        <v>45696</v>
      </c>
      <c r="G483">
        <f t="shared" si="58"/>
        <v>4</v>
      </c>
      <c r="H483" t="s">
        <v>649</v>
      </c>
      <c r="I483" t="s">
        <v>658</v>
      </c>
      <c r="J483" t="s">
        <v>693</v>
      </c>
      <c r="K483" t="str">
        <f t="shared" si="59"/>
        <v>Manchester</v>
      </c>
      <c r="L483" t="s">
        <v>706</v>
      </c>
      <c r="M483" t="s">
        <v>709</v>
      </c>
      <c r="N483" t="str">
        <f t="shared" si="60"/>
        <v>Marketplace</v>
      </c>
      <c r="O483" t="s">
        <v>716</v>
      </c>
      <c r="P483" t="str">
        <f t="shared" si="61"/>
        <v>L. Okafor</v>
      </c>
      <c r="Q483" t="s">
        <v>729</v>
      </c>
      <c r="R483" t="s">
        <v>1296</v>
      </c>
      <c r="S483" s="23">
        <v>586.21</v>
      </c>
      <c r="T483" s="23">
        <v>727.22</v>
      </c>
      <c r="U483" s="23">
        <f t="shared" si="62"/>
        <v>727.22</v>
      </c>
      <c r="V483" s="8">
        <v>6.8000000000000005E-2</v>
      </c>
      <c r="W483" s="8">
        <f t="shared" si="63"/>
        <v>6.8000000000000005E-2</v>
      </c>
      <c r="X483">
        <v>15</v>
      </c>
    </row>
    <row r="484" spans="1:24" x14ac:dyDescent="0.35">
      <c r="A484" s="4" t="s">
        <v>393</v>
      </c>
      <c r="B484" s="5" t="str">
        <f>IF(COUNTIF($A$2:A484,A484)=1,"Original","Duplicate")</f>
        <v>Original</v>
      </c>
      <c r="C484" s="7">
        <v>45694</v>
      </c>
      <c r="D484" s="7">
        <v>45703</v>
      </c>
      <c r="E484" s="7" t="str">
        <f t="shared" si="56"/>
        <v>Valid</v>
      </c>
      <c r="F484" s="7">
        <f t="shared" si="57"/>
        <v>45703</v>
      </c>
      <c r="G484">
        <f t="shared" si="58"/>
        <v>9</v>
      </c>
      <c r="H484" t="s">
        <v>648</v>
      </c>
      <c r="I484" t="s">
        <v>655</v>
      </c>
      <c r="J484" t="s">
        <v>670</v>
      </c>
      <c r="K484" t="str">
        <f t="shared" si="59"/>
        <v>São Paulo</v>
      </c>
      <c r="L484" t="s">
        <v>703</v>
      </c>
      <c r="M484" t="s">
        <v>710</v>
      </c>
      <c r="N484" t="str">
        <f t="shared" si="60"/>
        <v>Distributor</v>
      </c>
      <c r="O484" t="s">
        <v>721</v>
      </c>
      <c r="P484" t="str">
        <f t="shared" si="61"/>
        <v>F. Müller</v>
      </c>
      <c r="Q484" t="s">
        <v>729</v>
      </c>
      <c r="R484" t="s">
        <v>1113</v>
      </c>
      <c r="S484" s="23">
        <v>837.39</v>
      </c>
      <c r="T484" s="23">
        <v>1905.42</v>
      </c>
      <c r="U484" s="23">
        <f t="shared" si="62"/>
        <v>1905.42</v>
      </c>
      <c r="V484" s="8">
        <v>3.2000000000000001E-2</v>
      </c>
      <c r="W484" s="8">
        <f t="shared" si="63"/>
        <v>3.2000000000000001E-2</v>
      </c>
      <c r="X484">
        <v>18</v>
      </c>
    </row>
    <row r="485" spans="1:24" x14ac:dyDescent="0.35">
      <c r="A485" s="4" t="s">
        <v>540</v>
      </c>
      <c r="B485" s="5" t="str">
        <f>IF(COUNTIF($A$2:A485,A485)=1,"Original","Duplicate")</f>
        <v>Original</v>
      </c>
      <c r="C485" s="7">
        <v>45695</v>
      </c>
      <c r="D485" s="7">
        <v>45704</v>
      </c>
      <c r="E485" s="7" t="str">
        <f t="shared" si="56"/>
        <v>Valid</v>
      </c>
      <c r="F485" s="7">
        <f t="shared" si="57"/>
        <v>45704</v>
      </c>
      <c r="G485">
        <f t="shared" si="58"/>
        <v>9</v>
      </c>
      <c r="H485" t="s">
        <v>646</v>
      </c>
      <c r="I485" t="s">
        <v>651</v>
      </c>
      <c r="J485" t="s">
        <v>665</v>
      </c>
      <c r="K485" t="str">
        <f t="shared" si="59"/>
        <v>Lagos</v>
      </c>
      <c r="L485" t="s">
        <v>705</v>
      </c>
      <c r="M485" t="s">
        <v>710</v>
      </c>
      <c r="N485" t="str">
        <f t="shared" si="60"/>
        <v>Distributor</v>
      </c>
      <c r="O485" t="s">
        <v>712</v>
      </c>
      <c r="P485" t="str">
        <f t="shared" si="61"/>
        <v>C. Otieno</v>
      </c>
      <c r="Q485" t="s">
        <v>728</v>
      </c>
      <c r="R485" t="s">
        <v>1259</v>
      </c>
      <c r="S485" s="23">
        <v>90.68</v>
      </c>
      <c r="T485" s="23">
        <v>118.17</v>
      </c>
      <c r="U485" s="23">
        <f t="shared" si="62"/>
        <v>118.17</v>
      </c>
      <c r="V485" s="8">
        <v>0.13500000000000001</v>
      </c>
      <c r="W485" s="8">
        <f t="shared" si="63"/>
        <v>0.13500000000000001</v>
      </c>
      <c r="X485">
        <v>21</v>
      </c>
    </row>
    <row r="486" spans="1:24" x14ac:dyDescent="0.35">
      <c r="A486" s="4" t="s">
        <v>71</v>
      </c>
      <c r="B486" s="5" t="str">
        <f>IF(COUNTIF($A$2:A486,A486)=1,"Original","Duplicate")</f>
        <v>Original</v>
      </c>
      <c r="C486" s="7">
        <v>45697</v>
      </c>
      <c r="D486" s="7">
        <v>45717</v>
      </c>
      <c r="E486" s="7" t="str">
        <f t="shared" si="56"/>
        <v>Valid</v>
      </c>
      <c r="F486" s="7">
        <f t="shared" si="57"/>
        <v>45717</v>
      </c>
      <c r="G486">
        <f t="shared" si="58"/>
        <v>20</v>
      </c>
      <c r="H486" t="s">
        <v>648</v>
      </c>
      <c r="I486" t="s">
        <v>655</v>
      </c>
      <c r="J486" t="s">
        <v>670</v>
      </c>
      <c r="K486" t="str">
        <f t="shared" si="59"/>
        <v>São Paulo</v>
      </c>
      <c r="L486" t="s">
        <v>701</v>
      </c>
      <c r="M486" t="s">
        <v>710</v>
      </c>
      <c r="N486" t="str">
        <f t="shared" si="60"/>
        <v>Distributor</v>
      </c>
      <c r="O486" t="s">
        <v>717</v>
      </c>
      <c r="P486" t="str">
        <f t="shared" si="61"/>
        <v>B. Chen</v>
      </c>
      <c r="Q486" t="s">
        <v>731</v>
      </c>
      <c r="R486" t="s">
        <v>790</v>
      </c>
      <c r="S486" s="23">
        <v>1154.6400000000001</v>
      </c>
      <c r="T486" s="23">
        <v>2794.13</v>
      </c>
      <c r="U486" s="23">
        <f t="shared" si="62"/>
        <v>2794.13</v>
      </c>
      <c r="V486" s="8">
        <v>3.5000000000000003E-2</v>
      </c>
      <c r="W486" s="8">
        <f t="shared" si="63"/>
        <v>3.5000000000000003E-2</v>
      </c>
      <c r="X486">
        <v>11</v>
      </c>
    </row>
    <row r="487" spans="1:24" x14ac:dyDescent="0.35">
      <c r="A487" s="4" t="s">
        <v>145</v>
      </c>
      <c r="B487" s="5" t="str">
        <f>IF(COUNTIF($A$2:A487,A487)=1,"Original","Duplicate")</f>
        <v>Original</v>
      </c>
      <c r="C487" s="7">
        <v>45700</v>
      </c>
      <c r="D487" s="7">
        <v>45716</v>
      </c>
      <c r="E487" s="7" t="str">
        <f t="shared" si="56"/>
        <v>Valid</v>
      </c>
      <c r="F487" s="7">
        <f t="shared" si="57"/>
        <v>45716</v>
      </c>
      <c r="G487">
        <f t="shared" si="58"/>
        <v>16</v>
      </c>
      <c r="H487" t="s">
        <v>648</v>
      </c>
      <c r="I487" t="s">
        <v>655</v>
      </c>
      <c r="J487" t="s">
        <v>670</v>
      </c>
      <c r="K487" t="str">
        <f t="shared" si="59"/>
        <v>São Paulo</v>
      </c>
      <c r="L487" t="s">
        <v>703</v>
      </c>
      <c r="M487" t="s">
        <v>711</v>
      </c>
      <c r="N487" t="str">
        <f t="shared" si="60"/>
        <v>Direct</v>
      </c>
      <c r="O487" t="s">
        <v>717</v>
      </c>
      <c r="P487" t="str">
        <f t="shared" si="61"/>
        <v>B. Chen</v>
      </c>
      <c r="Q487" t="s">
        <v>732</v>
      </c>
      <c r="R487" t="s">
        <v>864</v>
      </c>
      <c r="S487" s="23">
        <v>414.95</v>
      </c>
      <c r="T487" s="23">
        <v>1027.73</v>
      </c>
      <c r="U487" s="23">
        <f t="shared" si="62"/>
        <v>1027.73</v>
      </c>
      <c r="V487" s="8">
        <v>6.3E-2</v>
      </c>
      <c r="W487" s="8">
        <f t="shared" si="63"/>
        <v>6.3E-2</v>
      </c>
      <c r="X487">
        <v>8</v>
      </c>
    </row>
    <row r="488" spans="1:24" x14ac:dyDescent="0.35">
      <c r="A488" s="4" t="s">
        <v>173</v>
      </c>
      <c r="B488" s="5" t="str">
        <f>IF(COUNTIF($A$2:A488,A488)=1,"Original","Duplicate")</f>
        <v>Original</v>
      </c>
      <c r="C488" s="7">
        <v>45703</v>
      </c>
      <c r="D488" s="7">
        <v>45703</v>
      </c>
      <c r="E488" s="7" t="str">
        <f t="shared" si="56"/>
        <v>Valid</v>
      </c>
      <c r="F488" s="7">
        <f t="shared" si="57"/>
        <v>45709</v>
      </c>
      <c r="G488">
        <f t="shared" si="58"/>
        <v>6</v>
      </c>
      <c r="H488" t="s">
        <v>649</v>
      </c>
      <c r="I488" t="s">
        <v>656</v>
      </c>
      <c r="J488" t="s">
        <v>698</v>
      </c>
      <c r="K488" t="str">
        <f t="shared" si="59"/>
        <v>Frankfurt</v>
      </c>
      <c r="L488" t="s">
        <v>705</v>
      </c>
      <c r="M488" t="s">
        <v>709</v>
      </c>
      <c r="N488" t="str">
        <f t="shared" si="60"/>
        <v>Marketplace</v>
      </c>
      <c r="O488" t="s">
        <v>716</v>
      </c>
      <c r="P488" t="str">
        <f t="shared" si="61"/>
        <v>L. Okafor</v>
      </c>
      <c r="Q488" t="s">
        <v>733</v>
      </c>
      <c r="R488" t="s">
        <v>892</v>
      </c>
      <c r="S488" s="23">
        <v>815.83</v>
      </c>
      <c r="T488" s="23">
        <v>1982.18</v>
      </c>
      <c r="U488" s="23">
        <f t="shared" si="62"/>
        <v>1982.18</v>
      </c>
      <c r="V488" s="8">
        <v>0.127</v>
      </c>
      <c r="W488" s="8">
        <f t="shared" si="63"/>
        <v>0.127</v>
      </c>
      <c r="X488">
        <v>6</v>
      </c>
    </row>
    <row r="489" spans="1:24" x14ac:dyDescent="0.35">
      <c r="A489" s="4" t="s">
        <v>568</v>
      </c>
      <c r="B489" s="5" t="str">
        <f>IF(COUNTIF($A$2:A489,A489)=1,"Original","Duplicate")</f>
        <v>Original</v>
      </c>
      <c r="C489" s="7">
        <v>45703</v>
      </c>
      <c r="D489" s="7">
        <v>45717</v>
      </c>
      <c r="E489" s="7" t="str">
        <f t="shared" si="56"/>
        <v>Valid</v>
      </c>
      <c r="F489" s="7">
        <f t="shared" si="57"/>
        <v>45717</v>
      </c>
      <c r="G489">
        <f t="shared" si="58"/>
        <v>14</v>
      </c>
      <c r="H489" t="s">
        <v>646</v>
      </c>
      <c r="I489" t="s">
        <v>650</v>
      </c>
      <c r="J489" t="s">
        <v>675</v>
      </c>
      <c r="K489" t="str">
        <f t="shared" si="59"/>
        <v>Mombasa</v>
      </c>
      <c r="L489" t="s">
        <v>702</v>
      </c>
      <c r="M489" t="s">
        <v>711</v>
      </c>
      <c r="N489" t="str">
        <f t="shared" si="60"/>
        <v>Direct</v>
      </c>
      <c r="O489" t="s">
        <v>716</v>
      </c>
      <c r="P489" t="str">
        <f t="shared" si="61"/>
        <v>L. Okafor</v>
      </c>
      <c r="Q489" t="s">
        <v>733</v>
      </c>
      <c r="R489" t="s">
        <v>1286</v>
      </c>
      <c r="S489" s="23">
        <v>1162.8599999999999</v>
      </c>
      <c r="T489" s="23">
        <v>1447.68</v>
      </c>
      <c r="U489" s="23">
        <f t="shared" si="62"/>
        <v>1447.68</v>
      </c>
      <c r="V489" s="8">
        <v>8.6999999999999994E-2</v>
      </c>
      <c r="W489" s="8">
        <f t="shared" si="63"/>
        <v>8.6999999999999994E-2</v>
      </c>
      <c r="X489">
        <v>12</v>
      </c>
    </row>
    <row r="490" spans="1:24" x14ac:dyDescent="0.35">
      <c r="A490" s="4" t="s">
        <v>603</v>
      </c>
      <c r="B490" s="5" t="str">
        <f>IF(COUNTIF($A$2:A490,A490)=1,"Original","Duplicate")</f>
        <v>Original</v>
      </c>
      <c r="C490" s="7">
        <v>45703</v>
      </c>
      <c r="D490" s="7">
        <v>45715</v>
      </c>
      <c r="E490" s="7" t="str">
        <f t="shared" si="56"/>
        <v>Valid</v>
      </c>
      <c r="F490" s="7">
        <f t="shared" si="57"/>
        <v>45715</v>
      </c>
      <c r="G490">
        <f t="shared" si="58"/>
        <v>12</v>
      </c>
      <c r="H490" t="s">
        <v>649</v>
      </c>
      <c r="I490" t="s">
        <v>657</v>
      </c>
      <c r="J490" t="s">
        <v>679</v>
      </c>
      <c r="K490" t="str">
        <f t="shared" si="59"/>
        <v>Lyon</v>
      </c>
      <c r="L490" t="s">
        <v>703</v>
      </c>
      <c r="M490" t="s">
        <v>711</v>
      </c>
      <c r="N490" t="str">
        <f t="shared" si="60"/>
        <v>Direct</v>
      </c>
      <c r="O490" t="s">
        <v>723</v>
      </c>
      <c r="P490" t="str">
        <f t="shared" si="61"/>
        <v>K. Singh</v>
      </c>
      <c r="Q490" t="s">
        <v>733</v>
      </c>
      <c r="R490" t="s">
        <v>1321</v>
      </c>
      <c r="S490" s="23">
        <v>1027.26</v>
      </c>
      <c r="T490" s="23">
        <v>2200.41</v>
      </c>
      <c r="U490" s="23">
        <f t="shared" si="62"/>
        <v>2200.41</v>
      </c>
      <c r="V490" s="8">
        <v>8.7999999999999995E-2</v>
      </c>
      <c r="W490" s="8">
        <f t="shared" si="63"/>
        <v>8.7999999999999995E-2</v>
      </c>
      <c r="X490">
        <v>6</v>
      </c>
    </row>
    <row r="491" spans="1:24" x14ac:dyDescent="0.35">
      <c r="A491" s="4" t="s">
        <v>567</v>
      </c>
      <c r="B491" s="5" t="str">
        <f>IF(COUNTIF($A$2:A491,A491)=1,"Original","Duplicate")</f>
        <v>Original</v>
      </c>
      <c r="C491" s="7">
        <v>45704</v>
      </c>
      <c r="D491" s="7">
        <v>45733</v>
      </c>
      <c r="E491" s="7" t="str">
        <f t="shared" si="56"/>
        <v>Valid</v>
      </c>
      <c r="F491" s="7">
        <f t="shared" si="57"/>
        <v>45733</v>
      </c>
      <c r="G491">
        <f t="shared" si="58"/>
        <v>29</v>
      </c>
      <c r="H491" t="s">
        <v>649</v>
      </c>
      <c r="I491" t="s">
        <v>656</v>
      </c>
      <c r="J491" t="s">
        <v>684</v>
      </c>
      <c r="K491" t="str">
        <f t="shared" si="59"/>
        <v>Munich</v>
      </c>
      <c r="L491" t="s">
        <v>704</v>
      </c>
      <c r="M491" t="s">
        <v>707</v>
      </c>
      <c r="N491" t="str">
        <f t="shared" si="60"/>
        <v>Retail</v>
      </c>
      <c r="O491" t="s">
        <v>716</v>
      </c>
      <c r="P491" t="str">
        <f t="shared" si="61"/>
        <v>L. Okafor</v>
      </c>
      <c r="Q491" t="s">
        <v>733</v>
      </c>
      <c r="R491" t="s">
        <v>1285</v>
      </c>
      <c r="S491" s="23">
        <v>730.42</v>
      </c>
      <c r="T491" s="23">
        <v>956.7</v>
      </c>
      <c r="U491" s="23">
        <f t="shared" si="62"/>
        <v>956.7</v>
      </c>
      <c r="V491" s="8">
        <v>4.2000000000000003E-2</v>
      </c>
      <c r="W491" s="8">
        <f t="shared" si="63"/>
        <v>4.2000000000000003E-2</v>
      </c>
      <c r="X491">
        <v>22</v>
      </c>
    </row>
    <row r="492" spans="1:24" x14ac:dyDescent="0.35">
      <c r="A492" s="4" t="s">
        <v>610</v>
      </c>
      <c r="B492" s="5" t="str">
        <f>IF(COUNTIF($A$2:A492,A492)=1,"Original","Duplicate")</f>
        <v>Original</v>
      </c>
      <c r="C492" s="7">
        <v>45705</v>
      </c>
      <c r="D492" s="7">
        <v>45703</v>
      </c>
      <c r="E492" s="7" t="str">
        <f t="shared" si="56"/>
        <v>Invalid</v>
      </c>
      <c r="F492" s="7">
        <f t="shared" si="57"/>
        <v>45712</v>
      </c>
      <c r="G492">
        <f t="shared" si="58"/>
        <v>7</v>
      </c>
      <c r="H492" t="s">
        <v>648</v>
      </c>
      <c r="I492" t="s">
        <v>653</v>
      </c>
      <c r="J492" t="s">
        <v>667</v>
      </c>
      <c r="K492" t="str">
        <f t="shared" si="59"/>
        <v>Toronto</v>
      </c>
      <c r="L492" t="s">
        <v>705</v>
      </c>
      <c r="M492" t="s">
        <v>707</v>
      </c>
      <c r="N492" t="str">
        <f t="shared" si="60"/>
        <v>Retail</v>
      </c>
      <c r="O492" t="s">
        <v>726</v>
      </c>
      <c r="P492" t="str">
        <f t="shared" si="61"/>
        <v>D. Smith</v>
      </c>
      <c r="Q492" t="s">
        <v>727</v>
      </c>
      <c r="R492" t="s">
        <v>1328</v>
      </c>
      <c r="S492" s="23">
        <v>1133.47</v>
      </c>
      <c r="T492" s="23">
        <v>1698.75</v>
      </c>
      <c r="U492" s="23">
        <f t="shared" si="62"/>
        <v>1698.75</v>
      </c>
      <c r="V492" s="8">
        <v>4.2999999999999997E-2</v>
      </c>
      <c r="W492" s="8">
        <f t="shared" si="63"/>
        <v>4.2999999999999997E-2</v>
      </c>
      <c r="X492">
        <v>5</v>
      </c>
    </row>
    <row r="493" spans="1:24" x14ac:dyDescent="0.35">
      <c r="A493" s="4" t="s">
        <v>285</v>
      </c>
      <c r="B493" s="5" t="str">
        <f>IF(COUNTIF($A$2:A493,A493)=1,"Original","Duplicate")</f>
        <v>Original</v>
      </c>
      <c r="C493" s="7">
        <v>45707</v>
      </c>
      <c r="D493" s="7">
        <v>45725</v>
      </c>
      <c r="E493" s="7" t="str">
        <f t="shared" si="56"/>
        <v>Valid</v>
      </c>
      <c r="F493" s="7">
        <f t="shared" si="57"/>
        <v>45725</v>
      </c>
      <c r="G493">
        <f t="shared" si="58"/>
        <v>18</v>
      </c>
      <c r="H493" t="s">
        <v>647</v>
      </c>
      <c r="I493" t="s">
        <v>654</v>
      </c>
      <c r="J493" t="s">
        <v>680</v>
      </c>
      <c r="K493" t="str">
        <f t="shared" si="59"/>
        <v>Delhi</v>
      </c>
      <c r="L493" t="s">
        <v>705</v>
      </c>
      <c r="M493" t="s">
        <v>711</v>
      </c>
      <c r="N493" t="str">
        <f t="shared" si="60"/>
        <v>Direct</v>
      </c>
      <c r="O493" t="s">
        <v>719</v>
      </c>
      <c r="P493" t="str">
        <f t="shared" si="61"/>
        <v>O. Wang</v>
      </c>
      <c r="Q493" t="s">
        <v>732</v>
      </c>
      <c r="R493" t="s">
        <v>1005</v>
      </c>
      <c r="S493" s="23">
        <v>325.87</v>
      </c>
      <c r="T493" s="23">
        <v>538.79</v>
      </c>
      <c r="U493" s="23">
        <f t="shared" si="62"/>
        <v>538.79</v>
      </c>
      <c r="V493" s="8">
        <v>0.17399999999999999</v>
      </c>
      <c r="W493" s="8">
        <f t="shared" si="63"/>
        <v>0.17399999999999999</v>
      </c>
      <c r="X493">
        <v>16</v>
      </c>
    </row>
    <row r="494" spans="1:24" x14ac:dyDescent="0.35">
      <c r="A494" s="4" t="s">
        <v>421</v>
      </c>
      <c r="B494" s="5" t="str">
        <f>IF(COUNTIF($A$2:A494,A494)=1,"Original","Duplicate")</f>
        <v>Original</v>
      </c>
      <c r="C494" s="7">
        <v>45709</v>
      </c>
      <c r="D494" s="7">
        <v>45737</v>
      </c>
      <c r="E494" s="7" t="str">
        <f t="shared" si="56"/>
        <v>Valid</v>
      </c>
      <c r="F494" s="7">
        <f t="shared" si="57"/>
        <v>45737</v>
      </c>
      <c r="G494">
        <f t="shared" si="58"/>
        <v>28</v>
      </c>
      <c r="H494" t="s">
        <v>646</v>
      </c>
      <c r="I494" t="s">
        <v>651</v>
      </c>
      <c r="J494" t="s">
        <v>669</v>
      </c>
      <c r="K494" t="str">
        <f t="shared" si="59"/>
        <v>Abuja</v>
      </c>
      <c r="L494" t="s">
        <v>706</v>
      </c>
      <c r="M494" t="s">
        <v>709</v>
      </c>
      <c r="N494" t="str">
        <f t="shared" si="60"/>
        <v>Marketplace</v>
      </c>
      <c r="O494" t="s">
        <v>714</v>
      </c>
      <c r="P494" t="str">
        <f t="shared" si="61"/>
        <v>I. Johnson</v>
      </c>
      <c r="Q494" t="s">
        <v>730</v>
      </c>
      <c r="R494" t="s">
        <v>1140</v>
      </c>
      <c r="S494" s="23">
        <v>1437.39</v>
      </c>
      <c r="T494" s="23">
        <v>1388.31</v>
      </c>
      <c r="U494" s="23">
        <f t="shared" si="62"/>
        <v>1388.31</v>
      </c>
      <c r="V494" s="8">
        <v>0.13800000000000001</v>
      </c>
      <c r="W494" s="8">
        <f t="shared" si="63"/>
        <v>0.13800000000000001</v>
      </c>
      <c r="X494">
        <v>18</v>
      </c>
    </row>
    <row r="495" spans="1:24" x14ac:dyDescent="0.35">
      <c r="A495" s="4" t="s">
        <v>435</v>
      </c>
      <c r="B495" s="5" t="str">
        <f>IF(COUNTIF($A$2:A495,A495)=1,"Original","Duplicate")</f>
        <v>Original</v>
      </c>
      <c r="C495" s="7">
        <v>45713</v>
      </c>
      <c r="D495" s="7">
        <v>45733</v>
      </c>
      <c r="E495" s="7" t="str">
        <f t="shared" si="56"/>
        <v>Valid</v>
      </c>
      <c r="F495" s="7">
        <f t="shared" si="57"/>
        <v>45733</v>
      </c>
      <c r="G495">
        <f t="shared" si="58"/>
        <v>20</v>
      </c>
      <c r="H495" t="s">
        <v>648</v>
      </c>
      <c r="I495" t="s">
        <v>660</v>
      </c>
      <c r="J495" t="s">
        <v>686</v>
      </c>
      <c r="K495" t="str">
        <f t="shared" si="59"/>
        <v>San Francisco</v>
      </c>
      <c r="L495" t="s">
        <v>703</v>
      </c>
      <c r="M495" t="s">
        <v>709</v>
      </c>
      <c r="N495" t="str">
        <f t="shared" si="60"/>
        <v>Marketplace</v>
      </c>
      <c r="O495" t="s">
        <v>722</v>
      </c>
      <c r="P495" t="str">
        <f t="shared" si="61"/>
        <v>H. Kim</v>
      </c>
      <c r="Q495" t="s">
        <v>730</v>
      </c>
      <c r="R495" t="s">
        <v>1154</v>
      </c>
      <c r="S495" s="23">
        <v>1205.26</v>
      </c>
      <c r="T495" s="23">
        <v>1696.35</v>
      </c>
      <c r="U495" s="23">
        <f t="shared" si="62"/>
        <v>1696.35</v>
      </c>
      <c r="V495" s="8">
        <v>1.9E-2</v>
      </c>
      <c r="W495" s="8">
        <f t="shared" si="63"/>
        <v>1.9E-2</v>
      </c>
      <c r="X495">
        <v>6</v>
      </c>
    </row>
    <row r="496" spans="1:24" x14ac:dyDescent="0.35">
      <c r="A496" s="4" t="s">
        <v>645</v>
      </c>
      <c r="B496" s="5" t="str">
        <f>IF(COUNTIF($A$2:A496,A496)=1,"Original","Duplicate")</f>
        <v>Original</v>
      </c>
      <c r="C496" s="7">
        <v>45716</v>
      </c>
      <c r="D496" s="7">
        <v>45726</v>
      </c>
      <c r="E496" s="7" t="str">
        <f t="shared" si="56"/>
        <v>Valid</v>
      </c>
      <c r="F496" s="7">
        <f t="shared" si="57"/>
        <v>45726</v>
      </c>
      <c r="G496">
        <f t="shared" si="58"/>
        <v>10</v>
      </c>
      <c r="H496" t="s">
        <v>647</v>
      </c>
      <c r="I496" t="s">
        <v>652</v>
      </c>
      <c r="J496" t="s">
        <v>666</v>
      </c>
      <c r="K496" t="str">
        <f t="shared" si="59"/>
        <v>Osaka</v>
      </c>
      <c r="L496" t="s">
        <v>702</v>
      </c>
      <c r="M496" t="s">
        <v>710</v>
      </c>
      <c r="N496" t="str">
        <f t="shared" si="60"/>
        <v>Distributor</v>
      </c>
      <c r="O496" t="s">
        <v>725</v>
      </c>
      <c r="P496" t="str">
        <f t="shared" si="61"/>
        <v>N. Brown</v>
      </c>
      <c r="Q496" t="s">
        <v>731</v>
      </c>
      <c r="R496" t="s">
        <v>1363</v>
      </c>
      <c r="S496" s="23">
        <v>51.86</v>
      </c>
      <c r="T496" s="23">
        <v>45.98</v>
      </c>
      <c r="U496" s="23">
        <f t="shared" si="62"/>
        <v>45.98</v>
      </c>
      <c r="V496" s="8">
        <v>0.17299999999999999</v>
      </c>
      <c r="W496" s="8">
        <f t="shared" si="63"/>
        <v>0.17299999999999999</v>
      </c>
      <c r="X496">
        <v>7</v>
      </c>
    </row>
    <row r="497" spans="1:24" x14ac:dyDescent="0.35">
      <c r="A497" s="4" t="s">
        <v>146</v>
      </c>
      <c r="B497" s="5" t="str">
        <f>IF(COUNTIF($A$2:A497,A497)=1,"Original","Duplicate")</f>
        <v>Original</v>
      </c>
      <c r="C497" s="7">
        <v>45719</v>
      </c>
      <c r="D497" s="7">
        <v>45740</v>
      </c>
      <c r="E497" s="7" t="str">
        <f t="shared" si="56"/>
        <v>Valid</v>
      </c>
      <c r="F497" s="7">
        <f t="shared" si="57"/>
        <v>45740</v>
      </c>
      <c r="G497">
        <f t="shared" si="58"/>
        <v>21</v>
      </c>
      <c r="H497" t="s">
        <v>646</v>
      </c>
      <c r="I497" t="s">
        <v>651</v>
      </c>
      <c r="J497" t="s">
        <v>669</v>
      </c>
      <c r="K497" t="str">
        <f t="shared" si="59"/>
        <v>Abuja</v>
      </c>
      <c r="L497" t="s">
        <v>706</v>
      </c>
      <c r="M497" t="s">
        <v>711</v>
      </c>
      <c r="N497" t="str">
        <f t="shared" si="60"/>
        <v>Direct</v>
      </c>
      <c r="O497" t="s">
        <v>722</v>
      </c>
      <c r="P497" t="str">
        <f t="shared" si="61"/>
        <v>H. Kim</v>
      </c>
      <c r="Q497" t="s">
        <v>733</v>
      </c>
      <c r="R497" t="s">
        <v>865</v>
      </c>
      <c r="S497" s="23">
        <v>555.95000000000005</v>
      </c>
      <c r="T497" s="23">
        <v>468.09</v>
      </c>
      <c r="U497" s="23">
        <f t="shared" si="62"/>
        <v>468.09</v>
      </c>
      <c r="V497" s="8">
        <v>0.14199999999999999</v>
      </c>
      <c r="W497" s="8">
        <f t="shared" si="63"/>
        <v>0.14199999999999999</v>
      </c>
      <c r="X497">
        <v>11</v>
      </c>
    </row>
    <row r="498" spans="1:24" x14ac:dyDescent="0.35">
      <c r="A498" s="4" t="s">
        <v>27</v>
      </c>
      <c r="B498" s="5" t="str">
        <f>IF(COUNTIF($A$2:A498,A498)=1,"Original","Duplicate")</f>
        <v>Original</v>
      </c>
      <c r="C498" s="7">
        <v>45722</v>
      </c>
      <c r="D498" s="7">
        <v>45747</v>
      </c>
      <c r="E498" s="7" t="str">
        <f t="shared" si="56"/>
        <v>Valid</v>
      </c>
      <c r="F498" s="7">
        <f t="shared" si="57"/>
        <v>45747</v>
      </c>
      <c r="G498">
        <f t="shared" si="58"/>
        <v>25</v>
      </c>
      <c r="H498" t="s">
        <v>648</v>
      </c>
      <c r="I498" t="s">
        <v>655</v>
      </c>
      <c r="J498" t="s">
        <v>672</v>
      </c>
      <c r="K498" t="str">
        <f t="shared" si="59"/>
        <v>Brasília</v>
      </c>
      <c r="L498" t="s">
        <v>703</v>
      </c>
      <c r="M498" t="s">
        <v>708</v>
      </c>
      <c r="N498" t="str">
        <f t="shared" si="60"/>
        <v>Online</v>
      </c>
      <c r="O498" t="s">
        <v>713</v>
      </c>
      <c r="P498" t="str">
        <f t="shared" si="61"/>
        <v>J. Njeri</v>
      </c>
      <c r="Q498" t="s">
        <v>727</v>
      </c>
      <c r="R498" t="s">
        <v>746</v>
      </c>
      <c r="S498" s="23">
        <v>331.57</v>
      </c>
      <c r="T498" s="23">
        <v>548.4</v>
      </c>
      <c r="U498" s="23">
        <f t="shared" si="62"/>
        <v>548.4</v>
      </c>
      <c r="V498" s="8">
        <v>9.4E-2</v>
      </c>
      <c r="W498" s="8">
        <f t="shared" si="63"/>
        <v>9.4E-2</v>
      </c>
      <c r="X498">
        <v>10</v>
      </c>
    </row>
    <row r="499" spans="1:24" x14ac:dyDescent="0.35">
      <c r="A499" s="4" t="s">
        <v>422</v>
      </c>
      <c r="B499" s="5" t="str">
        <f>IF(COUNTIF($A$2:A499,A499)=1,"Original","Duplicate")</f>
        <v>Original</v>
      </c>
      <c r="C499" s="7">
        <v>45724</v>
      </c>
      <c r="D499" s="7">
        <v>45731</v>
      </c>
      <c r="E499" s="7" t="str">
        <f t="shared" si="56"/>
        <v>Valid</v>
      </c>
      <c r="F499" s="7">
        <f t="shared" si="57"/>
        <v>45731</v>
      </c>
      <c r="G499">
        <f t="shared" si="58"/>
        <v>7</v>
      </c>
      <c r="H499" t="s">
        <v>647</v>
      </c>
      <c r="I499" t="s">
        <v>654</v>
      </c>
      <c r="J499" t="s">
        <v>668</v>
      </c>
      <c r="K499" t="str">
        <f t="shared" si="59"/>
        <v>Bengaluru</v>
      </c>
      <c r="L499" t="s">
        <v>701</v>
      </c>
      <c r="M499" t="s">
        <v>710</v>
      </c>
      <c r="N499" t="str">
        <f t="shared" si="60"/>
        <v>Distributor</v>
      </c>
      <c r="O499" t="s">
        <v>723</v>
      </c>
      <c r="P499" t="str">
        <f t="shared" si="61"/>
        <v>K. Singh</v>
      </c>
      <c r="Q499" t="s">
        <v>731</v>
      </c>
      <c r="R499" t="s">
        <v>1141</v>
      </c>
      <c r="S499" s="23">
        <v>475.66</v>
      </c>
      <c r="T499" s="23">
        <v>529.14</v>
      </c>
      <c r="U499" s="23">
        <f t="shared" si="62"/>
        <v>529.14</v>
      </c>
      <c r="V499" s="8">
        <v>0.19600000000000001</v>
      </c>
      <c r="W499" s="8">
        <f t="shared" si="63"/>
        <v>0.19600000000000001</v>
      </c>
      <c r="X499">
        <v>11</v>
      </c>
    </row>
    <row r="500" spans="1:24" x14ac:dyDescent="0.35">
      <c r="A500" s="4" t="s">
        <v>518</v>
      </c>
      <c r="B500" s="5" t="str">
        <f>IF(COUNTIF($A$2:A500,A500)=1,"Original","Duplicate")</f>
        <v>Original</v>
      </c>
      <c r="C500" s="7">
        <v>45726</v>
      </c>
      <c r="D500" s="7">
        <v>45743</v>
      </c>
      <c r="E500" s="7" t="str">
        <f t="shared" si="56"/>
        <v>Valid</v>
      </c>
      <c r="F500" s="7">
        <f t="shared" si="57"/>
        <v>45743</v>
      </c>
      <c r="G500">
        <f t="shared" si="58"/>
        <v>17</v>
      </c>
      <c r="H500" t="s">
        <v>648</v>
      </c>
      <c r="I500" t="s">
        <v>655</v>
      </c>
      <c r="J500" t="s">
        <v>692</v>
      </c>
      <c r="K500" t="str">
        <f t="shared" si="59"/>
        <v>Rio de Janeiro</v>
      </c>
      <c r="L500" t="s">
        <v>706</v>
      </c>
      <c r="M500" t="s">
        <v>711</v>
      </c>
      <c r="N500" t="str">
        <f t="shared" si="60"/>
        <v>Direct</v>
      </c>
      <c r="O500" t="s">
        <v>721</v>
      </c>
      <c r="P500" t="str">
        <f t="shared" si="61"/>
        <v>F. Müller</v>
      </c>
      <c r="Q500" t="s">
        <v>729</v>
      </c>
      <c r="R500" t="s">
        <v>1237</v>
      </c>
      <c r="S500" s="23">
        <v>996.73</v>
      </c>
      <c r="T500" s="23">
        <v>1217.43</v>
      </c>
      <c r="U500" s="23">
        <f t="shared" si="62"/>
        <v>1217.43</v>
      </c>
      <c r="V500" s="8">
        <v>7.0000000000000007E-2</v>
      </c>
      <c r="W500" s="8">
        <f t="shared" si="63"/>
        <v>7.0000000000000007E-2</v>
      </c>
      <c r="X500">
        <v>9</v>
      </c>
    </row>
    <row r="501" spans="1:24" x14ac:dyDescent="0.35">
      <c r="A501" s="4" t="s">
        <v>612</v>
      </c>
      <c r="B501" s="5" t="str">
        <f>IF(COUNTIF($A$2:A501,A501)=1,"Original","Duplicate")</f>
        <v>Original</v>
      </c>
      <c r="C501" s="7">
        <v>45726</v>
      </c>
      <c r="D501" s="7">
        <v>45751</v>
      </c>
      <c r="E501" s="7" t="str">
        <f t="shared" si="56"/>
        <v>Valid</v>
      </c>
      <c r="F501" s="7">
        <f t="shared" si="57"/>
        <v>45751</v>
      </c>
      <c r="G501">
        <f t="shared" si="58"/>
        <v>25</v>
      </c>
      <c r="H501" t="s">
        <v>647</v>
      </c>
      <c r="I501" t="s">
        <v>652</v>
      </c>
      <c r="J501" t="s">
        <v>666</v>
      </c>
      <c r="K501" t="str">
        <f t="shared" si="59"/>
        <v>Osaka</v>
      </c>
      <c r="L501" t="s">
        <v>701</v>
      </c>
      <c r="M501" t="s">
        <v>711</v>
      </c>
      <c r="N501" t="str">
        <f t="shared" si="60"/>
        <v>Direct</v>
      </c>
      <c r="O501" t="s">
        <v>722</v>
      </c>
      <c r="P501" t="str">
        <f t="shared" si="61"/>
        <v>H. Kim</v>
      </c>
      <c r="Q501" t="s">
        <v>728</v>
      </c>
      <c r="R501" t="s">
        <v>1330</v>
      </c>
      <c r="S501" s="23">
        <v>783.72</v>
      </c>
      <c r="T501" s="23">
        <v>1355.94</v>
      </c>
      <c r="U501" s="23">
        <f t="shared" si="62"/>
        <v>1355.94</v>
      </c>
      <c r="V501" s="8">
        <v>0.187</v>
      </c>
      <c r="W501" s="8">
        <f t="shared" si="63"/>
        <v>0.187</v>
      </c>
      <c r="X501">
        <v>4</v>
      </c>
    </row>
    <row r="502" spans="1:24" x14ac:dyDescent="0.35">
      <c r="A502" s="4" t="s">
        <v>545</v>
      </c>
      <c r="B502" s="5" t="str">
        <f>IF(COUNTIF($A$2:A502,A502)=1,"Original","Duplicate")</f>
        <v>Original</v>
      </c>
      <c r="C502" s="7">
        <v>45727</v>
      </c>
      <c r="D502" s="7">
        <v>45742</v>
      </c>
      <c r="E502" s="7" t="str">
        <f t="shared" si="56"/>
        <v>Valid</v>
      </c>
      <c r="F502" s="7">
        <f t="shared" si="57"/>
        <v>45742</v>
      </c>
      <c r="G502">
        <f t="shared" si="58"/>
        <v>15</v>
      </c>
      <c r="H502" t="s">
        <v>649</v>
      </c>
      <c r="I502" t="s">
        <v>656</v>
      </c>
      <c r="J502" t="s">
        <v>671</v>
      </c>
      <c r="K502" t="str">
        <f t="shared" si="59"/>
        <v>Berlin</v>
      </c>
      <c r="L502" t="s">
        <v>705</v>
      </c>
      <c r="M502" t="s">
        <v>708</v>
      </c>
      <c r="N502" t="str">
        <f t="shared" si="60"/>
        <v>Online</v>
      </c>
      <c r="O502" t="s">
        <v>714</v>
      </c>
      <c r="P502" t="str">
        <f t="shared" si="61"/>
        <v>I. Johnson</v>
      </c>
      <c r="Q502" t="s">
        <v>730</v>
      </c>
      <c r="R502" t="s">
        <v>1264</v>
      </c>
      <c r="S502" s="23">
        <v>116.97</v>
      </c>
      <c r="T502" s="23">
        <v>140.82</v>
      </c>
      <c r="U502" s="23">
        <f t="shared" si="62"/>
        <v>140.82</v>
      </c>
      <c r="V502" s="8">
        <v>0.122</v>
      </c>
      <c r="W502" s="8">
        <f t="shared" si="63"/>
        <v>0.122</v>
      </c>
      <c r="X502">
        <v>5</v>
      </c>
    </row>
    <row r="503" spans="1:24" x14ac:dyDescent="0.35">
      <c r="A503" s="4" t="s">
        <v>629</v>
      </c>
      <c r="B503" s="5" t="str">
        <f>IF(COUNTIF($A$2:A503,A503)=1,"Original","Duplicate")</f>
        <v>Original</v>
      </c>
      <c r="C503" s="7">
        <v>45727</v>
      </c>
      <c r="D503" s="7">
        <v>45743</v>
      </c>
      <c r="E503" s="7" t="str">
        <f t="shared" si="56"/>
        <v>Valid</v>
      </c>
      <c r="F503" s="7">
        <f t="shared" si="57"/>
        <v>45743</v>
      </c>
      <c r="G503">
        <f t="shared" si="58"/>
        <v>16</v>
      </c>
      <c r="H503" t="s">
        <v>647</v>
      </c>
      <c r="I503" t="s">
        <v>652</v>
      </c>
      <c r="J503" t="s">
        <v>689</v>
      </c>
      <c r="K503" t="str">
        <f t="shared" si="59"/>
        <v>Tokyo</v>
      </c>
      <c r="L503" t="s">
        <v>706</v>
      </c>
      <c r="M503" t="s">
        <v>710</v>
      </c>
      <c r="N503" t="str">
        <f t="shared" si="60"/>
        <v>Distributor</v>
      </c>
      <c r="O503" t="s">
        <v>717</v>
      </c>
      <c r="P503" t="str">
        <f t="shared" si="61"/>
        <v>B. Chen</v>
      </c>
      <c r="Q503" t="s">
        <v>728</v>
      </c>
      <c r="R503" t="s">
        <v>1347</v>
      </c>
      <c r="S503" s="23">
        <v>1317.58</v>
      </c>
      <c r="T503" s="23">
        <v>1897.74</v>
      </c>
      <c r="U503" s="23">
        <f t="shared" si="62"/>
        <v>1897.74</v>
      </c>
      <c r="V503" s="8">
        <v>8.1000000000000003E-2</v>
      </c>
      <c r="W503" s="8">
        <f t="shared" si="63"/>
        <v>8.1000000000000003E-2</v>
      </c>
      <c r="X503">
        <v>6</v>
      </c>
    </row>
    <row r="504" spans="1:24" x14ac:dyDescent="0.35">
      <c r="A504" s="4" t="s">
        <v>295</v>
      </c>
      <c r="B504" s="5" t="str">
        <f>IF(COUNTIF($A$2:A504,A504)=1,"Original","Duplicate")</f>
        <v>Original</v>
      </c>
      <c r="C504" s="7">
        <v>45730</v>
      </c>
      <c r="D504" s="7">
        <v>45745</v>
      </c>
      <c r="E504" s="7" t="str">
        <f t="shared" si="56"/>
        <v>Valid</v>
      </c>
      <c r="F504" s="7">
        <f t="shared" si="57"/>
        <v>45745</v>
      </c>
      <c r="G504">
        <f t="shared" si="58"/>
        <v>15</v>
      </c>
      <c r="H504" t="s">
        <v>647</v>
      </c>
      <c r="I504" t="s">
        <v>652</v>
      </c>
      <c r="J504" t="s">
        <v>689</v>
      </c>
      <c r="K504" t="str">
        <f t="shared" si="59"/>
        <v>Tokyo</v>
      </c>
      <c r="L504" t="s">
        <v>703</v>
      </c>
      <c r="M504" t="s">
        <v>711</v>
      </c>
      <c r="N504" t="str">
        <f t="shared" si="60"/>
        <v>Direct</v>
      </c>
      <c r="O504" t="s">
        <v>722</v>
      </c>
      <c r="P504" t="str">
        <f t="shared" si="61"/>
        <v>H. Kim</v>
      </c>
      <c r="Q504" t="s">
        <v>729</v>
      </c>
      <c r="R504" t="s">
        <v>1015</v>
      </c>
      <c r="S504" s="23">
        <v>1106.96</v>
      </c>
      <c r="T504" s="23">
        <v>2726.62</v>
      </c>
      <c r="U504" s="23">
        <f t="shared" si="62"/>
        <v>2726.62</v>
      </c>
      <c r="V504" s="8">
        <v>0.317</v>
      </c>
      <c r="W504" s="8">
        <f t="shared" si="63"/>
        <v>0.3</v>
      </c>
      <c r="X504">
        <v>7</v>
      </c>
    </row>
    <row r="505" spans="1:24" x14ac:dyDescent="0.35">
      <c r="A505" s="4" t="s">
        <v>432</v>
      </c>
      <c r="B505" s="5" t="str">
        <f>IF(COUNTIF($A$2:A505,A505)=1,"Original","Duplicate")</f>
        <v>Original</v>
      </c>
      <c r="C505" s="7">
        <v>45730</v>
      </c>
      <c r="D505" s="7">
        <v>45755</v>
      </c>
      <c r="E505" s="7" t="str">
        <f t="shared" si="56"/>
        <v>Valid</v>
      </c>
      <c r="F505" s="7">
        <f t="shared" si="57"/>
        <v>45755</v>
      </c>
      <c r="G505">
        <f t="shared" si="58"/>
        <v>25</v>
      </c>
      <c r="H505" t="s">
        <v>647</v>
      </c>
      <c r="I505" t="s">
        <v>659</v>
      </c>
      <c r="K505" t="str">
        <f t="shared" si="59"/>
        <v>Unknown</v>
      </c>
      <c r="L505" t="s">
        <v>701</v>
      </c>
      <c r="M505" t="s">
        <v>710</v>
      </c>
      <c r="N505" t="str">
        <f t="shared" si="60"/>
        <v>Distributor</v>
      </c>
      <c r="O505" t="s">
        <v>726</v>
      </c>
      <c r="P505" t="str">
        <f t="shared" si="61"/>
        <v>D. Smith</v>
      </c>
      <c r="Q505" t="s">
        <v>728</v>
      </c>
      <c r="R505" t="s">
        <v>1151</v>
      </c>
      <c r="S505" s="23">
        <v>80.59</v>
      </c>
      <c r="T505" s="23">
        <v>157.82</v>
      </c>
      <c r="U505" s="23">
        <f t="shared" si="62"/>
        <v>157.82</v>
      </c>
      <c r="V505" s="8">
        <v>0.217</v>
      </c>
      <c r="W505" s="8">
        <f t="shared" si="63"/>
        <v>0.217</v>
      </c>
      <c r="X505">
        <v>6</v>
      </c>
    </row>
    <row r="506" spans="1:24" x14ac:dyDescent="0.35">
      <c r="A506" s="4" t="s">
        <v>381</v>
      </c>
      <c r="B506" s="5" t="str">
        <f>IF(COUNTIF($A$2:A506,A506)=1,"Original","Duplicate")</f>
        <v>Original</v>
      </c>
      <c r="C506" s="7">
        <v>45731</v>
      </c>
      <c r="D506" s="7">
        <v>45745</v>
      </c>
      <c r="E506" s="7" t="str">
        <f t="shared" si="56"/>
        <v>Valid</v>
      </c>
      <c r="F506" s="7">
        <f t="shared" si="57"/>
        <v>45745</v>
      </c>
      <c r="G506">
        <f t="shared" si="58"/>
        <v>14</v>
      </c>
      <c r="H506" t="s">
        <v>647</v>
      </c>
      <c r="I506" t="s">
        <v>654</v>
      </c>
      <c r="J506" t="s">
        <v>691</v>
      </c>
      <c r="K506" t="str">
        <f t="shared" si="59"/>
        <v>Mumbai</v>
      </c>
      <c r="L506" t="s">
        <v>706</v>
      </c>
      <c r="M506" t="s">
        <v>711</v>
      </c>
      <c r="N506" t="str">
        <f t="shared" si="60"/>
        <v>Direct</v>
      </c>
      <c r="O506" t="s">
        <v>712</v>
      </c>
      <c r="P506" t="str">
        <f t="shared" si="61"/>
        <v>C. Otieno</v>
      </c>
      <c r="Q506" t="s">
        <v>727</v>
      </c>
      <c r="R506" t="s">
        <v>1101</v>
      </c>
      <c r="S506" s="23">
        <v>935.83</v>
      </c>
      <c r="T506" s="23">
        <v>2303.46</v>
      </c>
      <c r="U506" s="23">
        <f t="shared" si="62"/>
        <v>2303.46</v>
      </c>
      <c r="V506" s="8">
        <v>0.105</v>
      </c>
      <c r="W506" s="8">
        <f t="shared" si="63"/>
        <v>0.105</v>
      </c>
      <c r="X506">
        <v>9</v>
      </c>
    </row>
    <row r="507" spans="1:24" x14ac:dyDescent="0.35">
      <c r="A507" s="4" t="s">
        <v>379</v>
      </c>
      <c r="B507" s="5" t="str">
        <f>IF(COUNTIF($A$2:A507,A507)=1,"Original","Duplicate")</f>
        <v>Original</v>
      </c>
      <c r="C507" s="7">
        <v>45737</v>
      </c>
      <c r="D507" s="7">
        <v>45756</v>
      </c>
      <c r="E507" s="7" t="str">
        <f t="shared" si="56"/>
        <v>Valid</v>
      </c>
      <c r="F507" s="7">
        <f t="shared" si="57"/>
        <v>45756</v>
      </c>
      <c r="G507">
        <f t="shared" si="58"/>
        <v>19</v>
      </c>
      <c r="H507" t="s">
        <v>647</v>
      </c>
      <c r="I507" t="s">
        <v>652</v>
      </c>
      <c r="J507" t="s">
        <v>689</v>
      </c>
      <c r="K507" t="str">
        <f t="shared" si="59"/>
        <v>Tokyo</v>
      </c>
      <c r="L507" t="s">
        <v>705</v>
      </c>
      <c r="M507" t="s">
        <v>710</v>
      </c>
      <c r="N507" t="str">
        <f t="shared" si="60"/>
        <v>Distributor</v>
      </c>
      <c r="O507" t="s">
        <v>718</v>
      </c>
      <c r="P507" t="str">
        <f t="shared" si="61"/>
        <v>E. Garcia</v>
      </c>
      <c r="Q507" t="s">
        <v>727</v>
      </c>
      <c r="R507" t="s">
        <v>1099</v>
      </c>
      <c r="S507" s="23">
        <v>1055.45</v>
      </c>
      <c r="T507" s="23">
        <v>1210.04</v>
      </c>
      <c r="U507" s="23">
        <f t="shared" si="62"/>
        <v>1210.04</v>
      </c>
      <c r="V507" s="8">
        <v>8.9999999999999993E-3</v>
      </c>
      <c r="W507" s="8">
        <f t="shared" si="63"/>
        <v>8.9999999999999993E-3</v>
      </c>
      <c r="X507">
        <v>18</v>
      </c>
    </row>
    <row r="508" spans="1:24" x14ac:dyDescent="0.35">
      <c r="A508" s="4" t="s">
        <v>483</v>
      </c>
      <c r="B508" s="5" t="str">
        <f>IF(COUNTIF($A$2:A508,A508)=1,"Original","Duplicate")</f>
        <v>Original</v>
      </c>
      <c r="C508" s="7">
        <v>45739</v>
      </c>
      <c r="D508" s="7">
        <v>45749</v>
      </c>
      <c r="E508" s="7" t="str">
        <f t="shared" si="56"/>
        <v>Valid</v>
      </c>
      <c r="F508" s="7">
        <f t="shared" si="57"/>
        <v>45749</v>
      </c>
      <c r="G508">
        <f t="shared" si="58"/>
        <v>10</v>
      </c>
      <c r="H508" t="s">
        <v>649</v>
      </c>
      <c r="I508" t="s">
        <v>656</v>
      </c>
      <c r="J508" t="s">
        <v>671</v>
      </c>
      <c r="K508" t="str">
        <f t="shared" si="59"/>
        <v>Berlin</v>
      </c>
      <c r="L508" t="s">
        <v>706</v>
      </c>
      <c r="M508" t="s">
        <v>708</v>
      </c>
      <c r="N508" t="str">
        <f t="shared" si="60"/>
        <v>Online</v>
      </c>
      <c r="O508" t="s">
        <v>718</v>
      </c>
      <c r="P508" t="str">
        <f t="shared" si="61"/>
        <v>E. Garcia</v>
      </c>
      <c r="Q508" t="s">
        <v>728</v>
      </c>
      <c r="R508" t="s">
        <v>1202</v>
      </c>
      <c r="S508" s="23">
        <v>663.61</v>
      </c>
      <c r="T508" s="23">
        <v>1002.11</v>
      </c>
      <c r="U508" s="23">
        <f t="shared" si="62"/>
        <v>1002.11</v>
      </c>
      <c r="V508" s="8">
        <v>4.5999999999999999E-2</v>
      </c>
      <c r="W508" s="8">
        <f t="shared" si="63"/>
        <v>4.5999999999999999E-2</v>
      </c>
      <c r="X508">
        <v>17</v>
      </c>
    </row>
    <row r="509" spans="1:24" x14ac:dyDescent="0.35">
      <c r="A509" s="4" t="s">
        <v>517</v>
      </c>
      <c r="B509" s="5" t="str">
        <f>IF(COUNTIF($A$2:A509,A509)=1,"Original","Duplicate")</f>
        <v>Original</v>
      </c>
      <c r="C509" s="7">
        <v>45740</v>
      </c>
      <c r="D509" s="7">
        <v>45741</v>
      </c>
      <c r="E509" s="7" t="str">
        <f t="shared" si="56"/>
        <v>Valid</v>
      </c>
      <c r="F509" s="7">
        <f t="shared" si="57"/>
        <v>45741</v>
      </c>
      <c r="G509">
        <f t="shared" si="58"/>
        <v>1</v>
      </c>
      <c r="H509" t="s">
        <v>647</v>
      </c>
      <c r="I509" t="s">
        <v>659</v>
      </c>
      <c r="J509" t="s">
        <v>699</v>
      </c>
      <c r="K509" t="str">
        <f t="shared" si="59"/>
        <v>Beijing</v>
      </c>
      <c r="L509" t="s">
        <v>703</v>
      </c>
      <c r="M509" t="s">
        <v>708</v>
      </c>
      <c r="N509" t="str">
        <f t="shared" si="60"/>
        <v>Online</v>
      </c>
      <c r="O509" t="s">
        <v>715</v>
      </c>
      <c r="P509" t="str">
        <f t="shared" si="61"/>
        <v>G. Dubois</v>
      </c>
      <c r="Q509" t="s">
        <v>729</v>
      </c>
      <c r="R509" t="s">
        <v>1236</v>
      </c>
      <c r="S509" s="23">
        <v>1133.03</v>
      </c>
      <c r="T509" s="23">
        <v>1921.51</v>
      </c>
      <c r="U509" s="23">
        <f t="shared" si="62"/>
        <v>1921.51</v>
      </c>
      <c r="V509" s="8">
        <v>0.10100000000000001</v>
      </c>
      <c r="W509" s="8">
        <f t="shared" si="63"/>
        <v>0.10100000000000001</v>
      </c>
      <c r="X509">
        <v>5</v>
      </c>
    </row>
    <row r="510" spans="1:24" x14ac:dyDescent="0.35">
      <c r="A510" s="4" t="s">
        <v>586</v>
      </c>
      <c r="B510" s="5" t="str">
        <f>IF(COUNTIF($A$2:A510,A510)=1,"Original","Duplicate")</f>
        <v>Original</v>
      </c>
      <c r="C510" s="7">
        <v>45740</v>
      </c>
      <c r="D510" s="7">
        <v>45751</v>
      </c>
      <c r="E510" s="7" t="str">
        <f t="shared" si="56"/>
        <v>Valid</v>
      </c>
      <c r="F510" s="7">
        <f t="shared" si="57"/>
        <v>45751</v>
      </c>
      <c r="G510">
        <f t="shared" si="58"/>
        <v>11</v>
      </c>
      <c r="H510" t="s">
        <v>647</v>
      </c>
      <c r="I510" t="s">
        <v>654</v>
      </c>
      <c r="J510" t="s">
        <v>691</v>
      </c>
      <c r="K510" t="str">
        <f t="shared" si="59"/>
        <v>Mumbai</v>
      </c>
      <c r="L510" t="s">
        <v>702</v>
      </c>
      <c r="M510" t="s">
        <v>709</v>
      </c>
      <c r="N510" t="str">
        <f t="shared" si="60"/>
        <v>Marketplace</v>
      </c>
      <c r="O510" t="s">
        <v>713</v>
      </c>
      <c r="P510" t="str">
        <f t="shared" si="61"/>
        <v>J. Njeri</v>
      </c>
      <c r="Q510" t="s">
        <v>730</v>
      </c>
      <c r="R510" t="s">
        <v>1304</v>
      </c>
      <c r="S510" s="23">
        <v>23.83</v>
      </c>
      <c r="T510" s="23">
        <v>47.29</v>
      </c>
      <c r="U510" s="23">
        <f t="shared" si="62"/>
        <v>47.29</v>
      </c>
      <c r="V510" s="8">
        <v>6.4000000000000001E-2</v>
      </c>
      <c r="W510" s="8">
        <f t="shared" si="63"/>
        <v>6.4000000000000001E-2</v>
      </c>
      <c r="X510">
        <v>19</v>
      </c>
    </row>
    <row r="511" spans="1:24" x14ac:dyDescent="0.35">
      <c r="A511" s="4" t="s">
        <v>99</v>
      </c>
      <c r="B511" s="5" t="str">
        <f>IF(COUNTIF($A$2:A511,A511)=1,"Original","Duplicate")</f>
        <v>Original</v>
      </c>
      <c r="C511" s="7">
        <v>45741</v>
      </c>
      <c r="D511" s="7">
        <v>45764</v>
      </c>
      <c r="E511" s="7" t="str">
        <f t="shared" si="56"/>
        <v>Valid</v>
      </c>
      <c r="F511" s="7">
        <f t="shared" si="57"/>
        <v>45764</v>
      </c>
      <c r="G511">
        <f t="shared" si="58"/>
        <v>23</v>
      </c>
      <c r="H511" t="s">
        <v>649</v>
      </c>
      <c r="I511" t="s">
        <v>658</v>
      </c>
      <c r="J511" t="s">
        <v>683</v>
      </c>
      <c r="K511" t="str">
        <f t="shared" si="59"/>
        <v>London</v>
      </c>
      <c r="L511" t="s">
        <v>704</v>
      </c>
      <c r="M511" t="s">
        <v>707</v>
      </c>
      <c r="N511" t="str">
        <f t="shared" si="60"/>
        <v>Retail</v>
      </c>
      <c r="O511" t="s">
        <v>722</v>
      </c>
      <c r="P511" t="str">
        <f t="shared" si="61"/>
        <v>H. Kim</v>
      </c>
      <c r="Q511" t="s">
        <v>729</v>
      </c>
      <c r="R511" t="s">
        <v>818</v>
      </c>
      <c r="S511" s="23">
        <v>1421.19</v>
      </c>
      <c r="T511" s="23">
        <v>1808.26</v>
      </c>
      <c r="U511" s="23">
        <f t="shared" si="62"/>
        <v>1808.26</v>
      </c>
      <c r="V511" s="8">
        <v>0.104</v>
      </c>
      <c r="W511" s="8">
        <f t="shared" si="63"/>
        <v>0.104</v>
      </c>
      <c r="X511">
        <v>13</v>
      </c>
    </row>
    <row r="512" spans="1:24" x14ac:dyDescent="0.35">
      <c r="A512" s="4" t="s">
        <v>320</v>
      </c>
      <c r="B512" s="5" t="str">
        <f>IF(COUNTIF($A$2:A512,A512)=1,"Original","Duplicate")</f>
        <v>Original</v>
      </c>
      <c r="C512" s="7">
        <v>45741</v>
      </c>
      <c r="D512" s="7">
        <v>45742</v>
      </c>
      <c r="E512" s="7" t="str">
        <f t="shared" si="56"/>
        <v>Valid</v>
      </c>
      <c r="F512" s="7">
        <f t="shared" si="57"/>
        <v>45742</v>
      </c>
      <c r="G512">
        <f t="shared" si="58"/>
        <v>1</v>
      </c>
      <c r="H512" t="s">
        <v>646</v>
      </c>
      <c r="I512" t="s">
        <v>651</v>
      </c>
      <c r="J512" t="s">
        <v>665</v>
      </c>
      <c r="K512" t="str">
        <f t="shared" si="59"/>
        <v>Lagos</v>
      </c>
      <c r="L512" t="s">
        <v>702</v>
      </c>
      <c r="M512" t="s">
        <v>710</v>
      </c>
      <c r="N512" t="str">
        <f t="shared" si="60"/>
        <v>Distributor</v>
      </c>
      <c r="O512" t="s">
        <v>715</v>
      </c>
      <c r="P512" t="str">
        <f t="shared" si="61"/>
        <v>G. Dubois</v>
      </c>
      <c r="Q512" t="s">
        <v>733</v>
      </c>
      <c r="R512" t="s">
        <v>1040</v>
      </c>
      <c r="S512" s="23">
        <v>1450.43</v>
      </c>
      <c r="T512" s="23">
        <v>1994.67</v>
      </c>
      <c r="U512" s="23">
        <f t="shared" si="62"/>
        <v>1994.67</v>
      </c>
      <c r="V512" s="8">
        <v>0.1</v>
      </c>
      <c r="W512" s="8">
        <f t="shared" si="63"/>
        <v>0.1</v>
      </c>
      <c r="X512">
        <v>24</v>
      </c>
    </row>
    <row r="513" spans="1:24" x14ac:dyDescent="0.35">
      <c r="A513" s="4" t="s">
        <v>18</v>
      </c>
      <c r="B513" s="5" t="str">
        <f>IF(COUNTIF($A$2:A513,A513)=1,"Original","Duplicate")</f>
        <v>Original</v>
      </c>
      <c r="C513" s="7">
        <v>45745</v>
      </c>
      <c r="D513" s="7">
        <v>45749</v>
      </c>
      <c r="E513" s="7" t="str">
        <f t="shared" si="56"/>
        <v>Valid</v>
      </c>
      <c r="F513" s="7">
        <f t="shared" si="57"/>
        <v>45749</v>
      </c>
      <c r="G513">
        <f t="shared" si="58"/>
        <v>4</v>
      </c>
      <c r="H513" t="s">
        <v>646</v>
      </c>
      <c r="I513" t="s">
        <v>651</v>
      </c>
      <c r="J513" t="s">
        <v>665</v>
      </c>
      <c r="K513" t="str">
        <f t="shared" si="59"/>
        <v>Lagos</v>
      </c>
      <c r="L513" t="s">
        <v>703</v>
      </c>
      <c r="M513" t="s">
        <v>709</v>
      </c>
      <c r="N513" t="str">
        <f t="shared" si="60"/>
        <v>Marketplace</v>
      </c>
      <c r="O513" t="s">
        <v>715</v>
      </c>
      <c r="P513" t="str">
        <f t="shared" si="61"/>
        <v>G. Dubois</v>
      </c>
      <c r="Q513" t="s">
        <v>730</v>
      </c>
      <c r="R513" t="s">
        <v>737</v>
      </c>
      <c r="S513" s="23">
        <v>259.93</v>
      </c>
      <c r="T513" s="23">
        <v>255.94</v>
      </c>
      <c r="U513" s="23">
        <f t="shared" si="62"/>
        <v>255.94</v>
      </c>
      <c r="V513" s="8">
        <v>7.1999999999999995E-2</v>
      </c>
      <c r="W513" s="8">
        <f t="shared" si="63"/>
        <v>7.1999999999999995E-2</v>
      </c>
      <c r="X513">
        <v>22</v>
      </c>
    </row>
    <row r="514" spans="1:24" x14ac:dyDescent="0.35">
      <c r="A514" s="4" t="s">
        <v>305</v>
      </c>
      <c r="B514" s="5" t="str">
        <f>IF(COUNTIF($A$2:A514,A514)=1,"Original","Duplicate")</f>
        <v>Original</v>
      </c>
      <c r="C514" s="7">
        <v>45746</v>
      </c>
      <c r="D514" s="7">
        <v>45754</v>
      </c>
      <c r="E514" s="7" t="str">
        <f t="shared" si="56"/>
        <v>Valid</v>
      </c>
      <c r="F514" s="7">
        <f t="shared" si="57"/>
        <v>45754</v>
      </c>
      <c r="G514">
        <f t="shared" si="58"/>
        <v>8</v>
      </c>
      <c r="H514" t="s">
        <v>648</v>
      </c>
      <c r="I514" t="s">
        <v>655</v>
      </c>
      <c r="J514" t="s">
        <v>670</v>
      </c>
      <c r="K514" t="str">
        <f t="shared" si="59"/>
        <v>São Paulo</v>
      </c>
      <c r="L514" t="s">
        <v>703</v>
      </c>
      <c r="M514" t="s">
        <v>711</v>
      </c>
      <c r="N514" t="str">
        <f t="shared" si="60"/>
        <v>Direct</v>
      </c>
      <c r="O514" t="s">
        <v>716</v>
      </c>
      <c r="P514" t="str">
        <f t="shared" si="61"/>
        <v>L. Okafor</v>
      </c>
      <c r="Q514" t="s">
        <v>728</v>
      </c>
      <c r="R514" t="s">
        <v>1025</v>
      </c>
      <c r="S514" s="23">
        <v>71.62</v>
      </c>
      <c r="T514" s="23">
        <v>118.37</v>
      </c>
      <c r="U514" s="23">
        <f t="shared" si="62"/>
        <v>118.37</v>
      </c>
      <c r="V514" s="8">
        <v>0.156</v>
      </c>
      <c r="W514" s="8">
        <f t="shared" si="63"/>
        <v>0.156</v>
      </c>
      <c r="X514">
        <v>11</v>
      </c>
    </row>
    <row r="515" spans="1:24" x14ac:dyDescent="0.35">
      <c r="A515" s="4" t="s">
        <v>461</v>
      </c>
      <c r="B515" s="5" t="str">
        <f>IF(COUNTIF($A$2:A515,A515)=1,"Original","Duplicate")</f>
        <v>Original</v>
      </c>
      <c r="C515" s="7">
        <v>45746</v>
      </c>
      <c r="D515" s="7">
        <v>45776</v>
      </c>
      <c r="E515" s="7" t="str">
        <f t="shared" ref="E515:E578" si="64">IF(D515&lt;C515,"Invalid","Valid")</f>
        <v>Valid</v>
      </c>
      <c r="F515" s="7">
        <f t="shared" ref="F515:F578" si="65">IF(D515&gt;C515,D515,WORKDAY(C515,5))</f>
        <v>45776</v>
      </c>
      <c r="G515">
        <f t="shared" ref="G515:G578" si="66">F515-C515</f>
        <v>30</v>
      </c>
      <c r="H515" t="s">
        <v>646</v>
      </c>
      <c r="I515" t="s">
        <v>661</v>
      </c>
      <c r="J515" t="s">
        <v>687</v>
      </c>
      <c r="K515" t="str">
        <f t="shared" ref="K515:K578" si="67">IF(J515="", "Unknown", J515)</f>
        <v>Durban</v>
      </c>
      <c r="L515" t="s">
        <v>704</v>
      </c>
      <c r="M515" t="s">
        <v>709</v>
      </c>
      <c r="N515" t="str">
        <f t="shared" ref="N515:N578" si="68">IF(M515="", "Unknown", M515)</f>
        <v>Marketplace</v>
      </c>
      <c r="O515" t="s">
        <v>713</v>
      </c>
      <c r="P515" t="str">
        <f t="shared" ref="P515:P578" si="69">IF(O515="","Unassigned",O515)</f>
        <v>J. Njeri</v>
      </c>
      <c r="Q515" t="s">
        <v>732</v>
      </c>
      <c r="R515" t="s">
        <v>1180</v>
      </c>
      <c r="S515" s="23">
        <v>194.6</v>
      </c>
      <c r="T515" s="23">
        <v>314.87</v>
      </c>
      <c r="U515" s="23">
        <f t="shared" ref="U515:U578" si="70">IF(T515&gt;0,T515,S515*1.2)</f>
        <v>314.87</v>
      </c>
      <c r="V515" s="8">
        <v>0.29299999999999998</v>
      </c>
      <c r="W515" s="8">
        <f t="shared" ref="W515:W578" si="71">IF(V515&lt;0.3,V515,0.3)</f>
        <v>0.29299999999999998</v>
      </c>
      <c r="X515">
        <v>25</v>
      </c>
    </row>
    <row r="516" spans="1:24" x14ac:dyDescent="0.35">
      <c r="A516" s="4" t="s">
        <v>117</v>
      </c>
      <c r="B516" s="5" t="str">
        <f>IF(COUNTIF($A$2:A516,A516)=1,"Original","Duplicate")</f>
        <v>Original</v>
      </c>
      <c r="C516" s="7">
        <v>45747</v>
      </c>
      <c r="D516" s="7">
        <v>45751</v>
      </c>
      <c r="E516" s="7" t="str">
        <f t="shared" si="64"/>
        <v>Valid</v>
      </c>
      <c r="F516" s="7">
        <f t="shared" si="65"/>
        <v>45751</v>
      </c>
      <c r="G516">
        <f t="shared" si="66"/>
        <v>4</v>
      </c>
      <c r="H516" t="s">
        <v>646</v>
      </c>
      <c r="I516" t="s">
        <v>650</v>
      </c>
      <c r="J516" t="s">
        <v>678</v>
      </c>
      <c r="K516" t="str">
        <f t="shared" si="67"/>
        <v>Nakuru</v>
      </c>
      <c r="L516" t="s">
        <v>701</v>
      </c>
      <c r="M516" t="s">
        <v>711</v>
      </c>
      <c r="N516" t="str">
        <f t="shared" si="68"/>
        <v>Direct</v>
      </c>
      <c r="O516" t="s">
        <v>712</v>
      </c>
      <c r="P516" t="str">
        <f t="shared" si="69"/>
        <v>C. Otieno</v>
      </c>
      <c r="Q516" t="s">
        <v>731</v>
      </c>
      <c r="R516" t="s">
        <v>836</v>
      </c>
      <c r="S516" s="23">
        <v>862.08</v>
      </c>
      <c r="T516" s="23">
        <v>1952.83</v>
      </c>
      <c r="U516" s="23">
        <f t="shared" si="70"/>
        <v>1952.83</v>
      </c>
      <c r="V516" s="8">
        <v>0</v>
      </c>
      <c r="W516" s="8">
        <f t="shared" si="71"/>
        <v>0</v>
      </c>
      <c r="X516">
        <v>7</v>
      </c>
    </row>
    <row r="517" spans="1:24" x14ac:dyDescent="0.35">
      <c r="A517" s="4" t="s">
        <v>332</v>
      </c>
      <c r="B517" s="5" t="str">
        <f>IF(COUNTIF($A$2:A517,A517)=1,"Original","Duplicate")</f>
        <v>Original</v>
      </c>
      <c r="C517" s="7">
        <v>45748</v>
      </c>
      <c r="D517" s="7">
        <v>45774</v>
      </c>
      <c r="E517" s="7" t="str">
        <f t="shared" si="64"/>
        <v>Valid</v>
      </c>
      <c r="F517" s="7">
        <f t="shared" si="65"/>
        <v>45774</v>
      </c>
      <c r="G517">
        <f t="shared" si="66"/>
        <v>26</v>
      </c>
      <c r="H517" t="s">
        <v>648</v>
      </c>
      <c r="I517" t="s">
        <v>660</v>
      </c>
      <c r="J517" t="s">
        <v>686</v>
      </c>
      <c r="K517" t="str">
        <f t="shared" si="67"/>
        <v>San Francisco</v>
      </c>
      <c r="L517" t="s">
        <v>701</v>
      </c>
      <c r="M517" t="s">
        <v>711</v>
      </c>
      <c r="N517" t="str">
        <f t="shared" si="68"/>
        <v>Direct</v>
      </c>
      <c r="O517" t="s">
        <v>714</v>
      </c>
      <c r="P517" t="str">
        <f t="shared" si="69"/>
        <v>I. Johnson</v>
      </c>
      <c r="Q517" t="s">
        <v>732</v>
      </c>
      <c r="R517" t="s">
        <v>1052</v>
      </c>
      <c r="S517" s="23">
        <v>156.55000000000001</v>
      </c>
      <c r="T517" s="23">
        <v>227.45</v>
      </c>
      <c r="U517" s="23">
        <f t="shared" si="70"/>
        <v>227.45</v>
      </c>
      <c r="V517" s="8">
        <v>1.4E-2</v>
      </c>
      <c r="W517" s="8">
        <f t="shared" si="71"/>
        <v>1.4E-2</v>
      </c>
      <c r="X517">
        <v>13</v>
      </c>
    </row>
    <row r="518" spans="1:24" x14ac:dyDescent="0.35">
      <c r="A518" s="4" t="s">
        <v>300</v>
      </c>
      <c r="B518" s="5" t="str">
        <f>IF(COUNTIF($A$2:A518,A518)=1,"Original","Duplicate")</f>
        <v>Original</v>
      </c>
      <c r="C518" s="7">
        <v>45751</v>
      </c>
      <c r="D518" s="7">
        <v>45760</v>
      </c>
      <c r="E518" s="7" t="str">
        <f t="shared" si="64"/>
        <v>Valid</v>
      </c>
      <c r="F518" s="7">
        <f t="shared" si="65"/>
        <v>45760</v>
      </c>
      <c r="G518">
        <f t="shared" si="66"/>
        <v>9</v>
      </c>
      <c r="H518" t="s">
        <v>649</v>
      </c>
      <c r="I518" t="s">
        <v>656</v>
      </c>
      <c r="J518" t="s">
        <v>684</v>
      </c>
      <c r="K518" t="str">
        <f t="shared" si="67"/>
        <v>Munich</v>
      </c>
      <c r="L518" t="s">
        <v>704</v>
      </c>
      <c r="M518" t="s">
        <v>709</v>
      </c>
      <c r="N518" t="str">
        <f t="shared" si="68"/>
        <v>Marketplace</v>
      </c>
      <c r="O518" t="s">
        <v>721</v>
      </c>
      <c r="P518" t="str">
        <f t="shared" si="69"/>
        <v>F. Müller</v>
      </c>
      <c r="Q518" t="s">
        <v>730</v>
      </c>
      <c r="R518" t="s">
        <v>1020</v>
      </c>
      <c r="S518" s="23">
        <v>7.02</v>
      </c>
      <c r="T518" s="23">
        <v>6.28</v>
      </c>
      <c r="U518" s="23">
        <f t="shared" si="70"/>
        <v>6.28</v>
      </c>
      <c r="V518" s="8">
        <v>0.13400000000000001</v>
      </c>
      <c r="W518" s="8">
        <f t="shared" si="71"/>
        <v>0.13400000000000001</v>
      </c>
      <c r="X518">
        <v>14</v>
      </c>
    </row>
    <row r="519" spans="1:24" x14ac:dyDescent="0.35">
      <c r="A519" s="4" t="s">
        <v>387</v>
      </c>
      <c r="B519" s="5" t="str">
        <f>IF(COUNTIF($A$2:A519,A519)=1,"Original","Duplicate")</f>
        <v>Original</v>
      </c>
      <c r="C519" s="7">
        <v>45751</v>
      </c>
      <c r="D519" s="7">
        <v>45757</v>
      </c>
      <c r="E519" s="7" t="str">
        <f t="shared" si="64"/>
        <v>Valid</v>
      </c>
      <c r="F519" s="7">
        <f t="shared" si="65"/>
        <v>45757</v>
      </c>
      <c r="G519">
        <f t="shared" si="66"/>
        <v>6</v>
      </c>
      <c r="H519" t="s">
        <v>649</v>
      </c>
      <c r="I519" t="s">
        <v>658</v>
      </c>
      <c r="J519" t="s">
        <v>674</v>
      </c>
      <c r="K519" t="str">
        <f t="shared" si="67"/>
        <v>Birmingham</v>
      </c>
      <c r="L519" t="s">
        <v>703</v>
      </c>
      <c r="M519" t="s">
        <v>711</v>
      </c>
      <c r="N519" t="str">
        <f t="shared" si="68"/>
        <v>Direct</v>
      </c>
      <c r="O519" t="s">
        <v>725</v>
      </c>
      <c r="P519" t="str">
        <f t="shared" si="69"/>
        <v>N. Brown</v>
      </c>
      <c r="Q519" t="s">
        <v>728</v>
      </c>
      <c r="R519" t="s">
        <v>1107</v>
      </c>
      <c r="S519" s="23">
        <v>290.14</v>
      </c>
      <c r="T519" s="23">
        <v>250.73</v>
      </c>
      <c r="U519" s="23">
        <f t="shared" si="70"/>
        <v>250.73</v>
      </c>
      <c r="V519" s="8">
        <v>3.4000000000000002E-2</v>
      </c>
      <c r="W519" s="8">
        <f t="shared" si="71"/>
        <v>3.4000000000000002E-2</v>
      </c>
      <c r="X519">
        <v>17</v>
      </c>
    </row>
    <row r="520" spans="1:24" x14ac:dyDescent="0.35">
      <c r="A520" s="4" t="s">
        <v>70</v>
      </c>
      <c r="B520" s="5" t="str">
        <f>IF(COUNTIF($A$2:A520,A520)=1,"Original","Duplicate")</f>
        <v>Original</v>
      </c>
      <c r="C520" s="7">
        <v>45753</v>
      </c>
      <c r="D520" s="7">
        <v>45777</v>
      </c>
      <c r="E520" s="7" t="str">
        <f t="shared" si="64"/>
        <v>Valid</v>
      </c>
      <c r="F520" s="7">
        <f t="shared" si="65"/>
        <v>45777</v>
      </c>
      <c r="G520">
        <f t="shared" si="66"/>
        <v>24</v>
      </c>
      <c r="H520" t="s">
        <v>648</v>
      </c>
      <c r="I520" t="s">
        <v>655</v>
      </c>
      <c r="J520" t="s">
        <v>672</v>
      </c>
      <c r="K520" t="str">
        <f t="shared" si="67"/>
        <v>Brasília</v>
      </c>
      <c r="L520" t="s">
        <v>702</v>
      </c>
      <c r="M520" t="s">
        <v>708</v>
      </c>
      <c r="N520" t="str">
        <f t="shared" si="68"/>
        <v>Online</v>
      </c>
      <c r="O520" t="s">
        <v>723</v>
      </c>
      <c r="P520" t="str">
        <f t="shared" si="69"/>
        <v>K. Singh</v>
      </c>
      <c r="Q520" t="s">
        <v>732</v>
      </c>
      <c r="R520" t="s">
        <v>789</v>
      </c>
      <c r="S520" s="23">
        <v>855.78</v>
      </c>
      <c r="T520" s="23">
        <v>977.38</v>
      </c>
      <c r="U520" s="23">
        <f t="shared" si="70"/>
        <v>977.38</v>
      </c>
      <c r="V520" s="8">
        <v>0.14699999999999999</v>
      </c>
      <c r="W520" s="8">
        <f t="shared" si="71"/>
        <v>0.14699999999999999</v>
      </c>
      <c r="X520">
        <v>38</v>
      </c>
    </row>
    <row r="521" spans="1:24" x14ac:dyDescent="0.35">
      <c r="A521" s="4" t="s">
        <v>44</v>
      </c>
      <c r="B521" s="5" t="str">
        <f>IF(COUNTIF($A$2:A521,A521)=1,"Original","Duplicate")</f>
        <v>Original</v>
      </c>
      <c r="C521" s="7">
        <v>45754</v>
      </c>
      <c r="D521" s="7">
        <v>45758</v>
      </c>
      <c r="E521" s="7" t="str">
        <f t="shared" si="64"/>
        <v>Valid</v>
      </c>
      <c r="F521" s="7">
        <f t="shared" si="65"/>
        <v>45758</v>
      </c>
      <c r="G521">
        <f t="shared" si="66"/>
        <v>4</v>
      </c>
      <c r="H521" t="s">
        <v>649</v>
      </c>
      <c r="I521" t="s">
        <v>657</v>
      </c>
      <c r="J521" t="s">
        <v>679</v>
      </c>
      <c r="K521" t="str">
        <f t="shared" si="67"/>
        <v>Lyon</v>
      </c>
      <c r="L521" t="s">
        <v>702</v>
      </c>
      <c r="M521" t="s">
        <v>707</v>
      </c>
      <c r="N521" t="str">
        <f t="shared" si="68"/>
        <v>Retail</v>
      </c>
      <c r="O521" t="s">
        <v>718</v>
      </c>
      <c r="P521" t="str">
        <f t="shared" si="69"/>
        <v>E. Garcia</v>
      </c>
      <c r="Q521" t="s">
        <v>729</v>
      </c>
      <c r="R521" t="s">
        <v>763</v>
      </c>
      <c r="S521" s="23">
        <v>754.77</v>
      </c>
      <c r="T521" s="23">
        <v>1666.18</v>
      </c>
      <c r="U521" s="23">
        <f t="shared" si="70"/>
        <v>1666.18</v>
      </c>
      <c r="V521" s="8">
        <v>0.13900000000000001</v>
      </c>
      <c r="W521" s="8">
        <f t="shared" si="71"/>
        <v>0.13900000000000001</v>
      </c>
      <c r="X521">
        <v>14</v>
      </c>
    </row>
    <row r="522" spans="1:24" x14ac:dyDescent="0.35">
      <c r="A522" s="4" t="s">
        <v>86</v>
      </c>
      <c r="B522" s="5" t="str">
        <f>IF(COUNTIF($A$2:A522,A522)=1,"Original","Duplicate")</f>
        <v>Original</v>
      </c>
      <c r="C522" s="7">
        <v>45756</v>
      </c>
      <c r="D522" s="7">
        <v>45783</v>
      </c>
      <c r="E522" s="7" t="str">
        <f t="shared" si="64"/>
        <v>Valid</v>
      </c>
      <c r="F522" s="7">
        <f t="shared" si="65"/>
        <v>45783</v>
      </c>
      <c r="G522">
        <f t="shared" si="66"/>
        <v>27</v>
      </c>
      <c r="H522" t="s">
        <v>648</v>
      </c>
      <c r="I522" t="s">
        <v>655</v>
      </c>
      <c r="J522" t="s">
        <v>672</v>
      </c>
      <c r="K522" t="str">
        <f t="shared" si="67"/>
        <v>Brasília</v>
      </c>
      <c r="L522" t="s">
        <v>706</v>
      </c>
      <c r="M522" t="s">
        <v>709</v>
      </c>
      <c r="N522" t="str">
        <f t="shared" si="68"/>
        <v>Marketplace</v>
      </c>
      <c r="O522" t="s">
        <v>721</v>
      </c>
      <c r="P522" t="str">
        <f t="shared" si="69"/>
        <v>F. Müller</v>
      </c>
      <c r="Q522" t="s">
        <v>731</v>
      </c>
      <c r="R522" t="s">
        <v>805</v>
      </c>
      <c r="S522" s="23">
        <v>264.19</v>
      </c>
      <c r="T522" s="23">
        <v>620.92999999999995</v>
      </c>
      <c r="U522" s="23">
        <f t="shared" si="70"/>
        <v>620.92999999999995</v>
      </c>
      <c r="V522" s="8">
        <v>0.14199999999999999</v>
      </c>
      <c r="W522" s="8">
        <f t="shared" si="71"/>
        <v>0.14199999999999999</v>
      </c>
      <c r="X522">
        <v>12</v>
      </c>
    </row>
    <row r="523" spans="1:24" x14ac:dyDescent="0.35">
      <c r="A523" s="4" t="s">
        <v>319</v>
      </c>
      <c r="B523" s="5" t="str">
        <f>IF(COUNTIF($A$2:A523,A523)=1,"Original","Duplicate")</f>
        <v>Original</v>
      </c>
      <c r="C523" s="7">
        <v>45756</v>
      </c>
      <c r="D523" s="7">
        <v>45759</v>
      </c>
      <c r="E523" s="7" t="str">
        <f t="shared" si="64"/>
        <v>Valid</v>
      </c>
      <c r="F523" s="7">
        <f t="shared" si="65"/>
        <v>45759</v>
      </c>
      <c r="G523">
        <f t="shared" si="66"/>
        <v>3</v>
      </c>
      <c r="H523" t="s">
        <v>649</v>
      </c>
      <c r="I523" t="s">
        <v>657</v>
      </c>
      <c r="J523" t="s">
        <v>679</v>
      </c>
      <c r="K523" t="str">
        <f t="shared" si="67"/>
        <v>Lyon</v>
      </c>
      <c r="L523" t="s">
        <v>705</v>
      </c>
      <c r="M523" t="s">
        <v>710</v>
      </c>
      <c r="N523" t="str">
        <f t="shared" si="68"/>
        <v>Distributor</v>
      </c>
      <c r="O523" t="s">
        <v>722</v>
      </c>
      <c r="P523" t="str">
        <f t="shared" si="69"/>
        <v>H. Kim</v>
      </c>
      <c r="Q523" t="s">
        <v>732</v>
      </c>
      <c r="R523" t="s">
        <v>1039</v>
      </c>
      <c r="S523" s="23">
        <v>86.68</v>
      </c>
      <c r="T523" s="23">
        <v>213.32</v>
      </c>
      <c r="U523" s="23">
        <f t="shared" si="70"/>
        <v>213.32</v>
      </c>
      <c r="V523" s="8">
        <v>3.7999999999999999E-2</v>
      </c>
      <c r="W523" s="8">
        <f t="shared" si="71"/>
        <v>3.7999999999999999E-2</v>
      </c>
      <c r="X523">
        <v>8</v>
      </c>
    </row>
    <row r="524" spans="1:24" x14ac:dyDescent="0.35">
      <c r="A524" s="4" t="s">
        <v>477</v>
      </c>
      <c r="B524" s="5" t="str">
        <f>IF(COUNTIF($A$2:A524,A524)=1,"Original","Duplicate")</f>
        <v>Original</v>
      </c>
      <c r="C524" s="7">
        <v>45757</v>
      </c>
      <c r="D524" s="7">
        <v>45766</v>
      </c>
      <c r="E524" s="7" t="str">
        <f t="shared" si="64"/>
        <v>Valid</v>
      </c>
      <c r="F524" s="7">
        <f t="shared" si="65"/>
        <v>45766</v>
      </c>
      <c r="G524">
        <f t="shared" si="66"/>
        <v>9</v>
      </c>
      <c r="H524" t="s">
        <v>646</v>
      </c>
      <c r="I524" t="s">
        <v>661</v>
      </c>
      <c r="J524" t="s">
        <v>687</v>
      </c>
      <c r="K524" t="str">
        <f t="shared" si="67"/>
        <v>Durban</v>
      </c>
      <c r="L524" t="s">
        <v>706</v>
      </c>
      <c r="N524" t="str">
        <f t="shared" si="68"/>
        <v>Unknown</v>
      </c>
      <c r="O524" t="s">
        <v>715</v>
      </c>
      <c r="P524" t="str">
        <f t="shared" si="69"/>
        <v>G. Dubois</v>
      </c>
      <c r="Q524" t="s">
        <v>729</v>
      </c>
      <c r="R524" t="s">
        <v>1196</v>
      </c>
      <c r="S524" s="23">
        <v>113.74</v>
      </c>
      <c r="T524" s="23">
        <v>165.7</v>
      </c>
      <c r="U524" s="23">
        <f t="shared" si="70"/>
        <v>165.7</v>
      </c>
      <c r="V524" s="8">
        <v>0.124</v>
      </c>
      <c r="W524" s="8">
        <f t="shared" si="71"/>
        <v>0.124</v>
      </c>
      <c r="X524">
        <v>13</v>
      </c>
    </row>
    <row r="525" spans="1:24" x14ac:dyDescent="0.35">
      <c r="A525" s="4" t="s">
        <v>308</v>
      </c>
      <c r="B525" s="5" t="str">
        <f>IF(COUNTIF($A$2:A525,A525)=1,"Original","Duplicate")</f>
        <v>Original</v>
      </c>
      <c r="C525" s="7">
        <v>45758</v>
      </c>
      <c r="D525" s="7">
        <v>45781</v>
      </c>
      <c r="E525" s="7" t="str">
        <f t="shared" si="64"/>
        <v>Valid</v>
      </c>
      <c r="F525" s="7">
        <f t="shared" si="65"/>
        <v>45781</v>
      </c>
      <c r="G525">
        <f t="shared" si="66"/>
        <v>23</v>
      </c>
      <c r="H525" t="s">
        <v>647</v>
      </c>
      <c r="I525" t="s">
        <v>652</v>
      </c>
      <c r="J525" t="s">
        <v>666</v>
      </c>
      <c r="K525" t="str">
        <f t="shared" si="67"/>
        <v>Osaka</v>
      </c>
      <c r="L525" t="s">
        <v>705</v>
      </c>
      <c r="M525" t="s">
        <v>708</v>
      </c>
      <c r="N525" t="str">
        <f t="shared" si="68"/>
        <v>Online</v>
      </c>
      <c r="O525" t="s">
        <v>724</v>
      </c>
      <c r="P525" t="str">
        <f t="shared" si="69"/>
        <v>M. Rossi</v>
      </c>
      <c r="Q525" t="s">
        <v>727</v>
      </c>
      <c r="R525" t="s">
        <v>1028</v>
      </c>
      <c r="S525" s="23">
        <v>786.2</v>
      </c>
      <c r="T525" s="23">
        <v>1075.3</v>
      </c>
      <c r="U525" s="23">
        <f t="shared" si="70"/>
        <v>1075.3</v>
      </c>
      <c r="V525" s="8">
        <v>0.08</v>
      </c>
      <c r="W525" s="8">
        <f t="shared" si="71"/>
        <v>0.08</v>
      </c>
      <c r="X525">
        <v>9</v>
      </c>
    </row>
    <row r="526" spans="1:24" x14ac:dyDescent="0.35">
      <c r="A526" s="4" t="s">
        <v>414</v>
      </c>
      <c r="B526" s="5" t="str">
        <f>IF(COUNTIF($A$2:A526,A526)=1,"Original","Duplicate")</f>
        <v>Original</v>
      </c>
      <c r="C526" s="7">
        <v>45759</v>
      </c>
      <c r="D526" s="7">
        <v>45777</v>
      </c>
      <c r="E526" s="7" t="str">
        <f t="shared" si="64"/>
        <v>Valid</v>
      </c>
      <c r="F526" s="7">
        <f t="shared" si="65"/>
        <v>45777</v>
      </c>
      <c r="G526">
        <f t="shared" si="66"/>
        <v>18</v>
      </c>
      <c r="H526" t="s">
        <v>646</v>
      </c>
      <c r="I526" t="s">
        <v>650</v>
      </c>
      <c r="J526" t="s">
        <v>662</v>
      </c>
      <c r="K526" t="str">
        <f t="shared" si="67"/>
        <v>Kisumu</v>
      </c>
      <c r="L526" t="s">
        <v>701</v>
      </c>
      <c r="M526" t="s">
        <v>709</v>
      </c>
      <c r="N526" t="str">
        <f t="shared" si="68"/>
        <v>Marketplace</v>
      </c>
      <c r="O526" t="s">
        <v>721</v>
      </c>
      <c r="P526" t="str">
        <f t="shared" si="69"/>
        <v>F. Müller</v>
      </c>
      <c r="Q526" t="s">
        <v>729</v>
      </c>
      <c r="R526" t="s">
        <v>1133</v>
      </c>
      <c r="S526" s="23">
        <v>1119.04</v>
      </c>
      <c r="T526" s="23">
        <v>1299.02</v>
      </c>
      <c r="U526" s="23">
        <f t="shared" si="70"/>
        <v>1299.02</v>
      </c>
      <c r="V526" s="8">
        <v>2.5000000000000001E-2</v>
      </c>
      <c r="W526" s="8">
        <f t="shared" si="71"/>
        <v>2.5000000000000001E-2</v>
      </c>
      <c r="X526">
        <v>14</v>
      </c>
    </row>
    <row r="527" spans="1:24" x14ac:dyDescent="0.35">
      <c r="A527" s="4" t="s">
        <v>584</v>
      </c>
      <c r="B527" s="5" t="str">
        <f>IF(COUNTIF($A$2:A527,A527)=1,"Original","Duplicate")</f>
        <v>Original</v>
      </c>
      <c r="C527" s="7">
        <v>45760</v>
      </c>
      <c r="D527" s="7">
        <v>45761</v>
      </c>
      <c r="E527" s="7" t="str">
        <f t="shared" si="64"/>
        <v>Valid</v>
      </c>
      <c r="F527" s="7">
        <f t="shared" si="65"/>
        <v>45761</v>
      </c>
      <c r="G527">
        <f t="shared" si="66"/>
        <v>1</v>
      </c>
      <c r="H527" t="s">
        <v>647</v>
      </c>
      <c r="I527" t="s">
        <v>652</v>
      </c>
      <c r="J527" t="s">
        <v>666</v>
      </c>
      <c r="K527" t="str">
        <f t="shared" si="67"/>
        <v>Osaka</v>
      </c>
      <c r="L527" t="s">
        <v>706</v>
      </c>
      <c r="M527" t="s">
        <v>708</v>
      </c>
      <c r="N527" t="str">
        <f t="shared" si="68"/>
        <v>Online</v>
      </c>
      <c r="O527" t="s">
        <v>715</v>
      </c>
      <c r="P527" t="str">
        <f t="shared" si="69"/>
        <v>G. Dubois</v>
      </c>
      <c r="Q527" t="s">
        <v>727</v>
      </c>
      <c r="R527" t="s">
        <v>1302</v>
      </c>
      <c r="S527" s="23">
        <v>138.9</v>
      </c>
      <c r="T527" s="23">
        <v>289.92</v>
      </c>
      <c r="U527" s="23">
        <f t="shared" si="70"/>
        <v>289.92</v>
      </c>
      <c r="V527" s="8">
        <v>2.9000000000000001E-2</v>
      </c>
      <c r="W527" s="8">
        <f t="shared" si="71"/>
        <v>2.9000000000000001E-2</v>
      </c>
      <c r="X527">
        <v>12</v>
      </c>
    </row>
    <row r="528" spans="1:24" x14ac:dyDescent="0.35">
      <c r="A528" s="4" t="s">
        <v>190</v>
      </c>
      <c r="B528" s="5" t="str">
        <f>IF(COUNTIF($A$2:A528,A528)=1,"Original","Duplicate")</f>
        <v>Original</v>
      </c>
      <c r="C528" s="7">
        <v>45761</v>
      </c>
      <c r="D528" s="7">
        <v>45781</v>
      </c>
      <c r="E528" s="7" t="str">
        <f t="shared" si="64"/>
        <v>Valid</v>
      </c>
      <c r="F528" s="7">
        <f t="shared" si="65"/>
        <v>45781</v>
      </c>
      <c r="G528">
        <f t="shared" si="66"/>
        <v>20</v>
      </c>
      <c r="H528" t="s">
        <v>649</v>
      </c>
      <c r="I528" t="s">
        <v>658</v>
      </c>
      <c r="J528" t="s">
        <v>674</v>
      </c>
      <c r="K528" t="str">
        <f t="shared" si="67"/>
        <v>Birmingham</v>
      </c>
      <c r="L528" t="s">
        <v>706</v>
      </c>
      <c r="M528" t="s">
        <v>709</v>
      </c>
      <c r="N528" t="str">
        <f t="shared" si="68"/>
        <v>Marketplace</v>
      </c>
      <c r="O528" t="s">
        <v>723</v>
      </c>
      <c r="P528" t="str">
        <f t="shared" si="69"/>
        <v>K. Singh</v>
      </c>
      <c r="Q528" t="s">
        <v>732</v>
      </c>
      <c r="R528" t="s">
        <v>909</v>
      </c>
      <c r="S528" s="23">
        <v>1413.87</v>
      </c>
      <c r="T528" s="23">
        <v>3275</v>
      </c>
      <c r="U528" s="23">
        <f t="shared" si="70"/>
        <v>3275</v>
      </c>
      <c r="V528" s="8">
        <v>0.255</v>
      </c>
      <c r="W528" s="8">
        <f t="shared" si="71"/>
        <v>0.255</v>
      </c>
      <c r="X528">
        <v>38</v>
      </c>
    </row>
    <row r="529" spans="1:24" x14ac:dyDescent="0.35">
      <c r="A529" s="4" t="s">
        <v>165</v>
      </c>
      <c r="B529" s="5" t="str">
        <f>IF(COUNTIF($A$2:A529,A529)=1,"Original","Duplicate")</f>
        <v>Original</v>
      </c>
      <c r="C529" s="7">
        <v>45763</v>
      </c>
      <c r="D529" s="7">
        <v>45793</v>
      </c>
      <c r="E529" s="7" t="str">
        <f t="shared" si="64"/>
        <v>Valid</v>
      </c>
      <c r="F529" s="7">
        <f t="shared" si="65"/>
        <v>45793</v>
      </c>
      <c r="G529">
        <f t="shared" si="66"/>
        <v>30</v>
      </c>
      <c r="H529" t="s">
        <v>648</v>
      </c>
      <c r="I529" t="s">
        <v>653</v>
      </c>
      <c r="J529" t="s">
        <v>681</v>
      </c>
      <c r="K529" t="str">
        <f t="shared" si="67"/>
        <v>Montreal</v>
      </c>
      <c r="L529" t="s">
        <v>706</v>
      </c>
      <c r="M529" t="s">
        <v>710</v>
      </c>
      <c r="N529" t="str">
        <f t="shared" si="68"/>
        <v>Distributor</v>
      </c>
      <c r="O529" t="s">
        <v>723</v>
      </c>
      <c r="P529" t="str">
        <f t="shared" si="69"/>
        <v>K. Singh</v>
      </c>
      <c r="Q529" t="s">
        <v>728</v>
      </c>
      <c r="R529" t="s">
        <v>884</v>
      </c>
      <c r="S529" s="23">
        <v>763.32</v>
      </c>
      <c r="T529" s="23">
        <v>568.29</v>
      </c>
      <c r="U529" s="23">
        <f t="shared" si="70"/>
        <v>568.29</v>
      </c>
      <c r="V529" s="8">
        <v>0.13100000000000001</v>
      </c>
      <c r="W529" s="8">
        <f t="shared" si="71"/>
        <v>0.13100000000000001</v>
      </c>
      <c r="X529">
        <v>16</v>
      </c>
    </row>
    <row r="530" spans="1:24" x14ac:dyDescent="0.35">
      <c r="A530" s="4" t="s">
        <v>278</v>
      </c>
      <c r="B530" s="5" t="str">
        <f>IF(COUNTIF($A$2:A530,A530)=1,"Original","Duplicate")</f>
        <v>Original</v>
      </c>
      <c r="C530" s="7">
        <v>45763</v>
      </c>
      <c r="D530" s="7">
        <v>45773</v>
      </c>
      <c r="E530" s="7" t="str">
        <f t="shared" si="64"/>
        <v>Valid</v>
      </c>
      <c r="F530" s="7">
        <f t="shared" si="65"/>
        <v>45773</v>
      </c>
      <c r="G530">
        <f t="shared" si="66"/>
        <v>10</v>
      </c>
      <c r="H530" t="s">
        <v>646</v>
      </c>
      <c r="I530" t="s">
        <v>651</v>
      </c>
      <c r="J530" t="s">
        <v>663</v>
      </c>
      <c r="K530" t="str">
        <f t="shared" si="67"/>
        <v>Port Harcourt</v>
      </c>
      <c r="L530" t="s">
        <v>706</v>
      </c>
      <c r="M530" t="s">
        <v>709</v>
      </c>
      <c r="N530" t="str">
        <f t="shared" si="68"/>
        <v>Marketplace</v>
      </c>
      <c r="O530" t="s">
        <v>721</v>
      </c>
      <c r="P530" t="str">
        <f t="shared" si="69"/>
        <v>F. Müller</v>
      </c>
      <c r="Q530" t="s">
        <v>731</v>
      </c>
      <c r="R530" t="s">
        <v>998</v>
      </c>
      <c r="S530" s="23">
        <v>1457.44</v>
      </c>
      <c r="T530" s="23">
        <v>1996.81</v>
      </c>
      <c r="U530" s="23">
        <f t="shared" si="70"/>
        <v>1996.81</v>
      </c>
      <c r="V530" s="8">
        <v>0.126</v>
      </c>
      <c r="W530" s="8">
        <f t="shared" si="71"/>
        <v>0.126</v>
      </c>
      <c r="X530">
        <v>23</v>
      </c>
    </row>
    <row r="531" spans="1:24" x14ac:dyDescent="0.35">
      <c r="A531" s="4" t="s">
        <v>599</v>
      </c>
      <c r="B531" s="5" t="str">
        <f>IF(COUNTIF($A$2:A531,A531)=1,"Original","Duplicate")</f>
        <v>Original</v>
      </c>
      <c r="C531" s="7">
        <v>45764</v>
      </c>
      <c r="D531" s="7">
        <v>45764</v>
      </c>
      <c r="E531" s="7" t="str">
        <f t="shared" si="64"/>
        <v>Valid</v>
      </c>
      <c r="F531" s="7">
        <f t="shared" si="65"/>
        <v>45771</v>
      </c>
      <c r="G531">
        <f t="shared" si="66"/>
        <v>7</v>
      </c>
      <c r="H531" t="s">
        <v>648</v>
      </c>
      <c r="I531" t="s">
        <v>655</v>
      </c>
      <c r="J531" t="s">
        <v>670</v>
      </c>
      <c r="K531" t="str">
        <f t="shared" si="67"/>
        <v>São Paulo</v>
      </c>
      <c r="L531" t="s">
        <v>701</v>
      </c>
      <c r="M531" t="s">
        <v>710</v>
      </c>
      <c r="N531" t="str">
        <f t="shared" si="68"/>
        <v>Distributor</v>
      </c>
      <c r="O531" t="s">
        <v>716</v>
      </c>
      <c r="P531" t="str">
        <f t="shared" si="69"/>
        <v>L. Okafor</v>
      </c>
      <c r="Q531" t="s">
        <v>730</v>
      </c>
      <c r="R531" t="s">
        <v>1317</v>
      </c>
      <c r="S531" s="23">
        <v>719.41</v>
      </c>
      <c r="T531" s="23">
        <v>1125.99</v>
      </c>
      <c r="U531" s="23">
        <f t="shared" si="70"/>
        <v>1125.99</v>
      </c>
      <c r="V531" s="8">
        <v>4.1000000000000002E-2</v>
      </c>
      <c r="W531" s="8">
        <f t="shared" si="71"/>
        <v>4.1000000000000002E-2</v>
      </c>
      <c r="X531">
        <v>21</v>
      </c>
    </row>
    <row r="532" spans="1:24" x14ac:dyDescent="0.35">
      <c r="A532" s="4" t="s">
        <v>635</v>
      </c>
      <c r="B532" s="5" t="str">
        <f>IF(COUNTIF($A$2:A532,A532)=1,"Original","Duplicate")</f>
        <v>Original</v>
      </c>
      <c r="C532" s="7">
        <v>45764</v>
      </c>
      <c r="D532" s="7">
        <v>45780</v>
      </c>
      <c r="E532" s="7" t="str">
        <f t="shared" si="64"/>
        <v>Valid</v>
      </c>
      <c r="F532" s="7">
        <f t="shared" si="65"/>
        <v>45780</v>
      </c>
      <c r="G532">
        <f t="shared" si="66"/>
        <v>16</v>
      </c>
      <c r="H532" t="s">
        <v>648</v>
      </c>
      <c r="I532" t="s">
        <v>655</v>
      </c>
      <c r="J532" t="s">
        <v>692</v>
      </c>
      <c r="K532" t="str">
        <f t="shared" si="67"/>
        <v>Rio de Janeiro</v>
      </c>
      <c r="L532" t="s">
        <v>704</v>
      </c>
      <c r="M532" t="s">
        <v>709</v>
      </c>
      <c r="N532" t="str">
        <f t="shared" si="68"/>
        <v>Marketplace</v>
      </c>
      <c r="O532" t="s">
        <v>713</v>
      </c>
      <c r="P532" t="str">
        <f t="shared" si="69"/>
        <v>J. Njeri</v>
      </c>
      <c r="Q532" t="s">
        <v>729</v>
      </c>
      <c r="R532" t="s">
        <v>1353</v>
      </c>
      <c r="S532" s="23">
        <v>168.68</v>
      </c>
      <c r="T532" s="23">
        <v>413.34</v>
      </c>
      <c r="U532" s="23">
        <f t="shared" si="70"/>
        <v>413.34</v>
      </c>
      <c r="V532" s="8">
        <v>0.186</v>
      </c>
      <c r="W532" s="8">
        <f t="shared" si="71"/>
        <v>0.186</v>
      </c>
      <c r="X532">
        <v>7</v>
      </c>
    </row>
    <row r="533" spans="1:24" x14ac:dyDescent="0.35">
      <c r="A533" s="4" t="s">
        <v>261</v>
      </c>
      <c r="B533" s="5" t="str">
        <f>IF(COUNTIF($A$2:A533,A533)=1,"Original","Duplicate")</f>
        <v>Original</v>
      </c>
      <c r="C533" s="7">
        <v>45769</v>
      </c>
      <c r="D533" s="7">
        <v>45779</v>
      </c>
      <c r="E533" s="7" t="str">
        <f t="shared" si="64"/>
        <v>Valid</v>
      </c>
      <c r="F533" s="7">
        <f t="shared" si="65"/>
        <v>45779</v>
      </c>
      <c r="G533">
        <f t="shared" si="66"/>
        <v>10</v>
      </c>
      <c r="H533" t="s">
        <v>649</v>
      </c>
      <c r="I533" t="s">
        <v>656</v>
      </c>
      <c r="J533" t="s">
        <v>671</v>
      </c>
      <c r="K533" t="str">
        <f t="shared" si="67"/>
        <v>Berlin</v>
      </c>
      <c r="L533" t="s">
        <v>701</v>
      </c>
      <c r="M533" t="s">
        <v>709</v>
      </c>
      <c r="N533" t="str">
        <f t="shared" si="68"/>
        <v>Marketplace</v>
      </c>
      <c r="O533" t="s">
        <v>712</v>
      </c>
      <c r="P533" t="str">
        <f t="shared" si="69"/>
        <v>C. Otieno</v>
      </c>
      <c r="Q533" t="s">
        <v>732</v>
      </c>
      <c r="R533" t="s">
        <v>981</v>
      </c>
      <c r="S533" s="23">
        <v>20.149999999999999</v>
      </c>
      <c r="T533" s="23">
        <v>39.74</v>
      </c>
      <c r="U533" s="23">
        <f t="shared" si="70"/>
        <v>39.74</v>
      </c>
      <c r="V533" s="8">
        <v>0.151</v>
      </c>
      <c r="W533" s="8">
        <f t="shared" si="71"/>
        <v>0.151</v>
      </c>
      <c r="X533">
        <v>18</v>
      </c>
    </row>
    <row r="534" spans="1:24" x14ac:dyDescent="0.35">
      <c r="A534" s="4" t="s">
        <v>546</v>
      </c>
      <c r="B534" s="5" t="str">
        <f>IF(COUNTIF($A$2:A534,A534)=1,"Original","Duplicate")</f>
        <v>Original</v>
      </c>
      <c r="C534" s="7">
        <v>45769</v>
      </c>
      <c r="D534" s="7">
        <v>45789</v>
      </c>
      <c r="E534" s="7" t="str">
        <f t="shared" si="64"/>
        <v>Valid</v>
      </c>
      <c r="F534" s="7">
        <f t="shared" si="65"/>
        <v>45789</v>
      </c>
      <c r="G534">
        <f t="shared" si="66"/>
        <v>20</v>
      </c>
      <c r="H534" t="s">
        <v>649</v>
      </c>
      <c r="I534" t="s">
        <v>657</v>
      </c>
      <c r="J534" t="s">
        <v>679</v>
      </c>
      <c r="K534" t="str">
        <f t="shared" si="67"/>
        <v>Lyon</v>
      </c>
      <c r="L534" t="s">
        <v>706</v>
      </c>
      <c r="M534" t="s">
        <v>709</v>
      </c>
      <c r="N534" t="str">
        <f t="shared" si="68"/>
        <v>Marketplace</v>
      </c>
      <c r="O534" t="s">
        <v>723</v>
      </c>
      <c r="P534" t="str">
        <f t="shared" si="69"/>
        <v>K. Singh</v>
      </c>
      <c r="Q534" t="s">
        <v>732</v>
      </c>
      <c r="R534" t="s">
        <v>1265</v>
      </c>
      <c r="S534" s="23">
        <v>59.51</v>
      </c>
      <c r="T534" s="23">
        <v>67.040000000000006</v>
      </c>
      <c r="U534" s="23">
        <f t="shared" si="70"/>
        <v>67.040000000000006</v>
      </c>
      <c r="V534" s="8">
        <v>0.114</v>
      </c>
      <c r="W534" s="8">
        <f t="shared" si="71"/>
        <v>0.114</v>
      </c>
      <c r="X534">
        <v>9</v>
      </c>
    </row>
    <row r="535" spans="1:24" x14ac:dyDescent="0.35">
      <c r="A535" s="4" t="s">
        <v>98</v>
      </c>
      <c r="B535" s="5" t="str">
        <f>IF(COUNTIF($A$2:A535,A535)=1,"Original","Duplicate")</f>
        <v>Original</v>
      </c>
      <c r="C535" s="7">
        <v>45770</v>
      </c>
      <c r="D535" s="7">
        <v>45769</v>
      </c>
      <c r="E535" s="7" t="str">
        <f t="shared" si="64"/>
        <v>Invalid</v>
      </c>
      <c r="F535" s="7">
        <f t="shared" si="65"/>
        <v>45777</v>
      </c>
      <c r="G535">
        <f t="shared" si="66"/>
        <v>7</v>
      </c>
      <c r="H535" t="s">
        <v>648</v>
      </c>
      <c r="I535" t="s">
        <v>660</v>
      </c>
      <c r="J535" t="s">
        <v>686</v>
      </c>
      <c r="K535" t="str">
        <f t="shared" si="67"/>
        <v>San Francisco</v>
      </c>
      <c r="L535" t="s">
        <v>703</v>
      </c>
      <c r="M535" t="s">
        <v>710</v>
      </c>
      <c r="N535" t="str">
        <f t="shared" si="68"/>
        <v>Distributor</v>
      </c>
      <c r="O535" t="s">
        <v>726</v>
      </c>
      <c r="P535" t="str">
        <f t="shared" si="69"/>
        <v>D. Smith</v>
      </c>
      <c r="Q535" t="s">
        <v>732</v>
      </c>
      <c r="R535" t="s">
        <v>817</v>
      </c>
      <c r="S535" s="23">
        <v>23.24</v>
      </c>
      <c r="T535" s="23">
        <v>44.57</v>
      </c>
      <c r="U535" s="23">
        <f t="shared" si="70"/>
        <v>44.57</v>
      </c>
      <c r="V535" s="8">
        <v>0.215</v>
      </c>
      <c r="W535" s="8">
        <f t="shared" si="71"/>
        <v>0.215</v>
      </c>
      <c r="X535">
        <v>15</v>
      </c>
    </row>
    <row r="536" spans="1:24" x14ac:dyDescent="0.35">
      <c r="A536" s="4" t="s">
        <v>245</v>
      </c>
      <c r="B536" s="5" t="str">
        <f>IF(COUNTIF($A$2:A536,A536)=1,"Original","Duplicate")</f>
        <v>Original</v>
      </c>
      <c r="C536" s="7">
        <v>45771</v>
      </c>
      <c r="D536" s="7">
        <v>45783</v>
      </c>
      <c r="E536" s="7" t="str">
        <f t="shared" si="64"/>
        <v>Valid</v>
      </c>
      <c r="F536" s="7">
        <f t="shared" si="65"/>
        <v>45783</v>
      </c>
      <c r="G536">
        <f t="shared" si="66"/>
        <v>12</v>
      </c>
      <c r="H536" t="s">
        <v>648</v>
      </c>
      <c r="I536" t="s">
        <v>655</v>
      </c>
      <c r="J536" t="s">
        <v>672</v>
      </c>
      <c r="K536" t="str">
        <f t="shared" si="67"/>
        <v>Brasília</v>
      </c>
      <c r="L536" t="s">
        <v>704</v>
      </c>
      <c r="M536" t="s">
        <v>708</v>
      </c>
      <c r="N536" t="str">
        <f t="shared" si="68"/>
        <v>Online</v>
      </c>
      <c r="O536" t="s">
        <v>712</v>
      </c>
      <c r="P536" t="str">
        <f t="shared" si="69"/>
        <v>C. Otieno</v>
      </c>
      <c r="Q536" t="s">
        <v>730</v>
      </c>
      <c r="R536" t="s">
        <v>965</v>
      </c>
      <c r="S536" s="23">
        <v>394.13</v>
      </c>
      <c r="T536" s="23">
        <v>932.29</v>
      </c>
      <c r="U536" s="23">
        <f t="shared" si="70"/>
        <v>932.29</v>
      </c>
      <c r="V536" s="8">
        <v>0.109</v>
      </c>
      <c r="W536" s="8">
        <f t="shared" si="71"/>
        <v>0.109</v>
      </c>
      <c r="X536">
        <v>7</v>
      </c>
    </row>
    <row r="537" spans="1:24" x14ac:dyDescent="0.35">
      <c r="A537" s="4" t="s">
        <v>77</v>
      </c>
      <c r="B537" s="5" t="str">
        <f>IF(COUNTIF($A$2:A537,A537)=1,"Original","Duplicate")</f>
        <v>Original</v>
      </c>
      <c r="C537" s="7">
        <v>45774</v>
      </c>
      <c r="D537" s="7">
        <v>45802</v>
      </c>
      <c r="E537" s="7" t="str">
        <f t="shared" si="64"/>
        <v>Valid</v>
      </c>
      <c r="F537" s="7">
        <f t="shared" si="65"/>
        <v>45802</v>
      </c>
      <c r="G537">
        <f t="shared" si="66"/>
        <v>28</v>
      </c>
      <c r="H537" t="s">
        <v>649</v>
      </c>
      <c r="I537" t="s">
        <v>657</v>
      </c>
      <c r="J537" t="s">
        <v>690</v>
      </c>
      <c r="K537" t="str">
        <f t="shared" si="67"/>
        <v>Paris</v>
      </c>
      <c r="L537" t="s">
        <v>705</v>
      </c>
      <c r="M537" t="s">
        <v>709</v>
      </c>
      <c r="N537" t="str">
        <f t="shared" si="68"/>
        <v>Marketplace</v>
      </c>
      <c r="O537" t="s">
        <v>714</v>
      </c>
      <c r="P537" t="str">
        <f t="shared" si="69"/>
        <v>I. Johnson</v>
      </c>
      <c r="Q537" t="s">
        <v>730</v>
      </c>
      <c r="R537" t="s">
        <v>796</v>
      </c>
      <c r="S537" s="23">
        <v>603.45000000000005</v>
      </c>
      <c r="T537" s="23">
        <v>1244.08</v>
      </c>
      <c r="U537" s="23">
        <f t="shared" si="70"/>
        <v>1244.08</v>
      </c>
      <c r="V537" s="8">
        <v>0.2</v>
      </c>
      <c r="W537" s="8">
        <f t="shared" si="71"/>
        <v>0.2</v>
      </c>
      <c r="X537">
        <v>11</v>
      </c>
    </row>
    <row r="538" spans="1:24" x14ac:dyDescent="0.35">
      <c r="A538" s="4" t="s">
        <v>348</v>
      </c>
      <c r="B538" s="5" t="str">
        <f>IF(COUNTIF($A$2:A538,A538)=1,"Original","Duplicate")</f>
        <v>Original</v>
      </c>
      <c r="C538" s="7">
        <v>45774</v>
      </c>
      <c r="D538" s="7">
        <v>45804</v>
      </c>
      <c r="E538" s="7" t="str">
        <f t="shared" si="64"/>
        <v>Valid</v>
      </c>
      <c r="F538" s="7">
        <f t="shared" si="65"/>
        <v>45804</v>
      </c>
      <c r="G538">
        <f t="shared" si="66"/>
        <v>30</v>
      </c>
      <c r="H538" t="s">
        <v>647</v>
      </c>
      <c r="I538" t="s">
        <v>654</v>
      </c>
      <c r="K538" t="str">
        <f t="shared" si="67"/>
        <v>Unknown</v>
      </c>
      <c r="L538" t="s">
        <v>706</v>
      </c>
      <c r="M538" t="s">
        <v>709</v>
      </c>
      <c r="N538" t="str">
        <f t="shared" si="68"/>
        <v>Marketplace</v>
      </c>
      <c r="O538" t="s">
        <v>722</v>
      </c>
      <c r="P538" t="str">
        <f t="shared" si="69"/>
        <v>H. Kim</v>
      </c>
      <c r="Q538" t="s">
        <v>730</v>
      </c>
      <c r="R538" t="s">
        <v>1068</v>
      </c>
      <c r="S538" s="23">
        <v>481.32</v>
      </c>
      <c r="T538" s="23">
        <v>1135.99</v>
      </c>
      <c r="U538" s="23">
        <f t="shared" si="70"/>
        <v>1135.99</v>
      </c>
      <c r="V538" s="8">
        <v>0.14499999999999999</v>
      </c>
      <c r="W538" s="8">
        <f t="shared" si="71"/>
        <v>0.14499999999999999</v>
      </c>
      <c r="X538">
        <v>5</v>
      </c>
    </row>
    <row r="539" spans="1:24" x14ac:dyDescent="0.35">
      <c r="A539" s="4" t="s">
        <v>520</v>
      </c>
      <c r="B539" s="5" t="str">
        <f>IF(COUNTIF($A$2:A539,A539)=1,"Original","Duplicate")</f>
        <v>Original</v>
      </c>
      <c r="C539" s="7">
        <v>45774</v>
      </c>
      <c r="D539" s="7">
        <v>45794</v>
      </c>
      <c r="E539" s="7" t="str">
        <f t="shared" si="64"/>
        <v>Valid</v>
      </c>
      <c r="F539" s="7">
        <f t="shared" si="65"/>
        <v>45794</v>
      </c>
      <c r="G539">
        <f t="shared" si="66"/>
        <v>20</v>
      </c>
      <c r="H539" t="s">
        <v>648</v>
      </c>
      <c r="I539" t="s">
        <v>660</v>
      </c>
      <c r="J539" t="s">
        <v>697</v>
      </c>
      <c r="K539" t="str">
        <f t="shared" si="67"/>
        <v>Austin</v>
      </c>
      <c r="L539" t="s">
        <v>701</v>
      </c>
      <c r="M539" t="s">
        <v>711</v>
      </c>
      <c r="N539" t="str">
        <f t="shared" si="68"/>
        <v>Direct</v>
      </c>
      <c r="O539" t="s">
        <v>725</v>
      </c>
      <c r="P539" t="str">
        <f t="shared" si="69"/>
        <v>N. Brown</v>
      </c>
      <c r="Q539" t="s">
        <v>730</v>
      </c>
      <c r="R539" t="s">
        <v>1239</v>
      </c>
      <c r="S539" s="23">
        <v>932.26</v>
      </c>
      <c r="T539" s="23">
        <v>1624.67</v>
      </c>
      <c r="U539" s="23">
        <f t="shared" si="70"/>
        <v>1624.67</v>
      </c>
      <c r="V539" s="8">
        <v>0.23499999999999999</v>
      </c>
      <c r="W539" s="8">
        <f t="shared" si="71"/>
        <v>0.23499999999999999</v>
      </c>
      <c r="X539">
        <v>28</v>
      </c>
    </row>
    <row r="540" spans="1:24" x14ac:dyDescent="0.35">
      <c r="A540" s="4" t="s">
        <v>105</v>
      </c>
      <c r="B540" s="5" t="str">
        <f>IF(COUNTIF($A$2:A540,A540)=1,"Original","Duplicate")</f>
        <v>Original</v>
      </c>
      <c r="C540" s="7">
        <v>45775</v>
      </c>
      <c r="D540" s="7">
        <v>45792</v>
      </c>
      <c r="E540" s="7" t="str">
        <f t="shared" si="64"/>
        <v>Valid</v>
      </c>
      <c r="F540" s="7">
        <f t="shared" si="65"/>
        <v>45792</v>
      </c>
      <c r="G540">
        <f t="shared" si="66"/>
        <v>17</v>
      </c>
      <c r="H540" t="s">
        <v>647</v>
      </c>
      <c r="I540" t="s">
        <v>652</v>
      </c>
      <c r="J540" t="s">
        <v>694</v>
      </c>
      <c r="K540" t="str">
        <f t="shared" si="67"/>
        <v>Nagoya</v>
      </c>
      <c r="L540" t="s">
        <v>702</v>
      </c>
      <c r="M540" t="s">
        <v>711</v>
      </c>
      <c r="N540" t="str">
        <f t="shared" si="68"/>
        <v>Direct</v>
      </c>
      <c r="O540" t="s">
        <v>725</v>
      </c>
      <c r="P540" t="str">
        <f t="shared" si="69"/>
        <v>N. Brown</v>
      </c>
      <c r="Q540" t="s">
        <v>729</v>
      </c>
      <c r="R540" t="s">
        <v>824</v>
      </c>
      <c r="S540" s="23">
        <v>691.19</v>
      </c>
      <c r="T540" s="23">
        <v>1284.3</v>
      </c>
      <c r="U540" s="23">
        <f t="shared" si="70"/>
        <v>1284.3</v>
      </c>
      <c r="V540" s="8">
        <v>7.3999999999999996E-2</v>
      </c>
      <c r="W540" s="8">
        <f t="shared" si="71"/>
        <v>7.3999999999999996E-2</v>
      </c>
      <c r="X540">
        <v>7</v>
      </c>
    </row>
    <row r="541" spans="1:24" x14ac:dyDescent="0.35">
      <c r="A541" s="4" t="s">
        <v>497</v>
      </c>
      <c r="B541" s="5" t="str">
        <f>IF(COUNTIF($A$2:A541,A541)=1,"Original","Duplicate")</f>
        <v>Original</v>
      </c>
      <c r="C541" s="7">
        <v>45775</v>
      </c>
      <c r="D541" s="7">
        <v>45796</v>
      </c>
      <c r="E541" s="7" t="str">
        <f t="shared" si="64"/>
        <v>Valid</v>
      </c>
      <c r="F541" s="7">
        <f t="shared" si="65"/>
        <v>45796</v>
      </c>
      <c r="G541">
        <f t="shared" si="66"/>
        <v>21</v>
      </c>
      <c r="H541" t="s">
        <v>649</v>
      </c>
      <c r="I541" t="s">
        <v>656</v>
      </c>
      <c r="J541" t="s">
        <v>671</v>
      </c>
      <c r="K541" t="str">
        <f t="shared" si="67"/>
        <v>Berlin</v>
      </c>
      <c r="L541" t="s">
        <v>701</v>
      </c>
      <c r="M541" t="s">
        <v>710</v>
      </c>
      <c r="N541" t="str">
        <f t="shared" si="68"/>
        <v>Distributor</v>
      </c>
      <c r="O541" t="s">
        <v>717</v>
      </c>
      <c r="P541" t="str">
        <f t="shared" si="69"/>
        <v>B. Chen</v>
      </c>
      <c r="Q541" t="s">
        <v>730</v>
      </c>
      <c r="R541" t="s">
        <v>1216</v>
      </c>
      <c r="S541" s="23">
        <v>350.76</v>
      </c>
      <c r="T541" s="23">
        <v>492.18</v>
      </c>
      <c r="U541" s="23">
        <f t="shared" si="70"/>
        <v>492.18</v>
      </c>
      <c r="V541" s="8">
        <v>5.2999999999999999E-2</v>
      </c>
      <c r="W541" s="8">
        <f t="shared" si="71"/>
        <v>5.2999999999999999E-2</v>
      </c>
      <c r="X541">
        <v>11</v>
      </c>
    </row>
    <row r="542" spans="1:24" x14ac:dyDescent="0.35">
      <c r="A542" s="4" t="s">
        <v>74</v>
      </c>
      <c r="B542" s="5" t="str">
        <f>IF(COUNTIF($A$2:A542,A542)=1,"Original","Duplicate")</f>
        <v>Original</v>
      </c>
      <c r="C542" s="7">
        <v>45779</v>
      </c>
      <c r="D542" s="7">
        <v>45790</v>
      </c>
      <c r="E542" s="7" t="str">
        <f t="shared" si="64"/>
        <v>Valid</v>
      </c>
      <c r="F542" s="7">
        <f t="shared" si="65"/>
        <v>45790</v>
      </c>
      <c r="G542">
        <f t="shared" si="66"/>
        <v>11</v>
      </c>
      <c r="H542" t="s">
        <v>646</v>
      </c>
      <c r="I542" t="s">
        <v>650</v>
      </c>
      <c r="J542" t="s">
        <v>678</v>
      </c>
      <c r="K542" t="str">
        <f t="shared" si="67"/>
        <v>Nakuru</v>
      </c>
      <c r="L542" t="s">
        <v>705</v>
      </c>
      <c r="M542" t="s">
        <v>708</v>
      </c>
      <c r="N542" t="str">
        <f t="shared" si="68"/>
        <v>Online</v>
      </c>
      <c r="O542" t="s">
        <v>720</v>
      </c>
      <c r="P542" t="str">
        <f t="shared" si="69"/>
        <v>A. Patel</v>
      </c>
      <c r="Q542" t="s">
        <v>733</v>
      </c>
      <c r="R542" t="s">
        <v>793</v>
      </c>
      <c r="S542" s="23">
        <v>1057.5999999999999</v>
      </c>
      <c r="T542" s="23">
        <v>1437.06</v>
      </c>
      <c r="U542" s="23">
        <f t="shared" si="70"/>
        <v>1437.06</v>
      </c>
      <c r="V542" s="8">
        <v>0.20499999999999999</v>
      </c>
      <c r="W542" s="8">
        <f t="shared" si="71"/>
        <v>0.20499999999999999</v>
      </c>
      <c r="X542">
        <v>4</v>
      </c>
    </row>
    <row r="543" spans="1:24" x14ac:dyDescent="0.35">
      <c r="A543" s="4" t="s">
        <v>443</v>
      </c>
      <c r="B543" s="5" t="str">
        <f>IF(COUNTIF($A$2:A543,A543)=1,"Original","Duplicate")</f>
        <v>Original</v>
      </c>
      <c r="C543" s="7">
        <v>45784</v>
      </c>
      <c r="D543" s="7">
        <v>45790</v>
      </c>
      <c r="E543" s="7" t="str">
        <f t="shared" si="64"/>
        <v>Valid</v>
      </c>
      <c r="F543" s="7">
        <f t="shared" si="65"/>
        <v>45790</v>
      </c>
      <c r="G543">
        <f t="shared" si="66"/>
        <v>6</v>
      </c>
      <c r="H543" t="s">
        <v>647</v>
      </c>
      <c r="I543" t="s">
        <v>654</v>
      </c>
      <c r="J543" t="s">
        <v>668</v>
      </c>
      <c r="K543" t="str">
        <f t="shared" si="67"/>
        <v>Bengaluru</v>
      </c>
      <c r="L543" t="s">
        <v>706</v>
      </c>
      <c r="M543" t="s">
        <v>711</v>
      </c>
      <c r="N543" t="str">
        <f t="shared" si="68"/>
        <v>Direct</v>
      </c>
      <c r="O543" t="s">
        <v>713</v>
      </c>
      <c r="P543" t="str">
        <f t="shared" si="69"/>
        <v>J. Njeri</v>
      </c>
      <c r="Q543" t="s">
        <v>730</v>
      </c>
      <c r="R543" t="s">
        <v>1162</v>
      </c>
      <c r="S543" s="23">
        <v>935.98</v>
      </c>
      <c r="T543" s="23">
        <v>2077.69</v>
      </c>
      <c r="U543" s="23">
        <f t="shared" si="70"/>
        <v>2077.69</v>
      </c>
      <c r="V543" s="8">
        <v>0.17499999999999999</v>
      </c>
      <c r="W543" s="8">
        <f t="shared" si="71"/>
        <v>0.17499999999999999</v>
      </c>
      <c r="X543">
        <v>24</v>
      </c>
    </row>
    <row r="544" spans="1:24" x14ac:dyDescent="0.35">
      <c r="A544" s="4" t="s">
        <v>314</v>
      </c>
      <c r="B544" s="5" t="str">
        <f>IF(COUNTIF($A$2:A544,A544)=1,"Original","Duplicate")</f>
        <v>Original</v>
      </c>
      <c r="C544" s="7">
        <v>45787</v>
      </c>
      <c r="D544" s="7">
        <v>45804</v>
      </c>
      <c r="E544" s="7" t="str">
        <f t="shared" si="64"/>
        <v>Valid</v>
      </c>
      <c r="F544" s="7">
        <f t="shared" si="65"/>
        <v>45804</v>
      </c>
      <c r="G544">
        <f t="shared" si="66"/>
        <v>17</v>
      </c>
      <c r="H544" t="s">
        <v>648</v>
      </c>
      <c r="I544" t="s">
        <v>653</v>
      </c>
      <c r="J544" t="s">
        <v>688</v>
      </c>
      <c r="K544" t="str">
        <f t="shared" si="67"/>
        <v>Vancouver</v>
      </c>
      <c r="L544" t="s">
        <v>702</v>
      </c>
      <c r="M544" t="s">
        <v>711</v>
      </c>
      <c r="N544" t="str">
        <f t="shared" si="68"/>
        <v>Direct</v>
      </c>
      <c r="O544" t="s">
        <v>712</v>
      </c>
      <c r="P544" t="str">
        <f t="shared" si="69"/>
        <v>C. Otieno</v>
      </c>
      <c r="Q544" t="s">
        <v>727</v>
      </c>
      <c r="R544" t="s">
        <v>1034</v>
      </c>
      <c r="S544" s="23">
        <v>862.89</v>
      </c>
      <c r="T544" s="23">
        <v>1426.03</v>
      </c>
      <c r="U544" s="23">
        <f t="shared" si="70"/>
        <v>1426.03</v>
      </c>
      <c r="V544" s="8">
        <v>5.6000000000000001E-2</v>
      </c>
      <c r="W544" s="8">
        <f t="shared" si="71"/>
        <v>5.6000000000000001E-2</v>
      </c>
      <c r="X544">
        <v>19</v>
      </c>
    </row>
    <row r="545" spans="1:24" x14ac:dyDescent="0.35">
      <c r="A545" s="4" t="s">
        <v>400</v>
      </c>
      <c r="B545" s="5" t="str">
        <f>IF(COUNTIF($A$2:A545,A545)=1,"Original","Duplicate")</f>
        <v>Original</v>
      </c>
      <c r="C545" s="7">
        <v>45789</v>
      </c>
      <c r="D545" s="7">
        <v>45803</v>
      </c>
      <c r="E545" s="7" t="str">
        <f t="shared" si="64"/>
        <v>Valid</v>
      </c>
      <c r="F545" s="7">
        <f t="shared" si="65"/>
        <v>45803</v>
      </c>
      <c r="G545">
        <f t="shared" si="66"/>
        <v>14</v>
      </c>
      <c r="H545" t="s">
        <v>647</v>
      </c>
      <c r="I545" t="s">
        <v>654</v>
      </c>
      <c r="J545" t="s">
        <v>696</v>
      </c>
      <c r="K545" t="str">
        <f t="shared" si="67"/>
        <v>Hyderabad</v>
      </c>
      <c r="L545" t="s">
        <v>701</v>
      </c>
      <c r="M545" t="s">
        <v>709</v>
      </c>
      <c r="N545" t="str">
        <f t="shared" si="68"/>
        <v>Marketplace</v>
      </c>
      <c r="O545" t="s">
        <v>715</v>
      </c>
      <c r="P545" t="str">
        <f t="shared" si="69"/>
        <v>G. Dubois</v>
      </c>
      <c r="Q545" t="s">
        <v>728</v>
      </c>
      <c r="R545" t="s">
        <v>1119</v>
      </c>
      <c r="S545" s="23">
        <v>320.12</v>
      </c>
      <c r="T545" s="23">
        <v>594.41999999999996</v>
      </c>
      <c r="U545" s="23">
        <f t="shared" si="70"/>
        <v>594.41999999999996</v>
      </c>
      <c r="V545" s="8">
        <v>0.104</v>
      </c>
      <c r="W545" s="8">
        <f t="shared" si="71"/>
        <v>0.104</v>
      </c>
      <c r="X545">
        <v>18</v>
      </c>
    </row>
    <row r="546" spans="1:24" x14ac:dyDescent="0.35">
      <c r="A546" s="4" t="s">
        <v>97</v>
      </c>
      <c r="B546" s="5" t="str">
        <f>IF(COUNTIF($A$2:A546,A546)=1,"Original","Duplicate")</f>
        <v>Original</v>
      </c>
      <c r="C546" s="7">
        <v>45791</v>
      </c>
      <c r="D546" s="7">
        <v>45801</v>
      </c>
      <c r="E546" s="7" t="str">
        <f t="shared" si="64"/>
        <v>Valid</v>
      </c>
      <c r="F546" s="7">
        <f t="shared" si="65"/>
        <v>45801</v>
      </c>
      <c r="G546">
        <f t="shared" si="66"/>
        <v>10</v>
      </c>
      <c r="H546" t="s">
        <v>649</v>
      </c>
      <c r="I546" t="s">
        <v>657</v>
      </c>
      <c r="J546" t="s">
        <v>690</v>
      </c>
      <c r="K546" t="str">
        <f t="shared" si="67"/>
        <v>Paris</v>
      </c>
      <c r="L546" t="s">
        <v>705</v>
      </c>
      <c r="M546" t="s">
        <v>709</v>
      </c>
      <c r="N546" t="str">
        <f t="shared" si="68"/>
        <v>Marketplace</v>
      </c>
      <c r="O546" t="s">
        <v>723</v>
      </c>
      <c r="P546" t="str">
        <f t="shared" si="69"/>
        <v>K. Singh</v>
      </c>
      <c r="Q546" t="s">
        <v>727</v>
      </c>
      <c r="R546" t="s">
        <v>816</v>
      </c>
      <c r="S546" s="23">
        <v>170.39</v>
      </c>
      <c r="T546" s="23">
        <v>388.04</v>
      </c>
      <c r="U546" s="23">
        <f t="shared" si="70"/>
        <v>388.04</v>
      </c>
      <c r="V546" s="8">
        <v>8.4000000000000005E-2</v>
      </c>
      <c r="W546" s="8">
        <f t="shared" si="71"/>
        <v>8.4000000000000005E-2</v>
      </c>
      <c r="X546">
        <v>15</v>
      </c>
    </row>
    <row r="547" spans="1:24" x14ac:dyDescent="0.35">
      <c r="A547" s="4" t="s">
        <v>571</v>
      </c>
      <c r="B547" s="5" t="str">
        <f>IF(COUNTIF($A$2:A547,A547)=1,"Original","Duplicate")</f>
        <v>Original</v>
      </c>
      <c r="C547" s="7">
        <v>45791</v>
      </c>
      <c r="D547" s="7">
        <v>45789</v>
      </c>
      <c r="E547" s="7" t="str">
        <f t="shared" si="64"/>
        <v>Invalid</v>
      </c>
      <c r="F547" s="7">
        <f t="shared" si="65"/>
        <v>45798</v>
      </c>
      <c r="G547">
        <f t="shared" si="66"/>
        <v>7</v>
      </c>
      <c r="H547" t="s">
        <v>648</v>
      </c>
      <c r="I547" t="s">
        <v>653</v>
      </c>
      <c r="J547" t="s">
        <v>688</v>
      </c>
      <c r="K547" t="str">
        <f t="shared" si="67"/>
        <v>Vancouver</v>
      </c>
      <c r="L547" t="s">
        <v>703</v>
      </c>
      <c r="M547" t="s">
        <v>710</v>
      </c>
      <c r="N547" t="str">
        <f t="shared" si="68"/>
        <v>Distributor</v>
      </c>
      <c r="O547" t="s">
        <v>721</v>
      </c>
      <c r="P547" t="str">
        <f t="shared" si="69"/>
        <v>F. Müller</v>
      </c>
      <c r="Q547" t="s">
        <v>728</v>
      </c>
      <c r="R547" t="s">
        <v>1289</v>
      </c>
      <c r="S547" s="23">
        <v>883.5</v>
      </c>
      <c r="T547" s="23">
        <v>1978.91</v>
      </c>
      <c r="U547" s="23">
        <f t="shared" si="70"/>
        <v>1978.91</v>
      </c>
      <c r="V547" s="8">
        <v>5.3999999999999999E-2</v>
      </c>
      <c r="W547" s="8">
        <f t="shared" si="71"/>
        <v>5.3999999999999999E-2</v>
      </c>
      <c r="X547">
        <v>27</v>
      </c>
    </row>
    <row r="548" spans="1:24" x14ac:dyDescent="0.35">
      <c r="A548" s="4" t="s">
        <v>503</v>
      </c>
      <c r="B548" s="5" t="str">
        <f>IF(COUNTIF($A$2:A548,A548)=1,"Original","Duplicate")</f>
        <v>Original</v>
      </c>
      <c r="C548" s="7">
        <v>45792</v>
      </c>
      <c r="D548" s="7">
        <v>45813</v>
      </c>
      <c r="E548" s="7" t="str">
        <f t="shared" si="64"/>
        <v>Valid</v>
      </c>
      <c r="F548" s="7">
        <f t="shared" si="65"/>
        <v>45813</v>
      </c>
      <c r="G548">
        <f t="shared" si="66"/>
        <v>21</v>
      </c>
      <c r="H548" t="s">
        <v>647</v>
      </c>
      <c r="I548" t="s">
        <v>652</v>
      </c>
      <c r="J548" t="s">
        <v>666</v>
      </c>
      <c r="K548" t="str">
        <f t="shared" si="67"/>
        <v>Osaka</v>
      </c>
      <c r="L548" t="s">
        <v>706</v>
      </c>
      <c r="M548" t="s">
        <v>711</v>
      </c>
      <c r="N548" t="str">
        <f t="shared" si="68"/>
        <v>Direct</v>
      </c>
      <c r="O548" t="s">
        <v>722</v>
      </c>
      <c r="P548" t="str">
        <f t="shared" si="69"/>
        <v>H. Kim</v>
      </c>
      <c r="Q548" t="s">
        <v>730</v>
      </c>
      <c r="R548" t="s">
        <v>1222</v>
      </c>
      <c r="S548" s="23">
        <v>1466.5</v>
      </c>
      <c r="T548" s="23">
        <v>2778.74</v>
      </c>
      <c r="U548" s="23">
        <f t="shared" si="70"/>
        <v>2778.74</v>
      </c>
      <c r="V548" s="8">
        <v>0.13500000000000001</v>
      </c>
      <c r="W548" s="8">
        <f t="shared" si="71"/>
        <v>0.13500000000000001</v>
      </c>
      <c r="X548">
        <v>4</v>
      </c>
    </row>
    <row r="549" spans="1:24" x14ac:dyDescent="0.35">
      <c r="A549" s="4" t="s">
        <v>255</v>
      </c>
      <c r="B549" s="5" t="str">
        <f>IF(COUNTIF($A$2:A549,A549)=1,"Original","Duplicate")</f>
        <v>Original</v>
      </c>
      <c r="C549" s="7">
        <v>45793</v>
      </c>
      <c r="D549" s="7">
        <v>45804</v>
      </c>
      <c r="E549" s="7" t="str">
        <f t="shared" si="64"/>
        <v>Valid</v>
      </c>
      <c r="F549" s="7">
        <f t="shared" si="65"/>
        <v>45804</v>
      </c>
      <c r="G549">
        <f t="shared" si="66"/>
        <v>11</v>
      </c>
      <c r="H549" t="s">
        <v>647</v>
      </c>
      <c r="I549" t="s">
        <v>659</v>
      </c>
      <c r="J549" t="s">
        <v>699</v>
      </c>
      <c r="K549" t="str">
        <f t="shared" si="67"/>
        <v>Beijing</v>
      </c>
      <c r="L549" t="s">
        <v>706</v>
      </c>
      <c r="M549" t="s">
        <v>708</v>
      </c>
      <c r="N549" t="str">
        <f t="shared" si="68"/>
        <v>Online</v>
      </c>
      <c r="O549" t="s">
        <v>721</v>
      </c>
      <c r="P549" t="str">
        <f t="shared" si="69"/>
        <v>F. Müller</v>
      </c>
      <c r="Q549" t="s">
        <v>730</v>
      </c>
      <c r="R549" t="s">
        <v>975</v>
      </c>
      <c r="S549" s="23">
        <v>918.12</v>
      </c>
      <c r="T549" s="23">
        <v>1337.69</v>
      </c>
      <c r="U549" s="23">
        <f t="shared" si="70"/>
        <v>1337.69</v>
      </c>
      <c r="V549" s="8">
        <v>9.5000000000000001E-2</v>
      </c>
      <c r="W549" s="8">
        <f t="shared" si="71"/>
        <v>9.5000000000000001E-2</v>
      </c>
      <c r="X549">
        <v>8</v>
      </c>
    </row>
    <row r="550" spans="1:24" x14ac:dyDescent="0.35">
      <c r="A550" s="4" t="s">
        <v>617</v>
      </c>
      <c r="B550" s="5" t="str">
        <f>IF(COUNTIF($A$2:A550,A550)=1,"Original","Duplicate")</f>
        <v>Original</v>
      </c>
      <c r="C550" s="7">
        <v>45793</v>
      </c>
      <c r="D550" s="7">
        <v>45795</v>
      </c>
      <c r="E550" s="7" t="str">
        <f t="shared" si="64"/>
        <v>Valid</v>
      </c>
      <c r="F550" s="7">
        <f t="shared" si="65"/>
        <v>45795</v>
      </c>
      <c r="G550">
        <f t="shared" si="66"/>
        <v>2</v>
      </c>
      <c r="H550" t="s">
        <v>647</v>
      </c>
      <c r="I550" t="s">
        <v>652</v>
      </c>
      <c r="J550" t="s">
        <v>689</v>
      </c>
      <c r="K550" t="str">
        <f t="shared" si="67"/>
        <v>Tokyo</v>
      </c>
      <c r="L550" t="s">
        <v>706</v>
      </c>
      <c r="M550" t="s">
        <v>707</v>
      </c>
      <c r="N550" t="str">
        <f t="shared" si="68"/>
        <v>Retail</v>
      </c>
      <c r="O550" t="s">
        <v>713</v>
      </c>
      <c r="P550" t="str">
        <f t="shared" si="69"/>
        <v>J. Njeri</v>
      </c>
      <c r="Q550" t="s">
        <v>728</v>
      </c>
      <c r="R550" t="s">
        <v>1335</v>
      </c>
      <c r="S550" s="23">
        <v>1144.3800000000001</v>
      </c>
      <c r="T550" s="23">
        <v>2755.04</v>
      </c>
      <c r="U550" s="23">
        <f t="shared" si="70"/>
        <v>2755.04</v>
      </c>
      <c r="V550" s="8">
        <v>0.15</v>
      </c>
      <c r="W550" s="8">
        <f t="shared" si="71"/>
        <v>0.15</v>
      </c>
      <c r="X550">
        <v>17</v>
      </c>
    </row>
    <row r="551" spans="1:24" x14ac:dyDescent="0.35">
      <c r="A551" s="4" t="s">
        <v>297</v>
      </c>
      <c r="B551" s="5" t="str">
        <f>IF(COUNTIF($A$2:A551,A551)=1,"Original","Duplicate")</f>
        <v>Original</v>
      </c>
      <c r="C551" s="7">
        <v>45794</v>
      </c>
      <c r="D551" s="7">
        <v>45805</v>
      </c>
      <c r="E551" s="7" t="str">
        <f t="shared" si="64"/>
        <v>Valid</v>
      </c>
      <c r="F551" s="7">
        <f t="shared" si="65"/>
        <v>45805</v>
      </c>
      <c r="G551">
        <f t="shared" si="66"/>
        <v>11</v>
      </c>
      <c r="H551" t="s">
        <v>647</v>
      </c>
      <c r="I551" t="s">
        <v>654</v>
      </c>
      <c r="J551" t="s">
        <v>668</v>
      </c>
      <c r="K551" t="str">
        <f t="shared" si="67"/>
        <v>Bengaluru</v>
      </c>
      <c r="L551" t="s">
        <v>701</v>
      </c>
      <c r="M551" t="s">
        <v>710</v>
      </c>
      <c r="N551" t="str">
        <f t="shared" si="68"/>
        <v>Distributor</v>
      </c>
      <c r="O551" t="s">
        <v>717</v>
      </c>
      <c r="P551" t="str">
        <f t="shared" si="69"/>
        <v>B. Chen</v>
      </c>
      <c r="Q551" t="s">
        <v>731</v>
      </c>
      <c r="R551" t="s">
        <v>1017</v>
      </c>
      <c r="S551" s="23">
        <v>623.4</v>
      </c>
      <c r="T551" s="23">
        <v>1100.0899999999999</v>
      </c>
      <c r="U551" s="23">
        <f t="shared" si="70"/>
        <v>1100.0899999999999</v>
      </c>
      <c r="V551" s="8">
        <v>0.114</v>
      </c>
      <c r="W551" s="8">
        <f t="shared" si="71"/>
        <v>0.114</v>
      </c>
      <c r="X551">
        <v>12</v>
      </c>
    </row>
    <row r="552" spans="1:24" x14ac:dyDescent="0.35">
      <c r="A552" s="4" t="s">
        <v>531</v>
      </c>
      <c r="B552" s="5" t="str">
        <f>IF(COUNTIF($A$2:A552,A552)=1,"Original","Duplicate")</f>
        <v>Original</v>
      </c>
      <c r="C552" s="7">
        <v>45794</v>
      </c>
      <c r="D552" s="7">
        <v>45807</v>
      </c>
      <c r="E552" s="7" t="str">
        <f t="shared" si="64"/>
        <v>Valid</v>
      </c>
      <c r="F552" s="7">
        <f t="shared" si="65"/>
        <v>45807</v>
      </c>
      <c r="G552">
        <f t="shared" si="66"/>
        <v>13</v>
      </c>
      <c r="H552" t="s">
        <v>646</v>
      </c>
      <c r="I552" t="s">
        <v>651</v>
      </c>
      <c r="J552" t="s">
        <v>665</v>
      </c>
      <c r="K552" t="str">
        <f t="shared" si="67"/>
        <v>Lagos</v>
      </c>
      <c r="L552" t="s">
        <v>704</v>
      </c>
      <c r="M552" t="s">
        <v>710</v>
      </c>
      <c r="N552" t="str">
        <f t="shared" si="68"/>
        <v>Distributor</v>
      </c>
      <c r="O552" t="s">
        <v>721</v>
      </c>
      <c r="P552" t="str">
        <f t="shared" si="69"/>
        <v>F. Müller</v>
      </c>
      <c r="Q552" t="s">
        <v>733</v>
      </c>
      <c r="R552" t="s">
        <v>1250</v>
      </c>
      <c r="S552" s="23">
        <v>66.400000000000006</v>
      </c>
      <c r="T552" s="23">
        <v>141.43</v>
      </c>
      <c r="U552" s="23">
        <f t="shared" si="70"/>
        <v>141.43</v>
      </c>
      <c r="V552" s="8">
        <v>0.107</v>
      </c>
      <c r="W552" s="8">
        <f t="shared" si="71"/>
        <v>0.107</v>
      </c>
      <c r="X552">
        <v>8</v>
      </c>
    </row>
    <row r="553" spans="1:24" x14ac:dyDescent="0.35">
      <c r="A553" s="4" t="s">
        <v>321</v>
      </c>
      <c r="B553" s="5" t="str">
        <f>IF(COUNTIF($A$2:A553,A553)=1,"Original","Duplicate")</f>
        <v>Original</v>
      </c>
      <c r="C553" s="7">
        <v>45795</v>
      </c>
      <c r="D553" s="7">
        <v>45817</v>
      </c>
      <c r="E553" s="7" t="str">
        <f t="shared" si="64"/>
        <v>Valid</v>
      </c>
      <c r="F553" s="7">
        <f t="shared" si="65"/>
        <v>45817</v>
      </c>
      <c r="G553">
        <f t="shared" si="66"/>
        <v>22</v>
      </c>
      <c r="H553" t="s">
        <v>648</v>
      </c>
      <c r="I553" t="s">
        <v>660</v>
      </c>
      <c r="J553" t="s">
        <v>700</v>
      </c>
      <c r="K553" t="str">
        <f t="shared" si="67"/>
        <v>New York</v>
      </c>
      <c r="L553" t="s">
        <v>704</v>
      </c>
      <c r="M553" t="s">
        <v>707</v>
      </c>
      <c r="N553" t="str">
        <f t="shared" si="68"/>
        <v>Retail</v>
      </c>
      <c r="O553" t="s">
        <v>722</v>
      </c>
      <c r="P553" t="str">
        <f t="shared" si="69"/>
        <v>H. Kim</v>
      </c>
      <c r="Q553" t="s">
        <v>729</v>
      </c>
      <c r="R553" t="s">
        <v>1041</v>
      </c>
      <c r="S553" s="23">
        <v>382.96</v>
      </c>
      <c r="T553" s="23">
        <v>552.84</v>
      </c>
      <c r="U553" s="23">
        <f t="shared" si="70"/>
        <v>552.84</v>
      </c>
      <c r="V553" s="8">
        <v>0.17599999999999999</v>
      </c>
      <c r="W553" s="8">
        <f t="shared" si="71"/>
        <v>0.17599999999999999</v>
      </c>
      <c r="X553">
        <v>8</v>
      </c>
    </row>
    <row r="554" spans="1:24" x14ac:dyDescent="0.35">
      <c r="A554" s="4" t="s">
        <v>342</v>
      </c>
      <c r="B554" s="5" t="str">
        <f>IF(COUNTIF($A$2:A554,A554)=1,"Original","Duplicate")</f>
        <v>Original</v>
      </c>
      <c r="C554" s="7">
        <v>45796</v>
      </c>
      <c r="D554" s="7">
        <v>45794</v>
      </c>
      <c r="E554" s="7" t="str">
        <f t="shared" si="64"/>
        <v>Invalid</v>
      </c>
      <c r="F554" s="7">
        <f t="shared" si="65"/>
        <v>45803</v>
      </c>
      <c r="G554">
        <f t="shared" si="66"/>
        <v>7</v>
      </c>
      <c r="H554" t="s">
        <v>648</v>
      </c>
      <c r="I554" t="s">
        <v>655</v>
      </c>
      <c r="J554" t="s">
        <v>670</v>
      </c>
      <c r="K554" t="str">
        <f t="shared" si="67"/>
        <v>São Paulo</v>
      </c>
      <c r="L554" t="s">
        <v>705</v>
      </c>
      <c r="M554" t="s">
        <v>710</v>
      </c>
      <c r="N554" t="str">
        <f t="shared" si="68"/>
        <v>Distributor</v>
      </c>
      <c r="O554" t="s">
        <v>716</v>
      </c>
      <c r="P554" t="str">
        <f t="shared" si="69"/>
        <v>L. Okafor</v>
      </c>
      <c r="Q554" t="s">
        <v>732</v>
      </c>
      <c r="R554" t="s">
        <v>1062</v>
      </c>
      <c r="S554" s="23">
        <v>383.77</v>
      </c>
      <c r="T554" s="23">
        <v>952.56</v>
      </c>
      <c r="U554" s="23">
        <f t="shared" si="70"/>
        <v>952.56</v>
      </c>
      <c r="V554" s="8">
        <v>0.34599999999999997</v>
      </c>
      <c r="W554" s="8">
        <f t="shared" si="71"/>
        <v>0.3</v>
      </c>
      <c r="X554">
        <v>10</v>
      </c>
    </row>
    <row r="555" spans="1:24" x14ac:dyDescent="0.35">
      <c r="A555" s="4" t="s">
        <v>24</v>
      </c>
      <c r="B555" s="5" t="str">
        <f>IF(COUNTIF($A$2:A555,A555)=1,"Original","Duplicate")</f>
        <v>Original</v>
      </c>
      <c r="C555" s="7">
        <v>45798</v>
      </c>
      <c r="D555" s="7">
        <v>45817</v>
      </c>
      <c r="E555" s="7" t="str">
        <f t="shared" si="64"/>
        <v>Valid</v>
      </c>
      <c r="F555" s="7">
        <f t="shared" si="65"/>
        <v>45817</v>
      </c>
      <c r="G555">
        <f t="shared" si="66"/>
        <v>19</v>
      </c>
      <c r="H555" t="s">
        <v>648</v>
      </c>
      <c r="I555" t="s">
        <v>655</v>
      </c>
      <c r="J555" t="s">
        <v>670</v>
      </c>
      <c r="K555" t="str">
        <f t="shared" si="67"/>
        <v>São Paulo</v>
      </c>
      <c r="L555" t="s">
        <v>703</v>
      </c>
      <c r="M555" t="s">
        <v>708</v>
      </c>
      <c r="N555" t="str">
        <f t="shared" si="68"/>
        <v>Online</v>
      </c>
      <c r="O555" t="s">
        <v>720</v>
      </c>
      <c r="P555" t="str">
        <f t="shared" si="69"/>
        <v>A. Patel</v>
      </c>
      <c r="Q555" t="s">
        <v>727</v>
      </c>
      <c r="R555" t="s">
        <v>743</v>
      </c>
      <c r="S555" s="23">
        <v>1331.38</v>
      </c>
      <c r="T555" s="23">
        <v>2309.56</v>
      </c>
      <c r="U555" s="23">
        <f t="shared" si="70"/>
        <v>2309.56</v>
      </c>
      <c r="V555" s="8">
        <v>0.14899999999999999</v>
      </c>
      <c r="W555" s="8">
        <f t="shared" si="71"/>
        <v>0.14899999999999999</v>
      </c>
      <c r="X555">
        <v>31</v>
      </c>
    </row>
    <row r="556" spans="1:24" x14ac:dyDescent="0.35">
      <c r="A556" s="4" t="s">
        <v>34</v>
      </c>
      <c r="B556" s="5" t="str">
        <f>IF(COUNTIF($A$2:A556,A556)=1,"Original","Duplicate")</f>
        <v>Original</v>
      </c>
      <c r="C556" s="7">
        <v>45798</v>
      </c>
      <c r="D556" s="7">
        <v>45796</v>
      </c>
      <c r="E556" s="7" t="str">
        <f t="shared" si="64"/>
        <v>Invalid</v>
      </c>
      <c r="F556" s="7">
        <f t="shared" si="65"/>
        <v>45805</v>
      </c>
      <c r="G556">
        <f t="shared" si="66"/>
        <v>7</v>
      </c>
      <c r="H556" t="s">
        <v>649</v>
      </c>
      <c r="I556" t="s">
        <v>658</v>
      </c>
      <c r="J556" t="s">
        <v>674</v>
      </c>
      <c r="K556" t="str">
        <f t="shared" si="67"/>
        <v>Birmingham</v>
      </c>
      <c r="L556" t="s">
        <v>706</v>
      </c>
      <c r="M556" t="s">
        <v>708</v>
      </c>
      <c r="N556" t="str">
        <f t="shared" si="68"/>
        <v>Online</v>
      </c>
      <c r="O556" t="s">
        <v>724</v>
      </c>
      <c r="P556" t="str">
        <f t="shared" si="69"/>
        <v>M. Rossi</v>
      </c>
      <c r="Q556" t="s">
        <v>731</v>
      </c>
      <c r="R556" t="s">
        <v>753</v>
      </c>
      <c r="S556" s="23">
        <v>1015.16</v>
      </c>
      <c r="T556" s="23">
        <v>2148.14</v>
      </c>
      <c r="U556" s="23">
        <f t="shared" si="70"/>
        <v>2148.14</v>
      </c>
      <c r="V556" s="8">
        <v>3.7999999999999999E-2</v>
      </c>
      <c r="W556" s="8">
        <f t="shared" si="71"/>
        <v>3.7999999999999999E-2</v>
      </c>
      <c r="X556">
        <v>19</v>
      </c>
    </row>
    <row r="557" spans="1:24" x14ac:dyDescent="0.35">
      <c r="A557" s="4" t="s">
        <v>188</v>
      </c>
      <c r="B557" s="5" t="str">
        <f>IF(COUNTIF($A$2:A557,A557)=1,"Original","Duplicate")</f>
        <v>Original</v>
      </c>
      <c r="C557" s="7">
        <v>45798</v>
      </c>
      <c r="D557" s="7">
        <v>45796</v>
      </c>
      <c r="E557" s="7" t="str">
        <f t="shared" si="64"/>
        <v>Invalid</v>
      </c>
      <c r="F557" s="7">
        <f t="shared" si="65"/>
        <v>45805</v>
      </c>
      <c r="G557">
        <f t="shared" si="66"/>
        <v>7</v>
      </c>
      <c r="H557" t="s">
        <v>646</v>
      </c>
      <c r="I557" t="s">
        <v>661</v>
      </c>
      <c r="J557" t="s">
        <v>682</v>
      </c>
      <c r="K557" t="str">
        <f t="shared" si="67"/>
        <v>Johannesburg</v>
      </c>
      <c r="L557" t="s">
        <v>703</v>
      </c>
      <c r="M557" t="s">
        <v>710</v>
      </c>
      <c r="N557" t="str">
        <f t="shared" si="68"/>
        <v>Distributor</v>
      </c>
      <c r="O557" t="s">
        <v>719</v>
      </c>
      <c r="P557" t="str">
        <f t="shared" si="69"/>
        <v>O. Wang</v>
      </c>
      <c r="Q557" t="s">
        <v>731</v>
      </c>
      <c r="R557" t="s">
        <v>907</v>
      </c>
      <c r="S557" s="23">
        <v>1263.8399999999999</v>
      </c>
      <c r="T557" s="23">
        <v>2281.7199999999998</v>
      </c>
      <c r="U557" s="23">
        <f t="shared" si="70"/>
        <v>2281.7199999999998</v>
      </c>
      <c r="V557" s="8">
        <v>7.8E-2</v>
      </c>
      <c r="W557" s="8">
        <f t="shared" si="71"/>
        <v>7.8E-2</v>
      </c>
      <c r="X557">
        <v>15</v>
      </c>
    </row>
    <row r="558" spans="1:24" x14ac:dyDescent="0.35">
      <c r="A558" s="4" t="s">
        <v>409</v>
      </c>
      <c r="B558" s="5" t="str">
        <f>IF(COUNTIF($A$2:A558,A558)=1,"Original","Duplicate")</f>
        <v>Original</v>
      </c>
      <c r="C558" s="7">
        <v>45804</v>
      </c>
      <c r="D558" s="7">
        <v>45816</v>
      </c>
      <c r="E558" s="7" t="str">
        <f t="shared" si="64"/>
        <v>Valid</v>
      </c>
      <c r="F558" s="7">
        <f t="shared" si="65"/>
        <v>45816</v>
      </c>
      <c r="G558">
        <f t="shared" si="66"/>
        <v>12</v>
      </c>
      <c r="H558" t="s">
        <v>647</v>
      </c>
      <c r="I558" t="s">
        <v>652</v>
      </c>
      <c r="J558" t="s">
        <v>666</v>
      </c>
      <c r="K558" t="str">
        <f t="shared" si="67"/>
        <v>Osaka</v>
      </c>
      <c r="L558" t="s">
        <v>701</v>
      </c>
      <c r="M558" t="s">
        <v>707</v>
      </c>
      <c r="N558" t="str">
        <f t="shared" si="68"/>
        <v>Retail</v>
      </c>
      <c r="O558" t="s">
        <v>722</v>
      </c>
      <c r="P558" t="str">
        <f t="shared" si="69"/>
        <v>H. Kim</v>
      </c>
      <c r="Q558" t="s">
        <v>733</v>
      </c>
      <c r="R558" t="s">
        <v>1128</v>
      </c>
      <c r="S558" s="23">
        <v>653.6</v>
      </c>
      <c r="T558" s="23">
        <v>842.09</v>
      </c>
      <c r="U558" s="23">
        <f t="shared" si="70"/>
        <v>842.09</v>
      </c>
      <c r="V558" s="8">
        <v>9.8000000000000004E-2</v>
      </c>
      <c r="W558" s="8">
        <f t="shared" si="71"/>
        <v>9.8000000000000004E-2</v>
      </c>
      <c r="X558">
        <v>19</v>
      </c>
    </row>
    <row r="559" spans="1:24" x14ac:dyDescent="0.35">
      <c r="A559" s="4" t="s">
        <v>58</v>
      </c>
      <c r="B559" s="5" t="str">
        <f>IF(COUNTIF($A$2:A559,A559)=1,"Original","Duplicate")</f>
        <v>Original</v>
      </c>
      <c r="C559" s="7">
        <v>45806</v>
      </c>
      <c r="D559" s="7">
        <v>45828</v>
      </c>
      <c r="E559" s="7" t="str">
        <f t="shared" si="64"/>
        <v>Valid</v>
      </c>
      <c r="F559" s="7">
        <f t="shared" si="65"/>
        <v>45828</v>
      </c>
      <c r="G559">
        <f t="shared" si="66"/>
        <v>22</v>
      </c>
      <c r="H559" t="s">
        <v>649</v>
      </c>
      <c r="I559" t="s">
        <v>656</v>
      </c>
      <c r="J559" t="s">
        <v>671</v>
      </c>
      <c r="K559" t="str">
        <f t="shared" si="67"/>
        <v>Berlin</v>
      </c>
      <c r="L559" t="s">
        <v>701</v>
      </c>
      <c r="M559" t="s">
        <v>711</v>
      </c>
      <c r="N559" t="str">
        <f t="shared" si="68"/>
        <v>Direct</v>
      </c>
      <c r="O559" t="s">
        <v>720</v>
      </c>
      <c r="P559" t="str">
        <f t="shared" si="69"/>
        <v>A. Patel</v>
      </c>
      <c r="Q559" t="s">
        <v>728</v>
      </c>
      <c r="R559" t="s">
        <v>777</v>
      </c>
      <c r="S559" s="23">
        <v>483.47</v>
      </c>
      <c r="T559" s="23">
        <v>1135.43</v>
      </c>
      <c r="U559" s="23">
        <f t="shared" si="70"/>
        <v>1135.43</v>
      </c>
      <c r="V559" s="8">
        <v>0.14599999999999999</v>
      </c>
      <c r="W559" s="8">
        <f t="shared" si="71"/>
        <v>0.14599999999999999</v>
      </c>
      <c r="X559">
        <v>11</v>
      </c>
    </row>
    <row r="560" spans="1:24" x14ac:dyDescent="0.35">
      <c r="A560" s="4" t="s">
        <v>309</v>
      </c>
      <c r="B560" s="5" t="str">
        <f>IF(COUNTIF($A$2:A560,A560)=1,"Original","Duplicate")</f>
        <v>Original</v>
      </c>
      <c r="C560" s="7">
        <v>45809</v>
      </c>
      <c r="D560" s="7">
        <v>45835</v>
      </c>
      <c r="E560" s="7" t="str">
        <f t="shared" si="64"/>
        <v>Valid</v>
      </c>
      <c r="F560" s="7">
        <f t="shared" si="65"/>
        <v>45835</v>
      </c>
      <c r="G560">
        <f t="shared" si="66"/>
        <v>26</v>
      </c>
      <c r="H560" t="s">
        <v>649</v>
      </c>
      <c r="I560" t="s">
        <v>656</v>
      </c>
      <c r="J560" t="s">
        <v>684</v>
      </c>
      <c r="K560" t="str">
        <f t="shared" si="67"/>
        <v>Munich</v>
      </c>
      <c r="L560" t="s">
        <v>704</v>
      </c>
      <c r="M560" t="s">
        <v>710</v>
      </c>
      <c r="N560" t="str">
        <f t="shared" si="68"/>
        <v>Distributor</v>
      </c>
      <c r="O560" t="s">
        <v>718</v>
      </c>
      <c r="P560" t="str">
        <f t="shared" si="69"/>
        <v>E. Garcia</v>
      </c>
      <c r="Q560" t="s">
        <v>731</v>
      </c>
      <c r="R560" t="s">
        <v>1029</v>
      </c>
      <c r="S560" s="23">
        <v>1362.31</v>
      </c>
      <c r="T560" s="23">
        <v>3294.57</v>
      </c>
      <c r="U560" s="23">
        <f t="shared" si="70"/>
        <v>3294.57</v>
      </c>
      <c r="V560" s="8">
        <v>0.113</v>
      </c>
      <c r="W560" s="8">
        <f t="shared" si="71"/>
        <v>0.113</v>
      </c>
      <c r="X560">
        <v>7</v>
      </c>
    </row>
    <row r="561" spans="1:24" x14ac:dyDescent="0.35">
      <c r="A561" s="4" t="s">
        <v>329</v>
      </c>
      <c r="B561" s="5" t="str">
        <f>IF(COUNTIF($A$2:A561,A561)=1,"Original","Duplicate")</f>
        <v>Original</v>
      </c>
      <c r="C561" s="7">
        <v>45809</v>
      </c>
      <c r="D561" s="7">
        <v>45814</v>
      </c>
      <c r="E561" s="7" t="str">
        <f t="shared" si="64"/>
        <v>Valid</v>
      </c>
      <c r="F561" s="7">
        <f t="shared" si="65"/>
        <v>45814</v>
      </c>
      <c r="G561">
        <f t="shared" si="66"/>
        <v>5</v>
      </c>
      <c r="H561" t="s">
        <v>649</v>
      </c>
      <c r="I561" t="s">
        <v>657</v>
      </c>
      <c r="J561" t="s">
        <v>690</v>
      </c>
      <c r="K561" t="str">
        <f t="shared" si="67"/>
        <v>Paris</v>
      </c>
      <c r="L561" t="s">
        <v>704</v>
      </c>
      <c r="M561" t="s">
        <v>710</v>
      </c>
      <c r="N561" t="str">
        <f t="shared" si="68"/>
        <v>Distributor</v>
      </c>
      <c r="O561" t="s">
        <v>715</v>
      </c>
      <c r="P561" t="str">
        <f t="shared" si="69"/>
        <v>G. Dubois</v>
      </c>
      <c r="Q561" t="s">
        <v>727</v>
      </c>
      <c r="R561" t="s">
        <v>1049</v>
      </c>
      <c r="S561" s="23">
        <v>379.45</v>
      </c>
      <c r="T561" s="23">
        <v>742.23</v>
      </c>
      <c r="U561" s="23">
        <f t="shared" si="70"/>
        <v>742.23</v>
      </c>
      <c r="V561" s="8">
        <v>0.09</v>
      </c>
      <c r="W561" s="8">
        <f t="shared" si="71"/>
        <v>0.09</v>
      </c>
      <c r="X561">
        <v>13</v>
      </c>
    </row>
    <row r="562" spans="1:24" x14ac:dyDescent="0.35">
      <c r="A562" s="4" t="s">
        <v>482</v>
      </c>
      <c r="B562" s="5" t="str">
        <f>IF(COUNTIF($A$2:A562,A562)=1,"Original","Duplicate")</f>
        <v>Original</v>
      </c>
      <c r="C562" s="7">
        <v>45809</v>
      </c>
      <c r="D562" s="7">
        <v>45813</v>
      </c>
      <c r="E562" s="7" t="str">
        <f t="shared" si="64"/>
        <v>Valid</v>
      </c>
      <c r="F562" s="7">
        <f t="shared" si="65"/>
        <v>45813</v>
      </c>
      <c r="G562">
        <f t="shared" si="66"/>
        <v>4</v>
      </c>
      <c r="H562" t="s">
        <v>649</v>
      </c>
      <c r="I562" t="s">
        <v>656</v>
      </c>
      <c r="J562" t="s">
        <v>684</v>
      </c>
      <c r="K562" t="str">
        <f t="shared" si="67"/>
        <v>Munich</v>
      </c>
      <c r="L562" t="s">
        <v>706</v>
      </c>
      <c r="M562" t="s">
        <v>711</v>
      </c>
      <c r="N562" t="str">
        <f t="shared" si="68"/>
        <v>Direct</v>
      </c>
      <c r="O562" t="s">
        <v>724</v>
      </c>
      <c r="P562" t="str">
        <f t="shared" si="69"/>
        <v>M. Rossi</v>
      </c>
      <c r="Q562" t="s">
        <v>727</v>
      </c>
      <c r="R562" t="s">
        <v>1201</v>
      </c>
      <c r="S562" s="23">
        <v>1171.42</v>
      </c>
      <c r="T562" s="23">
        <v>2187.8000000000002</v>
      </c>
      <c r="U562" s="23">
        <f t="shared" si="70"/>
        <v>2187.8000000000002</v>
      </c>
      <c r="V562" s="8">
        <v>0.23</v>
      </c>
      <c r="W562" s="8">
        <f t="shared" si="71"/>
        <v>0.23</v>
      </c>
      <c r="X562">
        <v>15</v>
      </c>
    </row>
    <row r="563" spans="1:24" x14ac:dyDescent="0.35">
      <c r="A563" s="4" t="s">
        <v>131</v>
      </c>
      <c r="B563" s="5" t="str">
        <f>IF(COUNTIF($A$2:A563,A563)=1,"Original","Duplicate")</f>
        <v>Original</v>
      </c>
      <c r="C563" s="7">
        <v>45811</v>
      </c>
      <c r="D563" s="7">
        <v>45818</v>
      </c>
      <c r="E563" s="7" t="str">
        <f t="shared" si="64"/>
        <v>Valid</v>
      </c>
      <c r="F563" s="7">
        <f t="shared" si="65"/>
        <v>45818</v>
      </c>
      <c r="G563">
        <f t="shared" si="66"/>
        <v>7</v>
      </c>
      <c r="H563" t="s">
        <v>648</v>
      </c>
      <c r="I563" t="s">
        <v>653</v>
      </c>
      <c r="J563" t="s">
        <v>667</v>
      </c>
      <c r="K563" t="str">
        <f t="shared" si="67"/>
        <v>Toronto</v>
      </c>
      <c r="L563" t="s">
        <v>704</v>
      </c>
      <c r="M563" t="s">
        <v>710</v>
      </c>
      <c r="N563" t="str">
        <f t="shared" si="68"/>
        <v>Distributor</v>
      </c>
      <c r="O563" t="s">
        <v>719</v>
      </c>
      <c r="P563" t="str">
        <f t="shared" si="69"/>
        <v>O. Wang</v>
      </c>
      <c r="Q563" t="s">
        <v>728</v>
      </c>
      <c r="R563" t="s">
        <v>850</v>
      </c>
      <c r="S563" s="23">
        <v>75.180000000000007</v>
      </c>
      <c r="T563" s="23">
        <v>53.45</v>
      </c>
      <c r="U563" s="23">
        <f t="shared" si="70"/>
        <v>53.45</v>
      </c>
      <c r="V563" s="8">
        <v>0.157</v>
      </c>
      <c r="W563" s="8">
        <f t="shared" si="71"/>
        <v>0.157</v>
      </c>
      <c r="X563">
        <v>17</v>
      </c>
    </row>
    <row r="564" spans="1:24" x14ac:dyDescent="0.35">
      <c r="A564" s="4" t="s">
        <v>431</v>
      </c>
      <c r="B564" s="5" t="str">
        <f>IF(COUNTIF($A$2:A564,A564)=1,"Original","Duplicate")</f>
        <v>Original</v>
      </c>
      <c r="C564" s="7">
        <v>45813</v>
      </c>
      <c r="D564" s="7">
        <v>45822</v>
      </c>
      <c r="E564" s="7" t="str">
        <f t="shared" si="64"/>
        <v>Valid</v>
      </c>
      <c r="F564" s="7">
        <f t="shared" si="65"/>
        <v>45822</v>
      </c>
      <c r="G564">
        <f t="shared" si="66"/>
        <v>9</v>
      </c>
      <c r="H564" t="s">
        <v>647</v>
      </c>
      <c r="I564" t="s">
        <v>654</v>
      </c>
      <c r="J564" t="s">
        <v>680</v>
      </c>
      <c r="K564" t="str">
        <f t="shared" si="67"/>
        <v>Delhi</v>
      </c>
      <c r="L564" t="s">
        <v>703</v>
      </c>
      <c r="M564" t="s">
        <v>707</v>
      </c>
      <c r="N564" t="str">
        <f t="shared" si="68"/>
        <v>Retail</v>
      </c>
      <c r="O564" t="s">
        <v>720</v>
      </c>
      <c r="P564" t="str">
        <f t="shared" si="69"/>
        <v>A. Patel</v>
      </c>
      <c r="Q564" t="s">
        <v>733</v>
      </c>
      <c r="R564" t="s">
        <v>1150</v>
      </c>
      <c r="S564" s="23">
        <v>618.69000000000005</v>
      </c>
      <c r="T564" s="23">
        <v>796.15</v>
      </c>
      <c r="U564" s="23">
        <f t="shared" si="70"/>
        <v>796.15</v>
      </c>
      <c r="V564" s="8">
        <v>0.09</v>
      </c>
      <c r="W564" s="8">
        <f t="shared" si="71"/>
        <v>0.09</v>
      </c>
      <c r="X564">
        <v>11</v>
      </c>
    </row>
    <row r="565" spans="1:24" x14ac:dyDescent="0.35">
      <c r="A565" s="4" t="s">
        <v>73</v>
      </c>
      <c r="B565" s="5" t="str">
        <f>IF(COUNTIF($A$2:A565,A565)=1,"Original","Duplicate")</f>
        <v>Original</v>
      </c>
      <c r="C565" s="7">
        <v>45817</v>
      </c>
      <c r="D565" s="7">
        <v>45826</v>
      </c>
      <c r="E565" s="7" t="str">
        <f t="shared" si="64"/>
        <v>Valid</v>
      </c>
      <c r="F565" s="7">
        <f t="shared" si="65"/>
        <v>45826</v>
      </c>
      <c r="G565">
        <f t="shared" si="66"/>
        <v>9</v>
      </c>
      <c r="H565" t="s">
        <v>649</v>
      </c>
      <c r="I565" t="s">
        <v>657</v>
      </c>
      <c r="J565" t="s">
        <v>673</v>
      </c>
      <c r="K565" t="str">
        <f t="shared" si="67"/>
        <v>Marseille</v>
      </c>
      <c r="L565" t="s">
        <v>705</v>
      </c>
      <c r="M565" t="s">
        <v>709</v>
      </c>
      <c r="N565" t="str">
        <f t="shared" si="68"/>
        <v>Marketplace</v>
      </c>
      <c r="O565" t="s">
        <v>722</v>
      </c>
      <c r="P565" t="str">
        <f t="shared" si="69"/>
        <v>H. Kim</v>
      </c>
      <c r="Q565" t="s">
        <v>733</v>
      </c>
      <c r="R565" t="s">
        <v>792</v>
      </c>
      <c r="S565" s="23">
        <v>1225.5</v>
      </c>
      <c r="T565" s="23">
        <v>-5.27</v>
      </c>
      <c r="U565" s="23">
        <f t="shared" si="70"/>
        <v>1470.6</v>
      </c>
      <c r="V565" s="8">
        <v>7.4999999999999997E-2</v>
      </c>
      <c r="W565" s="8">
        <f t="shared" si="71"/>
        <v>7.4999999999999997E-2</v>
      </c>
      <c r="X565">
        <v>56</v>
      </c>
    </row>
    <row r="566" spans="1:24" x14ac:dyDescent="0.35">
      <c r="A566" s="4" t="s">
        <v>106</v>
      </c>
      <c r="B566" s="5" t="str">
        <f>IF(COUNTIF($A$2:A566,A566)=1,"Original","Duplicate")</f>
        <v>Original</v>
      </c>
      <c r="C566" s="7">
        <v>45817</v>
      </c>
      <c r="D566" s="7">
        <v>45833</v>
      </c>
      <c r="E566" s="7" t="str">
        <f t="shared" si="64"/>
        <v>Valid</v>
      </c>
      <c r="F566" s="7">
        <f t="shared" si="65"/>
        <v>45833</v>
      </c>
      <c r="G566">
        <f t="shared" si="66"/>
        <v>16</v>
      </c>
      <c r="H566" t="s">
        <v>647</v>
      </c>
      <c r="I566" t="s">
        <v>654</v>
      </c>
      <c r="J566" t="s">
        <v>696</v>
      </c>
      <c r="K566" t="str">
        <f t="shared" si="67"/>
        <v>Hyderabad</v>
      </c>
      <c r="L566" t="s">
        <v>706</v>
      </c>
      <c r="M566" t="s">
        <v>710</v>
      </c>
      <c r="N566" t="str">
        <f t="shared" si="68"/>
        <v>Distributor</v>
      </c>
      <c r="O566" t="s">
        <v>724</v>
      </c>
      <c r="P566" t="str">
        <f t="shared" si="69"/>
        <v>M. Rossi</v>
      </c>
      <c r="Q566" t="s">
        <v>730</v>
      </c>
      <c r="R566" t="s">
        <v>825</v>
      </c>
      <c r="S566" s="23">
        <v>527.33000000000004</v>
      </c>
      <c r="T566" s="23">
        <v>911.72</v>
      </c>
      <c r="U566" s="23">
        <f t="shared" si="70"/>
        <v>911.72</v>
      </c>
      <c r="V566" s="8">
        <v>0.14399999999999999</v>
      </c>
      <c r="W566" s="8">
        <f t="shared" si="71"/>
        <v>0.14399999999999999</v>
      </c>
      <c r="X566">
        <v>25</v>
      </c>
    </row>
    <row r="567" spans="1:24" x14ac:dyDescent="0.35">
      <c r="A567" s="4" t="s">
        <v>467</v>
      </c>
      <c r="B567" s="5" t="str">
        <f>IF(COUNTIF($A$2:A567,A567)=1,"Original","Duplicate")</f>
        <v>Original</v>
      </c>
      <c r="C567" s="7">
        <v>45817</v>
      </c>
      <c r="D567" s="7">
        <v>45832</v>
      </c>
      <c r="E567" s="7" t="str">
        <f t="shared" si="64"/>
        <v>Valid</v>
      </c>
      <c r="F567" s="7">
        <f t="shared" si="65"/>
        <v>45832</v>
      </c>
      <c r="G567">
        <f t="shared" si="66"/>
        <v>15</v>
      </c>
      <c r="H567" t="s">
        <v>647</v>
      </c>
      <c r="I567" t="s">
        <v>652</v>
      </c>
      <c r="J567" t="s">
        <v>694</v>
      </c>
      <c r="K567" t="str">
        <f t="shared" si="67"/>
        <v>Nagoya</v>
      </c>
      <c r="L567" t="s">
        <v>701</v>
      </c>
      <c r="M567" t="s">
        <v>711</v>
      </c>
      <c r="N567" t="str">
        <f t="shared" si="68"/>
        <v>Direct</v>
      </c>
      <c r="O567" t="s">
        <v>717</v>
      </c>
      <c r="P567" t="str">
        <f t="shared" si="69"/>
        <v>B. Chen</v>
      </c>
      <c r="Q567" t="s">
        <v>730</v>
      </c>
      <c r="R567" t="s">
        <v>1186</v>
      </c>
      <c r="S567" s="23">
        <v>400.39</v>
      </c>
      <c r="T567" s="23">
        <v>712.75</v>
      </c>
      <c r="U567" s="23">
        <f t="shared" si="70"/>
        <v>712.75</v>
      </c>
      <c r="V567" s="8">
        <v>0.115</v>
      </c>
      <c r="W567" s="8">
        <f t="shared" si="71"/>
        <v>0.115</v>
      </c>
      <c r="X567">
        <v>19</v>
      </c>
    </row>
    <row r="568" spans="1:24" x14ac:dyDescent="0.35">
      <c r="A568" s="4" t="s">
        <v>37</v>
      </c>
      <c r="B568" s="5" t="str">
        <f>IF(COUNTIF($A$2:A568,A568)=1,"Original","Duplicate")</f>
        <v>Original</v>
      </c>
      <c r="C568" s="7">
        <v>45822</v>
      </c>
      <c r="D568" s="7">
        <v>45837</v>
      </c>
      <c r="E568" s="7" t="str">
        <f t="shared" si="64"/>
        <v>Valid</v>
      </c>
      <c r="F568" s="7">
        <f t="shared" si="65"/>
        <v>45837</v>
      </c>
      <c r="G568">
        <f t="shared" si="66"/>
        <v>15</v>
      </c>
      <c r="H568" t="s">
        <v>646</v>
      </c>
      <c r="I568" t="s">
        <v>651</v>
      </c>
      <c r="J568" t="s">
        <v>663</v>
      </c>
      <c r="K568" t="str">
        <f t="shared" si="67"/>
        <v>Port Harcourt</v>
      </c>
      <c r="L568" t="s">
        <v>704</v>
      </c>
      <c r="M568" t="s">
        <v>709</v>
      </c>
      <c r="N568" t="str">
        <f t="shared" si="68"/>
        <v>Marketplace</v>
      </c>
      <c r="O568" t="s">
        <v>724</v>
      </c>
      <c r="P568" t="str">
        <f t="shared" si="69"/>
        <v>M. Rossi</v>
      </c>
      <c r="Q568" t="s">
        <v>733</v>
      </c>
      <c r="R568" t="s">
        <v>756</v>
      </c>
      <c r="S568" s="23">
        <v>730.99</v>
      </c>
      <c r="T568" s="23">
        <v>1242.8399999999999</v>
      </c>
      <c r="U568" s="23">
        <f t="shared" si="70"/>
        <v>1242.8399999999999</v>
      </c>
      <c r="V568" s="8">
        <v>0.12</v>
      </c>
      <c r="W568" s="8">
        <f t="shared" si="71"/>
        <v>0.12</v>
      </c>
      <c r="X568">
        <v>10</v>
      </c>
    </row>
    <row r="569" spans="1:24" x14ac:dyDescent="0.35">
      <c r="A569" s="4" t="s">
        <v>404</v>
      </c>
      <c r="B569" s="5" t="str">
        <f>IF(COUNTIF($A$2:A569,A569)=1,"Original","Duplicate")</f>
        <v>Original</v>
      </c>
      <c r="C569" s="7">
        <v>45823</v>
      </c>
      <c r="D569" s="7">
        <v>45838</v>
      </c>
      <c r="E569" s="7" t="str">
        <f t="shared" si="64"/>
        <v>Valid</v>
      </c>
      <c r="F569" s="7">
        <f t="shared" si="65"/>
        <v>45838</v>
      </c>
      <c r="G569">
        <f t="shared" si="66"/>
        <v>15</v>
      </c>
      <c r="H569" t="s">
        <v>646</v>
      </c>
      <c r="I569" t="s">
        <v>661</v>
      </c>
      <c r="J569" t="s">
        <v>682</v>
      </c>
      <c r="K569" t="str">
        <f t="shared" si="67"/>
        <v>Johannesburg</v>
      </c>
      <c r="L569" t="s">
        <v>705</v>
      </c>
      <c r="M569" t="s">
        <v>711</v>
      </c>
      <c r="N569" t="str">
        <f t="shared" si="68"/>
        <v>Direct</v>
      </c>
      <c r="O569" t="s">
        <v>712</v>
      </c>
      <c r="P569" t="str">
        <f t="shared" si="69"/>
        <v>C. Otieno</v>
      </c>
      <c r="Q569" t="s">
        <v>732</v>
      </c>
      <c r="R569" t="s">
        <v>1123</v>
      </c>
      <c r="S569" s="23">
        <v>1487.59</v>
      </c>
      <c r="T569" s="23">
        <v>1480.83</v>
      </c>
      <c r="U569" s="23">
        <f t="shared" si="70"/>
        <v>1480.83</v>
      </c>
      <c r="V569" s="8">
        <v>8.9999999999999993E-3</v>
      </c>
      <c r="W569" s="8">
        <f t="shared" si="71"/>
        <v>8.9999999999999993E-3</v>
      </c>
      <c r="X569">
        <v>11</v>
      </c>
    </row>
    <row r="570" spans="1:24" x14ac:dyDescent="0.35">
      <c r="A570" s="4" t="s">
        <v>608</v>
      </c>
      <c r="B570" s="5" t="str">
        <f>IF(COUNTIF($A$2:A570,A570)=1,"Original","Duplicate")</f>
        <v>Original</v>
      </c>
      <c r="C570" s="7">
        <v>45823</v>
      </c>
      <c r="D570" s="7">
        <v>45850</v>
      </c>
      <c r="E570" s="7" t="str">
        <f t="shared" si="64"/>
        <v>Valid</v>
      </c>
      <c r="F570" s="7">
        <f t="shared" si="65"/>
        <v>45850</v>
      </c>
      <c r="G570">
        <f t="shared" si="66"/>
        <v>27</v>
      </c>
      <c r="H570" t="s">
        <v>649</v>
      </c>
      <c r="I570" t="s">
        <v>657</v>
      </c>
      <c r="J570" t="s">
        <v>673</v>
      </c>
      <c r="K570" t="str">
        <f t="shared" si="67"/>
        <v>Marseille</v>
      </c>
      <c r="L570" t="s">
        <v>704</v>
      </c>
      <c r="M570" t="s">
        <v>711</v>
      </c>
      <c r="N570" t="str">
        <f t="shared" si="68"/>
        <v>Direct</v>
      </c>
      <c r="O570" t="s">
        <v>712</v>
      </c>
      <c r="P570" t="str">
        <f t="shared" si="69"/>
        <v>C. Otieno</v>
      </c>
      <c r="Q570" t="s">
        <v>733</v>
      </c>
      <c r="R570" t="s">
        <v>1326</v>
      </c>
      <c r="S570" s="23">
        <v>318.83</v>
      </c>
      <c r="T570" s="23">
        <v>699.5</v>
      </c>
      <c r="U570" s="23">
        <f t="shared" si="70"/>
        <v>699.5</v>
      </c>
      <c r="V570" s="8">
        <v>0.08</v>
      </c>
      <c r="W570" s="8">
        <f t="shared" si="71"/>
        <v>0.08</v>
      </c>
      <c r="X570">
        <v>13</v>
      </c>
    </row>
    <row r="571" spans="1:24" x14ac:dyDescent="0.35">
      <c r="A571" s="4" t="s">
        <v>363</v>
      </c>
      <c r="B571" s="5" t="str">
        <f>IF(COUNTIF($A$2:A571,A571)=1,"Original","Duplicate")</f>
        <v>Original</v>
      </c>
      <c r="C571" s="7">
        <v>45825</v>
      </c>
      <c r="D571" s="7">
        <v>45843</v>
      </c>
      <c r="E571" s="7" t="str">
        <f t="shared" si="64"/>
        <v>Valid</v>
      </c>
      <c r="F571" s="7">
        <f t="shared" si="65"/>
        <v>45843</v>
      </c>
      <c r="G571">
        <f t="shared" si="66"/>
        <v>18</v>
      </c>
      <c r="H571" t="s">
        <v>647</v>
      </c>
      <c r="I571" t="s">
        <v>654</v>
      </c>
      <c r="J571" t="s">
        <v>680</v>
      </c>
      <c r="K571" t="str">
        <f t="shared" si="67"/>
        <v>Delhi</v>
      </c>
      <c r="L571" t="s">
        <v>704</v>
      </c>
      <c r="M571" t="s">
        <v>709</v>
      </c>
      <c r="N571" t="str">
        <f t="shared" si="68"/>
        <v>Marketplace</v>
      </c>
      <c r="O571" t="s">
        <v>716</v>
      </c>
      <c r="P571" t="str">
        <f t="shared" si="69"/>
        <v>L. Okafor</v>
      </c>
      <c r="Q571" t="s">
        <v>731</v>
      </c>
      <c r="R571" t="s">
        <v>1083</v>
      </c>
      <c r="S571" s="23">
        <v>982.93</v>
      </c>
      <c r="T571" s="23">
        <v>2299.3000000000002</v>
      </c>
      <c r="U571" s="23">
        <f t="shared" si="70"/>
        <v>2299.3000000000002</v>
      </c>
      <c r="V571" s="8">
        <v>0.113</v>
      </c>
      <c r="W571" s="8">
        <f t="shared" si="71"/>
        <v>0.113</v>
      </c>
      <c r="X571">
        <v>6</v>
      </c>
    </row>
    <row r="572" spans="1:24" x14ac:dyDescent="0.35">
      <c r="A572" s="4" t="s">
        <v>135</v>
      </c>
      <c r="B572" s="5" t="str">
        <f>IF(COUNTIF($A$2:A572,A572)=1,"Original","Duplicate")</f>
        <v>Original</v>
      </c>
      <c r="C572" s="7">
        <v>45827</v>
      </c>
      <c r="D572" s="7">
        <v>45850</v>
      </c>
      <c r="E572" s="7" t="str">
        <f t="shared" si="64"/>
        <v>Valid</v>
      </c>
      <c r="F572" s="7">
        <f t="shared" si="65"/>
        <v>45850</v>
      </c>
      <c r="G572">
        <f t="shared" si="66"/>
        <v>23</v>
      </c>
      <c r="H572" t="s">
        <v>649</v>
      </c>
      <c r="I572" t="s">
        <v>658</v>
      </c>
      <c r="K572" t="str">
        <f t="shared" si="67"/>
        <v>Unknown</v>
      </c>
      <c r="L572" t="s">
        <v>703</v>
      </c>
      <c r="M572" t="s">
        <v>711</v>
      </c>
      <c r="N572" t="str">
        <f t="shared" si="68"/>
        <v>Direct</v>
      </c>
      <c r="P572" t="str">
        <f t="shared" si="69"/>
        <v>Unassigned</v>
      </c>
      <c r="Q572" t="s">
        <v>729</v>
      </c>
      <c r="R572" t="s">
        <v>854</v>
      </c>
      <c r="S572" s="23">
        <v>801.24</v>
      </c>
      <c r="T572" s="23">
        <v>1959.09</v>
      </c>
      <c r="U572" s="23">
        <f t="shared" si="70"/>
        <v>1959.09</v>
      </c>
      <c r="V572" s="8">
        <v>0.123</v>
      </c>
      <c r="W572" s="8">
        <f t="shared" si="71"/>
        <v>0.123</v>
      </c>
      <c r="X572">
        <v>23</v>
      </c>
    </row>
    <row r="573" spans="1:24" x14ac:dyDescent="0.35">
      <c r="A573" s="4" t="s">
        <v>621</v>
      </c>
      <c r="B573" s="5" t="str">
        <f>IF(COUNTIF($A$2:A573,A573)=1,"Original","Duplicate")</f>
        <v>Original</v>
      </c>
      <c r="C573" s="7">
        <v>45827</v>
      </c>
      <c r="D573" s="7">
        <v>45829</v>
      </c>
      <c r="E573" s="7" t="str">
        <f t="shared" si="64"/>
        <v>Valid</v>
      </c>
      <c r="F573" s="7">
        <f t="shared" si="65"/>
        <v>45829</v>
      </c>
      <c r="G573">
        <f t="shared" si="66"/>
        <v>2</v>
      </c>
      <c r="H573" t="s">
        <v>646</v>
      </c>
      <c r="I573" t="s">
        <v>661</v>
      </c>
      <c r="J573" t="s">
        <v>682</v>
      </c>
      <c r="K573" t="str">
        <f t="shared" si="67"/>
        <v>Johannesburg</v>
      </c>
      <c r="L573" t="s">
        <v>705</v>
      </c>
      <c r="N573" t="str">
        <f t="shared" si="68"/>
        <v>Unknown</v>
      </c>
      <c r="O573" t="s">
        <v>722</v>
      </c>
      <c r="P573" t="str">
        <f t="shared" si="69"/>
        <v>H. Kim</v>
      </c>
      <c r="Q573" t="s">
        <v>730</v>
      </c>
      <c r="R573" t="s">
        <v>1339</v>
      </c>
      <c r="S573" s="23">
        <v>1466.27</v>
      </c>
      <c r="T573" s="23">
        <v>3589.89</v>
      </c>
      <c r="U573" s="23">
        <f t="shared" si="70"/>
        <v>3589.89</v>
      </c>
      <c r="V573" s="8">
        <v>9.7000000000000003E-2</v>
      </c>
      <c r="W573" s="8">
        <f t="shared" si="71"/>
        <v>9.7000000000000003E-2</v>
      </c>
      <c r="X573">
        <v>9</v>
      </c>
    </row>
    <row r="574" spans="1:24" x14ac:dyDescent="0.35">
      <c r="A574" s="4" t="s">
        <v>277</v>
      </c>
      <c r="B574" s="5" t="str">
        <f>IF(COUNTIF($A$2:A574,A574)=1,"Original","Duplicate")</f>
        <v>Original</v>
      </c>
      <c r="C574" s="7">
        <v>45829</v>
      </c>
      <c r="D574" s="7">
        <v>45835</v>
      </c>
      <c r="E574" s="7" t="str">
        <f t="shared" si="64"/>
        <v>Valid</v>
      </c>
      <c r="F574" s="7">
        <f t="shared" si="65"/>
        <v>45835</v>
      </c>
      <c r="G574">
        <f t="shared" si="66"/>
        <v>6</v>
      </c>
      <c r="H574" t="s">
        <v>646</v>
      </c>
      <c r="I574" t="s">
        <v>661</v>
      </c>
      <c r="J574" t="s">
        <v>687</v>
      </c>
      <c r="K574" t="str">
        <f t="shared" si="67"/>
        <v>Durban</v>
      </c>
      <c r="L574" t="s">
        <v>706</v>
      </c>
      <c r="M574" t="s">
        <v>710</v>
      </c>
      <c r="N574" t="str">
        <f t="shared" si="68"/>
        <v>Distributor</v>
      </c>
      <c r="O574" t="s">
        <v>725</v>
      </c>
      <c r="P574" t="str">
        <f t="shared" si="69"/>
        <v>N. Brown</v>
      </c>
      <c r="Q574" t="s">
        <v>730</v>
      </c>
      <c r="R574" t="s">
        <v>997</v>
      </c>
      <c r="S574" s="23">
        <v>93.91</v>
      </c>
      <c r="T574" s="23">
        <v>99.04</v>
      </c>
      <c r="U574" s="23">
        <f t="shared" si="70"/>
        <v>99.04</v>
      </c>
      <c r="V574" s="8">
        <v>5.7000000000000002E-2</v>
      </c>
      <c r="W574" s="8">
        <f t="shared" si="71"/>
        <v>5.7000000000000002E-2</v>
      </c>
      <c r="X574">
        <v>6</v>
      </c>
    </row>
    <row r="575" spans="1:24" x14ac:dyDescent="0.35">
      <c r="A575" s="4" t="s">
        <v>317</v>
      </c>
      <c r="B575" s="5" t="str">
        <f>IF(COUNTIF($A$2:A575,A575)=1,"Original","Duplicate")</f>
        <v>Original</v>
      </c>
      <c r="C575" s="7">
        <v>45830</v>
      </c>
      <c r="D575" s="7">
        <v>45846</v>
      </c>
      <c r="E575" s="7" t="str">
        <f t="shared" si="64"/>
        <v>Valid</v>
      </c>
      <c r="F575" s="7">
        <f t="shared" si="65"/>
        <v>45846</v>
      </c>
      <c r="G575">
        <f t="shared" si="66"/>
        <v>16</v>
      </c>
      <c r="H575" t="s">
        <v>649</v>
      </c>
      <c r="I575" t="s">
        <v>658</v>
      </c>
      <c r="J575" t="s">
        <v>683</v>
      </c>
      <c r="K575" t="str">
        <f t="shared" si="67"/>
        <v>London</v>
      </c>
      <c r="L575" t="s">
        <v>702</v>
      </c>
      <c r="M575" t="s">
        <v>711</v>
      </c>
      <c r="N575" t="str">
        <f t="shared" si="68"/>
        <v>Direct</v>
      </c>
      <c r="O575" t="s">
        <v>720</v>
      </c>
      <c r="P575" t="str">
        <f t="shared" si="69"/>
        <v>A. Patel</v>
      </c>
      <c r="Q575" t="s">
        <v>730</v>
      </c>
      <c r="R575" t="s">
        <v>1037</v>
      </c>
      <c r="S575" s="23">
        <v>892.73</v>
      </c>
      <c r="T575" s="23">
        <v>979.84</v>
      </c>
      <c r="U575" s="23">
        <f t="shared" si="70"/>
        <v>979.84</v>
      </c>
      <c r="V575" s="8">
        <v>0.17399999999999999</v>
      </c>
      <c r="W575" s="8">
        <f t="shared" si="71"/>
        <v>0.17399999999999999</v>
      </c>
      <c r="X575">
        <v>10</v>
      </c>
    </row>
    <row r="576" spans="1:24" x14ac:dyDescent="0.35">
      <c r="A576" s="4" t="s">
        <v>52</v>
      </c>
      <c r="B576" s="5" t="str">
        <f>IF(COUNTIF($A$2:A576,A576)=1,"Original","Duplicate")</f>
        <v>Original</v>
      </c>
      <c r="C576" s="7">
        <v>45832</v>
      </c>
      <c r="D576" s="7">
        <v>45848</v>
      </c>
      <c r="E576" s="7" t="str">
        <f t="shared" si="64"/>
        <v>Valid</v>
      </c>
      <c r="F576" s="7">
        <f t="shared" si="65"/>
        <v>45848</v>
      </c>
      <c r="G576">
        <f t="shared" si="66"/>
        <v>16</v>
      </c>
      <c r="H576" t="s">
        <v>647</v>
      </c>
      <c r="I576" t="s">
        <v>659</v>
      </c>
      <c r="J576" t="s">
        <v>685</v>
      </c>
      <c r="K576" t="str">
        <f t="shared" si="67"/>
        <v>Shanghai</v>
      </c>
      <c r="L576" t="s">
        <v>706</v>
      </c>
      <c r="M576" t="s">
        <v>711</v>
      </c>
      <c r="N576" t="str">
        <f t="shared" si="68"/>
        <v>Direct</v>
      </c>
      <c r="O576" t="s">
        <v>725</v>
      </c>
      <c r="P576" t="str">
        <f t="shared" si="69"/>
        <v>N. Brown</v>
      </c>
      <c r="Q576" t="s">
        <v>727</v>
      </c>
      <c r="R576" t="s">
        <v>771</v>
      </c>
      <c r="S576" s="23">
        <v>757.19</v>
      </c>
      <c r="T576" s="23">
        <v>1735.41</v>
      </c>
      <c r="U576" s="23">
        <f t="shared" si="70"/>
        <v>1735.41</v>
      </c>
      <c r="V576" s="8">
        <v>0.13600000000000001</v>
      </c>
      <c r="W576" s="8">
        <f t="shared" si="71"/>
        <v>0.13600000000000001</v>
      </c>
      <c r="X576">
        <v>8</v>
      </c>
    </row>
    <row r="577" spans="1:24" x14ac:dyDescent="0.35">
      <c r="A577" s="4" t="s">
        <v>291</v>
      </c>
      <c r="B577" s="5" t="str">
        <f>IF(COUNTIF($A$2:A577,A577)=1,"Original","Duplicate")</f>
        <v>Original</v>
      </c>
      <c r="C577" s="7">
        <v>45832</v>
      </c>
      <c r="D577" s="7">
        <v>45852</v>
      </c>
      <c r="E577" s="7" t="str">
        <f t="shared" si="64"/>
        <v>Valid</v>
      </c>
      <c r="F577" s="7">
        <f t="shared" si="65"/>
        <v>45852</v>
      </c>
      <c r="G577">
        <f t="shared" si="66"/>
        <v>20</v>
      </c>
      <c r="H577" t="s">
        <v>649</v>
      </c>
      <c r="I577" t="s">
        <v>656</v>
      </c>
      <c r="J577" t="s">
        <v>671</v>
      </c>
      <c r="K577" t="str">
        <f t="shared" si="67"/>
        <v>Berlin</v>
      </c>
      <c r="L577" t="s">
        <v>701</v>
      </c>
      <c r="M577" t="s">
        <v>711</v>
      </c>
      <c r="N577" t="str">
        <f t="shared" si="68"/>
        <v>Direct</v>
      </c>
      <c r="O577" t="s">
        <v>719</v>
      </c>
      <c r="P577" t="str">
        <f t="shared" si="69"/>
        <v>O. Wang</v>
      </c>
      <c r="Q577" t="s">
        <v>733</v>
      </c>
      <c r="R577" t="s">
        <v>1011</v>
      </c>
      <c r="S577" s="23">
        <v>385.08</v>
      </c>
      <c r="T577" s="23">
        <v>893.19</v>
      </c>
      <c r="U577" s="23">
        <f t="shared" si="70"/>
        <v>893.19</v>
      </c>
      <c r="V577" s="8">
        <v>0.151</v>
      </c>
      <c r="W577" s="8">
        <f t="shared" si="71"/>
        <v>0.151</v>
      </c>
      <c r="X577">
        <v>8</v>
      </c>
    </row>
    <row r="578" spans="1:24" x14ac:dyDescent="0.35">
      <c r="A578" s="4" t="s">
        <v>383</v>
      </c>
      <c r="B578" s="5" t="str">
        <f>IF(COUNTIF($A$2:A578,A578)=1,"Original","Duplicate")</f>
        <v>Original</v>
      </c>
      <c r="C578" s="7">
        <v>45832</v>
      </c>
      <c r="D578" s="7">
        <v>45861</v>
      </c>
      <c r="E578" s="7" t="str">
        <f t="shared" si="64"/>
        <v>Valid</v>
      </c>
      <c r="F578" s="7">
        <f t="shared" si="65"/>
        <v>45861</v>
      </c>
      <c r="G578">
        <f t="shared" si="66"/>
        <v>29</v>
      </c>
      <c r="H578" t="s">
        <v>648</v>
      </c>
      <c r="I578" t="s">
        <v>653</v>
      </c>
      <c r="J578" t="s">
        <v>688</v>
      </c>
      <c r="K578" t="str">
        <f t="shared" si="67"/>
        <v>Vancouver</v>
      </c>
      <c r="L578" t="s">
        <v>703</v>
      </c>
      <c r="M578" t="s">
        <v>709</v>
      </c>
      <c r="N578" t="str">
        <f t="shared" si="68"/>
        <v>Marketplace</v>
      </c>
      <c r="O578" t="s">
        <v>714</v>
      </c>
      <c r="P578" t="str">
        <f t="shared" si="69"/>
        <v>I. Johnson</v>
      </c>
      <c r="Q578" t="s">
        <v>728</v>
      </c>
      <c r="R578" t="s">
        <v>1103</v>
      </c>
      <c r="S578" s="23">
        <v>255.4</v>
      </c>
      <c r="T578" s="23">
        <v>322.70999999999998</v>
      </c>
      <c r="U578" s="23">
        <f t="shared" si="70"/>
        <v>322.70999999999998</v>
      </c>
      <c r="V578" s="8">
        <v>0.115</v>
      </c>
      <c r="W578" s="8">
        <f t="shared" si="71"/>
        <v>0.115</v>
      </c>
      <c r="X578">
        <v>16</v>
      </c>
    </row>
    <row r="579" spans="1:24" x14ac:dyDescent="0.35">
      <c r="A579" s="4" t="s">
        <v>548</v>
      </c>
      <c r="B579" s="5" t="str">
        <f>IF(COUNTIF($A$2:A579,A579)=1,"Original","Duplicate")</f>
        <v>Original</v>
      </c>
      <c r="C579" s="7">
        <v>45832</v>
      </c>
      <c r="D579" s="7">
        <v>45852</v>
      </c>
      <c r="E579" s="7" t="str">
        <f t="shared" ref="E579:E632" si="72">IF(D579&lt;C579,"Invalid","Valid")</f>
        <v>Valid</v>
      </c>
      <c r="F579" s="7">
        <f t="shared" ref="F579:F632" si="73">IF(D579&gt;C579,D579,WORKDAY(C579,5))</f>
        <v>45852</v>
      </c>
      <c r="G579">
        <f t="shared" ref="G579:G632" si="74">F579-C579</f>
        <v>20</v>
      </c>
      <c r="H579" t="s">
        <v>646</v>
      </c>
      <c r="I579" t="s">
        <v>661</v>
      </c>
      <c r="J579" t="s">
        <v>682</v>
      </c>
      <c r="K579" t="str">
        <f t="shared" ref="K579:K632" si="75">IF(J579="", "Unknown", J579)</f>
        <v>Johannesburg</v>
      </c>
      <c r="L579" t="s">
        <v>706</v>
      </c>
      <c r="M579" t="s">
        <v>709</v>
      </c>
      <c r="N579" t="str">
        <f t="shared" ref="N579:N632" si="76">IF(M579="", "Unknown", M579)</f>
        <v>Marketplace</v>
      </c>
      <c r="O579" t="s">
        <v>713</v>
      </c>
      <c r="P579" t="str">
        <f t="shared" ref="P579:P632" si="77">IF(O579="","Unassigned",O579)</f>
        <v>J. Njeri</v>
      </c>
      <c r="Q579" t="s">
        <v>731</v>
      </c>
      <c r="R579" t="s">
        <v>1267</v>
      </c>
      <c r="S579" s="23">
        <v>1151.06</v>
      </c>
      <c r="T579" s="23">
        <v>2821.36</v>
      </c>
      <c r="U579" s="23">
        <f t="shared" ref="U579:U632" si="78">IF(T579&gt;0,T579,S579*1.2)</f>
        <v>2821.36</v>
      </c>
      <c r="V579" s="8">
        <v>0.248</v>
      </c>
      <c r="W579" s="8">
        <f t="shared" ref="W579:W632" si="79">IF(V579&lt;0.3,V579,0.3)</f>
        <v>0.248</v>
      </c>
      <c r="X579">
        <v>20</v>
      </c>
    </row>
    <row r="580" spans="1:24" x14ac:dyDescent="0.35">
      <c r="A580" s="4" t="s">
        <v>375</v>
      </c>
      <c r="B580" s="5" t="str">
        <f>IF(COUNTIF($A$2:A580,A580)=1,"Original","Duplicate")</f>
        <v>Original</v>
      </c>
      <c r="C580" s="7">
        <v>45833</v>
      </c>
      <c r="D580" s="7">
        <v>45848</v>
      </c>
      <c r="E580" s="7" t="str">
        <f t="shared" si="72"/>
        <v>Valid</v>
      </c>
      <c r="F580" s="7">
        <f t="shared" si="73"/>
        <v>45848</v>
      </c>
      <c r="G580">
        <f t="shared" si="74"/>
        <v>15</v>
      </c>
      <c r="H580" t="s">
        <v>649</v>
      </c>
      <c r="I580" t="s">
        <v>658</v>
      </c>
      <c r="J580" t="s">
        <v>674</v>
      </c>
      <c r="K580" t="str">
        <f t="shared" si="75"/>
        <v>Birmingham</v>
      </c>
      <c r="L580" t="s">
        <v>703</v>
      </c>
      <c r="M580" t="s">
        <v>709</v>
      </c>
      <c r="N580" t="str">
        <f t="shared" si="76"/>
        <v>Marketplace</v>
      </c>
      <c r="O580" t="s">
        <v>726</v>
      </c>
      <c r="P580" t="str">
        <f t="shared" si="77"/>
        <v>D. Smith</v>
      </c>
      <c r="Q580" t="s">
        <v>730</v>
      </c>
      <c r="R580" t="s">
        <v>1095</v>
      </c>
      <c r="S580" s="23">
        <v>546.83000000000004</v>
      </c>
      <c r="T580" s="23">
        <v>400.84</v>
      </c>
      <c r="U580" s="23">
        <f t="shared" si="78"/>
        <v>400.84</v>
      </c>
      <c r="V580" s="8">
        <v>7.8E-2</v>
      </c>
      <c r="W580" s="8">
        <f t="shared" si="79"/>
        <v>7.8E-2</v>
      </c>
      <c r="X580">
        <v>13</v>
      </c>
    </row>
    <row r="581" spans="1:24" x14ac:dyDescent="0.35">
      <c r="A581" s="4" t="s">
        <v>581</v>
      </c>
      <c r="B581" s="5" t="str">
        <f>IF(COUNTIF($A$2:A581,A581)=1,"Original","Duplicate")</f>
        <v>Original</v>
      </c>
      <c r="C581" s="7">
        <v>45834</v>
      </c>
      <c r="D581" s="7">
        <v>45849</v>
      </c>
      <c r="E581" s="7" t="str">
        <f t="shared" si="72"/>
        <v>Valid</v>
      </c>
      <c r="F581" s="7">
        <f t="shared" si="73"/>
        <v>45849</v>
      </c>
      <c r="G581">
        <f t="shared" si="74"/>
        <v>15</v>
      </c>
      <c r="H581" t="s">
        <v>646</v>
      </c>
      <c r="I581" t="s">
        <v>651</v>
      </c>
      <c r="J581" t="s">
        <v>663</v>
      </c>
      <c r="K581" t="str">
        <f t="shared" si="75"/>
        <v>Port Harcourt</v>
      </c>
      <c r="L581" t="s">
        <v>705</v>
      </c>
      <c r="M581" t="s">
        <v>708</v>
      </c>
      <c r="N581" t="str">
        <f t="shared" si="76"/>
        <v>Online</v>
      </c>
      <c r="O581" t="s">
        <v>720</v>
      </c>
      <c r="P581" t="str">
        <f t="shared" si="77"/>
        <v>A. Patel</v>
      </c>
      <c r="Q581" t="s">
        <v>731</v>
      </c>
      <c r="R581" t="s">
        <v>1299</v>
      </c>
      <c r="S581" s="23">
        <v>1170.1500000000001</v>
      </c>
      <c r="T581" s="23">
        <v>2115.19</v>
      </c>
      <c r="U581" s="23">
        <f t="shared" si="78"/>
        <v>2115.19</v>
      </c>
      <c r="V581" s="8">
        <v>9.1999999999999998E-2</v>
      </c>
      <c r="W581" s="8">
        <f t="shared" si="79"/>
        <v>9.1999999999999998E-2</v>
      </c>
      <c r="X581">
        <v>23</v>
      </c>
    </row>
    <row r="582" spans="1:24" x14ac:dyDescent="0.35">
      <c r="A582" s="4" t="s">
        <v>272</v>
      </c>
      <c r="B582" s="5" t="str">
        <f>IF(COUNTIF($A$2:A582,A582)=1,"Original","Duplicate")</f>
        <v>Original</v>
      </c>
      <c r="C582" s="7">
        <v>45835</v>
      </c>
      <c r="D582" s="7">
        <v>45843</v>
      </c>
      <c r="E582" s="7" t="str">
        <f t="shared" si="72"/>
        <v>Valid</v>
      </c>
      <c r="F582" s="7">
        <f t="shared" si="73"/>
        <v>45843</v>
      </c>
      <c r="G582">
        <f t="shared" si="74"/>
        <v>8</v>
      </c>
      <c r="H582" t="s">
        <v>649</v>
      </c>
      <c r="I582" t="s">
        <v>656</v>
      </c>
      <c r="J582" t="s">
        <v>684</v>
      </c>
      <c r="K582" t="str">
        <f t="shared" si="75"/>
        <v>Munich</v>
      </c>
      <c r="L582" t="s">
        <v>705</v>
      </c>
      <c r="M582" t="s">
        <v>711</v>
      </c>
      <c r="N582" t="str">
        <f t="shared" si="76"/>
        <v>Direct</v>
      </c>
      <c r="O582" t="s">
        <v>715</v>
      </c>
      <c r="P582" t="str">
        <f t="shared" si="77"/>
        <v>G. Dubois</v>
      </c>
      <c r="Q582" t="s">
        <v>732</v>
      </c>
      <c r="R582" t="s">
        <v>992</v>
      </c>
      <c r="S582" s="23">
        <v>314.93</v>
      </c>
      <c r="T582" s="23">
        <v>687.95</v>
      </c>
      <c r="U582" s="23">
        <f t="shared" si="78"/>
        <v>687.95</v>
      </c>
      <c r="V582" s="8">
        <v>0.20499999999999999</v>
      </c>
      <c r="W582" s="8">
        <f t="shared" si="79"/>
        <v>0.20499999999999999</v>
      </c>
      <c r="X582">
        <v>8</v>
      </c>
    </row>
    <row r="583" spans="1:24" x14ac:dyDescent="0.35">
      <c r="A583" s="4" t="s">
        <v>390</v>
      </c>
      <c r="B583" s="5" t="str">
        <f>IF(COUNTIF($A$2:A583,A583)=1,"Original","Duplicate")</f>
        <v>Original</v>
      </c>
      <c r="C583" s="7">
        <v>45835</v>
      </c>
      <c r="D583" s="7">
        <v>45849</v>
      </c>
      <c r="E583" s="7" t="str">
        <f t="shared" si="72"/>
        <v>Valid</v>
      </c>
      <c r="F583" s="7">
        <f t="shared" si="73"/>
        <v>45849</v>
      </c>
      <c r="G583">
        <f t="shared" si="74"/>
        <v>14</v>
      </c>
      <c r="H583" t="s">
        <v>647</v>
      </c>
      <c r="I583" t="s">
        <v>659</v>
      </c>
      <c r="J583" t="s">
        <v>685</v>
      </c>
      <c r="K583" t="str">
        <f t="shared" si="75"/>
        <v>Shanghai</v>
      </c>
      <c r="L583" t="s">
        <v>705</v>
      </c>
      <c r="M583" t="s">
        <v>709</v>
      </c>
      <c r="N583" t="str">
        <f t="shared" si="76"/>
        <v>Marketplace</v>
      </c>
      <c r="O583" t="s">
        <v>716</v>
      </c>
      <c r="P583" t="str">
        <f t="shared" si="77"/>
        <v>L. Okafor</v>
      </c>
      <c r="Q583" t="s">
        <v>729</v>
      </c>
      <c r="R583" t="s">
        <v>1110</v>
      </c>
      <c r="S583" s="23">
        <v>1227.7</v>
      </c>
      <c r="T583" s="23">
        <v>2197.23</v>
      </c>
      <c r="U583" s="23">
        <f t="shared" si="78"/>
        <v>2197.23</v>
      </c>
      <c r="V583" s="8">
        <v>9.9000000000000005E-2</v>
      </c>
      <c r="W583" s="8">
        <f t="shared" si="79"/>
        <v>9.9000000000000005E-2</v>
      </c>
      <c r="X583">
        <v>22</v>
      </c>
    </row>
    <row r="584" spans="1:24" x14ac:dyDescent="0.35">
      <c r="A584" s="4" t="s">
        <v>436</v>
      </c>
      <c r="B584" s="5" t="str">
        <f>IF(COUNTIF($A$2:A584,A584)=1,"Original","Duplicate")</f>
        <v>Original</v>
      </c>
      <c r="C584" s="7">
        <v>45841</v>
      </c>
      <c r="D584" s="7">
        <v>45844</v>
      </c>
      <c r="E584" s="7" t="str">
        <f t="shared" si="72"/>
        <v>Valid</v>
      </c>
      <c r="F584" s="7">
        <f t="shared" si="73"/>
        <v>45844</v>
      </c>
      <c r="G584">
        <f t="shared" si="74"/>
        <v>3</v>
      </c>
      <c r="H584" t="s">
        <v>646</v>
      </c>
      <c r="I584" t="s">
        <v>651</v>
      </c>
      <c r="J584" t="s">
        <v>665</v>
      </c>
      <c r="K584" t="str">
        <f t="shared" si="75"/>
        <v>Lagos</v>
      </c>
      <c r="L584" t="s">
        <v>704</v>
      </c>
      <c r="M584" t="s">
        <v>708</v>
      </c>
      <c r="N584" t="str">
        <f t="shared" si="76"/>
        <v>Online</v>
      </c>
      <c r="P584" t="str">
        <f t="shared" si="77"/>
        <v>Unassigned</v>
      </c>
      <c r="Q584" t="s">
        <v>731</v>
      </c>
      <c r="R584" t="s">
        <v>1155</v>
      </c>
      <c r="S584" s="23">
        <v>1313.3</v>
      </c>
      <c r="T584" s="23">
        <v>2884.34</v>
      </c>
      <c r="U584" s="23">
        <f t="shared" si="78"/>
        <v>2884.34</v>
      </c>
      <c r="V584" s="8">
        <v>0.157</v>
      </c>
      <c r="W584" s="8">
        <f t="shared" si="79"/>
        <v>0.157</v>
      </c>
      <c r="X584">
        <v>42</v>
      </c>
    </row>
    <row r="585" spans="1:24" x14ac:dyDescent="0.35">
      <c r="A585" s="4" t="s">
        <v>486</v>
      </c>
      <c r="B585" s="5" t="str">
        <f>IF(COUNTIF($A$2:A585,A585)=1,"Original","Duplicate")</f>
        <v>Original</v>
      </c>
      <c r="C585" s="7">
        <v>45841</v>
      </c>
      <c r="D585" s="7">
        <v>45861</v>
      </c>
      <c r="E585" s="7" t="str">
        <f t="shared" si="72"/>
        <v>Valid</v>
      </c>
      <c r="F585" s="7">
        <f t="shared" si="73"/>
        <v>45861</v>
      </c>
      <c r="G585">
        <f t="shared" si="74"/>
        <v>20</v>
      </c>
      <c r="H585" t="s">
        <v>647</v>
      </c>
      <c r="I585" t="s">
        <v>659</v>
      </c>
      <c r="J585" t="s">
        <v>699</v>
      </c>
      <c r="K585" t="str">
        <f t="shared" si="75"/>
        <v>Beijing</v>
      </c>
      <c r="L585" t="s">
        <v>705</v>
      </c>
      <c r="M585" t="s">
        <v>708</v>
      </c>
      <c r="N585" t="str">
        <f t="shared" si="76"/>
        <v>Online</v>
      </c>
      <c r="O585" t="s">
        <v>724</v>
      </c>
      <c r="P585" t="str">
        <f t="shared" si="77"/>
        <v>M. Rossi</v>
      </c>
      <c r="Q585" t="s">
        <v>727</v>
      </c>
      <c r="R585" t="s">
        <v>1205</v>
      </c>
      <c r="S585" s="23">
        <v>647.36</v>
      </c>
      <c r="T585" s="23">
        <v>1383.6</v>
      </c>
      <c r="U585" s="23">
        <f t="shared" si="78"/>
        <v>1383.6</v>
      </c>
      <c r="V585" s="8">
        <v>7.3999999999999996E-2</v>
      </c>
      <c r="W585" s="8">
        <f t="shared" si="79"/>
        <v>7.3999999999999996E-2</v>
      </c>
      <c r="X585">
        <v>12</v>
      </c>
    </row>
    <row r="586" spans="1:24" x14ac:dyDescent="0.35">
      <c r="A586" s="4" t="s">
        <v>134</v>
      </c>
      <c r="B586" s="5" t="str">
        <f>IF(COUNTIF($A$2:A586,A586)=1,"Original","Duplicate")</f>
        <v>Original</v>
      </c>
      <c r="C586" s="7">
        <v>45847</v>
      </c>
      <c r="D586" s="7">
        <v>45856</v>
      </c>
      <c r="E586" s="7" t="str">
        <f t="shared" si="72"/>
        <v>Valid</v>
      </c>
      <c r="F586" s="7">
        <f t="shared" si="73"/>
        <v>45856</v>
      </c>
      <c r="G586">
        <f t="shared" si="74"/>
        <v>9</v>
      </c>
      <c r="H586" t="s">
        <v>648</v>
      </c>
      <c r="I586" t="s">
        <v>653</v>
      </c>
      <c r="J586" t="s">
        <v>688</v>
      </c>
      <c r="K586" t="str">
        <f t="shared" si="75"/>
        <v>Vancouver</v>
      </c>
      <c r="L586" t="s">
        <v>702</v>
      </c>
      <c r="M586" t="s">
        <v>710</v>
      </c>
      <c r="N586" t="str">
        <f t="shared" si="76"/>
        <v>Distributor</v>
      </c>
      <c r="O586" t="s">
        <v>714</v>
      </c>
      <c r="P586" t="str">
        <f t="shared" si="77"/>
        <v>I. Johnson</v>
      </c>
      <c r="Q586" t="s">
        <v>731</v>
      </c>
      <c r="R586" t="s">
        <v>853</v>
      </c>
      <c r="S586" s="23">
        <v>57.96</v>
      </c>
      <c r="T586" s="23">
        <v>88.51</v>
      </c>
      <c r="U586" s="23">
        <f t="shared" si="78"/>
        <v>88.51</v>
      </c>
      <c r="V586" s="8">
        <v>4.2999999999999997E-2</v>
      </c>
      <c r="W586" s="8">
        <f t="shared" si="79"/>
        <v>4.2999999999999997E-2</v>
      </c>
      <c r="X586">
        <v>7</v>
      </c>
    </row>
    <row r="587" spans="1:24" x14ac:dyDescent="0.35">
      <c r="A587" s="4" t="s">
        <v>594</v>
      </c>
      <c r="B587" s="5" t="str">
        <f>IF(COUNTIF($A$2:A587,A587)=1,"Original","Duplicate")</f>
        <v>Original</v>
      </c>
      <c r="C587" s="7">
        <v>45849</v>
      </c>
      <c r="D587" s="7">
        <v>45872</v>
      </c>
      <c r="E587" s="7" t="str">
        <f t="shared" si="72"/>
        <v>Valid</v>
      </c>
      <c r="F587" s="7">
        <f t="shared" si="73"/>
        <v>45872</v>
      </c>
      <c r="G587">
        <f t="shared" si="74"/>
        <v>23</v>
      </c>
      <c r="H587" t="s">
        <v>646</v>
      </c>
      <c r="I587" t="s">
        <v>650</v>
      </c>
      <c r="J587" t="s">
        <v>678</v>
      </c>
      <c r="K587" t="str">
        <f t="shared" si="75"/>
        <v>Nakuru</v>
      </c>
      <c r="L587" t="s">
        <v>705</v>
      </c>
      <c r="M587" t="s">
        <v>707</v>
      </c>
      <c r="N587" t="str">
        <f t="shared" si="76"/>
        <v>Retail</v>
      </c>
      <c r="O587" t="s">
        <v>712</v>
      </c>
      <c r="P587" t="str">
        <f t="shared" si="77"/>
        <v>C. Otieno</v>
      </c>
      <c r="Q587" t="s">
        <v>730</v>
      </c>
      <c r="R587" t="s">
        <v>1312</v>
      </c>
      <c r="S587" s="23">
        <v>389.93</v>
      </c>
      <c r="T587" s="23">
        <v>486.13</v>
      </c>
      <c r="U587" s="23">
        <f t="shared" si="78"/>
        <v>486.13</v>
      </c>
      <c r="V587" s="8">
        <v>0.13200000000000001</v>
      </c>
      <c r="W587" s="8">
        <f t="shared" si="79"/>
        <v>0.13200000000000001</v>
      </c>
      <c r="X587">
        <v>17</v>
      </c>
    </row>
    <row r="588" spans="1:24" x14ac:dyDescent="0.35">
      <c r="A588" s="4" t="s">
        <v>632</v>
      </c>
      <c r="B588" s="5" t="str">
        <f>IF(COUNTIF($A$2:A588,A588)=1,"Original","Duplicate")</f>
        <v>Original</v>
      </c>
      <c r="C588" s="7">
        <v>45849</v>
      </c>
      <c r="D588" s="7">
        <v>45854</v>
      </c>
      <c r="E588" s="7" t="str">
        <f t="shared" si="72"/>
        <v>Valid</v>
      </c>
      <c r="F588" s="7">
        <f t="shared" si="73"/>
        <v>45854</v>
      </c>
      <c r="G588">
        <f t="shared" si="74"/>
        <v>5</v>
      </c>
      <c r="H588" t="s">
        <v>649</v>
      </c>
      <c r="I588" t="s">
        <v>658</v>
      </c>
      <c r="J588" t="s">
        <v>683</v>
      </c>
      <c r="K588" t="str">
        <f t="shared" si="75"/>
        <v>London</v>
      </c>
      <c r="L588" t="s">
        <v>706</v>
      </c>
      <c r="M588" t="s">
        <v>708</v>
      </c>
      <c r="N588" t="str">
        <f t="shared" si="76"/>
        <v>Online</v>
      </c>
      <c r="O588" t="s">
        <v>723</v>
      </c>
      <c r="P588" t="str">
        <f t="shared" si="77"/>
        <v>K. Singh</v>
      </c>
      <c r="Q588" t="s">
        <v>728</v>
      </c>
      <c r="R588" t="s">
        <v>1350</v>
      </c>
      <c r="S588" s="23">
        <v>930.03</v>
      </c>
      <c r="T588" s="23">
        <v>1086.68</v>
      </c>
      <c r="U588" s="23">
        <f t="shared" si="78"/>
        <v>1086.68</v>
      </c>
      <c r="V588" s="8">
        <v>0.109</v>
      </c>
      <c r="W588" s="8">
        <f t="shared" si="79"/>
        <v>0.109</v>
      </c>
      <c r="X588">
        <v>26</v>
      </c>
    </row>
    <row r="589" spans="1:24" x14ac:dyDescent="0.35">
      <c r="A589" s="4" t="s">
        <v>225</v>
      </c>
      <c r="B589" s="5" t="str">
        <f>IF(COUNTIF($A$2:A589,A589)=1,"Original","Duplicate")</f>
        <v>Original</v>
      </c>
      <c r="C589" s="7">
        <v>45852</v>
      </c>
      <c r="D589" s="7">
        <v>45873</v>
      </c>
      <c r="E589" s="7" t="str">
        <f t="shared" si="72"/>
        <v>Valid</v>
      </c>
      <c r="F589" s="7">
        <f t="shared" si="73"/>
        <v>45873</v>
      </c>
      <c r="G589">
        <f t="shared" si="74"/>
        <v>21</v>
      </c>
      <c r="H589" t="s">
        <v>648</v>
      </c>
      <c r="I589" t="s">
        <v>653</v>
      </c>
      <c r="J589" t="s">
        <v>681</v>
      </c>
      <c r="K589" t="str">
        <f t="shared" si="75"/>
        <v>Montreal</v>
      </c>
      <c r="L589" t="s">
        <v>704</v>
      </c>
      <c r="M589" t="s">
        <v>708</v>
      </c>
      <c r="N589" t="str">
        <f t="shared" si="76"/>
        <v>Online</v>
      </c>
      <c r="O589" t="s">
        <v>722</v>
      </c>
      <c r="P589" t="str">
        <f t="shared" si="77"/>
        <v>H. Kim</v>
      </c>
      <c r="Q589" t="s">
        <v>732</v>
      </c>
      <c r="R589" t="s">
        <v>945</v>
      </c>
      <c r="S589" s="23">
        <v>90.3</v>
      </c>
      <c r="T589" s="23">
        <v>131.76</v>
      </c>
      <c r="U589" s="23">
        <f t="shared" si="78"/>
        <v>131.76</v>
      </c>
      <c r="V589" s="8">
        <v>0.10199999999999999</v>
      </c>
      <c r="W589" s="8">
        <f t="shared" si="79"/>
        <v>0.10199999999999999</v>
      </c>
      <c r="X589">
        <v>15</v>
      </c>
    </row>
    <row r="590" spans="1:24" x14ac:dyDescent="0.35">
      <c r="A590" s="4" t="s">
        <v>237</v>
      </c>
      <c r="B590" s="5" t="str">
        <f>IF(COUNTIF($A$2:A590,A590)=1,"Original","Duplicate")</f>
        <v>Original</v>
      </c>
      <c r="C590" s="7">
        <v>45854</v>
      </c>
      <c r="D590" s="7">
        <v>45855</v>
      </c>
      <c r="E590" s="7" t="str">
        <f t="shared" si="72"/>
        <v>Valid</v>
      </c>
      <c r="F590" s="7">
        <f t="shared" si="73"/>
        <v>45855</v>
      </c>
      <c r="G590">
        <f t="shared" si="74"/>
        <v>1</v>
      </c>
      <c r="H590" t="s">
        <v>646</v>
      </c>
      <c r="I590" t="s">
        <v>661</v>
      </c>
      <c r="J590" t="s">
        <v>687</v>
      </c>
      <c r="K590" t="str">
        <f t="shared" si="75"/>
        <v>Durban</v>
      </c>
      <c r="L590" t="s">
        <v>705</v>
      </c>
      <c r="M590" t="s">
        <v>710</v>
      </c>
      <c r="N590" t="str">
        <f t="shared" si="76"/>
        <v>Distributor</v>
      </c>
      <c r="O590" t="s">
        <v>717</v>
      </c>
      <c r="P590" t="str">
        <f t="shared" si="77"/>
        <v>B. Chen</v>
      </c>
      <c r="Q590" t="s">
        <v>729</v>
      </c>
      <c r="R590" t="s">
        <v>957</v>
      </c>
      <c r="S590" s="23">
        <v>1198.9000000000001</v>
      </c>
      <c r="T590" s="23">
        <v>2941.2</v>
      </c>
      <c r="U590" s="23">
        <f t="shared" si="78"/>
        <v>2941.2</v>
      </c>
      <c r="V590" s="8">
        <v>5.0999999999999997E-2</v>
      </c>
      <c r="W590" s="8">
        <f t="shared" si="79"/>
        <v>5.0999999999999997E-2</v>
      </c>
      <c r="X590">
        <v>24</v>
      </c>
    </row>
    <row r="591" spans="1:24" x14ac:dyDescent="0.35">
      <c r="A591" s="4" t="s">
        <v>251</v>
      </c>
      <c r="B591" s="5" t="str">
        <f>IF(COUNTIF($A$2:A591,A591)=1,"Original","Duplicate")</f>
        <v>Original</v>
      </c>
      <c r="C591" s="7">
        <v>45855</v>
      </c>
      <c r="D591" s="7">
        <v>45861</v>
      </c>
      <c r="E591" s="7" t="str">
        <f t="shared" si="72"/>
        <v>Valid</v>
      </c>
      <c r="F591" s="7">
        <f t="shared" si="73"/>
        <v>45861</v>
      </c>
      <c r="G591">
        <f t="shared" si="74"/>
        <v>6</v>
      </c>
      <c r="H591" t="s">
        <v>648</v>
      </c>
      <c r="I591" t="s">
        <v>653</v>
      </c>
      <c r="J591" t="s">
        <v>688</v>
      </c>
      <c r="K591" t="str">
        <f t="shared" si="75"/>
        <v>Vancouver</v>
      </c>
      <c r="L591" t="s">
        <v>704</v>
      </c>
      <c r="M591" t="s">
        <v>708</v>
      </c>
      <c r="N591" t="str">
        <f t="shared" si="76"/>
        <v>Online</v>
      </c>
      <c r="O591" t="s">
        <v>722</v>
      </c>
      <c r="P591" t="str">
        <f t="shared" si="77"/>
        <v>H. Kim</v>
      </c>
      <c r="Q591" t="s">
        <v>727</v>
      </c>
      <c r="R591" t="s">
        <v>971</v>
      </c>
      <c r="S591" s="23">
        <v>1364.89</v>
      </c>
      <c r="T591" s="23">
        <v>2757.54</v>
      </c>
      <c r="U591" s="23">
        <f t="shared" si="78"/>
        <v>2757.54</v>
      </c>
      <c r="V591" s="8">
        <v>0.17199999999999999</v>
      </c>
      <c r="W591" s="8">
        <f t="shared" si="79"/>
        <v>0.17199999999999999</v>
      </c>
      <c r="X591">
        <v>61</v>
      </c>
    </row>
    <row r="592" spans="1:24" x14ac:dyDescent="0.35">
      <c r="A592" s="4" t="s">
        <v>637</v>
      </c>
      <c r="B592" s="5" t="str">
        <f>IF(COUNTIF($A$2:A592,A592)=1,"Original","Duplicate")</f>
        <v>Original</v>
      </c>
      <c r="C592" s="7">
        <v>45857</v>
      </c>
      <c r="D592" s="7">
        <v>45869</v>
      </c>
      <c r="E592" s="7" t="str">
        <f t="shared" si="72"/>
        <v>Valid</v>
      </c>
      <c r="F592" s="7">
        <f t="shared" si="73"/>
        <v>45869</v>
      </c>
      <c r="G592">
        <f t="shared" si="74"/>
        <v>12</v>
      </c>
      <c r="H592" t="s">
        <v>646</v>
      </c>
      <c r="I592" t="s">
        <v>650</v>
      </c>
      <c r="J592" t="s">
        <v>664</v>
      </c>
      <c r="K592" t="str">
        <f t="shared" si="75"/>
        <v>Nairobi</v>
      </c>
      <c r="L592" t="s">
        <v>705</v>
      </c>
      <c r="M592" t="s">
        <v>709</v>
      </c>
      <c r="N592" t="str">
        <f t="shared" si="76"/>
        <v>Marketplace</v>
      </c>
      <c r="O592" t="s">
        <v>719</v>
      </c>
      <c r="P592" t="str">
        <f t="shared" si="77"/>
        <v>O. Wang</v>
      </c>
      <c r="Q592" t="s">
        <v>733</v>
      </c>
      <c r="R592" t="s">
        <v>1355</v>
      </c>
      <c r="S592" s="23">
        <v>619.64</v>
      </c>
      <c r="T592" s="23">
        <v>861.16</v>
      </c>
      <c r="U592" s="23">
        <f t="shared" si="78"/>
        <v>861.16</v>
      </c>
      <c r="V592" s="8">
        <v>0.113</v>
      </c>
      <c r="W592" s="8">
        <f t="shared" si="79"/>
        <v>0.113</v>
      </c>
      <c r="X592">
        <v>14</v>
      </c>
    </row>
    <row r="593" spans="1:24" x14ac:dyDescent="0.35">
      <c r="A593" s="4" t="s">
        <v>33</v>
      </c>
      <c r="B593" s="5" t="str">
        <f>IF(COUNTIF($A$2:A593,A593)=1,"Original","Duplicate")</f>
        <v>Original</v>
      </c>
      <c r="C593" s="7">
        <v>45858</v>
      </c>
      <c r="D593" s="7">
        <v>45874</v>
      </c>
      <c r="E593" s="7" t="str">
        <f t="shared" si="72"/>
        <v>Valid</v>
      </c>
      <c r="F593" s="7">
        <f t="shared" si="73"/>
        <v>45874</v>
      </c>
      <c r="G593">
        <f t="shared" si="74"/>
        <v>16</v>
      </c>
      <c r="H593" t="s">
        <v>648</v>
      </c>
      <c r="I593" t="s">
        <v>655</v>
      </c>
      <c r="J593" t="s">
        <v>672</v>
      </c>
      <c r="K593" t="str">
        <f t="shared" si="75"/>
        <v>Brasília</v>
      </c>
      <c r="L593" t="s">
        <v>706</v>
      </c>
      <c r="M593" t="s">
        <v>709</v>
      </c>
      <c r="N593" t="str">
        <f t="shared" si="76"/>
        <v>Marketplace</v>
      </c>
      <c r="O593" t="s">
        <v>715</v>
      </c>
      <c r="P593" t="str">
        <f t="shared" si="77"/>
        <v>G. Dubois</v>
      </c>
      <c r="Q593" t="s">
        <v>733</v>
      </c>
      <c r="R593" t="s">
        <v>752</v>
      </c>
      <c r="S593" s="23">
        <v>1068.17</v>
      </c>
      <c r="T593" s="23">
        <v>2375.37</v>
      </c>
      <c r="U593" s="23">
        <f t="shared" si="78"/>
        <v>2375.37</v>
      </c>
      <c r="V593" s="8">
        <v>0.109</v>
      </c>
      <c r="W593" s="8">
        <f t="shared" si="79"/>
        <v>0.109</v>
      </c>
      <c r="X593">
        <v>18</v>
      </c>
    </row>
    <row r="594" spans="1:24" x14ac:dyDescent="0.35">
      <c r="A594" s="4" t="s">
        <v>223</v>
      </c>
      <c r="B594" s="5" t="str">
        <f>IF(COUNTIF($A$2:A594,A594)=1,"Original","Duplicate")</f>
        <v>Original</v>
      </c>
      <c r="C594" s="7">
        <v>45859</v>
      </c>
      <c r="D594" s="7">
        <v>45876</v>
      </c>
      <c r="E594" s="7" t="str">
        <f t="shared" si="72"/>
        <v>Valid</v>
      </c>
      <c r="F594" s="7">
        <f t="shared" si="73"/>
        <v>45876</v>
      </c>
      <c r="G594">
        <f t="shared" si="74"/>
        <v>17</v>
      </c>
      <c r="H594" t="s">
        <v>646</v>
      </c>
      <c r="I594" t="s">
        <v>651</v>
      </c>
      <c r="J594" t="s">
        <v>665</v>
      </c>
      <c r="K594" t="str">
        <f t="shared" si="75"/>
        <v>Lagos</v>
      </c>
      <c r="L594" t="s">
        <v>706</v>
      </c>
      <c r="M594" t="s">
        <v>711</v>
      </c>
      <c r="N594" t="str">
        <f t="shared" si="76"/>
        <v>Direct</v>
      </c>
      <c r="O594" t="s">
        <v>724</v>
      </c>
      <c r="P594" t="str">
        <f t="shared" si="77"/>
        <v>M. Rossi</v>
      </c>
      <c r="Q594" t="s">
        <v>733</v>
      </c>
      <c r="R594" t="s">
        <v>943</v>
      </c>
      <c r="S594" s="23">
        <v>1204.95</v>
      </c>
      <c r="T594" s="23">
        <v>2065.73</v>
      </c>
      <c r="U594" s="23">
        <f t="shared" si="78"/>
        <v>2065.73</v>
      </c>
      <c r="V594" s="8">
        <v>0.13600000000000001</v>
      </c>
      <c r="W594" s="8">
        <f t="shared" si="79"/>
        <v>0.13600000000000001</v>
      </c>
      <c r="X594">
        <v>10</v>
      </c>
    </row>
    <row r="595" spans="1:24" x14ac:dyDescent="0.35">
      <c r="A595" s="4" t="s">
        <v>113</v>
      </c>
      <c r="B595" s="5" t="str">
        <f>IF(COUNTIF($A$2:A595,A595)=1,"Original","Duplicate")</f>
        <v>Original</v>
      </c>
      <c r="C595" s="7">
        <v>45860</v>
      </c>
      <c r="D595" s="7">
        <v>45887</v>
      </c>
      <c r="E595" s="7" t="str">
        <f t="shared" si="72"/>
        <v>Valid</v>
      </c>
      <c r="F595" s="7">
        <f t="shared" si="73"/>
        <v>45887</v>
      </c>
      <c r="G595">
        <f t="shared" si="74"/>
        <v>27</v>
      </c>
      <c r="H595" t="s">
        <v>647</v>
      </c>
      <c r="I595" t="s">
        <v>659</v>
      </c>
      <c r="J595" t="s">
        <v>676</v>
      </c>
      <c r="K595" t="str">
        <f t="shared" si="75"/>
        <v>Shenzhen</v>
      </c>
      <c r="L595" t="s">
        <v>703</v>
      </c>
      <c r="M595" t="s">
        <v>709</v>
      </c>
      <c r="N595" t="str">
        <f t="shared" si="76"/>
        <v>Marketplace</v>
      </c>
      <c r="O595" t="s">
        <v>724</v>
      </c>
      <c r="P595" t="str">
        <f t="shared" si="77"/>
        <v>M. Rossi</v>
      </c>
      <c r="Q595" t="s">
        <v>729</v>
      </c>
      <c r="R595" t="s">
        <v>832</v>
      </c>
      <c r="S595" s="23">
        <v>547.32000000000005</v>
      </c>
      <c r="T595" s="23">
        <v>419.17</v>
      </c>
      <c r="U595" s="23">
        <f t="shared" si="78"/>
        <v>419.17</v>
      </c>
      <c r="V595" s="8">
        <v>9.1999999999999998E-2</v>
      </c>
      <c r="W595" s="8">
        <f t="shared" si="79"/>
        <v>9.1999999999999998E-2</v>
      </c>
      <c r="X595">
        <v>14</v>
      </c>
    </row>
    <row r="596" spans="1:24" x14ac:dyDescent="0.35">
      <c r="A596" s="4" t="s">
        <v>396</v>
      </c>
      <c r="B596" s="5" t="str">
        <f>IF(COUNTIF($A$2:A596,A596)=1,"Original","Duplicate")</f>
        <v>Original</v>
      </c>
      <c r="C596" s="7">
        <v>45861</v>
      </c>
      <c r="D596" s="7">
        <v>45886</v>
      </c>
      <c r="E596" s="7" t="str">
        <f t="shared" si="72"/>
        <v>Valid</v>
      </c>
      <c r="F596" s="7">
        <f t="shared" si="73"/>
        <v>45886</v>
      </c>
      <c r="G596">
        <f t="shared" si="74"/>
        <v>25</v>
      </c>
      <c r="H596" t="s">
        <v>649</v>
      </c>
      <c r="I596" t="s">
        <v>658</v>
      </c>
      <c r="J596" t="s">
        <v>674</v>
      </c>
      <c r="K596" t="str">
        <f t="shared" si="75"/>
        <v>Birmingham</v>
      </c>
      <c r="L596" t="s">
        <v>702</v>
      </c>
      <c r="M596" t="s">
        <v>708</v>
      </c>
      <c r="N596" t="str">
        <f t="shared" si="76"/>
        <v>Online</v>
      </c>
      <c r="O596" t="s">
        <v>714</v>
      </c>
      <c r="P596" t="str">
        <f t="shared" si="77"/>
        <v>I. Johnson</v>
      </c>
      <c r="Q596" t="s">
        <v>728</v>
      </c>
      <c r="R596" t="s">
        <v>1115</v>
      </c>
      <c r="S596" s="23">
        <v>1142.06</v>
      </c>
      <c r="T596" s="23">
        <v>1455</v>
      </c>
      <c r="U596" s="23">
        <f t="shared" si="78"/>
        <v>1455</v>
      </c>
      <c r="V596" s="8">
        <v>7.8E-2</v>
      </c>
      <c r="W596" s="8">
        <f t="shared" si="79"/>
        <v>7.8E-2</v>
      </c>
      <c r="X596">
        <v>28</v>
      </c>
    </row>
    <row r="597" spans="1:24" x14ac:dyDescent="0.35">
      <c r="A597" s="4" t="s">
        <v>506</v>
      </c>
      <c r="B597" s="5" t="str">
        <f>IF(COUNTIF($A$2:A597,A597)=1,"Original","Duplicate")</f>
        <v>Original</v>
      </c>
      <c r="C597" s="7">
        <v>45861</v>
      </c>
      <c r="D597" s="7">
        <v>45888</v>
      </c>
      <c r="E597" s="7" t="str">
        <f t="shared" si="72"/>
        <v>Valid</v>
      </c>
      <c r="F597" s="7">
        <f t="shared" si="73"/>
        <v>45888</v>
      </c>
      <c r="G597">
        <f t="shared" si="74"/>
        <v>27</v>
      </c>
      <c r="H597" t="s">
        <v>647</v>
      </c>
      <c r="I597" t="s">
        <v>652</v>
      </c>
      <c r="J597" t="s">
        <v>694</v>
      </c>
      <c r="K597" t="str">
        <f t="shared" si="75"/>
        <v>Nagoya</v>
      </c>
      <c r="L597" t="s">
        <v>704</v>
      </c>
      <c r="M597" t="s">
        <v>709</v>
      </c>
      <c r="N597" t="str">
        <f t="shared" si="76"/>
        <v>Marketplace</v>
      </c>
      <c r="O597" t="s">
        <v>717</v>
      </c>
      <c r="P597" t="str">
        <f t="shared" si="77"/>
        <v>B. Chen</v>
      </c>
      <c r="Q597" t="s">
        <v>733</v>
      </c>
      <c r="R597" t="s">
        <v>1225</v>
      </c>
      <c r="S597" s="23">
        <v>896.09</v>
      </c>
      <c r="T597" s="23">
        <v>744.27</v>
      </c>
      <c r="U597" s="23">
        <f t="shared" si="78"/>
        <v>744.27</v>
      </c>
      <c r="V597" s="8">
        <v>8.3000000000000004E-2</v>
      </c>
      <c r="W597" s="8">
        <f t="shared" si="79"/>
        <v>8.3000000000000004E-2</v>
      </c>
      <c r="X597">
        <v>11</v>
      </c>
    </row>
    <row r="598" spans="1:24" x14ac:dyDescent="0.35">
      <c r="A598" s="4" t="s">
        <v>47</v>
      </c>
      <c r="B598" s="5" t="str">
        <f>IF(COUNTIF($A$2:A598,A598)=1,"Original","Duplicate")</f>
        <v>Original</v>
      </c>
      <c r="C598" s="7">
        <v>45862</v>
      </c>
      <c r="D598" s="7">
        <v>45875</v>
      </c>
      <c r="E598" s="7" t="str">
        <f t="shared" si="72"/>
        <v>Valid</v>
      </c>
      <c r="F598" s="7">
        <f t="shared" si="73"/>
        <v>45875</v>
      </c>
      <c r="G598">
        <f t="shared" si="74"/>
        <v>13</v>
      </c>
      <c r="H598" t="s">
        <v>646</v>
      </c>
      <c r="I598" t="s">
        <v>661</v>
      </c>
      <c r="J598" t="s">
        <v>682</v>
      </c>
      <c r="K598" t="str">
        <f t="shared" si="75"/>
        <v>Johannesburg</v>
      </c>
      <c r="L598" t="s">
        <v>702</v>
      </c>
      <c r="M598" t="s">
        <v>709</v>
      </c>
      <c r="N598" t="str">
        <f t="shared" si="76"/>
        <v>Marketplace</v>
      </c>
      <c r="O598" t="s">
        <v>726</v>
      </c>
      <c r="P598" t="str">
        <f t="shared" si="77"/>
        <v>D. Smith</v>
      </c>
      <c r="Q598" t="s">
        <v>729</v>
      </c>
      <c r="R598" t="s">
        <v>766</v>
      </c>
      <c r="S598" s="23">
        <v>1463.9</v>
      </c>
      <c r="T598" s="23">
        <v>2633.02</v>
      </c>
      <c r="U598" s="23">
        <f t="shared" si="78"/>
        <v>2633.02</v>
      </c>
      <c r="V598" s="8">
        <v>8.4000000000000005E-2</v>
      </c>
      <c r="W598" s="8">
        <f t="shared" si="79"/>
        <v>8.4000000000000005E-2</v>
      </c>
      <c r="X598">
        <v>4</v>
      </c>
    </row>
    <row r="599" spans="1:24" x14ac:dyDescent="0.35">
      <c r="A599" s="4" t="s">
        <v>478</v>
      </c>
      <c r="B599" s="5" t="str">
        <f>IF(COUNTIF($A$2:A599,A599)=1,"Original","Duplicate")</f>
        <v>Original</v>
      </c>
      <c r="C599" s="7">
        <v>45865</v>
      </c>
      <c r="D599" s="7">
        <v>45884</v>
      </c>
      <c r="E599" s="7" t="str">
        <f t="shared" si="72"/>
        <v>Valid</v>
      </c>
      <c r="F599" s="7">
        <f t="shared" si="73"/>
        <v>45884</v>
      </c>
      <c r="G599">
        <f t="shared" si="74"/>
        <v>19</v>
      </c>
      <c r="H599" t="s">
        <v>647</v>
      </c>
      <c r="I599" t="s">
        <v>652</v>
      </c>
      <c r="J599" t="s">
        <v>689</v>
      </c>
      <c r="K599" t="str">
        <f t="shared" si="75"/>
        <v>Tokyo</v>
      </c>
      <c r="L599" t="s">
        <v>705</v>
      </c>
      <c r="M599" t="s">
        <v>709</v>
      </c>
      <c r="N599" t="str">
        <f t="shared" si="76"/>
        <v>Marketplace</v>
      </c>
      <c r="O599" t="s">
        <v>713</v>
      </c>
      <c r="P599" t="str">
        <f t="shared" si="77"/>
        <v>J. Njeri</v>
      </c>
      <c r="Q599" t="s">
        <v>727</v>
      </c>
      <c r="R599" t="s">
        <v>1197</v>
      </c>
      <c r="S599" s="23">
        <v>275.43</v>
      </c>
      <c r="T599" s="23">
        <v>608.36</v>
      </c>
      <c r="U599" s="23">
        <f t="shared" si="78"/>
        <v>608.36</v>
      </c>
      <c r="V599" s="8">
        <v>0.25700000000000001</v>
      </c>
      <c r="W599" s="8">
        <f t="shared" si="79"/>
        <v>0.25700000000000001</v>
      </c>
      <c r="X599">
        <v>4</v>
      </c>
    </row>
    <row r="600" spans="1:24" x14ac:dyDescent="0.35">
      <c r="A600" s="4" t="s">
        <v>111</v>
      </c>
      <c r="B600" s="5" t="str">
        <f>IF(COUNTIF($A$2:A600,A600)=1,"Original","Duplicate")</f>
        <v>Original</v>
      </c>
      <c r="C600" s="7">
        <v>45870</v>
      </c>
      <c r="D600" s="7">
        <v>45885</v>
      </c>
      <c r="E600" s="7" t="str">
        <f t="shared" si="72"/>
        <v>Valid</v>
      </c>
      <c r="F600" s="7">
        <f t="shared" si="73"/>
        <v>45885</v>
      </c>
      <c r="G600">
        <f t="shared" si="74"/>
        <v>15</v>
      </c>
      <c r="H600" t="s">
        <v>647</v>
      </c>
      <c r="I600" t="s">
        <v>654</v>
      </c>
      <c r="K600" t="str">
        <f t="shared" si="75"/>
        <v>Unknown</v>
      </c>
      <c r="L600" t="s">
        <v>706</v>
      </c>
      <c r="M600" t="s">
        <v>711</v>
      </c>
      <c r="N600" t="str">
        <f t="shared" si="76"/>
        <v>Direct</v>
      </c>
      <c r="O600" t="s">
        <v>719</v>
      </c>
      <c r="P600" t="str">
        <f t="shared" si="77"/>
        <v>O. Wang</v>
      </c>
      <c r="Q600" t="s">
        <v>732</v>
      </c>
      <c r="R600" t="s">
        <v>830</v>
      </c>
      <c r="S600" s="23">
        <v>24.44</v>
      </c>
      <c r="T600" s="23">
        <v>28.69</v>
      </c>
      <c r="U600" s="23">
        <f t="shared" si="78"/>
        <v>28.69</v>
      </c>
      <c r="V600" s="8">
        <v>0.14599999999999999</v>
      </c>
      <c r="W600" s="8">
        <f t="shared" si="79"/>
        <v>0.14599999999999999</v>
      </c>
      <c r="X600">
        <v>6</v>
      </c>
    </row>
    <row r="601" spans="1:24" x14ac:dyDescent="0.35">
      <c r="A601" s="4" t="s">
        <v>174</v>
      </c>
      <c r="B601" s="5" t="str">
        <f>IF(COUNTIF($A$2:A601,A601)=1,"Original","Duplicate")</f>
        <v>Original</v>
      </c>
      <c r="C601" s="7">
        <v>45870</v>
      </c>
      <c r="D601" s="7">
        <v>45890</v>
      </c>
      <c r="E601" s="7" t="str">
        <f t="shared" si="72"/>
        <v>Valid</v>
      </c>
      <c r="F601" s="7">
        <f t="shared" si="73"/>
        <v>45890</v>
      </c>
      <c r="G601">
        <f t="shared" si="74"/>
        <v>20</v>
      </c>
      <c r="H601" t="s">
        <v>647</v>
      </c>
      <c r="I601" t="s">
        <v>659</v>
      </c>
      <c r="J601" t="s">
        <v>685</v>
      </c>
      <c r="K601" t="str">
        <f t="shared" si="75"/>
        <v>Shanghai</v>
      </c>
      <c r="L601" t="s">
        <v>701</v>
      </c>
      <c r="M601" t="s">
        <v>711</v>
      </c>
      <c r="N601" t="str">
        <f t="shared" si="76"/>
        <v>Direct</v>
      </c>
      <c r="O601" t="s">
        <v>714</v>
      </c>
      <c r="P601" t="str">
        <f t="shared" si="77"/>
        <v>I. Johnson</v>
      </c>
      <c r="Q601" t="s">
        <v>730</v>
      </c>
      <c r="R601" t="s">
        <v>893</v>
      </c>
      <c r="S601" s="23">
        <v>1220.4100000000001</v>
      </c>
      <c r="T601" s="23">
        <v>2552.2199999999998</v>
      </c>
      <c r="U601" s="23">
        <f t="shared" si="78"/>
        <v>2552.2199999999998</v>
      </c>
      <c r="V601" s="8">
        <v>0.18099999999999999</v>
      </c>
      <c r="W601" s="8">
        <f t="shared" si="79"/>
        <v>0.18099999999999999</v>
      </c>
      <c r="X601">
        <v>14</v>
      </c>
    </row>
    <row r="602" spans="1:24" x14ac:dyDescent="0.35">
      <c r="A602" s="4" t="s">
        <v>256</v>
      </c>
      <c r="B602" s="5" t="str">
        <f>IF(COUNTIF($A$2:A602,A602)=1,"Original","Duplicate")</f>
        <v>Original</v>
      </c>
      <c r="C602" s="7">
        <v>45871</v>
      </c>
      <c r="D602" s="7">
        <v>45877</v>
      </c>
      <c r="E602" s="7" t="str">
        <f t="shared" si="72"/>
        <v>Valid</v>
      </c>
      <c r="F602" s="7">
        <f t="shared" si="73"/>
        <v>45877</v>
      </c>
      <c r="G602">
        <f t="shared" si="74"/>
        <v>6</v>
      </c>
      <c r="H602" t="s">
        <v>647</v>
      </c>
      <c r="I602" t="s">
        <v>652</v>
      </c>
      <c r="J602" t="s">
        <v>666</v>
      </c>
      <c r="K602" t="str">
        <f t="shared" si="75"/>
        <v>Osaka</v>
      </c>
      <c r="L602" t="s">
        <v>704</v>
      </c>
      <c r="M602" t="s">
        <v>711</v>
      </c>
      <c r="N602" t="str">
        <f t="shared" si="76"/>
        <v>Direct</v>
      </c>
      <c r="O602" t="s">
        <v>725</v>
      </c>
      <c r="P602" t="str">
        <f t="shared" si="77"/>
        <v>N. Brown</v>
      </c>
      <c r="Q602" t="s">
        <v>731</v>
      </c>
      <c r="R602" t="s">
        <v>976</v>
      </c>
      <c r="S602" s="23">
        <v>1225.94</v>
      </c>
      <c r="T602" s="23">
        <v>1793.08</v>
      </c>
      <c r="U602" s="23">
        <f t="shared" si="78"/>
        <v>1793.08</v>
      </c>
      <c r="V602" s="8">
        <v>0.13600000000000001</v>
      </c>
      <c r="W602" s="8">
        <f t="shared" si="79"/>
        <v>0.13600000000000001</v>
      </c>
      <c r="X602">
        <v>22</v>
      </c>
    </row>
    <row r="603" spans="1:24" x14ac:dyDescent="0.35">
      <c r="A603" s="4" t="s">
        <v>590</v>
      </c>
      <c r="B603" s="5" t="str">
        <f>IF(COUNTIF($A$2:A603,A603)=1,"Original","Duplicate")</f>
        <v>Original</v>
      </c>
      <c r="C603" s="7">
        <v>45872</v>
      </c>
      <c r="D603" s="7">
        <v>45885</v>
      </c>
      <c r="E603" s="7" t="str">
        <f t="shared" si="72"/>
        <v>Valid</v>
      </c>
      <c r="F603" s="7">
        <f t="shared" si="73"/>
        <v>45885</v>
      </c>
      <c r="G603">
        <f t="shared" si="74"/>
        <v>13</v>
      </c>
      <c r="H603" t="s">
        <v>648</v>
      </c>
      <c r="I603" t="s">
        <v>653</v>
      </c>
      <c r="J603" t="s">
        <v>681</v>
      </c>
      <c r="K603" t="str">
        <f t="shared" si="75"/>
        <v>Montreal</v>
      </c>
      <c r="L603" t="s">
        <v>706</v>
      </c>
      <c r="M603" t="s">
        <v>710</v>
      </c>
      <c r="N603" t="str">
        <f t="shared" si="76"/>
        <v>Distributor</v>
      </c>
      <c r="O603" t="s">
        <v>719</v>
      </c>
      <c r="P603" t="str">
        <f t="shared" si="77"/>
        <v>O. Wang</v>
      </c>
      <c r="Q603" t="s">
        <v>729</v>
      </c>
      <c r="R603" t="s">
        <v>1308</v>
      </c>
      <c r="S603" s="23">
        <v>698.66</v>
      </c>
      <c r="T603" s="23">
        <v>868.62</v>
      </c>
      <c r="U603" s="23">
        <f t="shared" si="78"/>
        <v>868.62</v>
      </c>
      <c r="V603" s="8">
        <v>7.1999999999999995E-2</v>
      </c>
      <c r="W603" s="8">
        <f t="shared" si="79"/>
        <v>7.1999999999999995E-2</v>
      </c>
      <c r="X603">
        <v>15</v>
      </c>
    </row>
    <row r="604" spans="1:24" x14ac:dyDescent="0.35">
      <c r="A604" s="4" t="s">
        <v>142</v>
      </c>
      <c r="B604" s="5" t="str">
        <f>IF(COUNTIF($A$2:A604,A604)=1,"Original","Duplicate")</f>
        <v>Original</v>
      </c>
      <c r="C604" s="7">
        <v>45874</v>
      </c>
      <c r="D604" s="7">
        <v>45883</v>
      </c>
      <c r="E604" s="7" t="str">
        <f t="shared" si="72"/>
        <v>Valid</v>
      </c>
      <c r="F604" s="7">
        <f t="shared" si="73"/>
        <v>45883</v>
      </c>
      <c r="G604">
        <f t="shared" si="74"/>
        <v>9</v>
      </c>
      <c r="H604" t="s">
        <v>649</v>
      </c>
      <c r="I604" t="s">
        <v>658</v>
      </c>
      <c r="J604" t="s">
        <v>683</v>
      </c>
      <c r="K604" t="str">
        <f t="shared" si="75"/>
        <v>London</v>
      </c>
      <c r="L604" t="s">
        <v>703</v>
      </c>
      <c r="M604" t="s">
        <v>711</v>
      </c>
      <c r="N604" t="str">
        <f t="shared" si="76"/>
        <v>Direct</v>
      </c>
      <c r="O604" t="s">
        <v>718</v>
      </c>
      <c r="P604" t="str">
        <f t="shared" si="77"/>
        <v>E. Garcia</v>
      </c>
      <c r="Q604" t="s">
        <v>727</v>
      </c>
      <c r="R604" t="s">
        <v>861</v>
      </c>
      <c r="S604" s="23">
        <v>41.76</v>
      </c>
      <c r="T604" s="23">
        <v>45.19</v>
      </c>
      <c r="U604" s="23">
        <f t="shared" si="78"/>
        <v>45.19</v>
      </c>
      <c r="V604" s="8">
        <v>0.17899999999999999</v>
      </c>
      <c r="W604" s="8">
        <f t="shared" si="79"/>
        <v>0.17899999999999999</v>
      </c>
      <c r="X604">
        <v>23</v>
      </c>
    </row>
    <row r="605" spans="1:24" x14ac:dyDescent="0.35">
      <c r="A605" s="4" t="s">
        <v>529</v>
      </c>
      <c r="B605" s="5" t="str">
        <f>IF(COUNTIF($A$2:A605,A605)=1,"Original","Duplicate")</f>
        <v>Original</v>
      </c>
      <c r="C605" s="7">
        <v>45874</v>
      </c>
      <c r="D605" s="7">
        <v>45897</v>
      </c>
      <c r="E605" s="7" t="str">
        <f t="shared" si="72"/>
        <v>Valid</v>
      </c>
      <c r="F605" s="7">
        <f t="shared" si="73"/>
        <v>45897</v>
      </c>
      <c r="G605">
        <f t="shared" si="74"/>
        <v>23</v>
      </c>
      <c r="H605" t="s">
        <v>647</v>
      </c>
      <c r="I605" t="s">
        <v>654</v>
      </c>
      <c r="J605" t="s">
        <v>691</v>
      </c>
      <c r="K605" t="str">
        <f t="shared" si="75"/>
        <v>Mumbai</v>
      </c>
      <c r="L605" t="s">
        <v>703</v>
      </c>
      <c r="M605" t="s">
        <v>710</v>
      </c>
      <c r="N605" t="str">
        <f t="shared" si="76"/>
        <v>Distributor</v>
      </c>
      <c r="O605" t="s">
        <v>725</v>
      </c>
      <c r="P605" t="str">
        <f t="shared" si="77"/>
        <v>N. Brown</v>
      </c>
      <c r="Q605" t="s">
        <v>731</v>
      </c>
      <c r="R605" t="s">
        <v>1248</v>
      </c>
      <c r="S605" s="23">
        <v>638.54</v>
      </c>
      <c r="T605" s="23">
        <v>987.24</v>
      </c>
      <c r="U605" s="23">
        <f t="shared" si="78"/>
        <v>987.24</v>
      </c>
      <c r="V605" s="8">
        <v>0</v>
      </c>
      <c r="W605" s="8">
        <f t="shared" si="79"/>
        <v>0</v>
      </c>
      <c r="X605">
        <v>11</v>
      </c>
    </row>
    <row r="606" spans="1:24" x14ac:dyDescent="0.35">
      <c r="A606" s="4" t="s">
        <v>565</v>
      </c>
      <c r="B606" s="5" t="str">
        <f>IF(COUNTIF($A$2:A606,A606)=1,"Original","Duplicate")</f>
        <v>Original</v>
      </c>
      <c r="C606" s="7">
        <v>45875</v>
      </c>
      <c r="D606" s="7">
        <v>45892</v>
      </c>
      <c r="E606" s="7" t="str">
        <f t="shared" si="72"/>
        <v>Valid</v>
      </c>
      <c r="F606" s="7">
        <f t="shared" si="73"/>
        <v>45892</v>
      </c>
      <c r="G606">
        <f t="shared" si="74"/>
        <v>17</v>
      </c>
      <c r="H606" t="s">
        <v>648</v>
      </c>
      <c r="I606" t="s">
        <v>655</v>
      </c>
      <c r="J606" t="s">
        <v>672</v>
      </c>
      <c r="K606" t="str">
        <f t="shared" si="75"/>
        <v>Brasília</v>
      </c>
      <c r="L606" t="s">
        <v>704</v>
      </c>
      <c r="M606" t="s">
        <v>710</v>
      </c>
      <c r="N606" t="str">
        <f t="shared" si="76"/>
        <v>Distributor</v>
      </c>
      <c r="O606" t="s">
        <v>720</v>
      </c>
      <c r="P606" t="str">
        <f t="shared" si="77"/>
        <v>A. Patel</v>
      </c>
      <c r="Q606" t="s">
        <v>732</v>
      </c>
      <c r="R606" t="s">
        <v>1283</v>
      </c>
      <c r="S606" s="23">
        <v>86.64</v>
      </c>
      <c r="T606" s="23">
        <v>213.06</v>
      </c>
      <c r="U606" s="23">
        <f t="shared" si="78"/>
        <v>213.06</v>
      </c>
      <c r="V606" s="8">
        <v>0.21199999999999999</v>
      </c>
      <c r="W606" s="8">
        <f t="shared" si="79"/>
        <v>0.21199999999999999</v>
      </c>
      <c r="X606">
        <v>11</v>
      </c>
    </row>
    <row r="607" spans="1:24" x14ac:dyDescent="0.35">
      <c r="A607" s="4" t="s">
        <v>102</v>
      </c>
      <c r="B607" s="5" t="str">
        <f>IF(COUNTIF($A$2:A607,A607)=1,"Original","Duplicate")</f>
        <v>Original</v>
      </c>
      <c r="C607" s="7">
        <v>45876</v>
      </c>
      <c r="D607" s="7">
        <v>45888</v>
      </c>
      <c r="E607" s="7" t="str">
        <f t="shared" si="72"/>
        <v>Valid</v>
      </c>
      <c r="F607" s="7">
        <f t="shared" si="73"/>
        <v>45888</v>
      </c>
      <c r="G607">
        <f t="shared" si="74"/>
        <v>12</v>
      </c>
      <c r="H607" t="s">
        <v>646</v>
      </c>
      <c r="I607" t="s">
        <v>650</v>
      </c>
      <c r="J607" t="s">
        <v>678</v>
      </c>
      <c r="K607" t="str">
        <f t="shared" si="75"/>
        <v>Nakuru</v>
      </c>
      <c r="L607" t="s">
        <v>701</v>
      </c>
      <c r="N607" t="str">
        <f t="shared" si="76"/>
        <v>Unknown</v>
      </c>
      <c r="O607" t="s">
        <v>724</v>
      </c>
      <c r="P607" t="str">
        <f t="shared" si="77"/>
        <v>M. Rossi</v>
      </c>
      <c r="Q607" t="s">
        <v>727</v>
      </c>
      <c r="R607" t="s">
        <v>821</v>
      </c>
      <c r="S607" s="23">
        <v>601.51</v>
      </c>
      <c r="T607" s="23">
        <v>679.35</v>
      </c>
      <c r="U607" s="23">
        <f t="shared" si="78"/>
        <v>679.35</v>
      </c>
      <c r="V607" s="8">
        <v>0.188</v>
      </c>
      <c r="W607" s="8">
        <f t="shared" si="79"/>
        <v>0.188</v>
      </c>
      <c r="X607">
        <v>3</v>
      </c>
    </row>
    <row r="608" spans="1:24" x14ac:dyDescent="0.35">
      <c r="A608" s="4" t="s">
        <v>395</v>
      </c>
      <c r="B608" s="5" t="str">
        <f>IF(COUNTIF($A$2:A608,A608)=1,"Original","Duplicate")</f>
        <v>Original</v>
      </c>
      <c r="C608" s="7">
        <v>45876</v>
      </c>
      <c r="D608" s="7">
        <v>45906</v>
      </c>
      <c r="E608" s="7" t="str">
        <f t="shared" si="72"/>
        <v>Valid</v>
      </c>
      <c r="F608" s="7">
        <f t="shared" si="73"/>
        <v>45906</v>
      </c>
      <c r="G608">
        <f t="shared" si="74"/>
        <v>30</v>
      </c>
      <c r="H608" t="s">
        <v>648</v>
      </c>
      <c r="I608" t="s">
        <v>653</v>
      </c>
      <c r="J608" t="s">
        <v>681</v>
      </c>
      <c r="K608" t="str">
        <f t="shared" si="75"/>
        <v>Montreal</v>
      </c>
      <c r="L608" t="s">
        <v>702</v>
      </c>
      <c r="M608" t="s">
        <v>711</v>
      </c>
      <c r="N608" t="str">
        <f t="shared" si="76"/>
        <v>Direct</v>
      </c>
      <c r="O608" t="s">
        <v>724</v>
      </c>
      <c r="P608" t="str">
        <f t="shared" si="77"/>
        <v>M. Rossi</v>
      </c>
      <c r="Q608" t="s">
        <v>729</v>
      </c>
      <c r="R608" t="s">
        <v>1114</v>
      </c>
      <c r="S608" s="23">
        <v>833.73</v>
      </c>
      <c r="T608" s="23">
        <v>1116.5999999999999</v>
      </c>
      <c r="U608" s="23">
        <f t="shared" si="78"/>
        <v>1116.5999999999999</v>
      </c>
      <c r="V608" s="8">
        <v>0.17599999999999999</v>
      </c>
      <c r="W608" s="8">
        <f t="shared" si="79"/>
        <v>0.17599999999999999</v>
      </c>
      <c r="X608">
        <v>14</v>
      </c>
    </row>
    <row r="609" spans="1:24" x14ac:dyDescent="0.35">
      <c r="A609" s="4" t="s">
        <v>242</v>
      </c>
      <c r="B609" s="5" t="str">
        <f>IF(COUNTIF($A$2:A609,A609)=1,"Original","Duplicate")</f>
        <v>Original</v>
      </c>
      <c r="C609" s="7">
        <v>45879</v>
      </c>
      <c r="D609" s="7">
        <v>45899</v>
      </c>
      <c r="E609" s="7" t="str">
        <f t="shared" si="72"/>
        <v>Valid</v>
      </c>
      <c r="F609" s="7">
        <f t="shared" si="73"/>
        <v>45899</v>
      </c>
      <c r="G609">
        <f t="shared" si="74"/>
        <v>20</v>
      </c>
      <c r="H609" t="s">
        <v>648</v>
      </c>
      <c r="I609" t="s">
        <v>660</v>
      </c>
      <c r="J609" t="s">
        <v>686</v>
      </c>
      <c r="K609" t="str">
        <f t="shared" si="75"/>
        <v>San Francisco</v>
      </c>
      <c r="L609" t="s">
        <v>701</v>
      </c>
      <c r="M609" t="s">
        <v>709</v>
      </c>
      <c r="N609" t="str">
        <f t="shared" si="76"/>
        <v>Marketplace</v>
      </c>
      <c r="O609" t="s">
        <v>723</v>
      </c>
      <c r="P609" t="str">
        <f t="shared" si="77"/>
        <v>K. Singh</v>
      </c>
      <c r="Q609" t="s">
        <v>728</v>
      </c>
      <c r="R609" t="s">
        <v>962</v>
      </c>
      <c r="S609" s="23">
        <v>933.29</v>
      </c>
      <c r="T609" s="23">
        <v>1456.81</v>
      </c>
      <c r="U609" s="23">
        <f t="shared" si="78"/>
        <v>1456.81</v>
      </c>
      <c r="V609" s="8">
        <v>0.123</v>
      </c>
      <c r="W609" s="8">
        <f t="shared" si="79"/>
        <v>0.123</v>
      </c>
      <c r="X609">
        <v>13</v>
      </c>
    </row>
    <row r="610" spans="1:24" x14ac:dyDescent="0.35">
      <c r="A610" s="4" t="s">
        <v>616</v>
      </c>
      <c r="B610" s="5" t="str">
        <f>IF(COUNTIF($A$2:A610,A610)=1,"Original","Duplicate")</f>
        <v>Original</v>
      </c>
      <c r="C610" s="7">
        <v>45880</v>
      </c>
      <c r="D610" s="7">
        <v>45897</v>
      </c>
      <c r="E610" s="7" t="str">
        <f t="shared" si="72"/>
        <v>Valid</v>
      </c>
      <c r="F610" s="7">
        <f t="shared" si="73"/>
        <v>45897</v>
      </c>
      <c r="G610">
        <f t="shared" si="74"/>
        <v>17</v>
      </c>
      <c r="H610" t="s">
        <v>649</v>
      </c>
      <c r="I610" t="s">
        <v>657</v>
      </c>
      <c r="J610" t="s">
        <v>690</v>
      </c>
      <c r="K610" t="str">
        <f t="shared" si="75"/>
        <v>Paris</v>
      </c>
      <c r="L610" t="s">
        <v>702</v>
      </c>
      <c r="M610" t="s">
        <v>708</v>
      </c>
      <c r="N610" t="str">
        <f t="shared" si="76"/>
        <v>Online</v>
      </c>
      <c r="O610" t="s">
        <v>721</v>
      </c>
      <c r="P610" t="str">
        <f t="shared" si="77"/>
        <v>F. Müller</v>
      </c>
      <c r="Q610" t="s">
        <v>729</v>
      </c>
      <c r="R610" t="s">
        <v>1334</v>
      </c>
      <c r="S610" s="23">
        <v>416.16</v>
      </c>
      <c r="T610" s="23">
        <v>571.9</v>
      </c>
      <c r="U610" s="23">
        <f t="shared" si="78"/>
        <v>571.9</v>
      </c>
      <c r="V610" s="8">
        <v>7.0999999999999994E-2</v>
      </c>
      <c r="W610" s="8">
        <f t="shared" si="79"/>
        <v>7.0999999999999994E-2</v>
      </c>
      <c r="X610">
        <v>2</v>
      </c>
    </row>
    <row r="611" spans="1:24" x14ac:dyDescent="0.35">
      <c r="A611" s="4" t="s">
        <v>488</v>
      </c>
      <c r="B611" s="5" t="str">
        <f>IF(COUNTIF($A$2:A611,A611)=1,"Original","Duplicate")</f>
        <v>Original</v>
      </c>
      <c r="C611" s="7">
        <v>45882</v>
      </c>
      <c r="D611" s="7">
        <v>45903</v>
      </c>
      <c r="E611" s="7" t="str">
        <f t="shared" si="72"/>
        <v>Valid</v>
      </c>
      <c r="F611" s="7">
        <f t="shared" si="73"/>
        <v>45903</v>
      </c>
      <c r="G611">
        <f t="shared" si="74"/>
        <v>21</v>
      </c>
      <c r="H611" t="s">
        <v>649</v>
      </c>
      <c r="I611" t="s">
        <v>657</v>
      </c>
      <c r="J611" t="s">
        <v>690</v>
      </c>
      <c r="K611" t="str">
        <f t="shared" si="75"/>
        <v>Paris</v>
      </c>
      <c r="L611" t="s">
        <v>702</v>
      </c>
      <c r="M611" t="s">
        <v>707</v>
      </c>
      <c r="N611" t="str">
        <f t="shared" si="76"/>
        <v>Retail</v>
      </c>
      <c r="O611" t="s">
        <v>714</v>
      </c>
      <c r="P611" t="str">
        <f t="shared" si="77"/>
        <v>I. Johnson</v>
      </c>
      <c r="Q611" t="s">
        <v>730</v>
      </c>
      <c r="R611" t="s">
        <v>1207</v>
      </c>
      <c r="S611" s="23">
        <v>603.47</v>
      </c>
      <c r="T611" s="23">
        <v>1344.05</v>
      </c>
      <c r="U611" s="23">
        <f t="shared" si="78"/>
        <v>1344.05</v>
      </c>
      <c r="V611" s="8">
        <v>0.20499999999999999</v>
      </c>
      <c r="W611" s="8">
        <f t="shared" si="79"/>
        <v>0.20499999999999999</v>
      </c>
      <c r="X611">
        <v>18</v>
      </c>
    </row>
    <row r="612" spans="1:24" x14ac:dyDescent="0.35">
      <c r="A612" s="4" t="s">
        <v>370</v>
      </c>
      <c r="B612" s="5" t="str">
        <f>IF(COUNTIF($A$2:A612,A612)=1,"Original","Duplicate")</f>
        <v>Original</v>
      </c>
      <c r="C612" s="7">
        <v>45883</v>
      </c>
      <c r="D612" s="7">
        <v>45911</v>
      </c>
      <c r="E612" s="7" t="str">
        <f t="shared" si="72"/>
        <v>Valid</v>
      </c>
      <c r="F612" s="7">
        <f t="shared" si="73"/>
        <v>45911</v>
      </c>
      <c r="G612">
        <f t="shared" si="74"/>
        <v>28</v>
      </c>
      <c r="H612" t="s">
        <v>648</v>
      </c>
      <c r="I612" t="s">
        <v>655</v>
      </c>
      <c r="J612" t="s">
        <v>670</v>
      </c>
      <c r="K612" t="str">
        <f t="shared" si="75"/>
        <v>São Paulo</v>
      </c>
      <c r="L612" t="s">
        <v>703</v>
      </c>
      <c r="M612" t="s">
        <v>711</v>
      </c>
      <c r="N612" t="str">
        <f t="shared" si="76"/>
        <v>Direct</v>
      </c>
      <c r="O612" t="s">
        <v>721</v>
      </c>
      <c r="P612" t="str">
        <f t="shared" si="77"/>
        <v>F. Müller</v>
      </c>
      <c r="Q612" t="s">
        <v>728</v>
      </c>
      <c r="R612" t="s">
        <v>1090</v>
      </c>
      <c r="S612" s="23">
        <v>1203.02</v>
      </c>
      <c r="T612" s="23">
        <v>2439.33</v>
      </c>
      <c r="U612" s="23">
        <f t="shared" si="78"/>
        <v>2439.33</v>
      </c>
      <c r="V612" s="8">
        <v>0</v>
      </c>
      <c r="W612" s="8">
        <f t="shared" si="79"/>
        <v>0</v>
      </c>
      <c r="X612">
        <v>18</v>
      </c>
    </row>
    <row r="613" spans="1:24" x14ac:dyDescent="0.35">
      <c r="A613" s="4" t="s">
        <v>559</v>
      </c>
      <c r="B613" s="5" t="str">
        <f>IF(COUNTIF($A$2:A613,A613)=1,"Original","Duplicate")</f>
        <v>Original</v>
      </c>
      <c r="C613" s="7">
        <v>45889</v>
      </c>
      <c r="D613" s="7">
        <v>45895</v>
      </c>
      <c r="E613" s="7" t="str">
        <f t="shared" si="72"/>
        <v>Valid</v>
      </c>
      <c r="F613" s="7">
        <f t="shared" si="73"/>
        <v>45895</v>
      </c>
      <c r="G613">
        <f t="shared" si="74"/>
        <v>6</v>
      </c>
      <c r="H613" t="s">
        <v>648</v>
      </c>
      <c r="I613" t="s">
        <v>660</v>
      </c>
      <c r="J613" t="s">
        <v>700</v>
      </c>
      <c r="K613" t="str">
        <f t="shared" si="75"/>
        <v>New York</v>
      </c>
      <c r="L613" t="s">
        <v>701</v>
      </c>
      <c r="M613" t="s">
        <v>707</v>
      </c>
      <c r="N613" t="str">
        <f t="shared" si="76"/>
        <v>Retail</v>
      </c>
      <c r="O613" t="s">
        <v>724</v>
      </c>
      <c r="P613" t="str">
        <f t="shared" si="77"/>
        <v>M. Rossi</v>
      </c>
      <c r="Q613" t="s">
        <v>729</v>
      </c>
      <c r="R613" t="s">
        <v>1277</v>
      </c>
      <c r="S613" s="23">
        <v>1304.95</v>
      </c>
      <c r="T613" s="23">
        <v>1712.03</v>
      </c>
      <c r="U613" s="23">
        <f t="shared" si="78"/>
        <v>1712.03</v>
      </c>
      <c r="V613" s="8">
        <v>0.21199999999999999</v>
      </c>
      <c r="W613" s="8">
        <f t="shared" si="79"/>
        <v>0.21199999999999999</v>
      </c>
      <c r="X613">
        <v>8</v>
      </c>
    </row>
    <row r="614" spans="1:24" x14ac:dyDescent="0.35">
      <c r="A614" s="4" t="s">
        <v>194</v>
      </c>
      <c r="B614" s="5" t="str">
        <f>IF(COUNTIF($A$2:A614,A614)=1,"Original","Duplicate")</f>
        <v>Original</v>
      </c>
      <c r="C614" s="7">
        <v>45890</v>
      </c>
      <c r="D614" s="7">
        <v>45912</v>
      </c>
      <c r="E614" s="7" t="str">
        <f t="shared" si="72"/>
        <v>Valid</v>
      </c>
      <c r="F614" s="7">
        <f t="shared" si="73"/>
        <v>45912</v>
      </c>
      <c r="G614">
        <f t="shared" si="74"/>
        <v>22</v>
      </c>
      <c r="H614" t="s">
        <v>647</v>
      </c>
      <c r="I614" t="s">
        <v>659</v>
      </c>
      <c r="J614" t="s">
        <v>676</v>
      </c>
      <c r="K614" t="str">
        <f t="shared" si="75"/>
        <v>Shenzhen</v>
      </c>
      <c r="L614" t="s">
        <v>702</v>
      </c>
      <c r="M614" t="s">
        <v>707</v>
      </c>
      <c r="N614" t="str">
        <f t="shared" si="76"/>
        <v>Retail</v>
      </c>
      <c r="O614" t="s">
        <v>717</v>
      </c>
      <c r="P614" t="str">
        <f t="shared" si="77"/>
        <v>B. Chen</v>
      </c>
      <c r="Q614" t="s">
        <v>728</v>
      </c>
      <c r="R614" t="s">
        <v>913</v>
      </c>
      <c r="S614" s="23">
        <v>352.66</v>
      </c>
      <c r="T614" s="23">
        <v>411.18</v>
      </c>
      <c r="U614" s="23">
        <f t="shared" si="78"/>
        <v>411.18</v>
      </c>
      <c r="V614" s="8">
        <v>0.17299999999999999</v>
      </c>
      <c r="W614" s="8">
        <f t="shared" si="79"/>
        <v>0.17299999999999999</v>
      </c>
      <c r="X614">
        <v>13</v>
      </c>
    </row>
    <row r="615" spans="1:24" x14ac:dyDescent="0.35">
      <c r="A615" s="4" t="s">
        <v>410</v>
      </c>
      <c r="B615" s="5" t="str">
        <f>IF(COUNTIF($A$2:A615,A615)=1,"Original","Duplicate")</f>
        <v>Original</v>
      </c>
      <c r="C615" s="7">
        <v>45890</v>
      </c>
      <c r="D615" s="7">
        <v>45914</v>
      </c>
      <c r="E615" s="7" t="str">
        <f t="shared" si="72"/>
        <v>Valid</v>
      </c>
      <c r="F615" s="7">
        <f t="shared" si="73"/>
        <v>45914</v>
      </c>
      <c r="G615">
        <f t="shared" si="74"/>
        <v>24</v>
      </c>
      <c r="H615" t="s">
        <v>649</v>
      </c>
      <c r="I615" t="s">
        <v>656</v>
      </c>
      <c r="J615" t="s">
        <v>671</v>
      </c>
      <c r="K615" t="str">
        <f t="shared" si="75"/>
        <v>Berlin</v>
      </c>
      <c r="L615" t="s">
        <v>703</v>
      </c>
      <c r="M615" t="s">
        <v>708</v>
      </c>
      <c r="N615" t="str">
        <f t="shared" si="76"/>
        <v>Online</v>
      </c>
      <c r="O615" t="s">
        <v>720</v>
      </c>
      <c r="P615" t="str">
        <f t="shared" si="77"/>
        <v>A. Patel</v>
      </c>
      <c r="Q615" t="s">
        <v>732</v>
      </c>
      <c r="R615" t="s">
        <v>1129</v>
      </c>
      <c r="S615" s="23">
        <v>1397.67</v>
      </c>
      <c r="T615" s="23">
        <v>3131.37</v>
      </c>
      <c r="U615" s="23">
        <f t="shared" si="78"/>
        <v>3131.37</v>
      </c>
      <c r="V615" s="8">
        <v>0.10299999999999999</v>
      </c>
      <c r="W615" s="8">
        <f t="shared" si="79"/>
        <v>0.10299999999999999</v>
      </c>
      <c r="X615">
        <v>20</v>
      </c>
    </row>
    <row r="616" spans="1:24" x14ac:dyDescent="0.35">
      <c r="A616" s="4" t="s">
        <v>234</v>
      </c>
      <c r="B616" s="5" t="str">
        <f>IF(COUNTIF($A$2:A616,A616)=1,"Original","Duplicate")</f>
        <v>Original</v>
      </c>
      <c r="C616" s="7">
        <v>45894</v>
      </c>
      <c r="D616" s="7">
        <v>45924</v>
      </c>
      <c r="E616" s="7" t="str">
        <f t="shared" si="72"/>
        <v>Valid</v>
      </c>
      <c r="F616" s="7">
        <f t="shared" si="73"/>
        <v>45924</v>
      </c>
      <c r="G616">
        <f t="shared" si="74"/>
        <v>30</v>
      </c>
      <c r="H616" t="s">
        <v>646</v>
      </c>
      <c r="I616" t="s">
        <v>650</v>
      </c>
      <c r="J616" t="s">
        <v>664</v>
      </c>
      <c r="K616" t="str">
        <f t="shared" si="75"/>
        <v>Nairobi</v>
      </c>
      <c r="L616" t="s">
        <v>704</v>
      </c>
      <c r="M616" t="s">
        <v>711</v>
      </c>
      <c r="N616" t="str">
        <f t="shared" si="76"/>
        <v>Direct</v>
      </c>
      <c r="O616" t="s">
        <v>717</v>
      </c>
      <c r="P616" t="str">
        <f t="shared" si="77"/>
        <v>B. Chen</v>
      </c>
      <c r="Q616" t="s">
        <v>727</v>
      </c>
      <c r="R616" t="s">
        <v>954</v>
      </c>
      <c r="S616" s="23">
        <v>589.14</v>
      </c>
      <c r="T616" s="23">
        <v>1300.58</v>
      </c>
      <c r="U616" s="23">
        <f t="shared" si="78"/>
        <v>1300.58</v>
      </c>
      <c r="V616" s="8">
        <v>5.5E-2</v>
      </c>
      <c r="W616" s="8">
        <f t="shared" si="79"/>
        <v>5.5E-2</v>
      </c>
      <c r="X616">
        <v>11</v>
      </c>
    </row>
    <row r="617" spans="1:24" x14ac:dyDescent="0.35">
      <c r="A617" s="4" t="s">
        <v>304</v>
      </c>
      <c r="B617" s="5" t="str">
        <f>IF(COUNTIF($A$2:A617,A617)=1,"Original","Duplicate")</f>
        <v>Original</v>
      </c>
      <c r="C617" s="7">
        <v>45897</v>
      </c>
      <c r="D617" s="7">
        <v>45895</v>
      </c>
      <c r="E617" s="7" t="str">
        <f t="shared" si="72"/>
        <v>Invalid</v>
      </c>
      <c r="F617" s="7">
        <f t="shared" si="73"/>
        <v>45904</v>
      </c>
      <c r="G617">
        <f t="shared" si="74"/>
        <v>7</v>
      </c>
      <c r="H617" t="s">
        <v>646</v>
      </c>
      <c r="I617" t="s">
        <v>651</v>
      </c>
      <c r="J617" t="s">
        <v>663</v>
      </c>
      <c r="K617" t="str">
        <f t="shared" si="75"/>
        <v>Port Harcourt</v>
      </c>
      <c r="L617" t="s">
        <v>705</v>
      </c>
      <c r="M617" t="s">
        <v>707</v>
      </c>
      <c r="N617" t="str">
        <f t="shared" si="76"/>
        <v>Retail</v>
      </c>
      <c r="O617" t="s">
        <v>720</v>
      </c>
      <c r="P617" t="str">
        <f t="shared" si="77"/>
        <v>A. Patel</v>
      </c>
      <c r="Q617" t="s">
        <v>733</v>
      </c>
      <c r="R617" t="s">
        <v>1024</v>
      </c>
      <c r="S617" s="23">
        <v>521.05999999999995</v>
      </c>
      <c r="T617" s="23">
        <v>1240.31</v>
      </c>
      <c r="U617" s="23">
        <f t="shared" si="78"/>
        <v>1240.31</v>
      </c>
      <c r="V617" s="8">
        <v>0.14599999999999999</v>
      </c>
      <c r="W617" s="8">
        <f t="shared" si="79"/>
        <v>0.14599999999999999</v>
      </c>
      <c r="X617">
        <v>18</v>
      </c>
    </row>
    <row r="618" spans="1:24" x14ac:dyDescent="0.35">
      <c r="A618" s="4" t="s">
        <v>440</v>
      </c>
      <c r="B618" s="5" t="str">
        <f>IF(COUNTIF($A$2:A618,A618)=1,"Original","Duplicate")</f>
        <v>Original</v>
      </c>
      <c r="C618" s="7">
        <v>45897</v>
      </c>
      <c r="D618" s="7">
        <v>45905</v>
      </c>
      <c r="E618" s="7" t="str">
        <f t="shared" si="72"/>
        <v>Valid</v>
      </c>
      <c r="F618" s="7">
        <f t="shared" si="73"/>
        <v>45905</v>
      </c>
      <c r="G618">
        <f t="shared" si="74"/>
        <v>8</v>
      </c>
      <c r="H618" t="s">
        <v>646</v>
      </c>
      <c r="I618" t="s">
        <v>651</v>
      </c>
      <c r="J618" t="s">
        <v>663</v>
      </c>
      <c r="K618" t="str">
        <f t="shared" si="75"/>
        <v>Port Harcourt</v>
      </c>
      <c r="L618" t="s">
        <v>705</v>
      </c>
      <c r="M618" t="s">
        <v>709</v>
      </c>
      <c r="N618" t="str">
        <f t="shared" si="76"/>
        <v>Marketplace</v>
      </c>
      <c r="O618" t="s">
        <v>718</v>
      </c>
      <c r="P618" t="str">
        <f t="shared" si="77"/>
        <v>E. Garcia</v>
      </c>
      <c r="Q618" t="s">
        <v>731</v>
      </c>
      <c r="R618" t="s">
        <v>1159</v>
      </c>
      <c r="S618" s="23">
        <v>1271.0999999999999</v>
      </c>
      <c r="T618" s="23">
        <v>1932.42</v>
      </c>
      <c r="U618" s="23">
        <f t="shared" si="78"/>
        <v>1932.42</v>
      </c>
      <c r="V618" s="8">
        <v>0.25</v>
      </c>
      <c r="W618" s="8">
        <f t="shared" si="79"/>
        <v>0.25</v>
      </c>
      <c r="X618">
        <v>21</v>
      </c>
    </row>
    <row r="619" spans="1:24" x14ac:dyDescent="0.35">
      <c r="A619" s="4" t="s">
        <v>496</v>
      </c>
      <c r="B619" s="5" t="str">
        <f>IF(COUNTIF($A$2:A619,A619)=1,"Original","Duplicate")</f>
        <v>Original</v>
      </c>
      <c r="C619" s="7">
        <v>45899</v>
      </c>
      <c r="D619" s="7">
        <v>45903</v>
      </c>
      <c r="E619" s="7" t="str">
        <f t="shared" si="72"/>
        <v>Valid</v>
      </c>
      <c r="F619" s="7">
        <f t="shared" si="73"/>
        <v>45903</v>
      </c>
      <c r="G619">
        <f t="shared" si="74"/>
        <v>4</v>
      </c>
      <c r="H619" t="s">
        <v>649</v>
      </c>
      <c r="I619" t="s">
        <v>657</v>
      </c>
      <c r="J619" t="s">
        <v>673</v>
      </c>
      <c r="K619" t="str">
        <f t="shared" si="75"/>
        <v>Marseille</v>
      </c>
      <c r="L619" t="s">
        <v>705</v>
      </c>
      <c r="M619" t="s">
        <v>709</v>
      </c>
      <c r="N619" t="str">
        <f t="shared" si="76"/>
        <v>Marketplace</v>
      </c>
      <c r="O619" t="s">
        <v>713</v>
      </c>
      <c r="P619" t="str">
        <f t="shared" si="77"/>
        <v>J. Njeri</v>
      </c>
      <c r="Q619" t="s">
        <v>731</v>
      </c>
      <c r="R619" t="s">
        <v>1215</v>
      </c>
      <c r="S619" s="23">
        <v>1286.56</v>
      </c>
      <c r="T619" s="23">
        <v>2777.35</v>
      </c>
      <c r="U619" s="23">
        <f t="shared" si="78"/>
        <v>2777.35</v>
      </c>
      <c r="V619" s="8">
        <v>0.13200000000000001</v>
      </c>
      <c r="W619" s="8">
        <f t="shared" si="79"/>
        <v>0.13200000000000001</v>
      </c>
      <c r="X619">
        <v>15</v>
      </c>
    </row>
    <row r="620" spans="1:24" x14ac:dyDescent="0.35">
      <c r="A620" s="4" t="s">
        <v>605</v>
      </c>
      <c r="B620" s="5" t="str">
        <f>IF(COUNTIF($A$2:A620,A620)=1,"Original","Duplicate")</f>
        <v>Original</v>
      </c>
      <c r="C620" s="7">
        <v>45899</v>
      </c>
      <c r="D620" s="7">
        <v>45922</v>
      </c>
      <c r="E620" s="7" t="str">
        <f t="shared" si="72"/>
        <v>Valid</v>
      </c>
      <c r="F620" s="7">
        <f t="shared" si="73"/>
        <v>45922</v>
      </c>
      <c r="G620">
        <f t="shared" si="74"/>
        <v>23</v>
      </c>
      <c r="H620" t="s">
        <v>649</v>
      </c>
      <c r="I620" t="s">
        <v>657</v>
      </c>
      <c r="J620" t="s">
        <v>673</v>
      </c>
      <c r="K620" t="str">
        <f t="shared" si="75"/>
        <v>Marseille</v>
      </c>
      <c r="L620" t="s">
        <v>701</v>
      </c>
      <c r="M620" t="s">
        <v>711</v>
      </c>
      <c r="N620" t="str">
        <f t="shared" si="76"/>
        <v>Direct</v>
      </c>
      <c r="O620" t="s">
        <v>718</v>
      </c>
      <c r="P620" t="str">
        <f t="shared" si="77"/>
        <v>E. Garcia</v>
      </c>
      <c r="Q620" t="s">
        <v>727</v>
      </c>
      <c r="R620" t="s">
        <v>1323</v>
      </c>
      <c r="S620" s="23">
        <v>663.9</v>
      </c>
      <c r="T620" s="23">
        <v>947.77</v>
      </c>
      <c r="U620" s="23">
        <f t="shared" si="78"/>
        <v>947.77</v>
      </c>
      <c r="V620" s="8">
        <v>0.17399999999999999</v>
      </c>
      <c r="W620" s="8">
        <f t="shared" si="79"/>
        <v>0.17399999999999999</v>
      </c>
      <c r="X620">
        <v>15</v>
      </c>
    </row>
    <row r="621" spans="1:24" x14ac:dyDescent="0.35">
      <c r="A621" s="4" t="s">
        <v>29</v>
      </c>
      <c r="B621" s="5" t="str">
        <f>IF(COUNTIF($A$2:A621,A621)=1,"Original","Duplicate")</f>
        <v>Original</v>
      </c>
      <c r="C621" s="7">
        <v>45901</v>
      </c>
      <c r="D621" s="7">
        <v>45930</v>
      </c>
      <c r="E621" s="7" t="str">
        <f t="shared" si="72"/>
        <v>Valid</v>
      </c>
      <c r="F621" s="7">
        <f t="shared" si="73"/>
        <v>45930</v>
      </c>
      <c r="G621">
        <f t="shared" si="74"/>
        <v>29</v>
      </c>
      <c r="H621" t="s">
        <v>648</v>
      </c>
      <c r="I621" t="s">
        <v>655</v>
      </c>
      <c r="J621" t="s">
        <v>672</v>
      </c>
      <c r="K621" t="str">
        <f t="shared" si="75"/>
        <v>Brasília</v>
      </c>
      <c r="L621" t="s">
        <v>702</v>
      </c>
      <c r="M621" t="s">
        <v>707</v>
      </c>
      <c r="N621" t="str">
        <f t="shared" si="76"/>
        <v>Retail</v>
      </c>
      <c r="O621" t="s">
        <v>723</v>
      </c>
      <c r="P621" t="str">
        <f t="shared" si="77"/>
        <v>K. Singh</v>
      </c>
      <c r="Q621" t="s">
        <v>733</v>
      </c>
      <c r="R621" t="s">
        <v>748</v>
      </c>
      <c r="S621" s="23">
        <v>780.59</v>
      </c>
      <c r="T621" s="23">
        <v>631.57000000000005</v>
      </c>
      <c r="U621" s="23">
        <f t="shared" si="78"/>
        <v>631.57000000000005</v>
      </c>
      <c r="V621" s="8">
        <v>0</v>
      </c>
      <c r="W621" s="8">
        <f t="shared" si="79"/>
        <v>0</v>
      </c>
      <c r="X621">
        <v>12</v>
      </c>
    </row>
    <row r="622" spans="1:24" x14ac:dyDescent="0.35">
      <c r="A622" s="4" t="s">
        <v>279</v>
      </c>
      <c r="B622" s="5" t="str">
        <f>IF(COUNTIF($A$2:A622,A622)=1,"Original","Duplicate")</f>
        <v>Original</v>
      </c>
      <c r="C622" s="7">
        <v>45902</v>
      </c>
      <c r="D622" s="7">
        <v>45911</v>
      </c>
      <c r="E622" s="7" t="str">
        <f t="shared" si="72"/>
        <v>Valid</v>
      </c>
      <c r="F622" s="7">
        <f t="shared" si="73"/>
        <v>45911</v>
      </c>
      <c r="G622">
        <f t="shared" si="74"/>
        <v>9</v>
      </c>
      <c r="H622" t="s">
        <v>648</v>
      </c>
      <c r="I622" t="s">
        <v>653</v>
      </c>
      <c r="J622" t="s">
        <v>667</v>
      </c>
      <c r="K622" t="str">
        <f t="shared" si="75"/>
        <v>Toronto</v>
      </c>
      <c r="L622" t="s">
        <v>701</v>
      </c>
      <c r="M622" t="s">
        <v>710</v>
      </c>
      <c r="N622" t="str">
        <f t="shared" si="76"/>
        <v>Distributor</v>
      </c>
      <c r="O622" t="s">
        <v>724</v>
      </c>
      <c r="P622" t="str">
        <f t="shared" si="77"/>
        <v>M. Rossi</v>
      </c>
      <c r="Q622" t="s">
        <v>728</v>
      </c>
      <c r="R622" t="s">
        <v>999</v>
      </c>
      <c r="S622" s="23">
        <v>1207.6300000000001</v>
      </c>
      <c r="T622" s="23">
        <v>921.68</v>
      </c>
      <c r="U622" s="23">
        <f t="shared" si="78"/>
        <v>921.68</v>
      </c>
      <c r="V622" s="8">
        <v>0.19600000000000001</v>
      </c>
      <c r="W622" s="8">
        <f t="shared" si="79"/>
        <v>0.19600000000000001</v>
      </c>
      <c r="X622">
        <v>17</v>
      </c>
    </row>
    <row r="623" spans="1:24" x14ac:dyDescent="0.35">
      <c r="A623" s="4" t="s">
        <v>32</v>
      </c>
      <c r="B623" s="5" t="str">
        <f>IF(COUNTIF($A$2:A623,A623)=1,"Original","Duplicate")</f>
        <v>Original</v>
      </c>
      <c r="C623" s="7">
        <v>45908</v>
      </c>
      <c r="D623" s="7">
        <v>45916</v>
      </c>
      <c r="E623" s="7" t="str">
        <f t="shared" si="72"/>
        <v>Valid</v>
      </c>
      <c r="F623" s="7">
        <f t="shared" si="73"/>
        <v>45916</v>
      </c>
      <c r="G623">
        <f t="shared" si="74"/>
        <v>8</v>
      </c>
      <c r="H623" t="s">
        <v>647</v>
      </c>
      <c r="I623" t="s">
        <v>652</v>
      </c>
      <c r="J623" t="s">
        <v>666</v>
      </c>
      <c r="K623" t="str">
        <f t="shared" si="75"/>
        <v>Osaka</v>
      </c>
      <c r="L623" t="s">
        <v>701</v>
      </c>
      <c r="M623" t="s">
        <v>710</v>
      </c>
      <c r="N623" t="str">
        <f t="shared" si="76"/>
        <v>Distributor</v>
      </c>
      <c r="O623" t="s">
        <v>712</v>
      </c>
      <c r="P623" t="str">
        <f t="shared" si="77"/>
        <v>C. Otieno</v>
      </c>
      <c r="Q623" t="s">
        <v>730</v>
      </c>
      <c r="R623" t="s">
        <v>751</v>
      </c>
      <c r="S623" s="23">
        <v>1225.57</v>
      </c>
      <c r="T623" s="23">
        <v>2705.57</v>
      </c>
      <c r="U623" s="23">
        <f t="shared" si="78"/>
        <v>2705.57</v>
      </c>
      <c r="V623" s="8">
        <v>0.183</v>
      </c>
      <c r="W623" s="8">
        <f t="shared" si="79"/>
        <v>0.183</v>
      </c>
      <c r="X623">
        <v>16</v>
      </c>
    </row>
    <row r="624" spans="1:24" x14ac:dyDescent="0.35">
      <c r="A624" s="4" t="s">
        <v>513</v>
      </c>
      <c r="B624" s="5" t="str">
        <f>IF(COUNTIF($A$2:A624,A624)=1,"Original","Duplicate")</f>
        <v>Original</v>
      </c>
      <c r="C624" s="7">
        <v>45908</v>
      </c>
      <c r="D624" s="7">
        <v>45935</v>
      </c>
      <c r="E624" s="7" t="str">
        <f t="shared" si="72"/>
        <v>Valid</v>
      </c>
      <c r="F624" s="7">
        <f t="shared" si="73"/>
        <v>45935</v>
      </c>
      <c r="G624">
        <f t="shared" si="74"/>
        <v>27</v>
      </c>
      <c r="H624" t="s">
        <v>648</v>
      </c>
      <c r="I624" t="s">
        <v>655</v>
      </c>
      <c r="J624" t="s">
        <v>692</v>
      </c>
      <c r="K624" t="str">
        <f t="shared" si="75"/>
        <v>Rio de Janeiro</v>
      </c>
      <c r="L624" t="s">
        <v>702</v>
      </c>
      <c r="M624" t="s">
        <v>708</v>
      </c>
      <c r="N624" t="str">
        <f t="shared" si="76"/>
        <v>Online</v>
      </c>
      <c r="O624" t="s">
        <v>712</v>
      </c>
      <c r="P624" t="str">
        <f t="shared" si="77"/>
        <v>C. Otieno</v>
      </c>
      <c r="Q624" t="s">
        <v>732</v>
      </c>
      <c r="R624" t="s">
        <v>1232</v>
      </c>
      <c r="S624" s="23">
        <v>660.78</v>
      </c>
      <c r="T624" s="23">
        <v>1630.39</v>
      </c>
      <c r="U624" s="23">
        <f t="shared" si="78"/>
        <v>1630.39</v>
      </c>
      <c r="V624" s="8">
        <v>0.218</v>
      </c>
      <c r="W624" s="8">
        <f t="shared" si="79"/>
        <v>0.218</v>
      </c>
      <c r="X624">
        <v>13</v>
      </c>
    </row>
    <row r="625" spans="1:24" x14ac:dyDescent="0.35">
      <c r="A625" s="4" t="s">
        <v>76</v>
      </c>
      <c r="B625" s="5" t="str">
        <f>IF(COUNTIF($A$2:A625,A625)=1,"Original","Duplicate")</f>
        <v>Original</v>
      </c>
      <c r="C625" s="7">
        <v>45910</v>
      </c>
      <c r="D625" s="7">
        <v>45912</v>
      </c>
      <c r="E625" s="7" t="str">
        <f t="shared" si="72"/>
        <v>Valid</v>
      </c>
      <c r="F625" s="7">
        <f t="shared" si="73"/>
        <v>45912</v>
      </c>
      <c r="G625">
        <f t="shared" si="74"/>
        <v>2</v>
      </c>
      <c r="H625" t="s">
        <v>647</v>
      </c>
      <c r="I625" t="s">
        <v>652</v>
      </c>
      <c r="J625" t="s">
        <v>689</v>
      </c>
      <c r="K625" t="str">
        <f t="shared" si="75"/>
        <v>Tokyo</v>
      </c>
      <c r="L625" t="s">
        <v>704</v>
      </c>
      <c r="M625" t="s">
        <v>708</v>
      </c>
      <c r="N625" t="str">
        <f t="shared" si="76"/>
        <v>Online</v>
      </c>
      <c r="O625" t="s">
        <v>719</v>
      </c>
      <c r="P625" t="str">
        <f t="shared" si="77"/>
        <v>O. Wang</v>
      </c>
      <c r="Q625" t="s">
        <v>727</v>
      </c>
      <c r="R625" t="s">
        <v>795</v>
      </c>
      <c r="S625" s="23">
        <v>1470.15</v>
      </c>
      <c r="T625" s="23">
        <v>2593.7800000000002</v>
      </c>
      <c r="U625" s="23">
        <f t="shared" si="78"/>
        <v>2593.7800000000002</v>
      </c>
      <c r="V625" s="8">
        <v>0.11</v>
      </c>
      <c r="W625" s="8">
        <f t="shared" si="79"/>
        <v>0.11</v>
      </c>
      <c r="X625">
        <v>12</v>
      </c>
    </row>
    <row r="626" spans="1:24" x14ac:dyDescent="0.35">
      <c r="A626" s="4" t="s">
        <v>109</v>
      </c>
      <c r="B626" s="5" t="str">
        <f>IF(COUNTIF($A$2:A626,A626)=1,"Original","Duplicate")</f>
        <v>Original</v>
      </c>
      <c r="C626" s="7">
        <v>45910</v>
      </c>
      <c r="D626" s="7">
        <v>45930</v>
      </c>
      <c r="E626" s="7" t="str">
        <f t="shared" si="72"/>
        <v>Valid</v>
      </c>
      <c r="F626" s="7">
        <f t="shared" si="73"/>
        <v>45930</v>
      </c>
      <c r="G626">
        <f t="shared" si="74"/>
        <v>20</v>
      </c>
      <c r="H626" t="s">
        <v>646</v>
      </c>
      <c r="I626" t="s">
        <v>650</v>
      </c>
      <c r="J626" t="s">
        <v>675</v>
      </c>
      <c r="K626" t="str">
        <f t="shared" si="75"/>
        <v>Mombasa</v>
      </c>
      <c r="L626" t="s">
        <v>701</v>
      </c>
      <c r="M626" t="s">
        <v>711</v>
      </c>
      <c r="N626" t="str">
        <f t="shared" si="76"/>
        <v>Direct</v>
      </c>
      <c r="O626" t="s">
        <v>716</v>
      </c>
      <c r="P626" t="str">
        <f t="shared" si="77"/>
        <v>L. Okafor</v>
      </c>
      <c r="Q626" t="s">
        <v>730</v>
      </c>
      <c r="R626" t="s">
        <v>828</v>
      </c>
      <c r="S626" s="23">
        <v>1009.48</v>
      </c>
      <c r="T626" s="23">
        <v>1088.81</v>
      </c>
      <c r="U626" s="23">
        <f t="shared" si="78"/>
        <v>1088.81</v>
      </c>
      <c r="V626" s="8">
        <v>0.16</v>
      </c>
      <c r="W626" s="8">
        <f t="shared" si="79"/>
        <v>0.16</v>
      </c>
      <c r="X626">
        <v>6</v>
      </c>
    </row>
    <row r="627" spans="1:24" x14ac:dyDescent="0.35">
      <c r="A627" s="4" t="s">
        <v>161</v>
      </c>
      <c r="B627" s="5" t="str">
        <f>IF(COUNTIF($A$2:A627,A627)=1,"Original","Duplicate")</f>
        <v>Original</v>
      </c>
      <c r="C627" s="7">
        <v>45911</v>
      </c>
      <c r="D627" s="7">
        <v>45928</v>
      </c>
      <c r="E627" s="7" t="str">
        <f t="shared" si="72"/>
        <v>Valid</v>
      </c>
      <c r="F627" s="7">
        <f t="shared" si="73"/>
        <v>45928</v>
      </c>
      <c r="G627">
        <f t="shared" si="74"/>
        <v>17</v>
      </c>
      <c r="H627" t="s">
        <v>646</v>
      </c>
      <c r="I627" t="s">
        <v>650</v>
      </c>
      <c r="J627" t="s">
        <v>664</v>
      </c>
      <c r="K627" t="str">
        <f t="shared" si="75"/>
        <v>Nairobi</v>
      </c>
      <c r="L627" t="s">
        <v>703</v>
      </c>
      <c r="M627" t="s">
        <v>710</v>
      </c>
      <c r="N627" t="str">
        <f t="shared" si="76"/>
        <v>Distributor</v>
      </c>
      <c r="O627" t="s">
        <v>713</v>
      </c>
      <c r="P627" t="str">
        <f t="shared" si="77"/>
        <v>J. Njeri</v>
      </c>
      <c r="Q627" t="s">
        <v>731</v>
      </c>
      <c r="R627" t="s">
        <v>880</v>
      </c>
      <c r="S627" s="23">
        <v>891.46</v>
      </c>
      <c r="T627" s="23">
        <v>728.61</v>
      </c>
      <c r="U627" s="23">
        <f t="shared" si="78"/>
        <v>728.61</v>
      </c>
      <c r="V627" s="8">
        <v>0.185</v>
      </c>
      <c r="W627" s="8">
        <f t="shared" si="79"/>
        <v>0.185</v>
      </c>
      <c r="X627">
        <v>6</v>
      </c>
    </row>
    <row r="628" spans="1:24" x14ac:dyDescent="0.35">
      <c r="A628" s="4" t="s">
        <v>263</v>
      </c>
      <c r="B628" s="5" t="str">
        <f>IF(COUNTIF($A$2:A628,A628)=1,"Original","Duplicate")</f>
        <v>Original</v>
      </c>
      <c r="C628" s="7">
        <v>45912</v>
      </c>
      <c r="D628" s="7">
        <v>45930</v>
      </c>
      <c r="E628" s="7" t="str">
        <f t="shared" si="72"/>
        <v>Valid</v>
      </c>
      <c r="F628" s="7">
        <f t="shared" si="73"/>
        <v>45930</v>
      </c>
      <c r="G628">
        <f t="shared" si="74"/>
        <v>18</v>
      </c>
      <c r="H628" t="s">
        <v>647</v>
      </c>
      <c r="I628" t="s">
        <v>652</v>
      </c>
      <c r="J628" t="s">
        <v>694</v>
      </c>
      <c r="K628" t="str">
        <f t="shared" si="75"/>
        <v>Nagoya</v>
      </c>
      <c r="L628" t="s">
        <v>703</v>
      </c>
      <c r="M628" t="s">
        <v>709</v>
      </c>
      <c r="N628" t="str">
        <f t="shared" si="76"/>
        <v>Marketplace</v>
      </c>
      <c r="O628" t="s">
        <v>721</v>
      </c>
      <c r="P628" t="str">
        <f t="shared" si="77"/>
        <v>F. Müller</v>
      </c>
      <c r="Q628" t="s">
        <v>732</v>
      </c>
      <c r="R628" t="s">
        <v>983</v>
      </c>
      <c r="S628" s="23">
        <v>1212.99</v>
      </c>
      <c r="T628" s="23">
        <v>1653.64</v>
      </c>
      <c r="U628" s="23">
        <f t="shared" si="78"/>
        <v>1653.64</v>
      </c>
      <c r="V628" s="8">
        <v>0.107</v>
      </c>
      <c r="W628" s="8">
        <f t="shared" si="79"/>
        <v>0.107</v>
      </c>
      <c r="X628">
        <v>8</v>
      </c>
    </row>
    <row r="629" spans="1:24" x14ac:dyDescent="0.35">
      <c r="A629" s="4" t="s">
        <v>345</v>
      </c>
      <c r="B629" s="5" t="str">
        <f>IF(COUNTIF($A$2:A629,A629)=1,"Original","Duplicate")</f>
        <v>Original</v>
      </c>
      <c r="C629" s="7">
        <v>45914</v>
      </c>
      <c r="D629" s="7">
        <v>45926</v>
      </c>
      <c r="E629" s="7" t="str">
        <f t="shared" si="72"/>
        <v>Valid</v>
      </c>
      <c r="F629" s="7">
        <f t="shared" si="73"/>
        <v>45926</v>
      </c>
      <c r="G629">
        <f t="shared" si="74"/>
        <v>12</v>
      </c>
      <c r="H629" t="s">
        <v>649</v>
      </c>
      <c r="I629" t="s">
        <v>658</v>
      </c>
      <c r="J629" t="s">
        <v>683</v>
      </c>
      <c r="K629" t="str">
        <f t="shared" si="75"/>
        <v>London</v>
      </c>
      <c r="L629" t="s">
        <v>705</v>
      </c>
      <c r="M629" t="s">
        <v>711</v>
      </c>
      <c r="N629" t="str">
        <f t="shared" si="76"/>
        <v>Direct</v>
      </c>
      <c r="O629" t="s">
        <v>725</v>
      </c>
      <c r="P629" t="str">
        <f t="shared" si="77"/>
        <v>N. Brown</v>
      </c>
      <c r="Q629" t="s">
        <v>729</v>
      </c>
      <c r="R629" t="s">
        <v>1065</v>
      </c>
      <c r="S629" s="23">
        <v>425.15</v>
      </c>
      <c r="T629" s="23">
        <v>885.92</v>
      </c>
      <c r="U629" s="23">
        <f t="shared" si="78"/>
        <v>885.92</v>
      </c>
      <c r="V629" s="8">
        <v>0.23899999999999999</v>
      </c>
      <c r="W629" s="8">
        <f t="shared" si="79"/>
        <v>0.23899999999999999</v>
      </c>
      <c r="X629">
        <v>13</v>
      </c>
    </row>
    <row r="630" spans="1:24" x14ac:dyDescent="0.35">
      <c r="A630" s="4" t="s">
        <v>412</v>
      </c>
      <c r="B630" s="5" t="str">
        <f>IF(COUNTIF($A$2:A630,A630)=1,"Original","Duplicate")</f>
        <v>Original</v>
      </c>
      <c r="C630" s="7">
        <v>45914</v>
      </c>
      <c r="D630" s="7">
        <v>45923</v>
      </c>
      <c r="E630" s="7" t="str">
        <f t="shared" si="72"/>
        <v>Valid</v>
      </c>
      <c r="F630" s="7">
        <f t="shared" si="73"/>
        <v>45923</v>
      </c>
      <c r="G630">
        <f t="shared" si="74"/>
        <v>9</v>
      </c>
      <c r="H630" t="s">
        <v>646</v>
      </c>
      <c r="I630" t="s">
        <v>661</v>
      </c>
      <c r="J630" t="s">
        <v>687</v>
      </c>
      <c r="K630" t="str">
        <f t="shared" si="75"/>
        <v>Durban</v>
      </c>
      <c r="L630" t="s">
        <v>703</v>
      </c>
      <c r="M630" t="s">
        <v>708</v>
      </c>
      <c r="N630" t="str">
        <f t="shared" si="76"/>
        <v>Online</v>
      </c>
      <c r="O630" t="s">
        <v>726</v>
      </c>
      <c r="P630" t="str">
        <f t="shared" si="77"/>
        <v>D. Smith</v>
      </c>
      <c r="Q630" t="s">
        <v>727</v>
      </c>
      <c r="R630" t="s">
        <v>1131</v>
      </c>
      <c r="S630" s="23">
        <v>1310.3</v>
      </c>
      <c r="T630" s="23">
        <v>2875.8</v>
      </c>
      <c r="U630" s="23">
        <f t="shared" si="78"/>
        <v>2875.8</v>
      </c>
      <c r="V630" s="8">
        <v>8.3000000000000004E-2</v>
      </c>
      <c r="W630" s="8">
        <f t="shared" si="79"/>
        <v>8.3000000000000004E-2</v>
      </c>
      <c r="X630">
        <v>5</v>
      </c>
    </row>
    <row r="631" spans="1:24" x14ac:dyDescent="0.35">
      <c r="A631" s="4" t="s">
        <v>195</v>
      </c>
      <c r="B631" s="5" t="str">
        <f>IF(COUNTIF($A$2:A631,A631)=1,"Original","Duplicate")</f>
        <v>Original</v>
      </c>
      <c r="C631" s="7">
        <v>45915</v>
      </c>
      <c r="D631" s="7">
        <v>45918</v>
      </c>
      <c r="E631" s="7" t="str">
        <f t="shared" si="72"/>
        <v>Valid</v>
      </c>
      <c r="F631" s="7">
        <f t="shared" si="73"/>
        <v>45918</v>
      </c>
      <c r="G631">
        <f t="shared" si="74"/>
        <v>3</v>
      </c>
      <c r="H631" t="s">
        <v>648</v>
      </c>
      <c r="I631" t="s">
        <v>655</v>
      </c>
      <c r="J631" t="s">
        <v>692</v>
      </c>
      <c r="K631" t="str">
        <f t="shared" si="75"/>
        <v>Rio de Janeiro</v>
      </c>
      <c r="L631" t="s">
        <v>703</v>
      </c>
      <c r="M631" t="s">
        <v>711</v>
      </c>
      <c r="N631" t="str">
        <f t="shared" si="76"/>
        <v>Direct</v>
      </c>
      <c r="O631" t="s">
        <v>716</v>
      </c>
      <c r="P631" t="str">
        <f t="shared" si="77"/>
        <v>L. Okafor</v>
      </c>
      <c r="Q631" t="s">
        <v>733</v>
      </c>
      <c r="R631" t="s">
        <v>914</v>
      </c>
      <c r="S631" s="23">
        <v>5.5</v>
      </c>
      <c r="T631" s="23">
        <v>5.92</v>
      </c>
      <c r="U631" s="23">
        <f t="shared" si="78"/>
        <v>5.92</v>
      </c>
      <c r="V631" s="8">
        <v>0.21199999999999999</v>
      </c>
      <c r="W631" s="8">
        <f t="shared" si="79"/>
        <v>0.21199999999999999</v>
      </c>
      <c r="X631">
        <v>4</v>
      </c>
    </row>
    <row r="632" spans="1:24" x14ac:dyDescent="0.35">
      <c r="A632" s="4" t="s">
        <v>437</v>
      </c>
      <c r="B632" s="5" t="str">
        <f>IF(COUNTIF($A$2:A632,A632)=1,"Original","Duplicate")</f>
        <v>Original</v>
      </c>
      <c r="C632" s="7">
        <v>45915</v>
      </c>
      <c r="D632" s="7">
        <v>45925</v>
      </c>
      <c r="E632" s="7" t="str">
        <f t="shared" si="72"/>
        <v>Valid</v>
      </c>
      <c r="F632" s="7">
        <f t="shared" si="73"/>
        <v>45925</v>
      </c>
      <c r="G632">
        <f t="shared" si="74"/>
        <v>10</v>
      </c>
      <c r="H632" t="s">
        <v>647</v>
      </c>
      <c r="I632" t="s">
        <v>654</v>
      </c>
      <c r="J632" t="s">
        <v>680</v>
      </c>
      <c r="K632" t="str">
        <f t="shared" si="75"/>
        <v>Delhi</v>
      </c>
      <c r="L632" t="s">
        <v>704</v>
      </c>
      <c r="M632" t="s">
        <v>707</v>
      </c>
      <c r="N632" t="str">
        <f t="shared" si="76"/>
        <v>Retail</v>
      </c>
      <c r="O632" t="s">
        <v>720</v>
      </c>
      <c r="P632" t="str">
        <f t="shared" si="77"/>
        <v>A. Patel</v>
      </c>
      <c r="Q632" t="s">
        <v>730</v>
      </c>
      <c r="R632" t="s">
        <v>1156</v>
      </c>
      <c r="S632" s="23">
        <v>1488.91</v>
      </c>
      <c r="T632" s="23">
        <v>1483.74</v>
      </c>
      <c r="U632" s="23">
        <f t="shared" si="78"/>
        <v>1483.74</v>
      </c>
      <c r="V632" s="8">
        <v>0.16800000000000001</v>
      </c>
      <c r="W632" s="8">
        <f t="shared" si="79"/>
        <v>0.16800000000000001</v>
      </c>
      <c r="X632">
        <v>24</v>
      </c>
    </row>
  </sheetData>
  <sortState xmlns:xlrd2="http://schemas.microsoft.com/office/spreadsheetml/2017/richdata2" ref="A2:X632">
    <sortCondition ref="C2:C632"/>
  </sortState>
  <conditionalFormatting sqref="E1:E1048576">
    <cfRule type="cellIs" dxfId="277" priority="1" operator="equal">
      <formula>"Invalid"</formula>
    </cfRule>
  </conditionalFormatting>
  <conditionalFormatting sqref="T1:U1048576">
    <cfRule type="cellIs" dxfId="276" priority="3" operator="lessThan">
      <formula>0</formula>
    </cfRule>
  </conditionalFormatting>
  <conditionalFormatting sqref="V2:V1048576">
    <cfRule type="cellIs" dxfId="275" priority="2" operator="greaterThan">
      <formula>0.3</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81704-BE29-46A1-ABAE-3D10BCE57267}">
  <dimension ref="A1:AJ633"/>
  <sheetViews>
    <sheetView workbookViewId="0">
      <pane xSplit="1" ySplit="1" topLeftCell="AB3" activePane="bottomRight" state="frozen"/>
      <selection pane="topRight" activeCell="B1" sqref="B1"/>
      <selection pane="bottomLeft" activeCell="A2" sqref="A2"/>
      <selection pane="bottomRight" activeCell="Y621" sqref="Y621"/>
    </sheetView>
  </sheetViews>
  <sheetFormatPr defaultRowHeight="14.5" x14ac:dyDescent="0.35"/>
  <cols>
    <col min="1" max="1" width="15.90625" bestFit="1" customWidth="1"/>
    <col min="3" max="3" width="10.453125" bestFit="1" customWidth="1"/>
    <col min="4" max="4" width="16.81640625" bestFit="1" customWidth="1"/>
    <col min="5" max="5" width="12.90625" bestFit="1" customWidth="1"/>
    <col min="6" max="6" width="8.453125" bestFit="1" customWidth="1"/>
    <col min="7" max="7" width="14.1796875" bestFit="1" customWidth="1"/>
    <col min="8" max="8" width="12.453125" bestFit="1" customWidth="1"/>
    <col min="9" max="9" width="16.36328125" bestFit="1" customWidth="1"/>
    <col min="10" max="10" width="12" bestFit="1" customWidth="1"/>
    <col min="11" max="11" width="15.26953125" bestFit="1" customWidth="1"/>
    <col min="12" max="12" width="15" bestFit="1" customWidth="1"/>
    <col min="13" max="13" width="9.81640625" bestFit="1" customWidth="1"/>
    <col min="14" max="14" width="8.08984375" bestFit="1" customWidth="1"/>
    <col min="15" max="15" width="16" bestFit="1" customWidth="1"/>
    <col min="16" max="16" width="13.08984375" bestFit="1" customWidth="1"/>
    <col min="17" max="17" width="8.1796875" bestFit="1" customWidth="1"/>
    <col min="18" max="18" width="13.453125" bestFit="1" customWidth="1"/>
    <col min="19" max="19" width="12.36328125" bestFit="1" customWidth="1"/>
    <col min="20" max="20" width="13.08984375" bestFit="1" customWidth="1"/>
    <col min="21" max="21" width="10.453125" style="14" bestFit="1" customWidth="1"/>
    <col min="22" max="22" width="13.54296875" style="7" bestFit="1" customWidth="1"/>
    <col min="23" max="23" width="13.54296875" style="7" customWidth="1"/>
    <col min="24" max="24" width="10.453125" bestFit="1" customWidth="1"/>
    <col min="25" max="25" width="36.1796875" bestFit="1" customWidth="1"/>
    <col min="26" max="26" width="15" bestFit="1" customWidth="1"/>
    <col min="27" max="27" width="9.1796875" bestFit="1" customWidth="1"/>
    <col min="28" max="28" width="10.453125" bestFit="1" customWidth="1"/>
    <col min="29" max="29" width="15.81640625" bestFit="1" customWidth="1"/>
    <col min="30" max="30" width="15.81640625" customWidth="1"/>
    <col min="36" max="36" width="10.453125" bestFit="1" customWidth="1"/>
  </cols>
  <sheetData>
    <row r="1" spans="1:36" x14ac:dyDescent="0.35">
      <c r="A1" s="3" t="s">
        <v>0</v>
      </c>
      <c r="B1" s="12" t="s">
        <v>1422</v>
      </c>
      <c r="C1" s="6" t="s">
        <v>1</v>
      </c>
      <c r="D1" s="6" t="s">
        <v>1428</v>
      </c>
      <c r="E1" s="11" t="s">
        <v>1430</v>
      </c>
      <c r="F1" s="1" t="s">
        <v>3</v>
      </c>
      <c r="G1" s="1" t="s">
        <v>4</v>
      </c>
      <c r="H1" s="11" t="s">
        <v>5</v>
      </c>
      <c r="I1" s="1" t="s">
        <v>6</v>
      </c>
      <c r="J1" s="11" t="s">
        <v>7</v>
      </c>
      <c r="K1" s="11" t="s">
        <v>8</v>
      </c>
      <c r="L1" s="1" t="s">
        <v>9</v>
      </c>
      <c r="M1" s="1" t="s">
        <v>10</v>
      </c>
      <c r="N1" s="1" t="s">
        <v>11</v>
      </c>
      <c r="O1" s="11" t="s">
        <v>12</v>
      </c>
      <c r="P1" s="10" t="s">
        <v>13</v>
      </c>
      <c r="Q1" s="1" t="s">
        <v>14</v>
      </c>
      <c r="R1" s="25" t="s">
        <v>1433</v>
      </c>
      <c r="S1" s="25" t="s">
        <v>1434</v>
      </c>
      <c r="T1" s="25" t="s">
        <v>1435</v>
      </c>
      <c r="U1" s="13" t="s">
        <v>1436</v>
      </c>
      <c r="V1" s="20" t="s">
        <v>1437</v>
      </c>
      <c r="W1" s="20" t="s">
        <v>1437</v>
      </c>
      <c r="X1" s="15" t="s">
        <v>1438</v>
      </c>
      <c r="Y1" s="16" t="s">
        <v>1445</v>
      </c>
      <c r="Z1" s="17" t="s">
        <v>9</v>
      </c>
      <c r="AA1" s="17" t="s">
        <v>1439</v>
      </c>
      <c r="AB1" s="17" t="s">
        <v>1462</v>
      </c>
      <c r="AC1" s="17" t="s">
        <v>1463</v>
      </c>
      <c r="AD1" s="17"/>
      <c r="AE1" t="s">
        <v>1444</v>
      </c>
      <c r="AF1" t="s">
        <v>1442</v>
      </c>
      <c r="AG1" t="s">
        <v>1443</v>
      </c>
      <c r="AJ1" t="s">
        <v>1462</v>
      </c>
    </row>
    <row r="2" spans="1:36" x14ac:dyDescent="0.35">
      <c r="A2" s="4" t="s">
        <v>20</v>
      </c>
      <c r="B2" s="5" t="str">
        <f>IF(COUNTIF($A$2:A2,A2)=1,"Original","Duplicate")</f>
        <v>Original</v>
      </c>
      <c r="C2" s="7">
        <v>44928</v>
      </c>
      <c r="D2" s="7">
        <v>44931</v>
      </c>
      <c r="E2">
        <f t="shared" ref="E2:E65" si="0">D2-C2</f>
        <v>3</v>
      </c>
      <c r="F2" t="s">
        <v>648</v>
      </c>
      <c r="G2" t="s">
        <v>653</v>
      </c>
      <c r="H2" t="s">
        <v>667</v>
      </c>
      <c r="I2" t="s">
        <v>701</v>
      </c>
      <c r="J2" t="s">
        <v>710</v>
      </c>
      <c r="K2" t="s">
        <v>717</v>
      </c>
      <c r="L2" t="s">
        <v>731</v>
      </c>
      <c r="M2" t="s">
        <v>739</v>
      </c>
      <c r="N2" s="23">
        <v>315.87</v>
      </c>
      <c r="O2" s="23">
        <v>591.67999999999995</v>
      </c>
      <c r="P2" s="8">
        <v>0</v>
      </c>
      <c r="Q2">
        <v>7</v>
      </c>
      <c r="R2" s="23">
        <f>(O2*Q2)*(1-P2)</f>
        <v>4141.7599999999993</v>
      </c>
      <c r="S2" s="23">
        <f>N2*Q2</f>
        <v>2211.09</v>
      </c>
      <c r="T2" s="23">
        <f>R2-S2</f>
        <v>1930.6699999999992</v>
      </c>
      <c r="U2" s="14">
        <f>IF(R2=0,0,T2/R2)</f>
        <v>0.46614724175229844</v>
      </c>
      <c r="V2" s="21" t="str">
        <f>TEXT(C2,"MMM-YYYY")</f>
        <v>Jan-2023</v>
      </c>
      <c r="W2" s="22">
        <f>DATEVALUE(V2)</f>
        <v>44927</v>
      </c>
      <c r="X2" s="7" t="str">
        <f>"Q"&amp;ROUNDUP(MONTH(C2)/3,0)&amp;"-"&amp;YEAR(C2)</f>
        <v>Q1-2023</v>
      </c>
      <c r="Y2" t="str">
        <f>_xlfn.CONCAT(F2," ","→"," ",G2," ","→"," ",H2)</f>
        <v>Americas → Canada → Toronto</v>
      </c>
      <c r="Z2" t="str">
        <f>TRIM(L2)</f>
        <v>Laptops</v>
      </c>
      <c r="AA2" t="str" cm="1">
        <f t="array" ref="AA2">_xlfn.IFS(O2&lt;=$AF$2,"Low",AND(O2&gt;$AF$2,O2&lt;$AF$3),"Medium",O2&gt;=$AF$3,"High")</f>
        <v>Low</v>
      </c>
      <c r="AB2" s="22">
        <f>_xlfn.MINIFS($W$2:$W$632,$G$2:$G$632,G2)</f>
        <v>44927</v>
      </c>
      <c r="AC2" cm="1">
        <f t="array" ref="AC2:AC632">(YEAR(W2:W632) - YEAR(AB2:AB632))*12 + (MONTH(W2:W632) - MONTH(AB2:AB632))</f>
        <v>0</v>
      </c>
      <c r="AE2" t="s">
        <v>1440</v>
      </c>
      <c r="AF2">
        <f>_xlfn.PERCENTILE.INC($O$2:$O$632,0.33)</f>
        <v>824.755</v>
      </c>
      <c r="AG2">
        <v>0.33</v>
      </c>
      <c r="AJ2" s="22">
        <f>_xlfn.MINIFS($W$2:$W$632,$G$2:$G$632,G2)</f>
        <v>44927</v>
      </c>
    </row>
    <row r="3" spans="1:36" x14ac:dyDescent="0.35">
      <c r="A3" s="4" t="s">
        <v>611</v>
      </c>
      <c r="B3" s="5" t="str">
        <f>IF(COUNTIF($A$2:A3,A3)=1,"Original","Duplicate")</f>
        <v>Original</v>
      </c>
      <c r="C3" s="7">
        <v>44933</v>
      </c>
      <c r="D3" s="7">
        <v>44956</v>
      </c>
      <c r="E3">
        <f t="shared" si="0"/>
        <v>23</v>
      </c>
      <c r="F3" t="s">
        <v>646</v>
      </c>
      <c r="G3" t="s">
        <v>661</v>
      </c>
      <c r="H3" t="s">
        <v>695</v>
      </c>
      <c r="I3" t="s">
        <v>704</v>
      </c>
      <c r="J3" t="s">
        <v>708</v>
      </c>
      <c r="K3" t="s">
        <v>720</v>
      </c>
      <c r="L3" t="s">
        <v>728</v>
      </c>
      <c r="M3" t="s">
        <v>1329</v>
      </c>
      <c r="N3" s="23">
        <v>299.02</v>
      </c>
      <c r="O3" s="23">
        <v>724.7</v>
      </c>
      <c r="P3" s="8">
        <v>0.14000000000000001</v>
      </c>
      <c r="Q3">
        <v>5</v>
      </c>
      <c r="R3" s="23">
        <f t="shared" ref="R3:R66" si="1">(O3*Q3)*(1-P3)</f>
        <v>3116.21</v>
      </c>
      <c r="S3" s="23">
        <f t="shared" ref="S3:S66" si="2">N3*Q3</f>
        <v>1495.1</v>
      </c>
      <c r="T3" s="23">
        <f t="shared" ref="T3:T66" si="3">R3-S3</f>
        <v>1621.1100000000001</v>
      </c>
      <c r="U3" s="14">
        <f t="shared" ref="U3:U66" si="4">IF(R3=0,0,T3/R3)</f>
        <v>0.52021847051386139</v>
      </c>
      <c r="V3" s="7" t="str">
        <f t="shared" ref="V3:V66" si="5">TEXT(C3,"MMM-YYYY")</f>
        <v>Jan-2023</v>
      </c>
      <c r="W3" s="22">
        <f t="shared" ref="W3:W66" si="6">DATEVALUE(V3)</f>
        <v>44927</v>
      </c>
      <c r="X3" s="7" t="str">
        <f t="shared" ref="X3:X66" si="7">"Q"&amp;ROUNDUP(MONTH(C3)/3,0)&amp;"-"&amp;YEAR(C3)</f>
        <v>Q1-2023</v>
      </c>
      <c r="Y3" t="str">
        <f t="shared" ref="Y3:Y66" si="8">_xlfn.CONCAT(F3," ","→"," ",G3," ","→"," ",H3)</f>
        <v>Africa → South Africa → Cape Town</v>
      </c>
      <c r="Z3" t="str">
        <f t="shared" ref="Z3:Z66" si="9">TRIM(L3)</f>
        <v>Printers</v>
      </c>
      <c r="AA3" t="str" cm="1">
        <f t="array" ref="AA3">_xlfn.IFS(O3&lt;=$AF$2,"Low",AND(O3&gt;$AF$2,O3&lt;$AF$3),"Medium",O3&gt;=$AF$3,"High")</f>
        <v>Low</v>
      </c>
      <c r="AB3" s="22">
        <f t="shared" ref="AB3:AB66" si="10">_xlfn.MINIFS($W$2:$W$632,$G$2:$G$632,G3)</f>
        <v>44927</v>
      </c>
      <c r="AC3">
        <v>0</v>
      </c>
      <c r="AE3" t="s">
        <v>1441</v>
      </c>
      <c r="AF3">
        <f>_xlfn.PERCENTILE.INC($O$2:$O$632,0.66)</f>
        <v>1623.856</v>
      </c>
      <c r="AG3">
        <v>0.66</v>
      </c>
      <c r="AJ3" s="22">
        <f t="shared" ref="AJ3:AJ35" si="11">_xlfn.MINIFS($W$2:$W$632,$G$2:$G$632,G3)</f>
        <v>44927</v>
      </c>
    </row>
    <row r="4" spans="1:36" x14ac:dyDescent="0.35">
      <c r="A4" s="4" t="s">
        <v>323</v>
      </c>
      <c r="B4" s="5" t="str">
        <f>IF(COUNTIF($A$2:A4,A4)=1,"Original","Duplicate")</f>
        <v>Original</v>
      </c>
      <c r="C4" s="7">
        <v>44936</v>
      </c>
      <c r="D4" s="7">
        <v>44955</v>
      </c>
      <c r="E4">
        <f t="shared" si="0"/>
        <v>19</v>
      </c>
      <c r="F4" t="s">
        <v>649</v>
      </c>
      <c r="G4" t="s">
        <v>657</v>
      </c>
      <c r="H4" t="s">
        <v>679</v>
      </c>
      <c r="I4" t="s">
        <v>703</v>
      </c>
      <c r="J4" t="s">
        <v>711</v>
      </c>
      <c r="K4" t="s">
        <v>726</v>
      </c>
      <c r="L4" t="s">
        <v>731</v>
      </c>
      <c r="M4" t="s">
        <v>1043</v>
      </c>
      <c r="N4" s="23">
        <v>401.66</v>
      </c>
      <c r="O4" s="23">
        <v>772.09</v>
      </c>
      <c r="P4" s="8">
        <v>8.8999999999999996E-2</v>
      </c>
      <c r="Q4">
        <v>14</v>
      </c>
      <c r="R4" s="23">
        <f t="shared" si="1"/>
        <v>9847.2358600000007</v>
      </c>
      <c r="S4" s="23">
        <f t="shared" si="2"/>
        <v>5623.2400000000007</v>
      </c>
      <c r="T4" s="23">
        <f t="shared" si="3"/>
        <v>4223.99586</v>
      </c>
      <c r="U4" s="14">
        <f t="shared" si="4"/>
        <v>0.42895244107619046</v>
      </c>
      <c r="V4" s="7" t="str">
        <f t="shared" si="5"/>
        <v>Jan-2023</v>
      </c>
      <c r="W4" s="22">
        <f t="shared" si="6"/>
        <v>44927</v>
      </c>
      <c r="X4" s="7" t="str">
        <f t="shared" si="7"/>
        <v>Q1-2023</v>
      </c>
      <c r="Y4" t="str">
        <f t="shared" si="8"/>
        <v>Europe → France → Lyon</v>
      </c>
      <c r="Z4" t="str">
        <f t="shared" si="9"/>
        <v>Laptops</v>
      </c>
      <c r="AA4" t="str" cm="1">
        <f t="array" ref="AA4">_xlfn.IFS(O4&lt;=$AF$2,"Low",AND(O4&gt;$AF$2,O4&lt;$AF$3),"Medium",O4&gt;=$AF$3,"High")</f>
        <v>Low</v>
      </c>
      <c r="AB4" s="22">
        <f t="shared" si="10"/>
        <v>44927</v>
      </c>
      <c r="AC4">
        <v>0</v>
      </c>
      <c r="AJ4" s="22">
        <f t="shared" si="11"/>
        <v>44927</v>
      </c>
    </row>
    <row r="5" spans="1:36" x14ac:dyDescent="0.35">
      <c r="A5" s="4" t="s">
        <v>541</v>
      </c>
      <c r="B5" s="5" t="str">
        <f>IF(COUNTIF($A$2:A5,A5)=1,"Original","Duplicate")</f>
        <v>Original</v>
      </c>
      <c r="C5" s="7">
        <v>44938</v>
      </c>
      <c r="D5" s="7">
        <v>44952</v>
      </c>
      <c r="E5">
        <f t="shared" si="0"/>
        <v>14</v>
      </c>
      <c r="F5" t="s">
        <v>647</v>
      </c>
      <c r="G5" t="s">
        <v>659</v>
      </c>
      <c r="H5" t="s">
        <v>676</v>
      </c>
      <c r="I5" t="s">
        <v>703</v>
      </c>
      <c r="J5" t="s">
        <v>707</v>
      </c>
      <c r="K5" t="s">
        <v>724</v>
      </c>
      <c r="L5" t="s">
        <v>728</v>
      </c>
      <c r="M5" t="s">
        <v>1260</v>
      </c>
      <c r="N5" s="23">
        <v>1083.0899999999999</v>
      </c>
      <c r="O5" s="23">
        <v>1425.87</v>
      </c>
      <c r="P5" s="8">
        <v>0</v>
      </c>
      <c r="Q5">
        <v>8</v>
      </c>
      <c r="R5" s="23">
        <f t="shared" si="1"/>
        <v>11406.96</v>
      </c>
      <c r="S5" s="23">
        <f t="shared" si="2"/>
        <v>8664.7199999999993</v>
      </c>
      <c r="T5" s="23">
        <f t="shared" si="3"/>
        <v>2742.24</v>
      </c>
      <c r="U5" s="14">
        <f t="shared" si="4"/>
        <v>0.24040059752992909</v>
      </c>
      <c r="V5" s="7" t="str">
        <f t="shared" si="5"/>
        <v>Jan-2023</v>
      </c>
      <c r="W5" s="22">
        <f t="shared" si="6"/>
        <v>44927</v>
      </c>
      <c r="X5" s="7" t="str">
        <f t="shared" si="7"/>
        <v>Q1-2023</v>
      </c>
      <c r="Y5" t="str">
        <f t="shared" si="8"/>
        <v>Asia → China → Shenzhen</v>
      </c>
      <c r="Z5" t="str">
        <f t="shared" si="9"/>
        <v>Printers</v>
      </c>
      <c r="AA5" t="str" cm="1">
        <f t="array" ref="AA5">_xlfn.IFS(O5&lt;=$AF$2,"Low",AND(O5&gt;$AF$2,O5&lt;$AF$3),"Medium",O5&gt;=$AF$3,"High")</f>
        <v>Medium</v>
      </c>
      <c r="AB5" s="22">
        <f t="shared" si="10"/>
        <v>44927</v>
      </c>
      <c r="AC5">
        <v>0</v>
      </c>
      <c r="AJ5" s="22">
        <f t="shared" si="11"/>
        <v>44927</v>
      </c>
    </row>
    <row r="6" spans="1:36" x14ac:dyDescent="0.35">
      <c r="A6" s="4" t="s">
        <v>214</v>
      </c>
      <c r="B6" s="5" t="str">
        <f>IF(COUNTIF($A$2:A6,A6)=1,"Original","Duplicate")</f>
        <v>Original</v>
      </c>
      <c r="C6" s="7">
        <v>44939</v>
      </c>
      <c r="D6" s="7">
        <v>44945</v>
      </c>
      <c r="E6">
        <f t="shared" si="0"/>
        <v>6</v>
      </c>
      <c r="F6" t="s">
        <v>648</v>
      </c>
      <c r="G6" t="s">
        <v>660</v>
      </c>
      <c r="H6" t="s">
        <v>677</v>
      </c>
      <c r="I6" t="s">
        <v>701</v>
      </c>
      <c r="J6" t="s">
        <v>711</v>
      </c>
      <c r="K6" t="s">
        <v>722</v>
      </c>
      <c r="L6" t="s">
        <v>730</v>
      </c>
      <c r="M6" t="s">
        <v>934</v>
      </c>
      <c r="N6" s="23">
        <v>833.57</v>
      </c>
      <c r="O6" s="23">
        <v>881.57</v>
      </c>
      <c r="P6" s="8">
        <v>5.7000000000000002E-2</v>
      </c>
      <c r="Q6">
        <v>18</v>
      </c>
      <c r="R6" s="23">
        <f t="shared" si="1"/>
        <v>14963.769179999999</v>
      </c>
      <c r="S6" s="23">
        <f t="shared" si="2"/>
        <v>15004.26</v>
      </c>
      <c r="T6" s="23">
        <f t="shared" si="3"/>
        <v>-40.490820000000895</v>
      </c>
      <c r="U6" s="14">
        <f t="shared" si="4"/>
        <v>-2.7059238560107821E-3</v>
      </c>
      <c r="V6" s="7" t="str">
        <f t="shared" si="5"/>
        <v>Jan-2023</v>
      </c>
      <c r="W6" s="22">
        <f t="shared" si="6"/>
        <v>44927</v>
      </c>
      <c r="X6" s="7" t="str">
        <f t="shared" si="7"/>
        <v>Q1-2023</v>
      </c>
      <c r="Y6" t="str">
        <f t="shared" si="8"/>
        <v>Americas → USA → Chicago</v>
      </c>
      <c r="Z6" t="str">
        <f t="shared" si="9"/>
        <v>Phones</v>
      </c>
      <c r="AA6" t="str" cm="1">
        <f t="array" ref="AA6">_xlfn.IFS(O6&lt;=$AF$2,"Low",AND(O6&gt;$AF$2,O6&lt;$AF$3),"Medium",O6&gt;=$AF$3,"High")</f>
        <v>Medium</v>
      </c>
      <c r="AB6" s="22">
        <f t="shared" si="10"/>
        <v>44927</v>
      </c>
      <c r="AC6">
        <v>0</v>
      </c>
      <c r="AJ6" s="22">
        <f t="shared" si="11"/>
        <v>44927</v>
      </c>
    </row>
    <row r="7" spans="1:36" x14ac:dyDescent="0.35">
      <c r="A7" s="4" t="s">
        <v>22</v>
      </c>
      <c r="B7" s="5" t="str">
        <f>IF(COUNTIF($A$2:A7,A7)=1,"Original","Duplicate")</f>
        <v>Original</v>
      </c>
      <c r="C7" s="7">
        <v>44941</v>
      </c>
      <c r="D7" s="7">
        <v>44946</v>
      </c>
      <c r="E7">
        <f t="shared" si="0"/>
        <v>5</v>
      </c>
      <c r="F7" t="s">
        <v>646</v>
      </c>
      <c r="G7" t="s">
        <v>651</v>
      </c>
      <c r="H7" t="s">
        <v>669</v>
      </c>
      <c r="I7" t="s">
        <v>702</v>
      </c>
      <c r="J7" t="s">
        <v>708</v>
      </c>
      <c r="K7" t="s">
        <v>719</v>
      </c>
      <c r="L7" t="s">
        <v>728</v>
      </c>
      <c r="M7" t="s">
        <v>741</v>
      </c>
      <c r="N7" s="23">
        <v>28.38</v>
      </c>
      <c r="O7" s="23">
        <v>47.22</v>
      </c>
      <c r="P7" s="8">
        <v>0.19400000000000001</v>
      </c>
      <c r="Q7">
        <v>18</v>
      </c>
      <c r="R7" s="23">
        <f t="shared" si="1"/>
        <v>685.06776000000002</v>
      </c>
      <c r="S7" s="23">
        <f t="shared" si="2"/>
        <v>510.84</v>
      </c>
      <c r="T7" s="23">
        <f t="shared" si="3"/>
        <v>174.22776000000005</v>
      </c>
      <c r="U7" s="14">
        <f t="shared" si="4"/>
        <v>0.25432193743871417</v>
      </c>
      <c r="V7" s="7" t="str">
        <f t="shared" si="5"/>
        <v>Jan-2023</v>
      </c>
      <c r="W7" s="22">
        <f t="shared" si="6"/>
        <v>44927</v>
      </c>
      <c r="X7" s="7" t="str">
        <f t="shared" si="7"/>
        <v>Q1-2023</v>
      </c>
      <c r="Y7" t="str">
        <f t="shared" si="8"/>
        <v>Africa → Nigeria → Abuja</v>
      </c>
      <c r="Z7" t="str">
        <f t="shared" si="9"/>
        <v>Printers</v>
      </c>
      <c r="AA7" t="str" cm="1">
        <f t="array" ref="AA7">_xlfn.IFS(O7&lt;=$AF$2,"Low",AND(O7&gt;$AF$2,O7&lt;$AF$3),"Medium",O7&gt;=$AF$3,"High")</f>
        <v>Low</v>
      </c>
      <c r="AB7" s="22">
        <f t="shared" si="10"/>
        <v>44927</v>
      </c>
      <c r="AC7">
        <v>0</v>
      </c>
      <c r="AJ7" s="22">
        <f t="shared" si="11"/>
        <v>44927</v>
      </c>
    </row>
    <row r="8" spans="1:36" x14ac:dyDescent="0.35">
      <c r="A8" s="4" t="s">
        <v>465</v>
      </c>
      <c r="B8" s="5" t="str">
        <f>IF(COUNTIF($A$2:A8,A8)=1,"Original","Duplicate")</f>
        <v>Original</v>
      </c>
      <c r="C8" s="7">
        <v>44945</v>
      </c>
      <c r="D8" s="7">
        <v>44960</v>
      </c>
      <c r="E8">
        <f t="shared" si="0"/>
        <v>15</v>
      </c>
      <c r="F8" t="s">
        <v>649</v>
      </c>
      <c r="G8" t="s">
        <v>658</v>
      </c>
      <c r="H8" t="s">
        <v>683</v>
      </c>
      <c r="I8" t="s">
        <v>706</v>
      </c>
      <c r="J8" t="s">
        <v>710</v>
      </c>
      <c r="K8" t="s">
        <v>715</v>
      </c>
      <c r="L8" t="s">
        <v>733</v>
      </c>
      <c r="M8" t="s">
        <v>1184</v>
      </c>
      <c r="N8" s="23">
        <v>873.06</v>
      </c>
      <c r="O8" s="23">
        <v>2101.5500000000002</v>
      </c>
      <c r="P8" s="8">
        <v>6.6000000000000003E-2</v>
      </c>
      <c r="Q8">
        <v>10</v>
      </c>
      <c r="R8" s="23">
        <f t="shared" si="1"/>
        <v>19628.476999999999</v>
      </c>
      <c r="S8" s="23">
        <f t="shared" si="2"/>
        <v>8730.5999999999985</v>
      </c>
      <c r="T8" s="23">
        <f t="shared" si="3"/>
        <v>10897.877</v>
      </c>
      <c r="U8" s="14">
        <f t="shared" si="4"/>
        <v>0.55520746719167269</v>
      </c>
      <c r="V8" s="7" t="str">
        <f t="shared" si="5"/>
        <v>Jan-2023</v>
      </c>
      <c r="W8" s="22">
        <f t="shared" si="6"/>
        <v>44927</v>
      </c>
      <c r="X8" s="7" t="str">
        <f t="shared" si="7"/>
        <v>Q1-2023</v>
      </c>
      <c r="Y8" t="str">
        <f t="shared" si="8"/>
        <v>Europe → United Kingdom → London</v>
      </c>
      <c r="Z8" t="str">
        <f t="shared" si="9"/>
        <v>Accessories</v>
      </c>
      <c r="AA8" t="str" cm="1">
        <f t="array" ref="AA8">_xlfn.IFS(O8&lt;=$AF$2,"Low",AND(O8&gt;$AF$2,O8&lt;$AF$3),"Medium",O8&gt;=$AF$3,"High")</f>
        <v>High</v>
      </c>
      <c r="AB8" s="22">
        <f t="shared" si="10"/>
        <v>44927</v>
      </c>
      <c r="AC8">
        <v>0</v>
      </c>
      <c r="AJ8" s="22">
        <f t="shared" si="11"/>
        <v>44927</v>
      </c>
    </row>
    <row r="9" spans="1:36" x14ac:dyDescent="0.35">
      <c r="A9" s="4" t="s">
        <v>217</v>
      </c>
      <c r="B9" s="5" t="str">
        <f>IF(COUNTIF($A$2:A9,A9)=1,"Original","Duplicate")</f>
        <v>Original</v>
      </c>
      <c r="C9" s="7">
        <v>44946</v>
      </c>
      <c r="D9" s="7">
        <v>44960</v>
      </c>
      <c r="E9">
        <f t="shared" si="0"/>
        <v>14</v>
      </c>
      <c r="F9" t="s">
        <v>646</v>
      </c>
      <c r="G9" t="s">
        <v>650</v>
      </c>
      <c r="H9" t="s">
        <v>662</v>
      </c>
      <c r="I9" t="s">
        <v>701</v>
      </c>
      <c r="J9" t="s">
        <v>707</v>
      </c>
      <c r="K9" t="s">
        <v>724</v>
      </c>
      <c r="L9" t="s">
        <v>729</v>
      </c>
      <c r="M9" t="s">
        <v>937</v>
      </c>
      <c r="N9" s="23">
        <v>884.36</v>
      </c>
      <c r="O9" s="23">
        <v>1545.34</v>
      </c>
      <c r="P9" s="8">
        <v>0.24299999999999999</v>
      </c>
      <c r="Q9">
        <v>41</v>
      </c>
      <c r="R9" s="23">
        <f t="shared" si="1"/>
        <v>47962.717579999997</v>
      </c>
      <c r="S9" s="23">
        <f t="shared" si="2"/>
        <v>36258.76</v>
      </c>
      <c r="T9" s="23">
        <f t="shared" si="3"/>
        <v>11703.957579999995</v>
      </c>
      <c r="U9" s="14">
        <f t="shared" si="4"/>
        <v>0.24402198562827965</v>
      </c>
      <c r="V9" s="7" t="str">
        <f t="shared" si="5"/>
        <v>Jan-2023</v>
      </c>
      <c r="W9" s="22">
        <f t="shared" si="6"/>
        <v>44927</v>
      </c>
      <c r="X9" s="7" t="str">
        <f t="shared" si="7"/>
        <v>Q1-2023</v>
      </c>
      <c r="Y9" t="str">
        <f t="shared" si="8"/>
        <v>Africa → Kenya → Kisumu</v>
      </c>
      <c r="Z9" t="str">
        <f t="shared" si="9"/>
        <v>Networking</v>
      </c>
      <c r="AA9" t="str" cm="1">
        <f t="array" ref="AA9">_xlfn.IFS(O9&lt;=$AF$2,"Low",AND(O9&gt;$AF$2,O9&lt;$AF$3),"Medium",O9&gt;=$AF$3,"High")</f>
        <v>Medium</v>
      </c>
      <c r="AB9" s="22">
        <f t="shared" si="10"/>
        <v>44927</v>
      </c>
      <c r="AC9">
        <v>0</v>
      </c>
      <c r="AJ9" s="22">
        <f t="shared" si="11"/>
        <v>44927</v>
      </c>
    </row>
    <row r="10" spans="1:36" x14ac:dyDescent="0.35">
      <c r="A10" s="4" t="s">
        <v>144</v>
      </c>
      <c r="B10" s="5" t="str">
        <f>IF(COUNTIF($A$2:A10,A10)=1,"Original","Duplicate")</f>
        <v>Original</v>
      </c>
      <c r="C10" s="7">
        <v>44948</v>
      </c>
      <c r="D10" s="7">
        <v>44956</v>
      </c>
      <c r="E10">
        <f t="shared" si="0"/>
        <v>8</v>
      </c>
      <c r="F10" t="s">
        <v>648</v>
      </c>
      <c r="G10" t="s">
        <v>660</v>
      </c>
      <c r="H10" t="s">
        <v>686</v>
      </c>
      <c r="I10" t="s">
        <v>705</v>
      </c>
      <c r="J10" t="s">
        <v>708</v>
      </c>
      <c r="K10" t="s">
        <v>720</v>
      </c>
      <c r="L10" t="s">
        <v>729</v>
      </c>
      <c r="M10" t="s">
        <v>863</v>
      </c>
      <c r="N10" s="23">
        <v>413.52</v>
      </c>
      <c r="O10" s="23">
        <v>1004.34</v>
      </c>
      <c r="P10" s="8">
        <v>0.111</v>
      </c>
      <c r="Q10">
        <v>18</v>
      </c>
      <c r="R10" s="23">
        <f t="shared" si="1"/>
        <v>16071.44868</v>
      </c>
      <c r="S10" s="23">
        <f t="shared" si="2"/>
        <v>7443.36</v>
      </c>
      <c r="T10" s="23">
        <f t="shared" si="3"/>
        <v>8628.0886800000007</v>
      </c>
      <c r="U10" s="14">
        <f t="shared" si="4"/>
        <v>0.53685817948304593</v>
      </c>
      <c r="V10" s="7" t="str">
        <f t="shared" si="5"/>
        <v>Jan-2023</v>
      </c>
      <c r="W10" s="22">
        <f t="shared" si="6"/>
        <v>44927</v>
      </c>
      <c r="X10" s="7" t="str">
        <f t="shared" si="7"/>
        <v>Q1-2023</v>
      </c>
      <c r="Y10" t="str">
        <f t="shared" si="8"/>
        <v>Americas → USA → San Francisco</v>
      </c>
      <c r="Z10" t="str">
        <f t="shared" si="9"/>
        <v>Networking</v>
      </c>
      <c r="AA10" t="str" cm="1">
        <f t="array" ref="AA10">_xlfn.IFS(O10&lt;=$AF$2,"Low",AND(O10&gt;$AF$2,O10&lt;$AF$3),"Medium",O10&gt;=$AF$3,"High")</f>
        <v>Medium</v>
      </c>
      <c r="AB10" s="22">
        <f t="shared" si="10"/>
        <v>44927</v>
      </c>
      <c r="AC10">
        <v>0</v>
      </c>
      <c r="AJ10" s="22">
        <f t="shared" si="11"/>
        <v>44927</v>
      </c>
    </row>
    <row r="11" spans="1:36" x14ac:dyDescent="0.35">
      <c r="A11" s="4" t="s">
        <v>231</v>
      </c>
      <c r="B11" s="5" t="str">
        <f>IF(COUNTIF($A$2:A11,A11)=1,"Original","Duplicate")</f>
        <v>Original</v>
      </c>
      <c r="C11" s="7">
        <v>44948</v>
      </c>
      <c r="D11" s="7">
        <v>44953</v>
      </c>
      <c r="E11">
        <f t="shared" si="0"/>
        <v>5</v>
      </c>
      <c r="F11" t="s">
        <v>649</v>
      </c>
      <c r="G11" t="s">
        <v>656</v>
      </c>
      <c r="H11" t="s">
        <v>684</v>
      </c>
      <c r="I11" t="s">
        <v>701</v>
      </c>
      <c r="J11" t="s">
        <v>711</v>
      </c>
      <c r="K11" t="s">
        <v>721</v>
      </c>
      <c r="L11" t="s">
        <v>732</v>
      </c>
      <c r="M11" t="s">
        <v>951</v>
      </c>
      <c r="N11" s="23">
        <v>150.86000000000001</v>
      </c>
      <c r="O11" s="23">
        <v>346.96</v>
      </c>
      <c r="P11" s="8">
        <v>0.19600000000000001</v>
      </c>
      <c r="Q11">
        <v>8</v>
      </c>
      <c r="R11" s="23">
        <f t="shared" si="1"/>
        <v>2231.6467200000002</v>
      </c>
      <c r="S11" s="23">
        <f t="shared" si="2"/>
        <v>1206.8800000000001</v>
      </c>
      <c r="T11" s="23">
        <f t="shared" si="3"/>
        <v>1024.7667200000001</v>
      </c>
      <c r="U11" s="14">
        <f t="shared" si="4"/>
        <v>0.45919755614365343</v>
      </c>
      <c r="V11" s="7" t="str">
        <f t="shared" si="5"/>
        <v>Jan-2023</v>
      </c>
      <c r="W11" s="22">
        <f t="shared" si="6"/>
        <v>44927</v>
      </c>
      <c r="X11" s="7" t="str">
        <f t="shared" si="7"/>
        <v>Q1-2023</v>
      </c>
      <c r="Y11" t="str">
        <f t="shared" si="8"/>
        <v>Europe → Germany → Munich</v>
      </c>
      <c r="Z11" t="str">
        <f t="shared" si="9"/>
        <v>Monitors</v>
      </c>
      <c r="AA11" t="str" cm="1">
        <f t="array" ref="AA11">_xlfn.IFS(O11&lt;=$AF$2,"Low",AND(O11&gt;$AF$2,O11&lt;$AF$3),"Medium",O11&gt;=$AF$3,"High")</f>
        <v>Low</v>
      </c>
      <c r="AB11" s="22">
        <f t="shared" si="10"/>
        <v>44927</v>
      </c>
      <c r="AC11">
        <v>0</v>
      </c>
      <c r="AJ11" s="22">
        <f t="shared" si="11"/>
        <v>44927</v>
      </c>
    </row>
    <row r="12" spans="1:36" x14ac:dyDescent="0.35">
      <c r="A12" s="4" t="s">
        <v>554</v>
      </c>
      <c r="B12" s="5" t="str">
        <f>IF(COUNTIF($A$2:A12,A12)=1,"Original","Duplicate")</f>
        <v>Original</v>
      </c>
      <c r="C12" s="7">
        <v>44952</v>
      </c>
      <c r="D12" s="7">
        <v>44972</v>
      </c>
      <c r="E12">
        <f t="shared" si="0"/>
        <v>20</v>
      </c>
      <c r="F12" t="s">
        <v>649</v>
      </c>
      <c r="G12" t="s">
        <v>656</v>
      </c>
      <c r="H12" t="s">
        <v>671</v>
      </c>
      <c r="I12" t="s">
        <v>705</v>
      </c>
      <c r="J12" t="s">
        <v>708</v>
      </c>
      <c r="K12" t="s">
        <v>719</v>
      </c>
      <c r="L12" t="s">
        <v>729</v>
      </c>
      <c r="M12" t="s">
        <v>1272</v>
      </c>
      <c r="N12" s="23">
        <v>492.62</v>
      </c>
      <c r="O12" s="23">
        <v>366.7</v>
      </c>
      <c r="P12" s="8">
        <v>8.8999999999999996E-2</v>
      </c>
      <c r="Q12">
        <v>10</v>
      </c>
      <c r="R12" s="23">
        <f t="shared" si="1"/>
        <v>3340.6370000000002</v>
      </c>
      <c r="S12" s="23">
        <f t="shared" si="2"/>
        <v>4926.2</v>
      </c>
      <c r="T12" s="23">
        <f t="shared" si="3"/>
        <v>-1585.5629999999996</v>
      </c>
      <c r="U12" s="14">
        <f t="shared" si="4"/>
        <v>-0.47462894052840809</v>
      </c>
      <c r="V12" s="7" t="str">
        <f t="shared" si="5"/>
        <v>Jan-2023</v>
      </c>
      <c r="W12" s="22">
        <f t="shared" si="6"/>
        <v>44927</v>
      </c>
      <c r="X12" s="7" t="str">
        <f t="shared" si="7"/>
        <v>Q1-2023</v>
      </c>
      <c r="Y12" t="str">
        <f t="shared" si="8"/>
        <v>Europe → Germany → Berlin</v>
      </c>
      <c r="Z12" t="str">
        <f t="shared" si="9"/>
        <v>Networking</v>
      </c>
      <c r="AA12" t="str" cm="1">
        <f t="array" ref="AA12">_xlfn.IFS(O12&lt;=$AF$2,"Low",AND(O12&gt;$AF$2,O12&lt;$AF$3),"Medium",O12&gt;=$AF$3,"High")</f>
        <v>Low</v>
      </c>
      <c r="AB12" s="22">
        <f t="shared" si="10"/>
        <v>44927</v>
      </c>
      <c r="AC12">
        <v>0</v>
      </c>
      <c r="AJ12" s="22">
        <f t="shared" si="11"/>
        <v>44927</v>
      </c>
    </row>
    <row r="13" spans="1:36" x14ac:dyDescent="0.35">
      <c r="A13" s="4" t="s">
        <v>147</v>
      </c>
      <c r="B13" s="5" t="str">
        <f>IF(COUNTIF($A$2:A13,A13)=1,"Original","Duplicate")</f>
        <v>Original</v>
      </c>
      <c r="C13" s="7">
        <v>44953</v>
      </c>
      <c r="D13" s="7">
        <v>44957</v>
      </c>
      <c r="E13">
        <f t="shared" si="0"/>
        <v>4</v>
      </c>
      <c r="F13" t="s">
        <v>649</v>
      </c>
      <c r="G13" t="s">
        <v>658</v>
      </c>
      <c r="H13" t="s">
        <v>693</v>
      </c>
      <c r="I13" t="s">
        <v>706</v>
      </c>
      <c r="J13" t="s">
        <v>708</v>
      </c>
      <c r="K13" t="s">
        <v>725</v>
      </c>
      <c r="L13" t="s">
        <v>731</v>
      </c>
      <c r="M13" t="s">
        <v>866</v>
      </c>
      <c r="N13" s="23">
        <v>941.2</v>
      </c>
      <c r="O13" s="23">
        <v>668.02</v>
      </c>
      <c r="P13" s="8">
        <v>0.22</v>
      </c>
      <c r="Q13">
        <v>16</v>
      </c>
      <c r="R13" s="23">
        <f t="shared" si="1"/>
        <v>8336.8896000000004</v>
      </c>
      <c r="S13" s="23">
        <f t="shared" si="2"/>
        <v>15059.2</v>
      </c>
      <c r="T13" s="23">
        <f t="shared" si="3"/>
        <v>-6722.3104000000003</v>
      </c>
      <c r="U13" s="14">
        <f t="shared" si="4"/>
        <v>-0.80633314371825193</v>
      </c>
      <c r="V13" s="7" t="str">
        <f t="shared" si="5"/>
        <v>Jan-2023</v>
      </c>
      <c r="W13" s="22">
        <f t="shared" si="6"/>
        <v>44927</v>
      </c>
      <c r="X13" s="7" t="str">
        <f t="shared" si="7"/>
        <v>Q1-2023</v>
      </c>
      <c r="Y13" t="str">
        <f t="shared" si="8"/>
        <v>Europe → United Kingdom → Manchester</v>
      </c>
      <c r="Z13" t="str">
        <f t="shared" si="9"/>
        <v>Laptops</v>
      </c>
      <c r="AA13" t="str" cm="1">
        <f t="array" ref="AA13">_xlfn.IFS(O13&lt;=$AF$2,"Low",AND(O13&gt;$AF$2,O13&lt;$AF$3),"Medium",O13&gt;=$AF$3,"High")</f>
        <v>Low</v>
      </c>
      <c r="AB13" s="22">
        <f t="shared" si="10"/>
        <v>44927</v>
      </c>
      <c r="AC13">
        <v>0</v>
      </c>
      <c r="AJ13" s="22">
        <f t="shared" si="11"/>
        <v>44927</v>
      </c>
    </row>
    <row r="14" spans="1:36" x14ac:dyDescent="0.35">
      <c r="A14" s="4" t="s">
        <v>596</v>
      </c>
      <c r="B14" s="5" t="str">
        <f>IF(COUNTIF($A$2:A14,A14)=1,"Original","Duplicate")</f>
        <v>Original</v>
      </c>
      <c r="C14" s="7">
        <v>44955</v>
      </c>
      <c r="D14" s="7">
        <v>44963</v>
      </c>
      <c r="E14">
        <f t="shared" si="0"/>
        <v>8</v>
      </c>
      <c r="F14" t="s">
        <v>648</v>
      </c>
      <c r="G14" t="s">
        <v>655</v>
      </c>
      <c r="H14" t="s">
        <v>672</v>
      </c>
      <c r="I14" t="s">
        <v>701</v>
      </c>
      <c r="J14" t="s">
        <v>709</v>
      </c>
      <c r="K14" t="s">
        <v>726</v>
      </c>
      <c r="L14" t="s">
        <v>732</v>
      </c>
      <c r="M14" t="s">
        <v>1314</v>
      </c>
      <c r="N14" s="23">
        <v>41.84</v>
      </c>
      <c r="O14" s="23">
        <v>86.2</v>
      </c>
      <c r="P14" s="8">
        <v>0.22600000000000001</v>
      </c>
      <c r="Q14">
        <v>27</v>
      </c>
      <c r="R14" s="23">
        <f t="shared" si="1"/>
        <v>1801.4076000000002</v>
      </c>
      <c r="S14" s="23">
        <f t="shared" si="2"/>
        <v>1129.68</v>
      </c>
      <c r="T14" s="23">
        <f t="shared" si="3"/>
        <v>671.72760000000017</v>
      </c>
      <c r="U14" s="14">
        <f t="shared" si="4"/>
        <v>0.37289039970742882</v>
      </c>
      <c r="V14" s="7" t="str">
        <f t="shared" si="5"/>
        <v>Jan-2023</v>
      </c>
      <c r="W14" s="22">
        <f t="shared" si="6"/>
        <v>44927</v>
      </c>
      <c r="X14" s="7" t="str">
        <f t="shared" si="7"/>
        <v>Q1-2023</v>
      </c>
      <c r="Y14" t="str">
        <f t="shared" si="8"/>
        <v>Americas → Brazil → Brasília</v>
      </c>
      <c r="Z14" t="str">
        <f t="shared" si="9"/>
        <v>Monitors</v>
      </c>
      <c r="AA14" t="str" cm="1">
        <f t="array" ref="AA14">_xlfn.IFS(O14&lt;=$AF$2,"Low",AND(O14&gt;$AF$2,O14&lt;$AF$3),"Medium",O14&gt;=$AF$3,"High")</f>
        <v>Low</v>
      </c>
      <c r="AB14" s="22">
        <f t="shared" si="10"/>
        <v>44927</v>
      </c>
      <c r="AC14">
        <v>0</v>
      </c>
      <c r="AJ14" s="22">
        <f t="shared" si="11"/>
        <v>44927</v>
      </c>
    </row>
    <row r="15" spans="1:36" x14ac:dyDescent="0.35">
      <c r="A15" s="4" t="s">
        <v>212</v>
      </c>
      <c r="B15" s="5" t="str">
        <f>IF(COUNTIF($A$2:A15,A15)=1,"Original","Duplicate")</f>
        <v>Original</v>
      </c>
      <c r="C15" s="7">
        <v>44956</v>
      </c>
      <c r="D15" s="7">
        <v>44978</v>
      </c>
      <c r="E15">
        <f t="shared" si="0"/>
        <v>22</v>
      </c>
      <c r="F15" t="s">
        <v>649</v>
      </c>
      <c r="G15" t="s">
        <v>656</v>
      </c>
      <c r="H15" t="s">
        <v>684</v>
      </c>
      <c r="I15" t="s">
        <v>705</v>
      </c>
      <c r="J15" t="s">
        <v>709</v>
      </c>
      <c r="K15" t="s">
        <v>715</v>
      </c>
      <c r="L15" t="s">
        <v>729</v>
      </c>
      <c r="M15" t="s">
        <v>932</v>
      </c>
      <c r="N15" s="23">
        <v>1142.8800000000001</v>
      </c>
      <c r="O15" s="23">
        <v>1465.29</v>
      </c>
      <c r="P15" s="8">
        <v>0.186</v>
      </c>
      <c r="Q15">
        <v>7</v>
      </c>
      <c r="R15" s="23">
        <f t="shared" si="1"/>
        <v>8349.2224200000001</v>
      </c>
      <c r="S15" s="23">
        <f t="shared" si="2"/>
        <v>8000.1600000000008</v>
      </c>
      <c r="T15" s="23">
        <f t="shared" si="3"/>
        <v>349.06241999999929</v>
      </c>
      <c r="U15" s="14">
        <f t="shared" si="4"/>
        <v>4.1807775915017401E-2</v>
      </c>
      <c r="V15" s="7" t="str">
        <f t="shared" si="5"/>
        <v>Jan-2023</v>
      </c>
      <c r="W15" s="22">
        <f t="shared" si="6"/>
        <v>44927</v>
      </c>
      <c r="X15" s="7" t="str">
        <f t="shared" si="7"/>
        <v>Q1-2023</v>
      </c>
      <c r="Y15" t="str">
        <f t="shared" si="8"/>
        <v>Europe → Germany → Munich</v>
      </c>
      <c r="Z15" t="str">
        <f t="shared" si="9"/>
        <v>Networking</v>
      </c>
      <c r="AA15" t="str" cm="1">
        <f t="array" ref="AA15">_xlfn.IFS(O15&lt;=$AF$2,"Low",AND(O15&gt;$AF$2,O15&lt;$AF$3),"Medium",O15&gt;=$AF$3,"High")</f>
        <v>Medium</v>
      </c>
      <c r="AB15" s="22">
        <f t="shared" si="10"/>
        <v>44927</v>
      </c>
      <c r="AC15">
        <v>0</v>
      </c>
      <c r="AJ15" s="22">
        <f t="shared" si="11"/>
        <v>44927</v>
      </c>
    </row>
    <row r="16" spans="1:36" x14ac:dyDescent="0.35">
      <c r="A16" s="4" t="s">
        <v>385</v>
      </c>
      <c r="B16" s="5" t="str">
        <f>IF(COUNTIF($A$2:A16,A16)=1,"Original","Duplicate")</f>
        <v>Original</v>
      </c>
      <c r="C16" s="7">
        <v>44962</v>
      </c>
      <c r="D16" s="7">
        <v>44985</v>
      </c>
      <c r="E16">
        <f t="shared" si="0"/>
        <v>23</v>
      </c>
      <c r="F16" t="s">
        <v>648</v>
      </c>
      <c r="G16" t="s">
        <v>660</v>
      </c>
      <c r="H16" t="s">
        <v>697</v>
      </c>
      <c r="I16" t="s">
        <v>703</v>
      </c>
      <c r="J16" t="s">
        <v>710</v>
      </c>
      <c r="K16" t="s">
        <v>716</v>
      </c>
      <c r="L16" t="s">
        <v>730</v>
      </c>
      <c r="M16" t="s">
        <v>1105</v>
      </c>
      <c r="N16" s="23">
        <v>1214.49</v>
      </c>
      <c r="O16" s="23">
        <v>1533.95</v>
      </c>
      <c r="P16" s="8">
        <v>0</v>
      </c>
      <c r="Q16">
        <v>11</v>
      </c>
      <c r="R16" s="23">
        <f t="shared" si="1"/>
        <v>16873.45</v>
      </c>
      <c r="S16" s="23">
        <f t="shared" si="2"/>
        <v>13359.39</v>
      </c>
      <c r="T16" s="23">
        <f t="shared" si="3"/>
        <v>3514.0600000000013</v>
      </c>
      <c r="U16" s="14">
        <f t="shared" si="4"/>
        <v>0.20825972163369086</v>
      </c>
      <c r="V16" s="7" t="str">
        <f t="shared" si="5"/>
        <v>Feb-2023</v>
      </c>
      <c r="W16" s="22">
        <f t="shared" si="6"/>
        <v>44958</v>
      </c>
      <c r="X16" s="7" t="str">
        <f t="shared" si="7"/>
        <v>Q1-2023</v>
      </c>
      <c r="Y16" t="str">
        <f t="shared" si="8"/>
        <v>Americas → USA → Austin</v>
      </c>
      <c r="Z16" t="str">
        <f t="shared" si="9"/>
        <v>Phones</v>
      </c>
      <c r="AA16" t="str" cm="1">
        <f t="array" ref="AA16">_xlfn.IFS(O16&lt;=$AF$2,"Low",AND(O16&gt;$AF$2,O16&lt;$AF$3),"Medium",O16&gt;=$AF$3,"High")</f>
        <v>Medium</v>
      </c>
      <c r="AB16" s="22">
        <f t="shared" si="10"/>
        <v>44927</v>
      </c>
      <c r="AC16">
        <v>1</v>
      </c>
      <c r="AJ16" s="22">
        <f t="shared" si="11"/>
        <v>44927</v>
      </c>
    </row>
    <row r="17" spans="1:36" x14ac:dyDescent="0.35">
      <c r="A17" s="4" t="s">
        <v>39</v>
      </c>
      <c r="B17" s="5" t="str">
        <f>IF(COUNTIF($A$2:A17,A17)=1,"Original","Duplicate")</f>
        <v>Original</v>
      </c>
      <c r="C17" s="7">
        <v>44964</v>
      </c>
      <c r="D17" s="7">
        <v>44969</v>
      </c>
      <c r="E17">
        <f t="shared" si="0"/>
        <v>5</v>
      </c>
      <c r="F17" t="s">
        <v>648</v>
      </c>
      <c r="G17" t="s">
        <v>655</v>
      </c>
      <c r="H17" t="s">
        <v>670</v>
      </c>
      <c r="I17" t="s">
        <v>702</v>
      </c>
      <c r="J17" t="s">
        <v>708</v>
      </c>
      <c r="K17" t="s">
        <v>725</v>
      </c>
      <c r="L17" t="s">
        <v>727</v>
      </c>
      <c r="M17" t="s">
        <v>758</v>
      </c>
      <c r="N17" s="23">
        <v>948.55</v>
      </c>
      <c r="O17" s="23">
        <v>2089.16</v>
      </c>
      <c r="P17" s="8">
        <v>7.0000000000000001E-3</v>
      </c>
      <c r="Q17">
        <v>12</v>
      </c>
      <c r="R17" s="23">
        <f t="shared" si="1"/>
        <v>24894.430559999997</v>
      </c>
      <c r="S17" s="23">
        <f t="shared" si="2"/>
        <v>11382.599999999999</v>
      </c>
      <c r="T17" s="23">
        <f t="shared" si="3"/>
        <v>13511.830559999999</v>
      </c>
      <c r="U17" s="14">
        <f t="shared" si="4"/>
        <v>0.54276519912492427</v>
      </c>
      <c r="V17" s="7" t="str">
        <f t="shared" si="5"/>
        <v>Feb-2023</v>
      </c>
      <c r="W17" s="22">
        <f t="shared" si="6"/>
        <v>44958</v>
      </c>
      <c r="X17" s="7" t="str">
        <f t="shared" si="7"/>
        <v>Q1-2023</v>
      </c>
      <c r="Y17" t="str">
        <f t="shared" si="8"/>
        <v>Americas → Brazil → São Paulo</v>
      </c>
      <c r="Z17" t="str">
        <f t="shared" si="9"/>
        <v>Components</v>
      </c>
      <c r="AA17" t="str" cm="1">
        <f t="array" ref="AA17">_xlfn.IFS(O17&lt;=$AF$2,"Low",AND(O17&gt;$AF$2,O17&lt;$AF$3),"Medium",O17&gt;=$AF$3,"High")</f>
        <v>High</v>
      </c>
      <c r="AB17" s="22">
        <f t="shared" si="10"/>
        <v>44927</v>
      </c>
      <c r="AC17">
        <v>1</v>
      </c>
      <c r="AJ17" s="22">
        <f t="shared" si="11"/>
        <v>44927</v>
      </c>
    </row>
    <row r="18" spans="1:36" x14ac:dyDescent="0.35">
      <c r="A18" s="4" t="s">
        <v>95</v>
      </c>
      <c r="B18" s="5" t="str">
        <f>IF(COUNTIF($A$2:A18,A18)=1,"Original","Duplicate")</f>
        <v>Original</v>
      </c>
      <c r="C18" s="7">
        <v>44965</v>
      </c>
      <c r="D18" s="7">
        <v>44968</v>
      </c>
      <c r="E18">
        <f t="shared" si="0"/>
        <v>3</v>
      </c>
      <c r="F18" t="s">
        <v>646</v>
      </c>
      <c r="G18" t="s">
        <v>661</v>
      </c>
      <c r="H18" t="s">
        <v>695</v>
      </c>
      <c r="I18" t="s">
        <v>701</v>
      </c>
      <c r="J18" t="s">
        <v>711</v>
      </c>
      <c r="K18" t="s">
        <v>724</v>
      </c>
      <c r="L18" t="s">
        <v>729</v>
      </c>
      <c r="M18" t="s">
        <v>814</v>
      </c>
      <c r="N18" s="23">
        <v>1410.05</v>
      </c>
      <c r="O18" s="23">
        <v>2763.95</v>
      </c>
      <c r="P18" s="8">
        <v>0.161</v>
      </c>
      <c r="Q18">
        <v>26</v>
      </c>
      <c r="R18" s="23">
        <f t="shared" si="1"/>
        <v>60292.805299999993</v>
      </c>
      <c r="S18" s="23">
        <f t="shared" si="2"/>
        <v>36661.299999999996</v>
      </c>
      <c r="T18" s="23">
        <f t="shared" si="3"/>
        <v>23631.505299999997</v>
      </c>
      <c r="U18" s="14">
        <f t="shared" si="4"/>
        <v>0.39194569206750779</v>
      </c>
      <c r="V18" s="7" t="str">
        <f t="shared" si="5"/>
        <v>Feb-2023</v>
      </c>
      <c r="W18" s="22">
        <f t="shared" si="6"/>
        <v>44958</v>
      </c>
      <c r="X18" s="7" t="str">
        <f t="shared" si="7"/>
        <v>Q1-2023</v>
      </c>
      <c r="Y18" t="str">
        <f t="shared" si="8"/>
        <v>Africa → South Africa → Cape Town</v>
      </c>
      <c r="Z18" t="str">
        <f t="shared" si="9"/>
        <v>Networking</v>
      </c>
      <c r="AA18" t="str" cm="1">
        <f t="array" ref="AA18">_xlfn.IFS(O18&lt;=$AF$2,"Low",AND(O18&gt;$AF$2,O18&lt;$AF$3),"Medium",O18&gt;=$AF$3,"High")</f>
        <v>High</v>
      </c>
      <c r="AB18" s="22">
        <f t="shared" si="10"/>
        <v>44927</v>
      </c>
      <c r="AC18">
        <v>1</v>
      </c>
      <c r="AJ18" s="22">
        <f t="shared" si="11"/>
        <v>44927</v>
      </c>
    </row>
    <row r="19" spans="1:36" x14ac:dyDescent="0.35">
      <c r="A19" s="4" t="s">
        <v>557</v>
      </c>
      <c r="B19" s="5" t="str">
        <f>IF(COUNTIF($A$2:A19,A19)=1,"Original","Duplicate")</f>
        <v>Original</v>
      </c>
      <c r="C19" s="7">
        <v>44968</v>
      </c>
      <c r="D19" s="7">
        <v>44969</v>
      </c>
      <c r="E19">
        <f t="shared" si="0"/>
        <v>1</v>
      </c>
      <c r="F19" t="s">
        <v>646</v>
      </c>
      <c r="G19" t="s">
        <v>651</v>
      </c>
      <c r="H19" t="s">
        <v>663</v>
      </c>
      <c r="I19" t="s">
        <v>703</v>
      </c>
      <c r="J19" t="s">
        <v>711</v>
      </c>
      <c r="K19" t="s">
        <v>726</v>
      </c>
      <c r="L19" t="s">
        <v>733</v>
      </c>
      <c r="M19" t="s">
        <v>1275</v>
      </c>
      <c r="N19" s="23">
        <v>944.61</v>
      </c>
      <c r="O19" s="23">
        <v>839.04</v>
      </c>
      <c r="P19" s="8">
        <v>5.8999999999999997E-2</v>
      </c>
      <c r="Q19">
        <v>6</v>
      </c>
      <c r="R19" s="23">
        <f t="shared" si="1"/>
        <v>4737.2198399999997</v>
      </c>
      <c r="S19" s="23">
        <f t="shared" si="2"/>
        <v>5667.66</v>
      </c>
      <c r="T19" s="23">
        <f t="shared" si="3"/>
        <v>-930.44016000000011</v>
      </c>
      <c r="U19" s="14">
        <f t="shared" si="4"/>
        <v>-0.19641059343363726</v>
      </c>
      <c r="V19" s="7" t="str">
        <f t="shared" si="5"/>
        <v>Feb-2023</v>
      </c>
      <c r="W19" s="22">
        <f t="shared" si="6"/>
        <v>44958</v>
      </c>
      <c r="X19" s="7" t="str">
        <f t="shared" si="7"/>
        <v>Q1-2023</v>
      </c>
      <c r="Y19" t="str">
        <f t="shared" si="8"/>
        <v>Africa → Nigeria → Port Harcourt</v>
      </c>
      <c r="Z19" t="str">
        <f t="shared" si="9"/>
        <v>Accessories</v>
      </c>
      <c r="AA19" t="str" cm="1">
        <f t="array" ref="AA19">_xlfn.IFS(O19&lt;=$AF$2,"Low",AND(O19&gt;$AF$2,O19&lt;$AF$3),"Medium",O19&gt;=$AF$3,"High")</f>
        <v>Medium</v>
      </c>
      <c r="AB19" s="22">
        <f t="shared" si="10"/>
        <v>44927</v>
      </c>
      <c r="AC19">
        <v>1</v>
      </c>
      <c r="AJ19" s="22">
        <f t="shared" si="11"/>
        <v>44927</v>
      </c>
    </row>
    <row r="20" spans="1:36" x14ac:dyDescent="0.35">
      <c r="A20" s="4" t="s">
        <v>79</v>
      </c>
      <c r="B20" s="5" t="str">
        <f>IF(COUNTIF($A$2:A20,A20)=1,"Original","Duplicate")</f>
        <v>Original</v>
      </c>
      <c r="C20" s="7">
        <v>44972</v>
      </c>
      <c r="D20" s="7">
        <v>44983</v>
      </c>
      <c r="E20">
        <f t="shared" si="0"/>
        <v>11</v>
      </c>
      <c r="F20" t="s">
        <v>646</v>
      </c>
      <c r="G20" t="s">
        <v>661</v>
      </c>
      <c r="H20" t="s">
        <v>682</v>
      </c>
      <c r="I20" t="s">
        <v>703</v>
      </c>
      <c r="J20" t="s">
        <v>707</v>
      </c>
      <c r="K20" t="s">
        <v>723</v>
      </c>
      <c r="L20" t="s">
        <v>731</v>
      </c>
      <c r="M20" t="s">
        <v>798</v>
      </c>
      <c r="N20" s="23">
        <v>498.5</v>
      </c>
      <c r="O20" s="23">
        <v>755.87</v>
      </c>
      <c r="P20" s="8">
        <v>0.13</v>
      </c>
      <c r="Q20">
        <v>40</v>
      </c>
      <c r="R20" s="23">
        <f t="shared" si="1"/>
        <v>26304.275999999998</v>
      </c>
      <c r="S20" s="23">
        <f t="shared" si="2"/>
        <v>19940</v>
      </c>
      <c r="T20" s="23">
        <f t="shared" si="3"/>
        <v>6364.275999999998</v>
      </c>
      <c r="U20" s="14">
        <f t="shared" si="4"/>
        <v>0.24194834330357537</v>
      </c>
      <c r="V20" s="7" t="str">
        <f t="shared" si="5"/>
        <v>Feb-2023</v>
      </c>
      <c r="W20" s="22">
        <f t="shared" si="6"/>
        <v>44958</v>
      </c>
      <c r="X20" s="7" t="str">
        <f t="shared" si="7"/>
        <v>Q1-2023</v>
      </c>
      <c r="Y20" t="str">
        <f t="shared" si="8"/>
        <v>Africa → South Africa → Johannesburg</v>
      </c>
      <c r="Z20" t="str">
        <f t="shared" si="9"/>
        <v>Laptops</v>
      </c>
      <c r="AA20" t="str" cm="1">
        <f t="array" ref="AA20">_xlfn.IFS(O20&lt;=$AF$2,"Low",AND(O20&gt;$AF$2,O20&lt;$AF$3),"Medium",O20&gt;=$AF$3,"High")</f>
        <v>Low</v>
      </c>
      <c r="AB20" s="22">
        <f t="shared" si="10"/>
        <v>44927</v>
      </c>
      <c r="AC20">
        <v>1</v>
      </c>
      <c r="AJ20" s="22">
        <f t="shared" si="11"/>
        <v>44927</v>
      </c>
    </row>
    <row r="21" spans="1:36" x14ac:dyDescent="0.35">
      <c r="A21" s="4" t="s">
        <v>180</v>
      </c>
      <c r="B21" s="5" t="str">
        <f>IF(COUNTIF($A$2:A21,A21)=1,"Original","Duplicate")</f>
        <v>Original</v>
      </c>
      <c r="C21" s="7">
        <v>44976</v>
      </c>
      <c r="D21" s="7">
        <v>44997</v>
      </c>
      <c r="E21">
        <f t="shared" si="0"/>
        <v>21</v>
      </c>
      <c r="F21" t="s">
        <v>649</v>
      </c>
      <c r="G21" t="s">
        <v>656</v>
      </c>
      <c r="H21" t="s">
        <v>671</v>
      </c>
      <c r="I21" t="s">
        <v>705</v>
      </c>
      <c r="J21" t="s">
        <v>711</v>
      </c>
      <c r="K21" t="s">
        <v>716</v>
      </c>
      <c r="L21" t="s">
        <v>732</v>
      </c>
      <c r="M21" t="s">
        <v>899</v>
      </c>
      <c r="N21" s="23">
        <v>1234.81</v>
      </c>
      <c r="O21" s="23">
        <v>2055.2399999999998</v>
      </c>
      <c r="P21" s="8">
        <v>5.2999999999999999E-2</v>
      </c>
      <c r="Q21">
        <v>44</v>
      </c>
      <c r="R21" s="23">
        <f t="shared" si="1"/>
        <v>85637.740319999997</v>
      </c>
      <c r="S21" s="23">
        <f t="shared" si="2"/>
        <v>54331.64</v>
      </c>
      <c r="T21" s="23">
        <f t="shared" si="3"/>
        <v>31306.100319999998</v>
      </c>
      <c r="U21" s="14">
        <f t="shared" si="4"/>
        <v>0.36556429680441616</v>
      </c>
      <c r="V21" s="7" t="str">
        <f t="shared" si="5"/>
        <v>Feb-2023</v>
      </c>
      <c r="W21" s="22">
        <f t="shared" si="6"/>
        <v>44958</v>
      </c>
      <c r="X21" s="7" t="str">
        <f t="shared" si="7"/>
        <v>Q1-2023</v>
      </c>
      <c r="Y21" t="str">
        <f t="shared" si="8"/>
        <v>Europe → Germany → Berlin</v>
      </c>
      <c r="Z21" t="str">
        <f t="shared" si="9"/>
        <v>Monitors</v>
      </c>
      <c r="AA21" t="str" cm="1">
        <f t="array" ref="AA21">_xlfn.IFS(O21&lt;=$AF$2,"Low",AND(O21&gt;$AF$2,O21&lt;$AF$3),"Medium",O21&gt;=$AF$3,"High")</f>
        <v>High</v>
      </c>
      <c r="AB21" s="22">
        <f t="shared" si="10"/>
        <v>44927</v>
      </c>
      <c r="AC21">
        <v>1</v>
      </c>
      <c r="AJ21" s="22">
        <f t="shared" si="11"/>
        <v>44927</v>
      </c>
    </row>
    <row r="22" spans="1:36" x14ac:dyDescent="0.35">
      <c r="A22" s="4" t="s">
        <v>175</v>
      </c>
      <c r="B22" s="5" t="str">
        <f>IF(COUNTIF($A$2:A22,A22)=1,"Original","Duplicate")</f>
        <v>Original</v>
      </c>
      <c r="C22" s="7">
        <v>44977</v>
      </c>
      <c r="D22" s="7">
        <v>44989</v>
      </c>
      <c r="E22">
        <f t="shared" si="0"/>
        <v>12</v>
      </c>
      <c r="F22" t="s">
        <v>647</v>
      </c>
      <c r="G22" t="s">
        <v>654</v>
      </c>
      <c r="H22" t="s">
        <v>680</v>
      </c>
      <c r="I22" t="s">
        <v>704</v>
      </c>
      <c r="J22" t="s">
        <v>710</v>
      </c>
      <c r="K22" t="s">
        <v>724</v>
      </c>
      <c r="L22" t="s">
        <v>732</v>
      </c>
      <c r="M22" t="s">
        <v>894</v>
      </c>
      <c r="N22" s="23">
        <v>299.75</v>
      </c>
      <c r="O22" s="23">
        <v>523.01</v>
      </c>
      <c r="P22" s="8">
        <v>0.157</v>
      </c>
      <c r="Q22">
        <v>50</v>
      </c>
      <c r="R22" s="23">
        <f t="shared" si="1"/>
        <v>22044.871499999997</v>
      </c>
      <c r="S22" s="23">
        <f t="shared" si="2"/>
        <v>14987.5</v>
      </c>
      <c r="T22" s="23">
        <f t="shared" si="3"/>
        <v>7057.3714999999975</v>
      </c>
      <c r="U22" s="14">
        <f t="shared" si="4"/>
        <v>0.32013665854210122</v>
      </c>
      <c r="V22" s="7" t="str">
        <f t="shared" si="5"/>
        <v>Feb-2023</v>
      </c>
      <c r="W22" s="22">
        <f t="shared" si="6"/>
        <v>44958</v>
      </c>
      <c r="X22" s="7" t="str">
        <f t="shared" si="7"/>
        <v>Q1-2023</v>
      </c>
      <c r="Y22" t="str">
        <f t="shared" si="8"/>
        <v>Asia → India → Delhi</v>
      </c>
      <c r="Z22" t="str">
        <f t="shared" si="9"/>
        <v>Monitors</v>
      </c>
      <c r="AA22" t="str" cm="1">
        <f t="array" ref="AA22">_xlfn.IFS(O22&lt;=$AF$2,"Low",AND(O22&gt;$AF$2,O22&lt;$AF$3),"Medium",O22&gt;=$AF$3,"High")</f>
        <v>Low</v>
      </c>
      <c r="AB22" s="22">
        <f t="shared" si="10"/>
        <v>44958</v>
      </c>
      <c r="AC22">
        <v>0</v>
      </c>
      <c r="AJ22" s="22">
        <f t="shared" si="11"/>
        <v>44958</v>
      </c>
    </row>
    <row r="23" spans="1:36" x14ac:dyDescent="0.35">
      <c r="A23" s="4" t="s">
        <v>453</v>
      </c>
      <c r="B23" s="5" t="str">
        <f>IF(COUNTIF($A$2:A23,A23)=1,"Original","Duplicate")</f>
        <v>Original</v>
      </c>
      <c r="C23" s="7">
        <v>44978</v>
      </c>
      <c r="D23" s="7">
        <v>44997</v>
      </c>
      <c r="E23">
        <f t="shared" si="0"/>
        <v>19</v>
      </c>
      <c r="F23" t="s">
        <v>646</v>
      </c>
      <c r="G23" t="s">
        <v>650</v>
      </c>
      <c r="H23" t="s">
        <v>678</v>
      </c>
      <c r="I23" t="s">
        <v>701</v>
      </c>
      <c r="J23" t="s">
        <v>708</v>
      </c>
      <c r="K23" t="s">
        <v>721</v>
      </c>
      <c r="L23" t="s">
        <v>729</v>
      </c>
      <c r="M23" t="s">
        <v>1172</v>
      </c>
      <c r="N23" s="23">
        <v>352.65</v>
      </c>
      <c r="O23" s="23">
        <v>485.86</v>
      </c>
      <c r="P23" s="8">
        <v>4.1000000000000002E-2</v>
      </c>
      <c r="Q23">
        <v>6</v>
      </c>
      <c r="R23" s="23">
        <f t="shared" si="1"/>
        <v>2795.6384399999997</v>
      </c>
      <c r="S23" s="23">
        <f t="shared" si="2"/>
        <v>2115.8999999999996</v>
      </c>
      <c r="T23" s="23">
        <f t="shared" si="3"/>
        <v>679.73844000000008</v>
      </c>
      <c r="U23" s="14">
        <f t="shared" si="4"/>
        <v>0.24314247159943908</v>
      </c>
      <c r="V23" s="7" t="str">
        <f t="shared" si="5"/>
        <v>Feb-2023</v>
      </c>
      <c r="W23" s="22">
        <f t="shared" si="6"/>
        <v>44958</v>
      </c>
      <c r="X23" s="7" t="str">
        <f t="shared" si="7"/>
        <v>Q1-2023</v>
      </c>
      <c r="Y23" t="str">
        <f t="shared" si="8"/>
        <v>Africa → Kenya → Nakuru</v>
      </c>
      <c r="Z23" t="str">
        <f t="shared" si="9"/>
        <v>Networking</v>
      </c>
      <c r="AA23" t="str" cm="1">
        <f t="array" ref="AA23">_xlfn.IFS(O23&lt;=$AF$2,"Low",AND(O23&gt;$AF$2,O23&lt;$AF$3),"Medium",O23&gt;=$AF$3,"High")</f>
        <v>Low</v>
      </c>
      <c r="AB23" s="22">
        <f t="shared" si="10"/>
        <v>44927</v>
      </c>
      <c r="AC23">
        <v>1</v>
      </c>
      <c r="AJ23" s="22">
        <f t="shared" si="11"/>
        <v>44927</v>
      </c>
    </row>
    <row r="24" spans="1:36" x14ac:dyDescent="0.35">
      <c r="A24" s="4" t="s">
        <v>46</v>
      </c>
      <c r="B24" s="5" t="str">
        <f>IF(COUNTIF($A$2:A24,A24)=1,"Original","Duplicate")</f>
        <v>Original</v>
      </c>
      <c r="C24" s="7">
        <v>44980</v>
      </c>
      <c r="D24" s="7">
        <v>45010</v>
      </c>
      <c r="E24">
        <f t="shared" si="0"/>
        <v>30</v>
      </c>
      <c r="F24" t="s">
        <v>648</v>
      </c>
      <c r="G24" t="s">
        <v>653</v>
      </c>
      <c r="H24" t="s">
        <v>681</v>
      </c>
      <c r="I24" t="s">
        <v>706</v>
      </c>
      <c r="J24" t="s">
        <v>708</v>
      </c>
      <c r="K24" t="s">
        <v>726</v>
      </c>
      <c r="L24" t="s">
        <v>730</v>
      </c>
      <c r="M24" t="s">
        <v>765</v>
      </c>
      <c r="N24" s="23">
        <v>1242.6600000000001</v>
      </c>
      <c r="O24" s="23">
        <v>1794.07</v>
      </c>
      <c r="P24" s="8">
        <v>8.8999999999999996E-2</v>
      </c>
      <c r="Q24">
        <v>16</v>
      </c>
      <c r="R24" s="23">
        <f t="shared" si="1"/>
        <v>26150.364320000001</v>
      </c>
      <c r="S24" s="23">
        <f t="shared" si="2"/>
        <v>19882.560000000001</v>
      </c>
      <c r="T24" s="23">
        <f t="shared" si="3"/>
        <v>6267.8043199999993</v>
      </c>
      <c r="U24" s="14">
        <f t="shared" si="4"/>
        <v>0.23968325042440553</v>
      </c>
      <c r="V24" s="7" t="str">
        <f t="shared" si="5"/>
        <v>Feb-2023</v>
      </c>
      <c r="W24" s="22">
        <f t="shared" si="6"/>
        <v>44958</v>
      </c>
      <c r="X24" s="7" t="str">
        <f t="shared" si="7"/>
        <v>Q1-2023</v>
      </c>
      <c r="Y24" t="str">
        <f t="shared" si="8"/>
        <v>Americas → Canada → Montreal</v>
      </c>
      <c r="Z24" t="str">
        <f t="shared" si="9"/>
        <v>Phones</v>
      </c>
      <c r="AA24" t="str" cm="1">
        <f t="array" ref="AA24">_xlfn.IFS(O24&lt;=$AF$2,"Low",AND(O24&gt;$AF$2,O24&lt;$AF$3),"Medium",O24&gt;=$AF$3,"High")</f>
        <v>High</v>
      </c>
      <c r="AB24" s="22">
        <f t="shared" si="10"/>
        <v>44927</v>
      </c>
      <c r="AC24">
        <v>1</v>
      </c>
      <c r="AJ24" s="22">
        <f t="shared" si="11"/>
        <v>44927</v>
      </c>
    </row>
    <row r="25" spans="1:36" x14ac:dyDescent="0.35">
      <c r="A25" s="4" t="s">
        <v>364</v>
      </c>
      <c r="B25" s="5" t="str">
        <f>IF(COUNTIF($A$2:A25,A25)=1,"Original","Duplicate")</f>
        <v>Original</v>
      </c>
      <c r="C25" s="7">
        <v>44980</v>
      </c>
      <c r="D25" s="7">
        <v>44993</v>
      </c>
      <c r="E25">
        <f t="shared" si="0"/>
        <v>13</v>
      </c>
      <c r="F25" t="s">
        <v>649</v>
      </c>
      <c r="G25" t="s">
        <v>658</v>
      </c>
      <c r="H25" t="s">
        <v>693</v>
      </c>
      <c r="I25" t="s">
        <v>705</v>
      </c>
      <c r="J25" t="s">
        <v>711</v>
      </c>
      <c r="K25" t="s">
        <v>712</v>
      </c>
      <c r="L25" t="s">
        <v>728</v>
      </c>
      <c r="M25" t="s">
        <v>1084</v>
      </c>
      <c r="N25" s="23">
        <v>307.37</v>
      </c>
      <c r="O25" s="23">
        <v>462.61</v>
      </c>
      <c r="P25" s="8">
        <v>0.188</v>
      </c>
      <c r="Q25">
        <v>11</v>
      </c>
      <c r="R25" s="23">
        <f t="shared" si="1"/>
        <v>4132.0325200000007</v>
      </c>
      <c r="S25" s="23">
        <f t="shared" si="2"/>
        <v>3381.07</v>
      </c>
      <c r="T25" s="23">
        <f t="shared" si="3"/>
        <v>750.9625200000005</v>
      </c>
      <c r="U25" s="14">
        <f t="shared" si="4"/>
        <v>0.18174167709599739</v>
      </c>
      <c r="V25" s="7" t="str">
        <f t="shared" si="5"/>
        <v>Feb-2023</v>
      </c>
      <c r="W25" s="22">
        <f t="shared" si="6"/>
        <v>44958</v>
      </c>
      <c r="X25" s="7" t="str">
        <f t="shared" si="7"/>
        <v>Q1-2023</v>
      </c>
      <c r="Y25" t="str">
        <f t="shared" si="8"/>
        <v>Europe → United Kingdom → Manchester</v>
      </c>
      <c r="Z25" t="str">
        <f t="shared" si="9"/>
        <v>Printers</v>
      </c>
      <c r="AA25" t="str" cm="1">
        <f t="array" ref="AA25">_xlfn.IFS(O25&lt;=$AF$2,"Low",AND(O25&gt;$AF$2,O25&lt;$AF$3),"Medium",O25&gt;=$AF$3,"High")</f>
        <v>Low</v>
      </c>
      <c r="AB25" s="22">
        <f t="shared" si="10"/>
        <v>44927</v>
      </c>
      <c r="AC25">
        <v>1</v>
      </c>
      <c r="AJ25" s="22">
        <f t="shared" si="11"/>
        <v>44927</v>
      </c>
    </row>
    <row r="26" spans="1:36" x14ac:dyDescent="0.35">
      <c r="A26" s="4" t="s">
        <v>516</v>
      </c>
      <c r="B26" s="5" t="str">
        <f>IF(COUNTIF($A$2:A26,A26)=1,"Original","Duplicate")</f>
        <v>Original</v>
      </c>
      <c r="C26" s="7">
        <v>44980</v>
      </c>
      <c r="D26" s="7">
        <v>45003</v>
      </c>
      <c r="E26">
        <f t="shared" si="0"/>
        <v>23</v>
      </c>
      <c r="F26" t="s">
        <v>647</v>
      </c>
      <c r="G26" t="s">
        <v>659</v>
      </c>
      <c r="H26" t="s">
        <v>699</v>
      </c>
      <c r="I26" t="s">
        <v>702</v>
      </c>
      <c r="J26" t="s">
        <v>710</v>
      </c>
      <c r="K26" t="s">
        <v>723</v>
      </c>
      <c r="L26" t="s">
        <v>728</v>
      </c>
      <c r="M26" t="s">
        <v>1235</v>
      </c>
      <c r="N26" s="23">
        <v>770.11</v>
      </c>
      <c r="O26" s="23">
        <v>1667.82</v>
      </c>
      <c r="P26" s="8">
        <v>6.9000000000000006E-2</v>
      </c>
      <c r="Q26">
        <v>7</v>
      </c>
      <c r="R26" s="23">
        <f t="shared" si="1"/>
        <v>10869.182940000001</v>
      </c>
      <c r="S26" s="23">
        <f t="shared" si="2"/>
        <v>5390.77</v>
      </c>
      <c r="T26" s="23">
        <f t="shared" si="3"/>
        <v>5478.4129400000002</v>
      </c>
      <c r="U26" s="14">
        <f t="shared" si="4"/>
        <v>0.50403171703355287</v>
      </c>
      <c r="V26" s="7" t="str">
        <f t="shared" si="5"/>
        <v>Feb-2023</v>
      </c>
      <c r="W26" s="22">
        <f t="shared" si="6"/>
        <v>44958</v>
      </c>
      <c r="X26" s="7" t="str">
        <f t="shared" si="7"/>
        <v>Q1-2023</v>
      </c>
      <c r="Y26" t="str">
        <f t="shared" si="8"/>
        <v>Asia → China → Beijing</v>
      </c>
      <c r="Z26" t="str">
        <f t="shared" si="9"/>
        <v>Printers</v>
      </c>
      <c r="AA26" t="str" cm="1">
        <f t="array" ref="AA26">_xlfn.IFS(O26&lt;=$AF$2,"Low",AND(O26&gt;$AF$2,O26&lt;$AF$3),"Medium",O26&gt;=$AF$3,"High")</f>
        <v>High</v>
      </c>
      <c r="AB26" s="22">
        <f t="shared" si="10"/>
        <v>44927</v>
      </c>
      <c r="AC26">
        <v>1</v>
      </c>
      <c r="AJ26" s="22">
        <f t="shared" si="11"/>
        <v>44927</v>
      </c>
    </row>
    <row r="27" spans="1:36" x14ac:dyDescent="0.35">
      <c r="A27" s="4" t="s">
        <v>187</v>
      </c>
      <c r="B27" s="5" t="str">
        <f>IF(COUNTIF($A$2:A27,A27)=1,"Original","Duplicate")</f>
        <v>Original</v>
      </c>
      <c r="C27" s="7">
        <v>44981</v>
      </c>
      <c r="D27" s="7">
        <v>44994</v>
      </c>
      <c r="E27">
        <f t="shared" si="0"/>
        <v>13</v>
      </c>
      <c r="F27" t="s">
        <v>648</v>
      </c>
      <c r="G27" t="s">
        <v>660</v>
      </c>
      <c r="H27" t="s">
        <v>700</v>
      </c>
      <c r="I27" t="s">
        <v>706</v>
      </c>
      <c r="J27" t="s">
        <v>708</v>
      </c>
      <c r="K27" t="s">
        <v>724</v>
      </c>
      <c r="L27" t="s">
        <v>727</v>
      </c>
      <c r="M27" t="s">
        <v>906</v>
      </c>
      <c r="N27" s="23">
        <v>6.85</v>
      </c>
      <c r="O27" s="23">
        <v>10.18</v>
      </c>
      <c r="P27" s="8">
        <v>4.7E-2</v>
      </c>
      <c r="Q27">
        <v>10</v>
      </c>
      <c r="R27" s="23">
        <f t="shared" si="1"/>
        <v>97.0154</v>
      </c>
      <c r="S27" s="23">
        <f t="shared" si="2"/>
        <v>68.5</v>
      </c>
      <c r="T27" s="23">
        <f t="shared" si="3"/>
        <v>28.5154</v>
      </c>
      <c r="U27" s="14">
        <f t="shared" si="4"/>
        <v>0.2939265312517394</v>
      </c>
      <c r="V27" s="7" t="str">
        <f t="shared" si="5"/>
        <v>Feb-2023</v>
      </c>
      <c r="W27" s="22">
        <f t="shared" si="6"/>
        <v>44958</v>
      </c>
      <c r="X27" s="7" t="str">
        <f t="shared" si="7"/>
        <v>Q1-2023</v>
      </c>
      <c r="Y27" t="str">
        <f t="shared" si="8"/>
        <v>Americas → USA → New York</v>
      </c>
      <c r="Z27" t="str">
        <f t="shared" si="9"/>
        <v>Components</v>
      </c>
      <c r="AA27" t="str" cm="1">
        <f t="array" ref="AA27">_xlfn.IFS(O27&lt;=$AF$2,"Low",AND(O27&gt;$AF$2,O27&lt;$AF$3),"Medium",O27&gt;=$AF$3,"High")</f>
        <v>Low</v>
      </c>
      <c r="AB27" s="22">
        <f t="shared" si="10"/>
        <v>44927</v>
      </c>
      <c r="AC27">
        <v>1</v>
      </c>
      <c r="AJ27" s="22">
        <f t="shared" si="11"/>
        <v>44927</v>
      </c>
    </row>
    <row r="28" spans="1:36" x14ac:dyDescent="0.35">
      <c r="A28" s="4" t="s">
        <v>606</v>
      </c>
      <c r="B28" s="5" t="str">
        <f>IF(COUNTIF($A$2:A28,A28)=1,"Original","Duplicate")</f>
        <v>Original</v>
      </c>
      <c r="C28" s="7">
        <v>44984</v>
      </c>
      <c r="D28" s="7">
        <v>44991</v>
      </c>
      <c r="E28">
        <f t="shared" si="0"/>
        <v>7</v>
      </c>
      <c r="F28" t="s">
        <v>648</v>
      </c>
      <c r="G28" t="s">
        <v>660</v>
      </c>
      <c r="H28" t="s">
        <v>686</v>
      </c>
      <c r="I28" t="s">
        <v>703</v>
      </c>
      <c r="J28" t="s">
        <v>708</v>
      </c>
      <c r="K28" t="s">
        <v>716</v>
      </c>
      <c r="L28" t="s">
        <v>729</v>
      </c>
      <c r="M28" t="s">
        <v>1324</v>
      </c>
      <c r="N28" s="23">
        <v>1015.91</v>
      </c>
      <c r="O28" s="23">
        <v>2331.48</v>
      </c>
      <c r="P28" s="8">
        <v>0.14599999999999999</v>
      </c>
      <c r="Q28">
        <v>26</v>
      </c>
      <c r="R28" s="23">
        <f t="shared" si="1"/>
        <v>51768.181920000003</v>
      </c>
      <c r="S28" s="23">
        <f t="shared" si="2"/>
        <v>26413.66</v>
      </c>
      <c r="T28" s="23">
        <f t="shared" si="3"/>
        <v>25354.521920000003</v>
      </c>
      <c r="U28" s="14">
        <f t="shared" si="4"/>
        <v>0.48977037592669626</v>
      </c>
      <c r="V28" s="7" t="str">
        <f t="shared" si="5"/>
        <v>Feb-2023</v>
      </c>
      <c r="W28" s="22">
        <f t="shared" si="6"/>
        <v>44958</v>
      </c>
      <c r="X28" s="7" t="str">
        <f t="shared" si="7"/>
        <v>Q1-2023</v>
      </c>
      <c r="Y28" t="str">
        <f t="shared" si="8"/>
        <v>Americas → USA → San Francisco</v>
      </c>
      <c r="Z28" t="str">
        <f t="shared" si="9"/>
        <v>Networking</v>
      </c>
      <c r="AA28" t="str" cm="1">
        <f t="array" ref="AA28">_xlfn.IFS(O28&lt;=$AF$2,"Low",AND(O28&gt;$AF$2,O28&lt;$AF$3),"Medium",O28&gt;=$AF$3,"High")</f>
        <v>High</v>
      </c>
      <c r="AB28" s="22">
        <f t="shared" si="10"/>
        <v>44927</v>
      </c>
      <c r="AC28">
        <v>1</v>
      </c>
      <c r="AJ28" s="22">
        <f t="shared" si="11"/>
        <v>44927</v>
      </c>
    </row>
    <row r="29" spans="1:36" x14ac:dyDescent="0.35">
      <c r="A29" s="4" t="s">
        <v>17</v>
      </c>
      <c r="B29" s="5" t="str">
        <f>IF(COUNTIF($A$2:A29,A29)=1,"Original","Duplicate")</f>
        <v>Original</v>
      </c>
      <c r="C29" s="7">
        <v>44985</v>
      </c>
      <c r="D29" s="7">
        <v>45010</v>
      </c>
      <c r="E29">
        <f t="shared" si="0"/>
        <v>25</v>
      </c>
      <c r="F29" t="s">
        <v>646</v>
      </c>
      <c r="G29" t="s">
        <v>650</v>
      </c>
      <c r="H29" t="s">
        <v>664</v>
      </c>
      <c r="I29" t="s">
        <v>701</v>
      </c>
      <c r="J29" t="s">
        <v>707</v>
      </c>
      <c r="K29" t="s">
        <v>714</v>
      </c>
      <c r="L29" t="s">
        <v>729</v>
      </c>
      <c r="M29" t="s">
        <v>736</v>
      </c>
      <c r="N29" s="23">
        <v>1460.76</v>
      </c>
      <c r="O29" s="23">
        <v>1752.912</v>
      </c>
      <c r="P29" s="8">
        <v>0.13100000000000001</v>
      </c>
      <c r="Q29">
        <v>12</v>
      </c>
      <c r="R29" s="23">
        <f t="shared" si="1"/>
        <v>18279.366335999999</v>
      </c>
      <c r="S29" s="23">
        <f>N29*Q29</f>
        <v>17529.12</v>
      </c>
      <c r="T29" s="23">
        <f t="shared" si="3"/>
        <v>750.24633600000016</v>
      </c>
      <c r="U29" s="14">
        <f t="shared" si="4"/>
        <v>4.1043344840813206E-2</v>
      </c>
      <c r="V29" s="7" t="str">
        <f t="shared" si="5"/>
        <v>Feb-2023</v>
      </c>
      <c r="W29" s="22">
        <f t="shared" si="6"/>
        <v>44958</v>
      </c>
      <c r="X29" s="7" t="str">
        <f t="shared" si="7"/>
        <v>Q1-2023</v>
      </c>
      <c r="Y29" t="str">
        <f t="shared" si="8"/>
        <v>Africa → Kenya → Nairobi</v>
      </c>
      <c r="Z29" t="str">
        <f t="shared" si="9"/>
        <v>Networking</v>
      </c>
      <c r="AA29" t="str" cm="1">
        <f t="array" ref="AA29">_xlfn.IFS(O29&lt;=$AF$2,"Low",AND(O29&gt;$AF$2,O29&lt;$AF$3),"Medium",O29&gt;=$AF$3,"High")</f>
        <v>High</v>
      </c>
      <c r="AB29" s="22">
        <f t="shared" si="10"/>
        <v>44927</v>
      </c>
      <c r="AC29">
        <v>1</v>
      </c>
      <c r="AJ29" s="22">
        <f t="shared" si="11"/>
        <v>44927</v>
      </c>
    </row>
    <row r="30" spans="1:36" x14ac:dyDescent="0.35">
      <c r="A30" s="4" t="s">
        <v>114</v>
      </c>
      <c r="B30" s="5" t="str">
        <f>IF(COUNTIF($A$2:A30,A30)=1,"Original","Duplicate")</f>
        <v>Original</v>
      </c>
      <c r="C30" s="7">
        <v>44985</v>
      </c>
      <c r="D30" s="7">
        <v>45005</v>
      </c>
      <c r="E30">
        <f t="shared" si="0"/>
        <v>20</v>
      </c>
      <c r="F30" t="s">
        <v>649</v>
      </c>
      <c r="G30" t="s">
        <v>656</v>
      </c>
      <c r="H30" t="s">
        <v>671</v>
      </c>
      <c r="I30" t="s">
        <v>705</v>
      </c>
      <c r="J30" t="s">
        <v>711</v>
      </c>
      <c r="K30" t="s">
        <v>722</v>
      </c>
      <c r="L30" t="s">
        <v>731</v>
      </c>
      <c r="M30" t="s">
        <v>833</v>
      </c>
      <c r="N30" s="23">
        <v>1200.78</v>
      </c>
      <c r="O30" s="23">
        <v>2001.17</v>
      </c>
      <c r="P30" s="8">
        <v>0.29199999999999998</v>
      </c>
      <c r="Q30">
        <v>18</v>
      </c>
      <c r="R30" s="23">
        <f t="shared" si="1"/>
        <v>25502.910479999999</v>
      </c>
      <c r="S30" s="23">
        <f t="shared" si="2"/>
        <v>21614.04</v>
      </c>
      <c r="T30" s="23">
        <f t="shared" si="3"/>
        <v>3888.8704799999978</v>
      </c>
      <c r="U30" s="14">
        <f t="shared" si="4"/>
        <v>0.15248732034132906</v>
      </c>
      <c r="V30" s="7" t="str">
        <f t="shared" si="5"/>
        <v>Feb-2023</v>
      </c>
      <c r="W30" s="22">
        <f t="shared" si="6"/>
        <v>44958</v>
      </c>
      <c r="X30" s="7" t="str">
        <f t="shared" si="7"/>
        <v>Q1-2023</v>
      </c>
      <c r="Y30" t="str">
        <f t="shared" si="8"/>
        <v>Europe → Germany → Berlin</v>
      </c>
      <c r="Z30" t="str">
        <f t="shared" si="9"/>
        <v>Laptops</v>
      </c>
      <c r="AA30" t="str" cm="1">
        <f t="array" ref="AA30">_xlfn.IFS(O30&lt;=$AF$2,"Low",AND(O30&gt;$AF$2,O30&lt;$AF$3),"Medium",O30&gt;=$AF$3,"High")</f>
        <v>High</v>
      </c>
      <c r="AB30" s="22">
        <f t="shared" si="10"/>
        <v>44927</v>
      </c>
      <c r="AC30">
        <v>1</v>
      </c>
      <c r="AJ30" s="22">
        <f t="shared" si="11"/>
        <v>44927</v>
      </c>
    </row>
    <row r="31" spans="1:36" x14ac:dyDescent="0.35">
      <c r="A31" s="4" t="s">
        <v>336</v>
      </c>
      <c r="B31" s="5" t="str">
        <f>IF(COUNTIF($A$2:A31,A31)=1,"Original","Duplicate")</f>
        <v>Original</v>
      </c>
      <c r="C31" s="7">
        <v>44985</v>
      </c>
      <c r="D31" s="7">
        <v>44992</v>
      </c>
      <c r="E31">
        <f t="shared" si="0"/>
        <v>7</v>
      </c>
      <c r="F31" t="s">
        <v>649</v>
      </c>
      <c r="G31" t="s">
        <v>657</v>
      </c>
      <c r="H31" t="s">
        <v>673</v>
      </c>
      <c r="I31" t="s">
        <v>701</v>
      </c>
      <c r="J31" t="s">
        <v>707</v>
      </c>
      <c r="K31" t="s">
        <v>723</v>
      </c>
      <c r="L31" t="s">
        <v>729</v>
      </c>
      <c r="M31" t="s">
        <v>1056</v>
      </c>
      <c r="N31" s="23">
        <v>1299.81</v>
      </c>
      <c r="O31" s="23">
        <v>3149.13</v>
      </c>
      <c r="P31" s="8">
        <v>0.10299999999999999</v>
      </c>
      <c r="Q31">
        <v>14</v>
      </c>
      <c r="R31" s="23">
        <f t="shared" si="1"/>
        <v>39546.774539999999</v>
      </c>
      <c r="S31" s="23">
        <f t="shared" si="2"/>
        <v>18197.34</v>
      </c>
      <c r="T31" s="23">
        <f t="shared" si="3"/>
        <v>21349.434539999998</v>
      </c>
      <c r="U31" s="14">
        <f t="shared" si="4"/>
        <v>0.53985273864511729</v>
      </c>
      <c r="V31" s="7" t="str">
        <f t="shared" si="5"/>
        <v>Feb-2023</v>
      </c>
      <c r="W31" s="22">
        <f t="shared" si="6"/>
        <v>44958</v>
      </c>
      <c r="X31" s="7" t="str">
        <f t="shared" si="7"/>
        <v>Q1-2023</v>
      </c>
      <c r="Y31" t="str">
        <f t="shared" si="8"/>
        <v>Europe → France → Marseille</v>
      </c>
      <c r="Z31" t="str">
        <f t="shared" si="9"/>
        <v>Networking</v>
      </c>
      <c r="AA31" t="str" cm="1">
        <f t="array" ref="AA31">_xlfn.IFS(O31&lt;=$AF$2,"Low",AND(O31&gt;$AF$2,O31&lt;$AF$3),"Medium",O31&gt;=$AF$3,"High")</f>
        <v>High</v>
      </c>
      <c r="AB31" s="22">
        <f t="shared" si="10"/>
        <v>44927</v>
      </c>
      <c r="AC31">
        <v>1</v>
      </c>
      <c r="AJ31" s="22">
        <f t="shared" si="11"/>
        <v>44927</v>
      </c>
    </row>
    <row r="32" spans="1:36" x14ac:dyDescent="0.35">
      <c r="A32" s="4" t="s">
        <v>562</v>
      </c>
      <c r="B32" s="5" t="str">
        <f>IF(COUNTIF($A$2:A32,A32)=1,"Original","Duplicate")</f>
        <v>Original</v>
      </c>
      <c r="C32" s="7">
        <v>44985</v>
      </c>
      <c r="D32" s="7">
        <v>44991</v>
      </c>
      <c r="E32">
        <f t="shared" si="0"/>
        <v>6</v>
      </c>
      <c r="F32" t="s">
        <v>649</v>
      </c>
      <c r="G32" t="s">
        <v>656</v>
      </c>
      <c r="H32" t="s">
        <v>698</v>
      </c>
      <c r="I32" t="s">
        <v>705</v>
      </c>
      <c r="J32" t="s">
        <v>709</v>
      </c>
      <c r="K32" t="s">
        <v>726</v>
      </c>
      <c r="L32" t="s">
        <v>728</v>
      </c>
      <c r="M32" t="s">
        <v>1280</v>
      </c>
      <c r="N32" s="23">
        <v>880.02</v>
      </c>
      <c r="O32" s="23">
        <v>1251.21</v>
      </c>
      <c r="P32" s="8">
        <v>0.123</v>
      </c>
      <c r="Q32">
        <v>29</v>
      </c>
      <c r="R32" s="23">
        <f t="shared" si="1"/>
        <v>31822.023930000003</v>
      </c>
      <c r="S32" s="23">
        <f t="shared" si="2"/>
        <v>25520.579999999998</v>
      </c>
      <c r="T32" s="23">
        <f t="shared" si="3"/>
        <v>6301.4439300000049</v>
      </c>
      <c r="U32" s="14">
        <f t="shared" si="4"/>
        <v>0.19802146915172672</v>
      </c>
      <c r="V32" s="7" t="str">
        <f t="shared" si="5"/>
        <v>Feb-2023</v>
      </c>
      <c r="W32" s="22">
        <f t="shared" si="6"/>
        <v>44958</v>
      </c>
      <c r="X32" s="7" t="str">
        <f t="shared" si="7"/>
        <v>Q1-2023</v>
      </c>
      <c r="Y32" t="str">
        <f t="shared" si="8"/>
        <v>Europe → Germany → Frankfurt</v>
      </c>
      <c r="Z32" t="str">
        <f t="shared" si="9"/>
        <v>Printers</v>
      </c>
      <c r="AA32" t="str" cm="1">
        <f t="array" ref="AA32">_xlfn.IFS(O32&lt;=$AF$2,"Low",AND(O32&gt;$AF$2,O32&lt;$AF$3),"Medium",O32&gt;=$AF$3,"High")</f>
        <v>Medium</v>
      </c>
      <c r="AB32" s="22">
        <f t="shared" si="10"/>
        <v>44927</v>
      </c>
      <c r="AC32">
        <v>1</v>
      </c>
      <c r="AJ32" s="22">
        <f t="shared" si="11"/>
        <v>44927</v>
      </c>
    </row>
    <row r="33" spans="1:36" x14ac:dyDescent="0.35">
      <c r="A33" s="4" t="s">
        <v>130</v>
      </c>
      <c r="B33" s="5" t="str">
        <f>IF(COUNTIF($A$2:A33,A33)=1,"Original","Duplicate")</f>
        <v>Original</v>
      </c>
      <c r="C33" s="7">
        <v>44987</v>
      </c>
      <c r="D33" s="7">
        <v>44990</v>
      </c>
      <c r="E33">
        <f t="shared" si="0"/>
        <v>3</v>
      </c>
      <c r="F33" t="s">
        <v>648</v>
      </c>
      <c r="G33" t="s">
        <v>655</v>
      </c>
      <c r="H33" t="s">
        <v>672</v>
      </c>
      <c r="I33" t="s">
        <v>706</v>
      </c>
      <c r="J33" t="s">
        <v>711</v>
      </c>
      <c r="K33" t="s">
        <v>715</v>
      </c>
      <c r="L33" t="s">
        <v>732</v>
      </c>
      <c r="M33" t="s">
        <v>849</v>
      </c>
      <c r="N33" s="23">
        <v>1473.58</v>
      </c>
      <c r="O33" s="23">
        <v>3436.52</v>
      </c>
      <c r="P33" s="8">
        <v>0.108</v>
      </c>
      <c r="Q33">
        <v>8</v>
      </c>
      <c r="R33" s="23">
        <f t="shared" si="1"/>
        <v>24523.006720000001</v>
      </c>
      <c r="S33" s="23">
        <f t="shared" si="2"/>
        <v>11788.64</v>
      </c>
      <c r="T33" s="23">
        <f t="shared" si="3"/>
        <v>12734.366720000002</v>
      </c>
      <c r="U33" s="14">
        <f t="shared" si="4"/>
        <v>0.51928243813652564</v>
      </c>
      <c r="V33" s="7" t="str">
        <f t="shared" si="5"/>
        <v>Mar-2023</v>
      </c>
      <c r="W33" s="22">
        <f t="shared" si="6"/>
        <v>44986</v>
      </c>
      <c r="X33" s="7" t="str">
        <f t="shared" si="7"/>
        <v>Q1-2023</v>
      </c>
      <c r="Y33" t="str">
        <f t="shared" si="8"/>
        <v>Americas → Brazil → Brasília</v>
      </c>
      <c r="Z33" t="str">
        <f t="shared" si="9"/>
        <v>Monitors</v>
      </c>
      <c r="AA33" t="str" cm="1">
        <f t="array" ref="AA33">_xlfn.IFS(O33&lt;=$AF$2,"Low",AND(O33&gt;$AF$2,O33&lt;$AF$3),"Medium",O33&gt;=$AF$3,"High")</f>
        <v>High</v>
      </c>
      <c r="AB33" s="22">
        <f t="shared" si="10"/>
        <v>44927</v>
      </c>
      <c r="AC33">
        <v>2</v>
      </c>
      <c r="AJ33" s="22">
        <f t="shared" si="11"/>
        <v>44927</v>
      </c>
    </row>
    <row r="34" spans="1:36" x14ac:dyDescent="0.35">
      <c r="A34" s="4" t="s">
        <v>566</v>
      </c>
      <c r="B34" s="5" t="str">
        <f>IF(COUNTIF($A$2:A34,A34)=1,"Original","Duplicate")</f>
        <v>Original</v>
      </c>
      <c r="C34" s="7">
        <v>44988</v>
      </c>
      <c r="D34" s="7">
        <v>45005</v>
      </c>
      <c r="E34">
        <f t="shared" si="0"/>
        <v>17</v>
      </c>
      <c r="F34" t="s">
        <v>647</v>
      </c>
      <c r="G34" t="s">
        <v>652</v>
      </c>
      <c r="H34" t="s">
        <v>694</v>
      </c>
      <c r="I34" t="s">
        <v>705</v>
      </c>
      <c r="J34" t="s">
        <v>708</v>
      </c>
      <c r="K34" t="s">
        <v>726</v>
      </c>
      <c r="L34" t="s">
        <v>729</v>
      </c>
      <c r="M34" t="s">
        <v>1284</v>
      </c>
      <c r="N34" s="23">
        <v>1171.17</v>
      </c>
      <c r="O34" s="23">
        <v>2030.64</v>
      </c>
      <c r="P34" s="8">
        <v>0.157</v>
      </c>
      <c r="Q34">
        <v>11</v>
      </c>
      <c r="R34" s="23">
        <f t="shared" si="1"/>
        <v>18830.12472</v>
      </c>
      <c r="S34" s="23">
        <f t="shared" si="2"/>
        <v>12882.87</v>
      </c>
      <c r="T34" s="23">
        <f t="shared" si="3"/>
        <v>5947.254719999999</v>
      </c>
      <c r="U34" s="14">
        <f t="shared" si="4"/>
        <v>0.31583724528830415</v>
      </c>
      <c r="V34" s="7" t="str">
        <f t="shared" si="5"/>
        <v>Mar-2023</v>
      </c>
      <c r="W34" s="22">
        <f t="shared" si="6"/>
        <v>44986</v>
      </c>
      <c r="X34" s="7" t="str">
        <f t="shared" si="7"/>
        <v>Q1-2023</v>
      </c>
      <c r="Y34" t="str">
        <f t="shared" si="8"/>
        <v>Asia → Japan → Nagoya</v>
      </c>
      <c r="Z34" t="str">
        <f t="shared" si="9"/>
        <v>Networking</v>
      </c>
      <c r="AA34" t="str" cm="1">
        <f t="array" ref="AA34">_xlfn.IFS(O34&lt;=$AF$2,"Low",AND(O34&gt;$AF$2,O34&lt;$AF$3),"Medium",O34&gt;=$AF$3,"High")</f>
        <v>High</v>
      </c>
      <c r="AB34" s="22">
        <f t="shared" si="10"/>
        <v>44986</v>
      </c>
      <c r="AC34">
        <v>0</v>
      </c>
      <c r="AJ34" s="22">
        <f t="shared" si="11"/>
        <v>44986</v>
      </c>
    </row>
    <row r="35" spans="1:36" x14ac:dyDescent="0.35">
      <c r="A35" s="4" t="s">
        <v>265</v>
      </c>
      <c r="B35" s="5" t="str">
        <f>IF(COUNTIF($A$2:A35,A35)=1,"Original","Duplicate")</f>
        <v>Original</v>
      </c>
      <c r="C35" s="7">
        <v>44989</v>
      </c>
      <c r="D35" s="7">
        <v>45009</v>
      </c>
      <c r="E35">
        <f t="shared" si="0"/>
        <v>20</v>
      </c>
      <c r="F35" t="s">
        <v>648</v>
      </c>
      <c r="G35" t="s">
        <v>653</v>
      </c>
      <c r="H35" t="s">
        <v>681</v>
      </c>
      <c r="I35" t="s">
        <v>704</v>
      </c>
      <c r="J35" t="s">
        <v>710</v>
      </c>
      <c r="K35" t="s">
        <v>714</v>
      </c>
      <c r="L35" t="s">
        <v>731</v>
      </c>
      <c r="M35" t="s">
        <v>985</v>
      </c>
      <c r="N35" s="23">
        <v>481.71</v>
      </c>
      <c r="O35" s="23">
        <v>912.45</v>
      </c>
      <c r="P35" s="8">
        <v>0.20300000000000001</v>
      </c>
      <c r="Q35">
        <v>24</v>
      </c>
      <c r="R35" s="23">
        <f t="shared" si="1"/>
        <v>17453.3436</v>
      </c>
      <c r="S35" s="23">
        <f t="shared" si="2"/>
        <v>11561.039999999999</v>
      </c>
      <c r="T35" s="23">
        <f t="shared" si="3"/>
        <v>5892.3036000000011</v>
      </c>
      <c r="U35" s="14">
        <f t="shared" si="4"/>
        <v>0.33760313983619739</v>
      </c>
      <c r="V35" s="7" t="str">
        <f t="shared" si="5"/>
        <v>Mar-2023</v>
      </c>
      <c r="W35" s="22">
        <f t="shared" si="6"/>
        <v>44986</v>
      </c>
      <c r="X35" s="7" t="str">
        <f t="shared" si="7"/>
        <v>Q1-2023</v>
      </c>
      <c r="Y35" t="str">
        <f t="shared" si="8"/>
        <v>Americas → Canada → Montreal</v>
      </c>
      <c r="Z35" t="str">
        <f t="shared" si="9"/>
        <v>Laptops</v>
      </c>
      <c r="AA35" t="str" cm="1">
        <f t="array" ref="AA35">_xlfn.IFS(O35&lt;=$AF$2,"Low",AND(O35&gt;$AF$2,O35&lt;$AF$3),"Medium",O35&gt;=$AF$3,"High")</f>
        <v>Medium</v>
      </c>
      <c r="AB35" s="22">
        <f t="shared" si="10"/>
        <v>44927</v>
      </c>
      <c r="AC35">
        <v>2</v>
      </c>
      <c r="AJ35" s="22">
        <f t="shared" si="11"/>
        <v>44927</v>
      </c>
    </row>
    <row r="36" spans="1:36" x14ac:dyDescent="0.35">
      <c r="A36" s="4" t="s">
        <v>419</v>
      </c>
      <c r="B36" s="5" t="str">
        <f>IF(COUNTIF($A$2:A36,A36)=1,"Original","Duplicate")</f>
        <v>Original</v>
      </c>
      <c r="C36" s="7">
        <v>44991</v>
      </c>
      <c r="D36" s="7">
        <v>45020</v>
      </c>
      <c r="E36">
        <f t="shared" si="0"/>
        <v>29</v>
      </c>
      <c r="F36" t="s">
        <v>647</v>
      </c>
      <c r="G36" t="s">
        <v>659</v>
      </c>
      <c r="H36" t="s">
        <v>699</v>
      </c>
      <c r="I36" t="s">
        <v>705</v>
      </c>
      <c r="J36" t="s">
        <v>711</v>
      </c>
      <c r="K36" t="s">
        <v>712</v>
      </c>
      <c r="L36" t="s">
        <v>732</v>
      </c>
      <c r="M36" t="s">
        <v>1138</v>
      </c>
      <c r="N36" s="23">
        <v>1126.29</v>
      </c>
      <c r="O36" s="23">
        <v>2050.87</v>
      </c>
      <c r="P36" s="8">
        <v>6.4000000000000001E-2</v>
      </c>
      <c r="Q36">
        <v>7</v>
      </c>
      <c r="R36" s="23">
        <f t="shared" si="1"/>
        <v>13437.300239999999</v>
      </c>
      <c r="S36" s="23">
        <f t="shared" si="2"/>
        <v>7884.03</v>
      </c>
      <c r="T36" s="23">
        <f t="shared" si="3"/>
        <v>5553.2702399999989</v>
      </c>
      <c r="U36" s="14">
        <f t="shared" si="4"/>
        <v>0.41327276616690373</v>
      </c>
      <c r="V36" s="7" t="str">
        <f t="shared" si="5"/>
        <v>Mar-2023</v>
      </c>
      <c r="W36" s="22">
        <f t="shared" si="6"/>
        <v>44986</v>
      </c>
      <c r="X36" s="7" t="str">
        <f t="shared" si="7"/>
        <v>Q1-2023</v>
      </c>
      <c r="Y36" t="str">
        <f t="shared" si="8"/>
        <v>Asia → China → Beijing</v>
      </c>
      <c r="Z36" t="str">
        <f t="shared" si="9"/>
        <v>Monitors</v>
      </c>
      <c r="AA36" t="str" cm="1">
        <f t="array" ref="AA36">_xlfn.IFS(O36&lt;=$AF$2,"Low",AND(O36&gt;$AF$2,O36&lt;$AF$3),"Medium",O36&gt;=$AF$3,"High")</f>
        <v>High</v>
      </c>
      <c r="AB36" s="22">
        <f t="shared" si="10"/>
        <v>44927</v>
      </c>
      <c r="AC36">
        <v>2</v>
      </c>
    </row>
    <row r="37" spans="1:36" x14ac:dyDescent="0.35">
      <c r="A37" s="4" t="s">
        <v>243</v>
      </c>
      <c r="B37" s="5" t="str">
        <f>IF(COUNTIF($A$2:A37,A37)=1,"Original","Duplicate")</f>
        <v>Original</v>
      </c>
      <c r="C37" s="7">
        <v>44992</v>
      </c>
      <c r="D37" s="7">
        <v>45017</v>
      </c>
      <c r="E37">
        <f t="shared" si="0"/>
        <v>25</v>
      </c>
      <c r="F37" t="s">
        <v>646</v>
      </c>
      <c r="G37" t="s">
        <v>650</v>
      </c>
      <c r="H37" t="s">
        <v>664</v>
      </c>
      <c r="I37" t="s">
        <v>704</v>
      </c>
      <c r="J37" t="s">
        <v>709</v>
      </c>
      <c r="K37" t="s">
        <v>726</v>
      </c>
      <c r="L37" t="s">
        <v>728</v>
      </c>
      <c r="M37" t="s">
        <v>963</v>
      </c>
      <c r="N37" s="23">
        <v>1024.0999999999999</v>
      </c>
      <c r="O37" s="23">
        <v>918.19</v>
      </c>
      <c r="P37" s="8">
        <v>0.189</v>
      </c>
      <c r="Q37">
        <v>10</v>
      </c>
      <c r="R37" s="23">
        <f t="shared" si="1"/>
        <v>7446.5209000000004</v>
      </c>
      <c r="S37" s="23">
        <f t="shared" si="2"/>
        <v>10241</v>
      </c>
      <c r="T37" s="23">
        <f t="shared" si="3"/>
        <v>-2794.4790999999996</v>
      </c>
      <c r="U37" s="14">
        <f t="shared" si="4"/>
        <v>-0.37527311579827827</v>
      </c>
      <c r="V37" s="7" t="str">
        <f t="shared" si="5"/>
        <v>Mar-2023</v>
      </c>
      <c r="W37" s="22">
        <f t="shared" si="6"/>
        <v>44986</v>
      </c>
      <c r="X37" s="7" t="str">
        <f t="shared" si="7"/>
        <v>Q1-2023</v>
      </c>
      <c r="Y37" t="str">
        <f t="shared" si="8"/>
        <v>Africa → Kenya → Nairobi</v>
      </c>
      <c r="Z37" t="str">
        <f t="shared" si="9"/>
        <v>Printers</v>
      </c>
      <c r="AA37" t="str" cm="1">
        <f t="array" ref="AA37">_xlfn.IFS(O37&lt;=$AF$2,"Low",AND(O37&gt;$AF$2,O37&lt;$AF$3),"Medium",O37&gt;=$AF$3,"High")</f>
        <v>Medium</v>
      </c>
      <c r="AB37" s="22">
        <f t="shared" si="10"/>
        <v>44927</v>
      </c>
      <c r="AC37">
        <v>2</v>
      </c>
    </row>
    <row r="38" spans="1:36" x14ac:dyDescent="0.35">
      <c r="A38" s="4" t="s">
        <v>391</v>
      </c>
      <c r="B38" s="5" t="str">
        <f>IF(COUNTIF($A$2:A38,A38)=1,"Original","Duplicate")</f>
        <v>Original</v>
      </c>
      <c r="C38" s="7">
        <v>44998</v>
      </c>
      <c r="D38" s="7">
        <v>45020</v>
      </c>
      <c r="E38">
        <f t="shared" si="0"/>
        <v>22</v>
      </c>
      <c r="F38" t="s">
        <v>646</v>
      </c>
      <c r="G38" t="s">
        <v>661</v>
      </c>
      <c r="H38" t="s">
        <v>687</v>
      </c>
      <c r="I38" t="s">
        <v>705</v>
      </c>
      <c r="J38" t="s">
        <v>707</v>
      </c>
      <c r="K38" t="s">
        <v>720</v>
      </c>
      <c r="L38" t="s">
        <v>727</v>
      </c>
      <c r="M38" t="s">
        <v>1111</v>
      </c>
      <c r="N38" s="23">
        <v>1113.7</v>
      </c>
      <c r="O38" s="23">
        <v>1620.6</v>
      </c>
      <c r="P38" s="8">
        <v>0.13900000000000001</v>
      </c>
      <c r="Q38">
        <v>11</v>
      </c>
      <c r="R38" s="23">
        <f t="shared" si="1"/>
        <v>15348.702599999999</v>
      </c>
      <c r="S38" s="23">
        <f t="shared" si="2"/>
        <v>12250.7</v>
      </c>
      <c r="T38" s="23">
        <f t="shared" si="3"/>
        <v>3098.002599999998</v>
      </c>
      <c r="U38" s="14">
        <f t="shared" si="4"/>
        <v>0.20184133348182787</v>
      </c>
      <c r="V38" s="7" t="str">
        <f t="shared" si="5"/>
        <v>Mar-2023</v>
      </c>
      <c r="W38" s="22">
        <f t="shared" si="6"/>
        <v>44986</v>
      </c>
      <c r="X38" s="7" t="str">
        <f t="shared" si="7"/>
        <v>Q1-2023</v>
      </c>
      <c r="Y38" t="str">
        <f t="shared" si="8"/>
        <v>Africa → South Africa → Durban</v>
      </c>
      <c r="Z38" t="str">
        <f t="shared" si="9"/>
        <v>Components</v>
      </c>
      <c r="AA38" t="str" cm="1">
        <f t="array" ref="AA38">_xlfn.IFS(O38&lt;=$AF$2,"Low",AND(O38&gt;$AF$2,O38&lt;$AF$3),"Medium",O38&gt;=$AF$3,"High")</f>
        <v>Medium</v>
      </c>
      <c r="AB38" s="22">
        <f t="shared" si="10"/>
        <v>44927</v>
      </c>
      <c r="AC38">
        <v>2</v>
      </c>
    </row>
    <row r="39" spans="1:36" x14ac:dyDescent="0.35">
      <c r="A39" s="4" t="s">
        <v>248</v>
      </c>
      <c r="B39" s="5" t="str">
        <f>IF(COUNTIF($A$2:A39,A39)=1,"Original","Duplicate")</f>
        <v>Original</v>
      </c>
      <c r="C39" s="7">
        <v>44999</v>
      </c>
      <c r="D39" s="7">
        <v>45015</v>
      </c>
      <c r="E39">
        <f t="shared" si="0"/>
        <v>16</v>
      </c>
      <c r="F39" t="s">
        <v>646</v>
      </c>
      <c r="G39" t="s">
        <v>661</v>
      </c>
      <c r="H39" t="s">
        <v>695</v>
      </c>
      <c r="I39" t="s">
        <v>704</v>
      </c>
      <c r="J39" t="s">
        <v>710</v>
      </c>
      <c r="K39" t="s">
        <v>723</v>
      </c>
      <c r="L39" t="s">
        <v>727</v>
      </c>
      <c r="M39" t="s">
        <v>968</v>
      </c>
      <c r="N39" s="23">
        <v>1309.77</v>
      </c>
      <c r="O39" s="23">
        <v>1589.07</v>
      </c>
      <c r="P39" s="8">
        <v>0.10199999999999999</v>
      </c>
      <c r="Q39">
        <v>10</v>
      </c>
      <c r="R39" s="23">
        <f t="shared" si="1"/>
        <v>14269.848599999999</v>
      </c>
      <c r="S39" s="23">
        <f t="shared" si="2"/>
        <v>13097.7</v>
      </c>
      <c r="T39" s="23">
        <f t="shared" si="3"/>
        <v>1172.1485999999986</v>
      </c>
      <c r="U39" s="14">
        <f t="shared" si="4"/>
        <v>8.2141628328137886E-2</v>
      </c>
      <c r="V39" s="7" t="str">
        <f t="shared" si="5"/>
        <v>Mar-2023</v>
      </c>
      <c r="W39" s="22">
        <f t="shared" si="6"/>
        <v>44986</v>
      </c>
      <c r="X39" s="7" t="str">
        <f t="shared" si="7"/>
        <v>Q1-2023</v>
      </c>
      <c r="Y39" t="str">
        <f t="shared" si="8"/>
        <v>Africa → South Africa → Cape Town</v>
      </c>
      <c r="Z39" t="str">
        <f t="shared" si="9"/>
        <v>Components</v>
      </c>
      <c r="AA39" t="str" cm="1">
        <f t="array" ref="AA39">_xlfn.IFS(O39&lt;=$AF$2,"Low",AND(O39&gt;$AF$2,O39&lt;$AF$3),"Medium",O39&gt;=$AF$3,"High")</f>
        <v>Medium</v>
      </c>
      <c r="AB39" s="22">
        <f t="shared" si="10"/>
        <v>44927</v>
      </c>
      <c r="AC39">
        <v>2</v>
      </c>
    </row>
    <row r="40" spans="1:36" x14ac:dyDescent="0.35">
      <c r="A40" s="4" t="s">
        <v>491</v>
      </c>
      <c r="B40" s="5" t="str">
        <f>IF(COUNTIF($A$2:A40,A40)=1,"Original","Duplicate")</f>
        <v>Original</v>
      </c>
      <c r="C40" s="7">
        <v>44999</v>
      </c>
      <c r="D40" s="7">
        <v>45003</v>
      </c>
      <c r="E40">
        <f t="shared" si="0"/>
        <v>4</v>
      </c>
      <c r="F40" t="s">
        <v>649</v>
      </c>
      <c r="G40" t="s">
        <v>656</v>
      </c>
      <c r="H40" t="s">
        <v>698</v>
      </c>
      <c r="I40" t="s">
        <v>706</v>
      </c>
      <c r="J40" t="s">
        <v>711</v>
      </c>
      <c r="K40" t="s">
        <v>720</v>
      </c>
      <c r="L40" t="s">
        <v>727</v>
      </c>
      <c r="M40" t="s">
        <v>1210</v>
      </c>
      <c r="N40" s="23">
        <v>472.33</v>
      </c>
      <c r="O40" s="23">
        <v>360.34</v>
      </c>
      <c r="P40" s="8">
        <v>0.16500000000000001</v>
      </c>
      <c r="Q40">
        <v>14</v>
      </c>
      <c r="R40" s="23">
        <f t="shared" si="1"/>
        <v>4212.3745999999992</v>
      </c>
      <c r="S40" s="23">
        <f t="shared" si="2"/>
        <v>6612.62</v>
      </c>
      <c r="T40" s="23">
        <f t="shared" si="3"/>
        <v>-2400.2454000000007</v>
      </c>
      <c r="U40" s="14">
        <f t="shared" si="4"/>
        <v>-0.56980815523861561</v>
      </c>
      <c r="V40" s="7" t="str">
        <f t="shared" si="5"/>
        <v>Mar-2023</v>
      </c>
      <c r="W40" s="22">
        <f t="shared" si="6"/>
        <v>44986</v>
      </c>
      <c r="X40" s="7" t="str">
        <f t="shared" si="7"/>
        <v>Q1-2023</v>
      </c>
      <c r="Y40" t="str">
        <f t="shared" si="8"/>
        <v>Europe → Germany → Frankfurt</v>
      </c>
      <c r="Z40" t="str">
        <f t="shared" si="9"/>
        <v>Components</v>
      </c>
      <c r="AA40" t="str" cm="1">
        <f t="array" ref="AA40">_xlfn.IFS(O40&lt;=$AF$2,"Low",AND(O40&gt;$AF$2,O40&lt;$AF$3),"Medium",O40&gt;=$AF$3,"High")</f>
        <v>Low</v>
      </c>
      <c r="AB40" s="22">
        <f t="shared" si="10"/>
        <v>44927</v>
      </c>
      <c r="AC40">
        <v>2</v>
      </c>
    </row>
    <row r="41" spans="1:36" x14ac:dyDescent="0.35">
      <c r="A41" s="4" t="s">
        <v>426</v>
      </c>
      <c r="B41" s="5" t="str">
        <f>IF(COUNTIF($A$2:A41,A41)=1,"Original","Duplicate")</f>
        <v>Original</v>
      </c>
      <c r="C41" s="7">
        <v>45002</v>
      </c>
      <c r="D41" s="7">
        <v>45022</v>
      </c>
      <c r="E41">
        <f t="shared" si="0"/>
        <v>20</v>
      </c>
      <c r="F41" t="s">
        <v>649</v>
      </c>
      <c r="G41" t="s">
        <v>656</v>
      </c>
      <c r="H41" t="s">
        <v>684</v>
      </c>
      <c r="I41" t="s">
        <v>704</v>
      </c>
      <c r="J41" t="s">
        <v>707</v>
      </c>
      <c r="K41" t="s">
        <v>719</v>
      </c>
      <c r="L41" t="s">
        <v>730</v>
      </c>
      <c r="M41" t="s">
        <v>1145</v>
      </c>
      <c r="N41" s="23">
        <v>692.18</v>
      </c>
      <c r="O41" s="23">
        <v>1159.3499999999999</v>
      </c>
      <c r="P41" s="8">
        <v>0.112</v>
      </c>
      <c r="Q41">
        <v>2</v>
      </c>
      <c r="R41" s="23">
        <f t="shared" si="1"/>
        <v>2059.0056</v>
      </c>
      <c r="S41" s="23">
        <f t="shared" si="2"/>
        <v>1384.36</v>
      </c>
      <c r="T41" s="23">
        <f t="shared" si="3"/>
        <v>674.64560000000006</v>
      </c>
      <c r="U41" s="14">
        <f t="shared" si="4"/>
        <v>0.32765602968734037</v>
      </c>
      <c r="V41" s="7" t="str">
        <f t="shared" si="5"/>
        <v>Mar-2023</v>
      </c>
      <c r="W41" s="22">
        <f t="shared" si="6"/>
        <v>44986</v>
      </c>
      <c r="X41" s="7" t="str">
        <f t="shared" si="7"/>
        <v>Q1-2023</v>
      </c>
      <c r="Y41" t="str">
        <f t="shared" si="8"/>
        <v>Europe → Germany → Munich</v>
      </c>
      <c r="Z41" t="str">
        <f t="shared" si="9"/>
        <v>Phones</v>
      </c>
      <c r="AA41" t="str" cm="1">
        <f t="array" ref="AA41">_xlfn.IFS(O41&lt;=$AF$2,"Low",AND(O41&gt;$AF$2,O41&lt;$AF$3),"Medium",O41&gt;=$AF$3,"High")</f>
        <v>Medium</v>
      </c>
      <c r="AB41" s="22">
        <f t="shared" si="10"/>
        <v>44927</v>
      </c>
      <c r="AC41">
        <v>2</v>
      </c>
    </row>
    <row r="42" spans="1:36" x14ac:dyDescent="0.35">
      <c r="A42" s="4" t="s">
        <v>81</v>
      </c>
      <c r="B42" s="5" t="str">
        <f>IF(COUNTIF($A$2:A42,A42)=1,"Original","Duplicate")</f>
        <v>Original</v>
      </c>
      <c r="C42" s="7">
        <v>45004</v>
      </c>
      <c r="D42" s="7">
        <v>45025</v>
      </c>
      <c r="E42">
        <f t="shared" si="0"/>
        <v>21</v>
      </c>
      <c r="F42" t="s">
        <v>649</v>
      </c>
      <c r="G42" t="s">
        <v>658</v>
      </c>
      <c r="H42" t="s">
        <v>693</v>
      </c>
      <c r="I42" t="s">
        <v>704</v>
      </c>
      <c r="J42" t="s">
        <v>707</v>
      </c>
      <c r="K42" t="s">
        <v>716</v>
      </c>
      <c r="L42" t="s">
        <v>733</v>
      </c>
      <c r="M42" t="s">
        <v>800</v>
      </c>
      <c r="N42" s="23">
        <v>1082.17</v>
      </c>
      <c r="O42" s="23">
        <v>1234.0999999999999</v>
      </c>
      <c r="P42" s="8">
        <v>0.189</v>
      </c>
      <c r="Q42">
        <v>16</v>
      </c>
      <c r="R42" s="23">
        <f t="shared" si="1"/>
        <v>16013.681599999998</v>
      </c>
      <c r="S42" s="23">
        <f t="shared" si="2"/>
        <v>17314.72</v>
      </c>
      <c r="T42" s="23">
        <f t="shared" si="3"/>
        <v>-1301.0384000000031</v>
      </c>
      <c r="U42" s="14">
        <f t="shared" si="4"/>
        <v>-8.124542703534228E-2</v>
      </c>
      <c r="V42" s="7" t="str">
        <f t="shared" si="5"/>
        <v>Mar-2023</v>
      </c>
      <c r="W42" s="22">
        <f t="shared" si="6"/>
        <v>44986</v>
      </c>
      <c r="X42" s="7" t="str">
        <f t="shared" si="7"/>
        <v>Q1-2023</v>
      </c>
      <c r="Y42" t="str">
        <f t="shared" si="8"/>
        <v>Europe → United Kingdom → Manchester</v>
      </c>
      <c r="Z42" t="str">
        <f t="shared" si="9"/>
        <v>Accessories</v>
      </c>
      <c r="AA42" t="str" cm="1">
        <f t="array" ref="AA42">_xlfn.IFS(O42&lt;=$AF$2,"Low",AND(O42&gt;$AF$2,O42&lt;$AF$3),"Medium",O42&gt;=$AF$3,"High")</f>
        <v>Medium</v>
      </c>
      <c r="AB42" s="22">
        <f t="shared" si="10"/>
        <v>44927</v>
      </c>
      <c r="AC42">
        <v>2</v>
      </c>
    </row>
    <row r="43" spans="1:36" x14ac:dyDescent="0.35">
      <c r="A43" s="4" t="s">
        <v>333</v>
      </c>
      <c r="B43" s="5" t="str">
        <f>IF(COUNTIF($A$2:A43,A43)=1,"Original","Duplicate")</f>
        <v>Original</v>
      </c>
      <c r="C43" s="7">
        <v>45008</v>
      </c>
      <c r="D43" s="7">
        <v>45031</v>
      </c>
      <c r="E43">
        <f t="shared" si="0"/>
        <v>23</v>
      </c>
      <c r="F43" t="s">
        <v>646</v>
      </c>
      <c r="G43" t="s">
        <v>650</v>
      </c>
      <c r="H43" t="s">
        <v>675</v>
      </c>
      <c r="I43" t="s">
        <v>705</v>
      </c>
      <c r="J43" t="s">
        <v>707</v>
      </c>
      <c r="K43" t="s">
        <v>712</v>
      </c>
      <c r="L43" t="s">
        <v>733</v>
      </c>
      <c r="M43" t="s">
        <v>1053</v>
      </c>
      <c r="N43" s="23">
        <v>875.36</v>
      </c>
      <c r="O43" s="23">
        <v>1178.6199999999999</v>
      </c>
      <c r="P43" s="8">
        <v>0.151</v>
      </c>
      <c r="Q43">
        <v>53</v>
      </c>
      <c r="R43" s="23">
        <f t="shared" si="1"/>
        <v>53034.364139999991</v>
      </c>
      <c r="S43" s="23">
        <f t="shared" si="2"/>
        <v>46394.080000000002</v>
      </c>
      <c r="T43" s="23">
        <f t="shared" si="3"/>
        <v>6640.2841399999888</v>
      </c>
      <c r="U43" s="14">
        <f t="shared" si="4"/>
        <v>0.12520719815685888</v>
      </c>
      <c r="V43" s="7" t="str">
        <f t="shared" si="5"/>
        <v>Mar-2023</v>
      </c>
      <c r="W43" s="22">
        <f t="shared" si="6"/>
        <v>44986</v>
      </c>
      <c r="X43" s="7" t="str">
        <f t="shared" si="7"/>
        <v>Q1-2023</v>
      </c>
      <c r="Y43" t="str">
        <f t="shared" si="8"/>
        <v>Africa → Kenya → Mombasa</v>
      </c>
      <c r="Z43" t="str">
        <f t="shared" si="9"/>
        <v>Accessories</v>
      </c>
      <c r="AA43" t="str" cm="1">
        <f t="array" ref="AA43">_xlfn.IFS(O43&lt;=$AF$2,"Low",AND(O43&gt;$AF$2,O43&lt;$AF$3),"Medium",O43&gt;=$AF$3,"High")</f>
        <v>Medium</v>
      </c>
      <c r="AB43" s="22">
        <f t="shared" si="10"/>
        <v>44927</v>
      </c>
      <c r="AC43">
        <v>2</v>
      </c>
    </row>
    <row r="44" spans="1:36" x14ac:dyDescent="0.35">
      <c r="A44" s="4" t="s">
        <v>178</v>
      </c>
      <c r="B44" s="5" t="str">
        <f>IF(COUNTIF($A$2:A44,A44)=1,"Original","Duplicate")</f>
        <v>Original</v>
      </c>
      <c r="C44" s="7">
        <v>45010</v>
      </c>
      <c r="D44" s="7">
        <v>45011</v>
      </c>
      <c r="E44">
        <f t="shared" si="0"/>
        <v>1</v>
      </c>
      <c r="F44" t="s">
        <v>647</v>
      </c>
      <c r="G44" t="s">
        <v>652</v>
      </c>
      <c r="H44" t="s">
        <v>666</v>
      </c>
      <c r="I44" t="s">
        <v>705</v>
      </c>
      <c r="J44" t="s">
        <v>710</v>
      </c>
      <c r="K44" t="s">
        <v>714</v>
      </c>
      <c r="L44" t="s">
        <v>732</v>
      </c>
      <c r="M44" t="s">
        <v>897</v>
      </c>
      <c r="N44" s="23">
        <v>135.12</v>
      </c>
      <c r="O44" s="23">
        <v>301.7</v>
      </c>
      <c r="P44" s="8">
        <v>0.14000000000000001</v>
      </c>
      <c r="Q44">
        <v>47</v>
      </c>
      <c r="R44" s="23">
        <f t="shared" si="1"/>
        <v>12194.714</v>
      </c>
      <c r="S44" s="23">
        <f t="shared" si="2"/>
        <v>6350.64</v>
      </c>
      <c r="T44" s="23">
        <f t="shared" si="3"/>
        <v>5844.0739999999996</v>
      </c>
      <c r="U44" s="14">
        <f t="shared" si="4"/>
        <v>0.47923009920527859</v>
      </c>
      <c r="V44" s="7" t="str">
        <f t="shared" si="5"/>
        <v>Mar-2023</v>
      </c>
      <c r="W44" s="22">
        <f t="shared" si="6"/>
        <v>44986</v>
      </c>
      <c r="X44" s="7" t="str">
        <f t="shared" si="7"/>
        <v>Q1-2023</v>
      </c>
      <c r="Y44" t="str">
        <f t="shared" si="8"/>
        <v>Asia → Japan → Osaka</v>
      </c>
      <c r="Z44" t="str">
        <f t="shared" si="9"/>
        <v>Monitors</v>
      </c>
      <c r="AA44" t="str" cm="1">
        <f t="array" ref="AA44">_xlfn.IFS(O44&lt;=$AF$2,"Low",AND(O44&gt;$AF$2,O44&lt;$AF$3),"Medium",O44&gt;=$AF$3,"High")</f>
        <v>Low</v>
      </c>
      <c r="AB44" s="22">
        <f t="shared" si="10"/>
        <v>44986</v>
      </c>
      <c r="AC44">
        <v>0</v>
      </c>
    </row>
    <row r="45" spans="1:36" x14ac:dyDescent="0.35">
      <c r="A45" s="4" t="s">
        <v>50</v>
      </c>
      <c r="B45" s="5" t="str">
        <f>IF(COUNTIF($A$2:A45,A45)=1,"Original","Duplicate")</f>
        <v>Original</v>
      </c>
      <c r="C45" s="7">
        <v>45012</v>
      </c>
      <c r="D45" s="7">
        <v>45038</v>
      </c>
      <c r="E45">
        <f t="shared" si="0"/>
        <v>26</v>
      </c>
      <c r="F45" t="s">
        <v>647</v>
      </c>
      <c r="G45" t="s">
        <v>654</v>
      </c>
      <c r="H45" t="s">
        <v>680</v>
      </c>
      <c r="I45" t="s">
        <v>703</v>
      </c>
      <c r="J45" t="s">
        <v>709</v>
      </c>
      <c r="K45" t="s">
        <v>713</v>
      </c>
      <c r="L45" t="s">
        <v>728</v>
      </c>
      <c r="M45" t="s">
        <v>769</v>
      </c>
      <c r="N45" s="23">
        <v>178.53</v>
      </c>
      <c r="O45" s="23">
        <v>199.37</v>
      </c>
      <c r="P45" s="8">
        <v>0.10100000000000001</v>
      </c>
      <c r="Q45">
        <v>37</v>
      </c>
      <c r="R45" s="23">
        <f t="shared" si="1"/>
        <v>6631.6443100000006</v>
      </c>
      <c r="S45" s="23">
        <f t="shared" si="2"/>
        <v>6605.61</v>
      </c>
      <c r="T45" s="23">
        <f t="shared" si="3"/>
        <v>26.034310000000914</v>
      </c>
      <c r="U45" s="14">
        <f t="shared" si="4"/>
        <v>3.9257699573457538E-3</v>
      </c>
      <c r="V45" s="7" t="str">
        <f t="shared" si="5"/>
        <v>Mar-2023</v>
      </c>
      <c r="W45" s="22">
        <f t="shared" si="6"/>
        <v>44986</v>
      </c>
      <c r="X45" s="7" t="str">
        <f t="shared" si="7"/>
        <v>Q1-2023</v>
      </c>
      <c r="Y45" t="str">
        <f t="shared" si="8"/>
        <v>Asia → India → Delhi</v>
      </c>
      <c r="Z45" t="str">
        <f t="shared" si="9"/>
        <v>Printers</v>
      </c>
      <c r="AA45" t="str" cm="1">
        <f t="array" ref="AA45">_xlfn.IFS(O45&lt;=$AF$2,"Low",AND(O45&gt;$AF$2,O45&lt;$AF$3),"Medium",O45&gt;=$AF$3,"High")</f>
        <v>Low</v>
      </c>
      <c r="AB45" s="22">
        <f t="shared" si="10"/>
        <v>44958</v>
      </c>
      <c r="AC45">
        <v>1</v>
      </c>
    </row>
    <row r="46" spans="1:36" x14ac:dyDescent="0.35">
      <c r="A46" s="4" t="s">
        <v>67</v>
      </c>
      <c r="B46" s="5" t="str">
        <f>IF(COUNTIF($A$2:A46,A46)=1,"Original","Duplicate")</f>
        <v>Original</v>
      </c>
      <c r="C46" s="7">
        <v>45016</v>
      </c>
      <c r="D46" s="7">
        <v>45021</v>
      </c>
      <c r="E46">
        <f t="shared" si="0"/>
        <v>5</v>
      </c>
      <c r="F46" t="s">
        <v>646</v>
      </c>
      <c r="G46" t="s">
        <v>650</v>
      </c>
      <c r="H46" t="s">
        <v>678</v>
      </c>
      <c r="I46" t="s">
        <v>702</v>
      </c>
      <c r="J46" t="s">
        <v>709</v>
      </c>
      <c r="K46" t="s">
        <v>717</v>
      </c>
      <c r="L46" t="s">
        <v>731</v>
      </c>
      <c r="M46" t="s">
        <v>786</v>
      </c>
      <c r="N46" s="23">
        <v>533.26</v>
      </c>
      <c r="O46" s="23">
        <v>385.72</v>
      </c>
      <c r="P46" s="8">
        <v>0</v>
      </c>
      <c r="Q46">
        <v>15</v>
      </c>
      <c r="R46" s="23">
        <f t="shared" si="1"/>
        <v>5785.8</v>
      </c>
      <c r="S46" s="23">
        <f t="shared" si="2"/>
        <v>7998.9</v>
      </c>
      <c r="T46" s="23">
        <f t="shared" si="3"/>
        <v>-2213.0999999999995</v>
      </c>
      <c r="U46" s="14">
        <f t="shared" si="4"/>
        <v>-0.38250544436378708</v>
      </c>
      <c r="V46" s="7" t="str">
        <f t="shared" si="5"/>
        <v>Mar-2023</v>
      </c>
      <c r="W46" s="22">
        <f t="shared" si="6"/>
        <v>44986</v>
      </c>
      <c r="X46" s="7" t="str">
        <f t="shared" si="7"/>
        <v>Q1-2023</v>
      </c>
      <c r="Y46" t="str">
        <f t="shared" si="8"/>
        <v>Africa → Kenya → Nakuru</v>
      </c>
      <c r="Z46" t="str">
        <f t="shared" si="9"/>
        <v>Laptops</v>
      </c>
      <c r="AA46" t="str" cm="1">
        <f t="array" ref="AA46">_xlfn.IFS(O46&lt;=$AF$2,"Low",AND(O46&gt;$AF$2,O46&lt;$AF$3),"Medium",O46&gt;=$AF$3,"High")</f>
        <v>Low</v>
      </c>
      <c r="AB46" s="22">
        <f t="shared" si="10"/>
        <v>44927</v>
      </c>
      <c r="AC46">
        <v>2</v>
      </c>
    </row>
    <row r="47" spans="1:36" x14ac:dyDescent="0.35">
      <c r="A47" s="4" t="s">
        <v>152</v>
      </c>
      <c r="B47" s="5" t="str">
        <f>IF(COUNTIF($A$2:A47,A47)=1,"Original","Duplicate")</f>
        <v>Original</v>
      </c>
      <c r="C47" s="7">
        <v>45016</v>
      </c>
      <c r="D47" s="7">
        <v>45028</v>
      </c>
      <c r="E47">
        <f t="shared" si="0"/>
        <v>12</v>
      </c>
      <c r="F47" t="s">
        <v>646</v>
      </c>
      <c r="G47" t="s">
        <v>650</v>
      </c>
      <c r="H47" t="s">
        <v>675</v>
      </c>
      <c r="I47" t="s">
        <v>705</v>
      </c>
      <c r="J47" t="s">
        <v>708</v>
      </c>
      <c r="K47" t="s">
        <v>712</v>
      </c>
      <c r="L47" t="s">
        <v>730</v>
      </c>
      <c r="M47" t="s">
        <v>871</v>
      </c>
      <c r="N47" s="23">
        <v>304.22000000000003</v>
      </c>
      <c r="O47" s="23">
        <v>393.31</v>
      </c>
      <c r="P47" s="8">
        <v>0.26500000000000001</v>
      </c>
      <c r="Q47">
        <v>15</v>
      </c>
      <c r="R47" s="23">
        <f t="shared" si="1"/>
        <v>4336.2427499999994</v>
      </c>
      <c r="S47" s="23">
        <f t="shared" si="2"/>
        <v>4563.3</v>
      </c>
      <c r="T47" s="23">
        <f t="shared" si="3"/>
        <v>-227.05725000000075</v>
      </c>
      <c r="U47" s="14">
        <f t="shared" si="4"/>
        <v>-5.2362670424759034E-2</v>
      </c>
      <c r="V47" s="7" t="str">
        <f t="shared" si="5"/>
        <v>Mar-2023</v>
      </c>
      <c r="W47" s="22">
        <f t="shared" si="6"/>
        <v>44986</v>
      </c>
      <c r="X47" s="7" t="str">
        <f t="shared" si="7"/>
        <v>Q1-2023</v>
      </c>
      <c r="Y47" t="str">
        <f t="shared" si="8"/>
        <v>Africa → Kenya → Mombasa</v>
      </c>
      <c r="Z47" t="str">
        <f t="shared" si="9"/>
        <v>Phones</v>
      </c>
      <c r="AA47" t="str" cm="1">
        <f t="array" ref="AA47">_xlfn.IFS(O47&lt;=$AF$2,"Low",AND(O47&gt;$AF$2,O47&lt;$AF$3),"Medium",O47&gt;=$AF$3,"High")</f>
        <v>Low</v>
      </c>
      <c r="AB47" s="22">
        <f t="shared" si="10"/>
        <v>44927</v>
      </c>
      <c r="AC47">
        <v>2</v>
      </c>
    </row>
    <row r="48" spans="1:36" x14ac:dyDescent="0.35">
      <c r="A48" s="4" t="s">
        <v>604</v>
      </c>
      <c r="B48" s="5" t="str">
        <f>IF(COUNTIF($A$2:A48,A48)=1,"Original","Duplicate")</f>
        <v>Original</v>
      </c>
      <c r="C48" s="7">
        <v>45019</v>
      </c>
      <c r="D48" s="7">
        <v>45032</v>
      </c>
      <c r="E48">
        <f t="shared" si="0"/>
        <v>13</v>
      </c>
      <c r="F48" t="s">
        <v>649</v>
      </c>
      <c r="G48" t="s">
        <v>657</v>
      </c>
      <c r="H48" t="s">
        <v>673</v>
      </c>
      <c r="I48" t="s">
        <v>703</v>
      </c>
      <c r="J48" t="s">
        <v>709</v>
      </c>
      <c r="K48" t="s">
        <v>724</v>
      </c>
      <c r="L48" t="s">
        <v>733</v>
      </c>
      <c r="M48" t="s">
        <v>1322</v>
      </c>
      <c r="N48" s="23">
        <v>790.54</v>
      </c>
      <c r="O48" s="23">
        <v>601.49</v>
      </c>
      <c r="P48" s="8">
        <v>0</v>
      </c>
      <c r="Q48">
        <v>15</v>
      </c>
      <c r="R48" s="23">
        <f t="shared" si="1"/>
        <v>9022.35</v>
      </c>
      <c r="S48" s="23">
        <f t="shared" si="2"/>
        <v>11858.099999999999</v>
      </c>
      <c r="T48" s="23">
        <f t="shared" si="3"/>
        <v>-2835.7499999999982</v>
      </c>
      <c r="U48" s="14">
        <f t="shared" si="4"/>
        <v>-0.31430281467688553</v>
      </c>
      <c r="V48" s="7" t="str">
        <f t="shared" si="5"/>
        <v>Apr-2023</v>
      </c>
      <c r="W48" s="22">
        <f t="shared" si="6"/>
        <v>45017</v>
      </c>
      <c r="X48" s="7" t="str">
        <f t="shared" si="7"/>
        <v>Q2-2023</v>
      </c>
      <c r="Y48" t="str">
        <f t="shared" si="8"/>
        <v>Europe → France → Marseille</v>
      </c>
      <c r="Z48" t="str">
        <f t="shared" si="9"/>
        <v>Accessories</v>
      </c>
      <c r="AA48" t="str" cm="1">
        <f t="array" ref="AA48">_xlfn.IFS(O48&lt;=$AF$2,"Low",AND(O48&gt;$AF$2,O48&lt;$AF$3),"Medium",O48&gt;=$AF$3,"High")</f>
        <v>Low</v>
      </c>
      <c r="AB48" s="22">
        <f t="shared" si="10"/>
        <v>44927</v>
      </c>
      <c r="AC48">
        <v>3</v>
      </c>
    </row>
    <row r="49" spans="1:29" x14ac:dyDescent="0.35">
      <c r="A49" s="4" t="s">
        <v>193</v>
      </c>
      <c r="B49" s="5" t="str">
        <f>IF(COUNTIF($A$2:A49,A49)=1,"Original","Duplicate")</f>
        <v>Original</v>
      </c>
      <c r="C49" s="7">
        <v>45021</v>
      </c>
      <c r="D49" s="7">
        <v>45032</v>
      </c>
      <c r="E49">
        <f t="shared" si="0"/>
        <v>11</v>
      </c>
      <c r="F49" t="s">
        <v>648</v>
      </c>
      <c r="G49" t="s">
        <v>653</v>
      </c>
      <c r="H49" t="s">
        <v>688</v>
      </c>
      <c r="I49" t="s">
        <v>703</v>
      </c>
      <c r="J49" t="s">
        <v>708</v>
      </c>
      <c r="K49" t="s">
        <v>719</v>
      </c>
      <c r="L49" t="s">
        <v>732</v>
      </c>
      <c r="M49" t="s">
        <v>912</v>
      </c>
      <c r="N49" s="23">
        <v>213.1</v>
      </c>
      <c r="O49" s="23">
        <v>501.31</v>
      </c>
      <c r="P49" s="8">
        <v>5.6000000000000001E-2</v>
      </c>
      <c r="Q49">
        <v>15</v>
      </c>
      <c r="R49" s="23">
        <f t="shared" si="1"/>
        <v>7098.5495999999994</v>
      </c>
      <c r="S49" s="23">
        <f t="shared" si="2"/>
        <v>3196.5</v>
      </c>
      <c r="T49" s="23">
        <f t="shared" si="3"/>
        <v>3902.0495999999994</v>
      </c>
      <c r="U49" s="14">
        <f t="shared" si="4"/>
        <v>0.54969674368409005</v>
      </c>
      <c r="V49" s="7" t="str">
        <f t="shared" si="5"/>
        <v>Apr-2023</v>
      </c>
      <c r="W49" s="22">
        <f t="shared" si="6"/>
        <v>45017</v>
      </c>
      <c r="X49" s="7" t="str">
        <f t="shared" si="7"/>
        <v>Q2-2023</v>
      </c>
      <c r="Y49" t="str">
        <f t="shared" si="8"/>
        <v>Americas → Canada → Vancouver</v>
      </c>
      <c r="Z49" t="str">
        <f t="shared" si="9"/>
        <v>Monitors</v>
      </c>
      <c r="AA49" t="str" cm="1">
        <f t="array" ref="AA49">_xlfn.IFS(O49&lt;=$AF$2,"Low",AND(O49&gt;$AF$2,O49&lt;$AF$3),"Medium",O49&gt;=$AF$3,"High")</f>
        <v>Low</v>
      </c>
      <c r="AB49" s="22">
        <f t="shared" si="10"/>
        <v>44927</v>
      </c>
      <c r="AC49">
        <v>3</v>
      </c>
    </row>
    <row r="50" spans="1:29" x14ac:dyDescent="0.35">
      <c r="A50" s="4" t="s">
        <v>110</v>
      </c>
      <c r="B50" s="5" t="str">
        <f>IF(COUNTIF($A$2:A50,A50)=1,"Original","Duplicate")</f>
        <v>Original</v>
      </c>
      <c r="C50" s="7">
        <v>45022</v>
      </c>
      <c r="D50" s="7">
        <v>45043</v>
      </c>
      <c r="E50">
        <f t="shared" si="0"/>
        <v>21</v>
      </c>
      <c r="F50" t="s">
        <v>649</v>
      </c>
      <c r="G50" t="s">
        <v>658</v>
      </c>
      <c r="H50" t="s">
        <v>693</v>
      </c>
      <c r="I50" t="s">
        <v>706</v>
      </c>
      <c r="J50" t="s">
        <v>710</v>
      </c>
      <c r="K50" t="s">
        <v>714</v>
      </c>
      <c r="L50" t="s">
        <v>728</v>
      </c>
      <c r="M50" t="s">
        <v>829</v>
      </c>
      <c r="N50" s="23">
        <v>1084.79</v>
      </c>
      <c r="O50" s="23">
        <v>2484.9899999999998</v>
      </c>
      <c r="P50" s="8">
        <v>3.4000000000000002E-2</v>
      </c>
      <c r="Q50">
        <v>18</v>
      </c>
      <c r="R50" s="23">
        <f t="shared" si="1"/>
        <v>43209.006119999991</v>
      </c>
      <c r="S50" s="23">
        <f t="shared" si="2"/>
        <v>19526.22</v>
      </c>
      <c r="T50" s="23">
        <f t="shared" si="3"/>
        <v>23682.78611999999</v>
      </c>
      <c r="U50" s="14">
        <f t="shared" si="4"/>
        <v>0.54809837685755114</v>
      </c>
      <c r="V50" s="7" t="str">
        <f t="shared" si="5"/>
        <v>Apr-2023</v>
      </c>
      <c r="W50" s="22">
        <f t="shared" si="6"/>
        <v>45017</v>
      </c>
      <c r="X50" s="7" t="str">
        <f t="shared" si="7"/>
        <v>Q2-2023</v>
      </c>
      <c r="Y50" t="str">
        <f t="shared" si="8"/>
        <v>Europe → United Kingdom → Manchester</v>
      </c>
      <c r="Z50" t="str">
        <f t="shared" si="9"/>
        <v>Printers</v>
      </c>
      <c r="AA50" t="str" cm="1">
        <f t="array" ref="AA50">_xlfn.IFS(O50&lt;=$AF$2,"Low",AND(O50&gt;$AF$2,O50&lt;$AF$3),"Medium",O50&gt;=$AF$3,"High")</f>
        <v>High</v>
      </c>
      <c r="AB50" s="22">
        <f t="shared" si="10"/>
        <v>44927</v>
      </c>
      <c r="AC50">
        <v>3</v>
      </c>
    </row>
    <row r="51" spans="1:29" x14ac:dyDescent="0.35">
      <c r="A51" s="4" t="s">
        <v>386</v>
      </c>
      <c r="B51" s="5" t="str">
        <f>IF(COUNTIF($A$2:A51,A51)=1,"Original","Duplicate")</f>
        <v>Original</v>
      </c>
      <c r="C51" s="7">
        <v>45022</v>
      </c>
      <c r="D51" s="7">
        <v>45024</v>
      </c>
      <c r="E51">
        <f t="shared" si="0"/>
        <v>2</v>
      </c>
      <c r="F51" t="s">
        <v>646</v>
      </c>
      <c r="G51" t="s">
        <v>651</v>
      </c>
      <c r="H51" t="s">
        <v>669</v>
      </c>
      <c r="I51" t="s">
        <v>705</v>
      </c>
      <c r="J51" t="s">
        <v>709</v>
      </c>
      <c r="K51" t="s">
        <v>723</v>
      </c>
      <c r="L51" t="s">
        <v>732</v>
      </c>
      <c r="M51" t="s">
        <v>1106</v>
      </c>
      <c r="N51" s="23">
        <v>720.35</v>
      </c>
      <c r="O51" s="23">
        <v>1571.66</v>
      </c>
      <c r="P51" s="8">
        <v>0.107</v>
      </c>
      <c r="Q51">
        <v>23</v>
      </c>
      <c r="R51" s="23">
        <f t="shared" si="1"/>
        <v>32280.32474</v>
      </c>
      <c r="S51" s="23">
        <f t="shared" si="2"/>
        <v>16568.05</v>
      </c>
      <c r="T51" s="23">
        <f t="shared" si="3"/>
        <v>15712.274740000001</v>
      </c>
      <c r="U51" s="14">
        <f t="shared" si="4"/>
        <v>0.4867446305622265</v>
      </c>
      <c r="V51" s="7" t="str">
        <f t="shared" si="5"/>
        <v>Apr-2023</v>
      </c>
      <c r="W51" s="22">
        <f t="shared" si="6"/>
        <v>45017</v>
      </c>
      <c r="X51" s="7" t="str">
        <f t="shared" si="7"/>
        <v>Q2-2023</v>
      </c>
      <c r="Y51" t="str">
        <f t="shared" si="8"/>
        <v>Africa → Nigeria → Abuja</v>
      </c>
      <c r="Z51" t="str">
        <f t="shared" si="9"/>
        <v>Monitors</v>
      </c>
      <c r="AA51" t="str" cm="1">
        <f t="array" ref="AA51">_xlfn.IFS(O51&lt;=$AF$2,"Low",AND(O51&gt;$AF$2,O51&lt;$AF$3),"Medium",O51&gt;=$AF$3,"High")</f>
        <v>Medium</v>
      </c>
      <c r="AB51" s="22">
        <f t="shared" si="10"/>
        <v>44927</v>
      </c>
      <c r="AC51">
        <v>3</v>
      </c>
    </row>
    <row r="52" spans="1:29" x14ac:dyDescent="0.35">
      <c r="A52" s="4" t="s">
        <v>618</v>
      </c>
      <c r="B52" s="5" t="str">
        <f>IF(COUNTIF($A$2:A52,A52)=1,"Original","Duplicate")</f>
        <v>Original</v>
      </c>
      <c r="C52" s="7">
        <v>45026</v>
      </c>
      <c r="D52" s="7">
        <v>45041</v>
      </c>
      <c r="E52">
        <f t="shared" si="0"/>
        <v>15</v>
      </c>
      <c r="F52" t="s">
        <v>649</v>
      </c>
      <c r="G52" t="s">
        <v>658</v>
      </c>
      <c r="H52" t="s">
        <v>683</v>
      </c>
      <c r="I52" t="s">
        <v>705</v>
      </c>
      <c r="J52" t="s">
        <v>707</v>
      </c>
      <c r="K52" t="s">
        <v>726</v>
      </c>
      <c r="L52" t="s">
        <v>728</v>
      </c>
      <c r="M52" t="s">
        <v>1336</v>
      </c>
      <c r="N52" s="23">
        <v>405.66</v>
      </c>
      <c r="O52" s="23">
        <v>962.51</v>
      </c>
      <c r="P52" s="8">
        <v>0.19</v>
      </c>
      <c r="Q52">
        <v>7</v>
      </c>
      <c r="R52" s="23">
        <f t="shared" si="1"/>
        <v>5457.4317000000001</v>
      </c>
      <c r="S52" s="23">
        <f t="shared" si="2"/>
        <v>2839.6200000000003</v>
      </c>
      <c r="T52" s="23">
        <f t="shared" si="3"/>
        <v>2617.8116999999997</v>
      </c>
      <c r="U52" s="14">
        <f t="shared" si="4"/>
        <v>0.47967832561239376</v>
      </c>
      <c r="V52" s="7" t="str">
        <f t="shared" si="5"/>
        <v>Apr-2023</v>
      </c>
      <c r="W52" s="22">
        <f t="shared" si="6"/>
        <v>45017</v>
      </c>
      <c r="X52" s="7" t="str">
        <f t="shared" si="7"/>
        <v>Q2-2023</v>
      </c>
      <c r="Y52" t="str">
        <f t="shared" si="8"/>
        <v>Europe → United Kingdom → London</v>
      </c>
      <c r="Z52" t="str">
        <f t="shared" si="9"/>
        <v>Printers</v>
      </c>
      <c r="AA52" t="str" cm="1">
        <f t="array" ref="AA52">_xlfn.IFS(O52&lt;=$AF$2,"Low",AND(O52&gt;$AF$2,O52&lt;$AF$3),"Medium",O52&gt;=$AF$3,"High")</f>
        <v>Medium</v>
      </c>
      <c r="AB52" s="22">
        <f t="shared" si="10"/>
        <v>44927</v>
      </c>
      <c r="AC52">
        <v>3</v>
      </c>
    </row>
    <row r="53" spans="1:29" x14ac:dyDescent="0.35">
      <c r="A53" s="4" t="s">
        <v>150</v>
      </c>
      <c r="B53" s="5" t="str">
        <f>IF(COUNTIF($A$2:A53,A53)=1,"Original","Duplicate")</f>
        <v>Original</v>
      </c>
      <c r="C53" s="7">
        <v>45028</v>
      </c>
      <c r="D53" s="7">
        <v>45033</v>
      </c>
      <c r="E53">
        <f t="shared" si="0"/>
        <v>5</v>
      </c>
      <c r="F53" t="s">
        <v>649</v>
      </c>
      <c r="G53" t="s">
        <v>657</v>
      </c>
      <c r="H53" t="s">
        <v>679</v>
      </c>
      <c r="I53" t="s">
        <v>706</v>
      </c>
      <c r="J53" t="s">
        <v>711</v>
      </c>
      <c r="K53" t="s">
        <v>718</v>
      </c>
      <c r="L53" t="s">
        <v>732</v>
      </c>
      <c r="M53" t="s">
        <v>869</v>
      </c>
      <c r="N53" s="23">
        <v>1087.81</v>
      </c>
      <c r="O53" s="23">
        <v>2323.87</v>
      </c>
      <c r="P53" s="8">
        <v>9.4E-2</v>
      </c>
      <c r="Q53">
        <v>13</v>
      </c>
      <c r="R53" s="23">
        <f t="shared" si="1"/>
        <v>27370.540859999997</v>
      </c>
      <c r="S53" s="23">
        <f t="shared" si="2"/>
        <v>14141.529999999999</v>
      </c>
      <c r="T53" s="23">
        <f t="shared" si="3"/>
        <v>13229.010859999999</v>
      </c>
      <c r="U53" s="14">
        <f t="shared" si="4"/>
        <v>0.48333026839572651</v>
      </c>
      <c r="V53" s="7" t="str">
        <f t="shared" si="5"/>
        <v>Apr-2023</v>
      </c>
      <c r="W53" s="22">
        <f t="shared" si="6"/>
        <v>45017</v>
      </c>
      <c r="X53" s="7" t="str">
        <f t="shared" si="7"/>
        <v>Q2-2023</v>
      </c>
      <c r="Y53" t="str">
        <f t="shared" si="8"/>
        <v>Europe → France → Lyon</v>
      </c>
      <c r="Z53" t="str">
        <f t="shared" si="9"/>
        <v>Monitors</v>
      </c>
      <c r="AA53" t="str" cm="1">
        <f t="array" ref="AA53">_xlfn.IFS(O53&lt;=$AF$2,"Low",AND(O53&gt;$AF$2,O53&lt;$AF$3),"Medium",O53&gt;=$AF$3,"High")</f>
        <v>High</v>
      </c>
      <c r="AB53" s="22">
        <f t="shared" si="10"/>
        <v>44927</v>
      </c>
      <c r="AC53">
        <v>3</v>
      </c>
    </row>
    <row r="54" spans="1:29" x14ac:dyDescent="0.35">
      <c r="A54" s="4" t="s">
        <v>355</v>
      </c>
      <c r="B54" s="5" t="str">
        <f>IF(COUNTIF($A$2:A54,A54)=1,"Original","Duplicate")</f>
        <v>Original</v>
      </c>
      <c r="C54" s="7">
        <v>45029</v>
      </c>
      <c r="D54" s="7">
        <v>45036</v>
      </c>
      <c r="E54">
        <f t="shared" si="0"/>
        <v>7</v>
      </c>
      <c r="F54" t="s">
        <v>648</v>
      </c>
      <c r="G54" t="s">
        <v>660</v>
      </c>
      <c r="H54" t="s">
        <v>686</v>
      </c>
      <c r="I54" t="s">
        <v>702</v>
      </c>
      <c r="J54" t="s">
        <v>709</v>
      </c>
      <c r="K54" t="s">
        <v>715</v>
      </c>
      <c r="L54" t="s">
        <v>729</v>
      </c>
      <c r="M54" t="s">
        <v>1075</v>
      </c>
      <c r="N54" s="23">
        <v>32.1</v>
      </c>
      <c r="O54" s="23">
        <v>70.599999999999994</v>
      </c>
      <c r="P54" s="8">
        <v>0.28199999999999997</v>
      </c>
      <c r="Q54">
        <v>22</v>
      </c>
      <c r="R54" s="23">
        <f t="shared" si="1"/>
        <v>1115.1975999999997</v>
      </c>
      <c r="S54" s="23">
        <f t="shared" si="2"/>
        <v>706.2</v>
      </c>
      <c r="T54" s="23">
        <f t="shared" si="3"/>
        <v>408.99759999999969</v>
      </c>
      <c r="U54" s="14">
        <f t="shared" si="4"/>
        <v>0.36674899587301818</v>
      </c>
      <c r="V54" s="7" t="str">
        <f t="shared" si="5"/>
        <v>Apr-2023</v>
      </c>
      <c r="W54" s="22">
        <f t="shared" si="6"/>
        <v>45017</v>
      </c>
      <c r="X54" s="7" t="str">
        <f t="shared" si="7"/>
        <v>Q2-2023</v>
      </c>
      <c r="Y54" t="str">
        <f t="shared" si="8"/>
        <v>Americas → USA → San Francisco</v>
      </c>
      <c r="Z54" t="str">
        <f t="shared" si="9"/>
        <v>Networking</v>
      </c>
      <c r="AA54" t="str" cm="1">
        <f t="array" ref="AA54">_xlfn.IFS(O54&lt;=$AF$2,"Low",AND(O54&gt;$AF$2,O54&lt;$AF$3),"Medium",O54&gt;=$AF$3,"High")</f>
        <v>Low</v>
      </c>
      <c r="AB54" s="22">
        <f t="shared" si="10"/>
        <v>44927</v>
      </c>
      <c r="AC54">
        <v>3</v>
      </c>
    </row>
    <row r="55" spans="1:29" x14ac:dyDescent="0.35">
      <c r="A55" s="4" t="s">
        <v>522</v>
      </c>
      <c r="B55" s="5" t="str">
        <f>IF(COUNTIF($A$2:A55,A55)=1,"Original","Duplicate")</f>
        <v>Original</v>
      </c>
      <c r="C55" s="7">
        <v>45029</v>
      </c>
      <c r="D55" s="7">
        <v>45036</v>
      </c>
      <c r="E55">
        <f t="shared" si="0"/>
        <v>7</v>
      </c>
      <c r="F55" t="s">
        <v>649</v>
      </c>
      <c r="G55" t="s">
        <v>657</v>
      </c>
      <c r="H55" t="s">
        <v>679</v>
      </c>
      <c r="I55" t="s">
        <v>705</v>
      </c>
      <c r="J55" t="s">
        <v>708</v>
      </c>
      <c r="K55" t="s">
        <v>720</v>
      </c>
      <c r="L55" t="s">
        <v>731</v>
      </c>
      <c r="M55" t="s">
        <v>1241</v>
      </c>
      <c r="N55" s="23">
        <v>227.02</v>
      </c>
      <c r="O55" s="23">
        <v>434.72</v>
      </c>
      <c r="P55" s="8">
        <v>9.8000000000000004E-2</v>
      </c>
      <c r="Q55">
        <v>10</v>
      </c>
      <c r="R55" s="23">
        <f t="shared" si="1"/>
        <v>3921.1744000000008</v>
      </c>
      <c r="S55" s="23">
        <f t="shared" si="2"/>
        <v>2270.2000000000003</v>
      </c>
      <c r="T55" s="23">
        <f t="shared" si="3"/>
        <v>1650.9744000000005</v>
      </c>
      <c r="U55" s="14">
        <f t="shared" si="4"/>
        <v>0.42104079838938052</v>
      </c>
      <c r="V55" s="7" t="str">
        <f t="shared" si="5"/>
        <v>Apr-2023</v>
      </c>
      <c r="W55" s="22">
        <f t="shared" si="6"/>
        <v>45017</v>
      </c>
      <c r="X55" s="7" t="str">
        <f t="shared" si="7"/>
        <v>Q2-2023</v>
      </c>
      <c r="Y55" t="str">
        <f t="shared" si="8"/>
        <v>Europe → France → Lyon</v>
      </c>
      <c r="Z55" t="str">
        <f t="shared" si="9"/>
        <v>Laptops</v>
      </c>
      <c r="AA55" t="str" cm="1">
        <f t="array" ref="AA55">_xlfn.IFS(O55&lt;=$AF$2,"Low",AND(O55&gt;$AF$2,O55&lt;$AF$3),"Medium",O55&gt;=$AF$3,"High")</f>
        <v>Low</v>
      </c>
      <c r="AB55" s="22">
        <f t="shared" si="10"/>
        <v>44927</v>
      </c>
      <c r="AC55">
        <v>3</v>
      </c>
    </row>
    <row r="56" spans="1:29" x14ac:dyDescent="0.35">
      <c r="A56" s="4" t="s">
        <v>577</v>
      </c>
      <c r="B56" s="5" t="str">
        <f>IF(COUNTIF($A$2:A56,A56)=1,"Original","Duplicate")</f>
        <v>Original</v>
      </c>
      <c r="C56" s="7">
        <v>45029</v>
      </c>
      <c r="D56" s="7">
        <v>45048</v>
      </c>
      <c r="E56">
        <f t="shared" si="0"/>
        <v>19</v>
      </c>
      <c r="F56" t="s">
        <v>648</v>
      </c>
      <c r="G56" t="s">
        <v>653</v>
      </c>
      <c r="H56" t="s">
        <v>681</v>
      </c>
      <c r="I56" t="s">
        <v>704</v>
      </c>
      <c r="J56" t="s">
        <v>710</v>
      </c>
      <c r="K56" t="s">
        <v>718</v>
      </c>
      <c r="L56" t="s">
        <v>732</v>
      </c>
      <c r="M56" t="s">
        <v>1295</v>
      </c>
      <c r="N56" s="23">
        <v>671.05</v>
      </c>
      <c r="O56" s="23">
        <v>1645.48</v>
      </c>
      <c r="P56" s="8">
        <v>0.13700000000000001</v>
      </c>
      <c r="Q56">
        <v>6</v>
      </c>
      <c r="R56" s="23">
        <f t="shared" si="1"/>
        <v>8520.2954399999999</v>
      </c>
      <c r="S56" s="23">
        <f t="shared" si="2"/>
        <v>4026.2999999999997</v>
      </c>
      <c r="T56" s="23">
        <f t="shared" si="3"/>
        <v>4493.9954400000006</v>
      </c>
      <c r="U56" s="14">
        <f t="shared" si="4"/>
        <v>0.52744596377517172</v>
      </c>
      <c r="V56" s="7" t="str">
        <f t="shared" si="5"/>
        <v>Apr-2023</v>
      </c>
      <c r="W56" s="22">
        <f t="shared" si="6"/>
        <v>45017</v>
      </c>
      <c r="X56" s="7" t="str">
        <f t="shared" si="7"/>
        <v>Q2-2023</v>
      </c>
      <c r="Y56" t="str">
        <f t="shared" si="8"/>
        <v>Americas → Canada → Montreal</v>
      </c>
      <c r="Z56" t="str">
        <f t="shared" si="9"/>
        <v>Monitors</v>
      </c>
      <c r="AA56" t="str" cm="1">
        <f t="array" ref="AA56">_xlfn.IFS(O56&lt;=$AF$2,"Low",AND(O56&gt;$AF$2,O56&lt;$AF$3),"Medium",O56&gt;=$AF$3,"High")</f>
        <v>High</v>
      </c>
      <c r="AB56" s="22">
        <f t="shared" si="10"/>
        <v>44927</v>
      </c>
      <c r="AC56">
        <v>3</v>
      </c>
    </row>
    <row r="57" spans="1:29" x14ac:dyDescent="0.35">
      <c r="A57" s="4" t="s">
        <v>43</v>
      </c>
      <c r="B57" s="5" t="str">
        <f>IF(COUNTIF($A$2:A57,A57)=1,"Original","Duplicate")</f>
        <v>Original</v>
      </c>
      <c r="C57" s="7">
        <v>45030</v>
      </c>
      <c r="D57" s="7">
        <v>45060</v>
      </c>
      <c r="E57">
        <f t="shared" si="0"/>
        <v>30</v>
      </c>
      <c r="F57" t="s">
        <v>646</v>
      </c>
      <c r="G57" t="s">
        <v>650</v>
      </c>
      <c r="H57" t="s">
        <v>678</v>
      </c>
      <c r="I57" t="s">
        <v>704</v>
      </c>
      <c r="J57" t="s">
        <v>709</v>
      </c>
      <c r="K57" t="s">
        <v>724</v>
      </c>
      <c r="L57" t="s">
        <v>730</v>
      </c>
      <c r="M57" t="s">
        <v>762</v>
      </c>
      <c r="N57" s="23">
        <v>209.25</v>
      </c>
      <c r="O57" s="23">
        <v>434.8</v>
      </c>
      <c r="P57" s="8">
        <v>0</v>
      </c>
      <c r="Q57">
        <v>9</v>
      </c>
      <c r="R57" s="23">
        <f t="shared" si="1"/>
        <v>3913.2000000000003</v>
      </c>
      <c r="S57" s="23">
        <f t="shared" si="2"/>
        <v>1883.25</v>
      </c>
      <c r="T57" s="23">
        <f t="shared" si="3"/>
        <v>2029.9500000000003</v>
      </c>
      <c r="U57" s="14">
        <f t="shared" si="4"/>
        <v>0.51874425022999082</v>
      </c>
      <c r="V57" s="7" t="str">
        <f t="shared" si="5"/>
        <v>Apr-2023</v>
      </c>
      <c r="W57" s="22">
        <f t="shared" si="6"/>
        <v>45017</v>
      </c>
      <c r="X57" s="7" t="str">
        <f t="shared" si="7"/>
        <v>Q2-2023</v>
      </c>
      <c r="Y57" t="str">
        <f t="shared" si="8"/>
        <v>Africa → Kenya → Nakuru</v>
      </c>
      <c r="Z57" t="str">
        <f t="shared" si="9"/>
        <v>Phones</v>
      </c>
      <c r="AA57" t="str" cm="1">
        <f t="array" ref="AA57">_xlfn.IFS(O57&lt;=$AF$2,"Low",AND(O57&gt;$AF$2,O57&lt;$AF$3),"Medium",O57&gt;=$AF$3,"High")</f>
        <v>Low</v>
      </c>
      <c r="AB57" s="22">
        <f t="shared" si="10"/>
        <v>44927</v>
      </c>
      <c r="AC57">
        <v>3</v>
      </c>
    </row>
    <row r="58" spans="1:29" x14ac:dyDescent="0.35">
      <c r="A58" s="4" t="s">
        <v>213</v>
      </c>
      <c r="B58" s="5" t="str">
        <f>IF(COUNTIF($A$2:A58,A58)=1,"Original","Duplicate")</f>
        <v>Original</v>
      </c>
      <c r="C58" s="7">
        <v>45030</v>
      </c>
      <c r="D58" s="7">
        <v>45059</v>
      </c>
      <c r="E58">
        <f t="shared" si="0"/>
        <v>29</v>
      </c>
      <c r="F58" t="s">
        <v>649</v>
      </c>
      <c r="G58" t="s">
        <v>656</v>
      </c>
      <c r="H58" t="s">
        <v>698</v>
      </c>
      <c r="I58" t="s">
        <v>704</v>
      </c>
      <c r="J58" t="s">
        <v>711</v>
      </c>
      <c r="K58" t="s">
        <v>713</v>
      </c>
      <c r="L58" t="s">
        <v>728</v>
      </c>
      <c r="M58" t="s">
        <v>933</v>
      </c>
      <c r="N58" s="23">
        <v>1320.33</v>
      </c>
      <c r="O58" s="23">
        <v>2645.23</v>
      </c>
      <c r="P58" s="8">
        <v>0.155</v>
      </c>
      <c r="Q58">
        <v>25</v>
      </c>
      <c r="R58" s="23">
        <f t="shared" si="1"/>
        <v>55880.483749999999</v>
      </c>
      <c r="S58" s="23">
        <f t="shared" si="2"/>
        <v>33008.25</v>
      </c>
      <c r="T58" s="23">
        <f t="shared" si="3"/>
        <v>22872.233749999999</v>
      </c>
      <c r="U58" s="14">
        <f t="shared" si="4"/>
        <v>0.40930629470436536</v>
      </c>
      <c r="V58" s="7" t="str">
        <f t="shared" si="5"/>
        <v>Apr-2023</v>
      </c>
      <c r="W58" s="22">
        <f t="shared" si="6"/>
        <v>45017</v>
      </c>
      <c r="X58" s="7" t="str">
        <f t="shared" si="7"/>
        <v>Q2-2023</v>
      </c>
      <c r="Y58" t="str">
        <f t="shared" si="8"/>
        <v>Europe → Germany → Frankfurt</v>
      </c>
      <c r="Z58" t="str">
        <f t="shared" si="9"/>
        <v>Printers</v>
      </c>
      <c r="AA58" t="str" cm="1">
        <f t="array" ref="AA58">_xlfn.IFS(O58&lt;=$AF$2,"Low",AND(O58&gt;$AF$2,O58&lt;$AF$3),"Medium",O58&gt;=$AF$3,"High")</f>
        <v>High</v>
      </c>
      <c r="AB58" s="22">
        <f t="shared" si="10"/>
        <v>44927</v>
      </c>
      <c r="AC58">
        <v>3</v>
      </c>
    </row>
    <row r="59" spans="1:29" x14ac:dyDescent="0.35">
      <c r="A59" s="4" t="s">
        <v>493</v>
      </c>
      <c r="B59" s="5" t="str">
        <f>IF(COUNTIF($A$2:A59,A59)=1,"Original","Duplicate")</f>
        <v>Original</v>
      </c>
      <c r="C59" s="7">
        <v>45032</v>
      </c>
      <c r="D59" s="7">
        <v>45035</v>
      </c>
      <c r="E59">
        <f t="shared" si="0"/>
        <v>3</v>
      </c>
      <c r="F59" t="s">
        <v>649</v>
      </c>
      <c r="G59" t="s">
        <v>656</v>
      </c>
      <c r="H59" t="s">
        <v>684</v>
      </c>
      <c r="I59" t="s">
        <v>701</v>
      </c>
      <c r="J59" t="s">
        <v>711</v>
      </c>
      <c r="K59" t="s">
        <v>717</v>
      </c>
      <c r="L59" t="s">
        <v>733</v>
      </c>
      <c r="M59" t="s">
        <v>1212</v>
      </c>
      <c r="N59" s="23">
        <v>553.61</v>
      </c>
      <c r="O59" s="23">
        <v>699.47</v>
      </c>
      <c r="P59" s="8">
        <v>0.02</v>
      </c>
      <c r="Q59">
        <v>33</v>
      </c>
      <c r="R59" s="23">
        <f t="shared" si="1"/>
        <v>22620.859800000002</v>
      </c>
      <c r="S59" s="23">
        <f t="shared" si="2"/>
        <v>18269.13</v>
      </c>
      <c r="T59" s="23">
        <f t="shared" si="3"/>
        <v>4351.729800000001</v>
      </c>
      <c r="U59" s="14">
        <f t="shared" si="4"/>
        <v>0.19237685209472014</v>
      </c>
      <c r="V59" s="7" t="str">
        <f t="shared" si="5"/>
        <v>Apr-2023</v>
      </c>
      <c r="W59" s="22">
        <f t="shared" si="6"/>
        <v>45017</v>
      </c>
      <c r="X59" s="7" t="str">
        <f t="shared" si="7"/>
        <v>Q2-2023</v>
      </c>
      <c r="Y59" t="str">
        <f t="shared" si="8"/>
        <v>Europe → Germany → Munich</v>
      </c>
      <c r="Z59" t="str">
        <f t="shared" si="9"/>
        <v>Accessories</v>
      </c>
      <c r="AA59" t="str" cm="1">
        <f t="array" ref="AA59">_xlfn.IFS(O59&lt;=$AF$2,"Low",AND(O59&gt;$AF$2,O59&lt;$AF$3),"Medium",O59&gt;=$AF$3,"High")</f>
        <v>Low</v>
      </c>
      <c r="AB59" s="22">
        <f t="shared" si="10"/>
        <v>44927</v>
      </c>
      <c r="AC59">
        <v>3</v>
      </c>
    </row>
    <row r="60" spans="1:29" x14ac:dyDescent="0.35">
      <c r="A60" s="4" t="s">
        <v>624</v>
      </c>
      <c r="B60" s="5" t="str">
        <f>IF(COUNTIF($A$2:A60,A60)=1,"Original","Duplicate")</f>
        <v>Original</v>
      </c>
      <c r="C60" s="7">
        <v>45032</v>
      </c>
      <c r="D60" s="7">
        <v>45039</v>
      </c>
      <c r="E60">
        <f t="shared" si="0"/>
        <v>7</v>
      </c>
      <c r="F60" t="s">
        <v>648</v>
      </c>
      <c r="G60" t="s">
        <v>660</v>
      </c>
      <c r="H60" t="s">
        <v>697</v>
      </c>
      <c r="I60" t="s">
        <v>701</v>
      </c>
      <c r="J60" t="s">
        <v>710</v>
      </c>
      <c r="K60" t="s">
        <v>719</v>
      </c>
      <c r="L60" t="s">
        <v>728</v>
      </c>
      <c r="M60" t="s">
        <v>1342</v>
      </c>
      <c r="N60" s="23">
        <v>1099.1500000000001</v>
      </c>
      <c r="O60" s="23">
        <v>1431.37</v>
      </c>
      <c r="P60" s="8">
        <v>0.104</v>
      </c>
      <c r="Q60">
        <v>8</v>
      </c>
      <c r="R60" s="23">
        <f t="shared" si="1"/>
        <v>10260.060159999999</v>
      </c>
      <c r="S60" s="23">
        <f t="shared" si="2"/>
        <v>8793.2000000000007</v>
      </c>
      <c r="T60" s="23">
        <f t="shared" si="3"/>
        <v>1466.8601599999984</v>
      </c>
      <c r="U60" s="14">
        <f t="shared" si="4"/>
        <v>0.14296798821109433</v>
      </c>
      <c r="V60" s="7" t="str">
        <f t="shared" si="5"/>
        <v>Apr-2023</v>
      </c>
      <c r="W60" s="22">
        <f t="shared" si="6"/>
        <v>45017</v>
      </c>
      <c r="X60" s="7" t="str">
        <f t="shared" si="7"/>
        <v>Q2-2023</v>
      </c>
      <c r="Y60" t="str">
        <f t="shared" si="8"/>
        <v>Americas → USA → Austin</v>
      </c>
      <c r="Z60" t="str">
        <f t="shared" si="9"/>
        <v>Printers</v>
      </c>
      <c r="AA60" t="str" cm="1">
        <f t="array" ref="AA60">_xlfn.IFS(O60&lt;=$AF$2,"Low",AND(O60&gt;$AF$2,O60&lt;$AF$3),"Medium",O60&gt;=$AF$3,"High")</f>
        <v>Medium</v>
      </c>
      <c r="AB60" s="22">
        <f t="shared" si="10"/>
        <v>44927</v>
      </c>
      <c r="AC60">
        <v>3</v>
      </c>
    </row>
    <row r="61" spans="1:29" x14ac:dyDescent="0.35">
      <c r="A61" s="4" t="s">
        <v>181</v>
      </c>
      <c r="B61" s="5" t="str">
        <f>IF(COUNTIF($A$2:A61,A61)=1,"Original","Duplicate")</f>
        <v>Original</v>
      </c>
      <c r="C61" s="7">
        <v>45034</v>
      </c>
      <c r="D61" s="7">
        <v>45064</v>
      </c>
      <c r="E61">
        <f t="shared" si="0"/>
        <v>30</v>
      </c>
      <c r="F61" t="s">
        <v>647</v>
      </c>
      <c r="G61" t="s">
        <v>659</v>
      </c>
      <c r="H61" t="s">
        <v>676</v>
      </c>
      <c r="I61" t="s">
        <v>703</v>
      </c>
      <c r="J61" t="s">
        <v>707</v>
      </c>
      <c r="K61" t="s">
        <v>722</v>
      </c>
      <c r="L61" t="s">
        <v>731</v>
      </c>
      <c r="M61" t="s">
        <v>900</v>
      </c>
      <c r="N61" s="23">
        <v>329.03</v>
      </c>
      <c r="O61" s="23">
        <v>391.15</v>
      </c>
      <c r="P61" s="8">
        <v>0.19700000000000001</v>
      </c>
      <c r="Q61">
        <v>46</v>
      </c>
      <c r="R61" s="23">
        <f t="shared" si="1"/>
        <v>14448.298699999998</v>
      </c>
      <c r="S61" s="23">
        <f t="shared" si="2"/>
        <v>15135.38</v>
      </c>
      <c r="T61" s="23">
        <f t="shared" si="3"/>
        <v>-687.08130000000165</v>
      </c>
      <c r="U61" s="14">
        <f t="shared" si="4"/>
        <v>-4.7554477815440081E-2</v>
      </c>
      <c r="V61" s="7" t="str">
        <f t="shared" si="5"/>
        <v>Apr-2023</v>
      </c>
      <c r="W61" s="22">
        <f t="shared" si="6"/>
        <v>45017</v>
      </c>
      <c r="X61" s="7" t="str">
        <f t="shared" si="7"/>
        <v>Q2-2023</v>
      </c>
      <c r="Y61" t="str">
        <f t="shared" si="8"/>
        <v>Asia → China → Shenzhen</v>
      </c>
      <c r="Z61" t="str">
        <f t="shared" si="9"/>
        <v>Laptops</v>
      </c>
      <c r="AA61" t="str" cm="1">
        <f t="array" ref="AA61">_xlfn.IFS(O61&lt;=$AF$2,"Low",AND(O61&gt;$AF$2,O61&lt;$AF$3),"Medium",O61&gt;=$AF$3,"High")</f>
        <v>Low</v>
      </c>
      <c r="AB61" s="22">
        <f t="shared" si="10"/>
        <v>44927</v>
      </c>
      <c r="AC61">
        <v>3</v>
      </c>
    </row>
    <row r="62" spans="1:29" x14ac:dyDescent="0.35">
      <c r="A62" s="4" t="s">
        <v>60</v>
      </c>
      <c r="B62" s="5" t="str">
        <f>IF(COUNTIF($A$2:A62,A62)=1,"Original","Duplicate")</f>
        <v>Original</v>
      </c>
      <c r="C62" s="7">
        <v>45035</v>
      </c>
      <c r="D62" s="7">
        <v>45046</v>
      </c>
      <c r="E62">
        <f t="shared" si="0"/>
        <v>11</v>
      </c>
      <c r="F62" t="s">
        <v>647</v>
      </c>
      <c r="G62" t="s">
        <v>654</v>
      </c>
      <c r="H62" t="s">
        <v>680</v>
      </c>
      <c r="I62" t="s">
        <v>705</v>
      </c>
      <c r="J62" t="s">
        <v>707</v>
      </c>
      <c r="K62" t="s">
        <v>720</v>
      </c>
      <c r="L62" t="s">
        <v>729</v>
      </c>
      <c r="M62" t="s">
        <v>779</v>
      </c>
      <c r="N62" s="23">
        <v>826.55</v>
      </c>
      <c r="O62" s="23">
        <v>1397.05</v>
      </c>
      <c r="P62" s="8">
        <v>0.16900000000000001</v>
      </c>
      <c r="Q62">
        <v>28</v>
      </c>
      <c r="R62" s="23">
        <f t="shared" si="1"/>
        <v>32506.559399999998</v>
      </c>
      <c r="S62" s="23">
        <f t="shared" si="2"/>
        <v>23143.399999999998</v>
      </c>
      <c r="T62" s="23">
        <f t="shared" si="3"/>
        <v>9363.1594000000005</v>
      </c>
      <c r="U62" s="14">
        <f t="shared" si="4"/>
        <v>0.28803907804527601</v>
      </c>
      <c r="V62" s="7" t="str">
        <f t="shared" si="5"/>
        <v>Apr-2023</v>
      </c>
      <c r="W62" s="22">
        <f t="shared" si="6"/>
        <v>45017</v>
      </c>
      <c r="X62" s="7" t="str">
        <f t="shared" si="7"/>
        <v>Q2-2023</v>
      </c>
      <c r="Y62" t="str">
        <f t="shared" si="8"/>
        <v>Asia → India → Delhi</v>
      </c>
      <c r="Z62" t="str">
        <f t="shared" si="9"/>
        <v>Networking</v>
      </c>
      <c r="AA62" t="str" cm="1">
        <f t="array" ref="AA62">_xlfn.IFS(O62&lt;=$AF$2,"Low",AND(O62&gt;$AF$2,O62&lt;$AF$3),"Medium",O62&gt;=$AF$3,"High")</f>
        <v>Medium</v>
      </c>
      <c r="AB62" s="22">
        <f t="shared" si="10"/>
        <v>44958</v>
      </c>
      <c r="AC62">
        <v>2</v>
      </c>
    </row>
    <row r="63" spans="1:29" x14ac:dyDescent="0.35">
      <c r="A63" s="4" t="s">
        <v>219</v>
      </c>
      <c r="B63" s="5" t="str">
        <f>IF(COUNTIF($A$2:A63,A63)=1,"Original","Duplicate")</f>
        <v>Original</v>
      </c>
      <c r="C63" s="7">
        <v>45035</v>
      </c>
      <c r="D63" s="7">
        <v>45044</v>
      </c>
      <c r="E63">
        <f t="shared" si="0"/>
        <v>9</v>
      </c>
      <c r="F63" t="s">
        <v>649</v>
      </c>
      <c r="G63" t="s">
        <v>656</v>
      </c>
      <c r="H63" t="s">
        <v>671</v>
      </c>
      <c r="I63" t="s">
        <v>702</v>
      </c>
      <c r="J63" t="s">
        <v>708</v>
      </c>
      <c r="K63" t="s">
        <v>718</v>
      </c>
      <c r="L63" t="s">
        <v>732</v>
      </c>
      <c r="M63" t="s">
        <v>939</v>
      </c>
      <c r="N63" s="23">
        <v>1178.42</v>
      </c>
      <c r="O63" s="23">
        <v>2446.56</v>
      </c>
      <c r="P63" s="8">
        <v>2.9000000000000001E-2</v>
      </c>
      <c r="Q63">
        <v>11</v>
      </c>
      <c r="R63" s="23">
        <f t="shared" si="1"/>
        <v>26131.70736</v>
      </c>
      <c r="S63" s="23">
        <f t="shared" si="2"/>
        <v>12962.62</v>
      </c>
      <c r="T63" s="23">
        <f t="shared" si="3"/>
        <v>13169.08736</v>
      </c>
      <c r="U63" s="14">
        <f t="shared" si="4"/>
        <v>0.5039505141618883</v>
      </c>
      <c r="V63" s="7" t="str">
        <f t="shared" si="5"/>
        <v>Apr-2023</v>
      </c>
      <c r="W63" s="22">
        <f t="shared" si="6"/>
        <v>45017</v>
      </c>
      <c r="X63" s="7" t="str">
        <f t="shared" si="7"/>
        <v>Q2-2023</v>
      </c>
      <c r="Y63" t="str">
        <f t="shared" si="8"/>
        <v>Europe → Germany → Berlin</v>
      </c>
      <c r="Z63" t="str">
        <f t="shared" si="9"/>
        <v>Monitors</v>
      </c>
      <c r="AA63" t="str" cm="1">
        <f t="array" ref="AA63">_xlfn.IFS(O63&lt;=$AF$2,"Low",AND(O63&gt;$AF$2,O63&lt;$AF$3),"Medium",O63&gt;=$AF$3,"High")</f>
        <v>High</v>
      </c>
      <c r="AB63" s="22">
        <f t="shared" si="10"/>
        <v>44927</v>
      </c>
      <c r="AC63">
        <v>3</v>
      </c>
    </row>
    <row r="64" spans="1:29" x14ac:dyDescent="0.35">
      <c r="A64" s="4" t="s">
        <v>238</v>
      </c>
      <c r="B64" s="5" t="str">
        <f>IF(COUNTIF($A$2:A64,A64)=1,"Original","Duplicate")</f>
        <v>Original</v>
      </c>
      <c r="C64" s="7">
        <v>45035</v>
      </c>
      <c r="D64" s="7">
        <v>45053</v>
      </c>
      <c r="E64">
        <f t="shared" si="0"/>
        <v>18</v>
      </c>
      <c r="F64" t="s">
        <v>649</v>
      </c>
      <c r="G64" t="s">
        <v>658</v>
      </c>
      <c r="H64" t="s">
        <v>674</v>
      </c>
      <c r="I64" t="s">
        <v>706</v>
      </c>
      <c r="J64" t="s">
        <v>707</v>
      </c>
      <c r="K64" t="s">
        <v>725</v>
      </c>
      <c r="L64" t="s">
        <v>731</v>
      </c>
      <c r="M64" t="s">
        <v>958</v>
      </c>
      <c r="N64" s="23">
        <v>1089.1500000000001</v>
      </c>
      <c r="O64" s="23">
        <v>1088.2</v>
      </c>
      <c r="P64" s="8">
        <v>5.0999999999999997E-2</v>
      </c>
      <c r="Q64">
        <v>15</v>
      </c>
      <c r="R64" s="23">
        <f t="shared" si="1"/>
        <v>15490.527</v>
      </c>
      <c r="S64" s="23">
        <f t="shared" si="2"/>
        <v>16337.250000000002</v>
      </c>
      <c r="T64" s="23">
        <f t="shared" si="3"/>
        <v>-846.72300000000178</v>
      </c>
      <c r="U64" s="14">
        <f t="shared" si="4"/>
        <v>-5.4660696824582002E-2</v>
      </c>
      <c r="V64" s="7" t="str">
        <f t="shared" si="5"/>
        <v>Apr-2023</v>
      </c>
      <c r="W64" s="22">
        <f t="shared" si="6"/>
        <v>45017</v>
      </c>
      <c r="X64" s="7" t="str">
        <f t="shared" si="7"/>
        <v>Q2-2023</v>
      </c>
      <c r="Y64" t="str">
        <f t="shared" si="8"/>
        <v>Europe → United Kingdom → Birmingham</v>
      </c>
      <c r="Z64" t="str">
        <f t="shared" si="9"/>
        <v>Laptops</v>
      </c>
      <c r="AA64" t="str" cm="1">
        <f t="array" ref="AA64">_xlfn.IFS(O64&lt;=$AF$2,"Low",AND(O64&gt;$AF$2,O64&lt;$AF$3),"Medium",O64&gt;=$AF$3,"High")</f>
        <v>Medium</v>
      </c>
      <c r="AB64" s="22">
        <f t="shared" si="10"/>
        <v>44927</v>
      </c>
      <c r="AC64">
        <v>3</v>
      </c>
    </row>
    <row r="65" spans="1:29" x14ac:dyDescent="0.35">
      <c r="A65" s="4" t="s">
        <v>258</v>
      </c>
      <c r="B65" s="5" t="str">
        <f>IF(COUNTIF($A$2:A65,A65)=1,"Original","Duplicate")</f>
        <v>Original</v>
      </c>
      <c r="C65" s="7">
        <v>45035</v>
      </c>
      <c r="D65" s="7">
        <v>45044</v>
      </c>
      <c r="E65">
        <f t="shared" si="0"/>
        <v>9</v>
      </c>
      <c r="F65" t="s">
        <v>648</v>
      </c>
      <c r="G65" t="s">
        <v>655</v>
      </c>
      <c r="H65" t="s">
        <v>692</v>
      </c>
      <c r="I65" t="s">
        <v>701</v>
      </c>
      <c r="J65" t="s">
        <v>710</v>
      </c>
      <c r="K65" t="s">
        <v>724</v>
      </c>
      <c r="L65" t="s">
        <v>730</v>
      </c>
      <c r="M65" t="s">
        <v>978</v>
      </c>
      <c r="N65" s="23">
        <v>1013.54</v>
      </c>
      <c r="O65" s="23">
        <v>927.93</v>
      </c>
      <c r="P65" s="8">
        <v>0.17499999999999999</v>
      </c>
      <c r="Q65">
        <v>16</v>
      </c>
      <c r="R65" s="23">
        <f t="shared" si="1"/>
        <v>12248.675999999999</v>
      </c>
      <c r="S65" s="23">
        <f t="shared" si="2"/>
        <v>16216.64</v>
      </c>
      <c r="T65" s="23">
        <f t="shared" si="3"/>
        <v>-3967.9639999999999</v>
      </c>
      <c r="U65" s="14">
        <f t="shared" si="4"/>
        <v>-0.32395044166406234</v>
      </c>
      <c r="V65" s="7" t="str">
        <f t="shared" si="5"/>
        <v>Apr-2023</v>
      </c>
      <c r="W65" s="22">
        <f t="shared" si="6"/>
        <v>45017</v>
      </c>
      <c r="X65" s="7" t="str">
        <f t="shared" si="7"/>
        <v>Q2-2023</v>
      </c>
      <c r="Y65" t="str">
        <f t="shared" si="8"/>
        <v>Americas → Brazil → Rio de Janeiro</v>
      </c>
      <c r="Z65" t="str">
        <f t="shared" si="9"/>
        <v>Phones</v>
      </c>
      <c r="AA65" t="str" cm="1">
        <f t="array" ref="AA65">_xlfn.IFS(O65&lt;=$AF$2,"Low",AND(O65&gt;$AF$2,O65&lt;$AF$3),"Medium",O65&gt;=$AF$3,"High")</f>
        <v>Medium</v>
      </c>
      <c r="AB65" s="22">
        <f t="shared" si="10"/>
        <v>44927</v>
      </c>
      <c r="AC65">
        <v>3</v>
      </c>
    </row>
    <row r="66" spans="1:29" x14ac:dyDescent="0.35">
      <c r="A66" s="4" t="s">
        <v>271</v>
      </c>
      <c r="B66" s="5" t="str">
        <f>IF(COUNTIF($A$2:A66,A66)=1,"Original","Duplicate")</f>
        <v>Original</v>
      </c>
      <c r="C66" s="7">
        <v>45035</v>
      </c>
      <c r="D66" s="7">
        <v>45053</v>
      </c>
      <c r="E66">
        <f t="shared" ref="E66:E129" si="12">D66-C66</f>
        <v>18</v>
      </c>
      <c r="F66" t="s">
        <v>649</v>
      </c>
      <c r="G66" t="s">
        <v>658</v>
      </c>
      <c r="H66" t="s">
        <v>683</v>
      </c>
      <c r="I66" t="s">
        <v>703</v>
      </c>
      <c r="J66" t="s">
        <v>711</v>
      </c>
      <c r="K66" t="s">
        <v>722</v>
      </c>
      <c r="L66" t="s">
        <v>729</v>
      </c>
      <c r="M66" t="s">
        <v>991</v>
      </c>
      <c r="N66" s="23">
        <v>516.96</v>
      </c>
      <c r="O66" s="23">
        <v>745.38</v>
      </c>
      <c r="P66" s="8">
        <v>0.19700000000000001</v>
      </c>
      <c r="Q66">
        <v>4</v>
      </c>
      <c r="R66" s="23">
        <f t="shared" si="1"/>
        <v>2394.1605599999998</v>
      </c>
      <c r="S66" s="23">
        <f t="shared" si="2"/>
        <v>2067.84</v>
      </c>
      <c r="T66" s="23">
        <f t="shared" si="3"/>
        <v>326.32055999999966</v>
      </c>
      <c r="U66" s="14">
        <f t="shared" si="4"/>
        <v>0.13629852794835101</v>
      </c>
      <c r="V66" s="7" t="str">
        <f t="shared" si="5"/>
        <v>Apr-2023</v>
      </c>
      <c r="W66" s="22">
        <f t="shared" si="6"/>
        <v>45017</v>
      </c>
      <c r="X66" s="7" t="str">
        <f t="shared" si="7"/>
        <v>Q2-2023</v>
      </c>
      <c r="Y66" t="str">
        <f t="shared" si="8"/>
        <v>Europe → United Kingdom → London</v>
      </c>
      <c r="Z66" t="str">
        <f t="shared" si="9"/>
        <v>Networking</v>
      </c>
      <c r="AA66" t="str" cm="1">
        <f t="array" ref="AA66">_xlfn.IFS(O66&lt;=$AF$2,"Low",AND(O66&gt;$AF$2,O66&lt;$AF$3),"Medium",O66&gt;=$AF$3,"High")</f>
        <v>Low</v>
      </c>
      <c r="AB66" s="22">
        <f t="shared" si="10"/>
        <v>44927</v>
      </c>
      <c r="AC66">
        <v>3</v>
      </c>
    </row>
    <row r="67" spans="1:29" x14ac:dyDescent="0.35">
      <c r="A67" s="4" t="s">
        <v>84</v>
      </c>
      <c r="B67" s="5" t="str">
        <f>IF(COUNTIF($A$2:A67,A67)=1,"Original","Duplicate")</f>
        <v>Original</v>
      </c>
      <c r="C67" s="7">
        <v>45037</v>
      </c>
      <c r="D67" s="7">
        <v>45056</v>
      </c>
      <c r="E67">
        <f t="shared" si="12"/>
        <v>19</v>
      </c>
      <c r="F67" t="s">
        <v>647</v>
      </c>
      <c r="G67" t="s">
        <v>659</v>
      </c>
      <c r="H67" t="s">
        <v>685</v>
      </c>
      <c r="I67" t="s">
        <v>701</v>
      </c>
      <c r="J67" t="s">
        <v>707</v>
      </c>
      <c r="K67" t="s">
        <v>720</v>
      </c>
      <c r="L67" t="s">
        <v>727</v>
      </c>
      <c r="M67" t="s">
        <v>803</v>
      </c>
      <c r="N67" s="23">
        <v>882.33</v>
      </c>
      <c r="O67" s="23">
        <v>1880.15</v>
      </c>
      <c r="P67" s="8">
        <v>0.05</v>
      </c>
      <c r="Q67">
        <v>5</v>
      </c>
      <c r="R67" s="23">
        <f t="shared" ref="R67:R130" si="13">(O67*Q67)*(1-P67)</f>
        <v>8930.7124999999996</v>
      </c>
      <c r="S67" s="23">
        <f t="shared" ref="S67:S130" si="14">N67*Q67</f>
        <v>4411.6500000000005</v>
      </c>
      <c r="T67" s="23">
        <f t="shared" ref="T67:T130" si="15">R67-S67</f>
        <v>4519.0624999999991</v>
      </c>
      <c r="U67" s="14">
        <f t="shared" ref="U67:U130" si="16">IF(R67=0,0,T67/R67)</f>
        <v>0.50601365792482955</v>
      </c>
      <c r="V67" s="7" t="str">
        <f t="shared" ref="V67:V130" si="17">TEXT(C67,"MMM-YYYY")</f>
        <v>Apr-2023</v>
      </c>
      <c r="W67" s="22">
        <f t="shared" ref="W67:W130" si="18">DATEVALUE(V67)</f>
        <v>45017</v>
      </c>
      <c r="X67" s="7" t="str">
        <f t="shared" ref="X67:X130" si="19">"Q"&amp;ROUNDUP(MONTH(C67)/3,0)&amp;"-"&amp;YEAR(C67)</f>
        <v>Q2-2023</v>
      </c>
      <c r="Y67" t="str">
        <f t="shared" ref="Y67:Y130" si="20">_xlfn.CONCAT(F67," ","→"," ",G67," ","→"," ",H67)</f>
        <v>Asia → China → Shanghai</v>
      </c>
      <c r="Z67" t="str">
        <f t="shared" ref="Z67:Z130" si="21">TRIM(L67)</f>
        <v>Components</v>
      </c>
      <c r="AA67" t="str" cm="1">
        <f t="array" ref="AA67">_xlfn.IFS(O67&lt;=$AF$2,"Low",AND(O67&gt;$AF$2,O67&lt;$AF$3),"Medium",O67&gt;=$AF$3,"High")</f>
        <v>High</v>
      </c>
      <c r="AB67" s="22">
        <f t="shared" ref="AB67:AB130" si="22">_xlfn.MINIFS($W$2:$W$632,$G$2:$G$632,G67)</f>
        <v>44927</v>
      </c>
      <c r="AC67">
        <v>3</v>
      </c>
    </row>
    <row r="68" spans="1:29" x14ac:dyDescent="0.35">
      <c r="A68" s="4" t="s">
        <v>451</v>
      </c>
      <c r="B68" s="5" t="str">
        <f>IF(COUNTIF($A$2:A68,A68)=1,"Original","Duplicate")</f>
        <v>Original</v>
      </c>
      <c r="C68" s="7">
        <v>45037</v>
      </c>
      <c r="D68" s="7">
        <v>45044</v>
      </c>
      <c r="E68">
        <f t="shared" si="12"/>
        <v>7</v>
      </c>
      <c r="F68" t="s">
        <v>647</v>
      </c>
      <c r="G68" t="s">
        <v>652</v>
      </c>
      <c r="H68" t="s">
        <v>694</v>
      </c>
      <c r="I68" t="s">
        <v>705</v>
      </c>
      <c r="J68" t="s">
        <v>711</v>
      </c>
      <c r="K68" t="s">
        <v>724</v>
      </c>
      <c r="L68" t="s">
        <v>727</v>
      </c>
      <c r="M68" t="s">
        <v>1170</v>
      </c>
      <c r="N68" s="23">
        <v>607.04</v>
      </c>
      <c r="O68" s="23">
        <v>1229.3399999999999</v>
      </c>
      <c r="P68" s="8">
        <v>0.14699999999999999</v>
      </c>
      <c r="Q68">
        <v>7</v>
      </c>
      <c r="R68" s="23">
        <f t="shared" si="13"/>
        <v>7340.3891399999993</v>
      </c>
      <c r="S68" s="23">
        <f t="shared" si="14"/>
        <v>4249.28</v>
      </c>
      <c r="T68" s="23">
        <f t="shared" si="15"/>
        <v>3091.1091399999996</v>
      </c>
      <c r="U68" s="14">
        <f t="shared" si="16"/>
        <v>0.42110970972310058</v>
      </c>
      <c r="V68" s="7" t="str">
        <f t="shared" si="17"/>
        <v>Apr-2023</v>
      </c>
      <c r="W68" s="22">
        <f t="shared" si="18"/>
        <v>45017</v>
      </c>
      <c r="X68" s="7" t="str">
        <f t="shared" si="19"/>
        <v>Q2-2023</v>
      </c>
      <c r="Y68" t="str">
        <f t="shared" si="20"/>
        <v>Asia → Japan → Nagoya</v>
      </c>
      <c r="Z68" t="str">
        <f t="shared" si="21"/>
        <v>Components</v>
      </c>
      <c r="AA68" t="str" cm="1">
        <f t="array" ref="AA68">_xlfn.IFS(O68&lt;=$AF$2,"Low",AND(O68&gt;$AF$2,O68&lt;$AF$3),"Medium",O68&gt;=$AF$3,"High")</f>
        <v>Medium</v>
      </c>
      <c r="AB68" s="22">
        <f t="shared" si="22"/>
        <v>44986</v>
      </c>
      <c r="AC68">
        <v>1</v>
      </c>
    </row>
    <row r="69" spans="1:29" x14ac:dyDescent="0.35">
      <c r="A69" s="4" t="s">
        <v>620</v>
      </c>
      <c r="B69" s="5" t="str">
        <f>IF(COUNTIF($A$2:A69,A69)=1,"Original","Duplicate")</f>
        <v>Original</v>
      </c>
      <c r="C69" s="7">
        <v>45038</v>
      </c>
      <c r="D69" s="7">
        <v>45060</v>
      </c>
      <c r="E69">
        <f t="shared" si="12"/>
        <v>22</v>
      </c>
      <c r="F69" t="s">
        <v>647</v>
      </c>
      <c r="G69" t="s">
        <v>652</v>
      </c>
      <c r="H69" t="s">
        <v>694</v>
      </c>
      <c r="I69" t="s">
        <v>706</v>
      </c>
      <c r="J69" t="s">
        <v>707</v>
      </c>
      <c r="K69" t="s">
        <v>720</v>
      </c>
      <c r="L69" t="s">
        <v>733</v>
      </c>
      <c r="M69" t="s">
        <v>1338</v>
      </c>
      <c r="N69" s="23">
        <v>1209.22</v>
      </c>
      <c r="O69" s="23">
        <v>1404.33</v>
      </c>
      <c r="P69" s="8">
        <v>0.10299999999999999</v>
      </c>
      <c r="Q69">
        <v>11</v>
      </c>
      <c r="R69" s="23">
        <f t="shared" si="13"/>
        <v>13856.52411</v>
      </c>
      <c r="S69" s="23">
        <f t="shared" si="14"/>
        <v>13301.42</v>
      </c>
      <c r="T69" s="23">
        <f t="shared" si="15"/>
        <v>555.10411000000022</v>
      </c>
      <c r="U69" s="14">
        <f t="shared" si="16"/>
        <v>4.0060848275751328E-2</v>
      </c>
      <c r="V69" s="7" t="str">
        <f t="shared" si="17"/>
        <v>Apr-2023</v>
      </c>
      <c r="W69" s="22">
        <f t="shared" si="18"/>
        <v>45017</v>
      </c>
      <c r="X69" s="7" t="str">
        <f t="shared" si="19"/>
        <v>Q2-2023</v>
      </c>
      <c r="Y69" t="str">
        <f t="shared" si="20"/>
        <v>Asia → Japan → Nagoya</v>
      </c>
      <c r="Z69" t="str">
        <f t="shared" si="21"/>
        <v>Accessories</v>
      </c>
      <c r="AA69" t="str" cm="1">
        <f t="array" ref="AA69">_xlfn.IFS(O69&lt;=$AF$2,"Low",AND(O69&gt;$AF$2,O69&lt;$AF$3),"Medium",O69&gt;=$AF$3,"High")</f>
        <v>Medium</v>
      </c>
      <c r="AB69" s="22">
        <f t="shared" si="22"/>
        <v>44986</v>
      </c>
      <c r="AC69">
        <v>1</v>
      </c>
    </row>
    <row r="70" spans="1:29" x14ac:dyDescent="0.35">
      <c r="A70" s="4" t="s">
        <v>30</v>
      </c>
      <c r="B70" s="5" t="str">
        <f>IF(COUNTIF($A$2:A70,A70)=1,"Original","Duplicate")</f>
        <v>Original</v>
      </c>
      <c r="C70" s="7">
        <v>45039</v>
      </c>
      <c r="D70" s="7">
        <v>45044</v>
      </c>
      <c r="E70">
        <f t="shared" si="12"/>
        <v>5</v>
      </c>
      <c r="F70" t="s">
        <v>646</v>
      </c>
      <c r="G70" t="s">
        <v>650</v>
      </c>
      <c r="H70" t="s">
        <v>664</v>
      </c>
      <c r="I70" t="s">
        <v>705</v>
      </c>
      <c r="J70" t="s">
        <v>711</v>
      </c>
      <c r="K70" t="s">
        <v>718</v>
      </c>
      <c r="L70" t="s">
        <v>731</v>
      </c>
      <c r="M70" t="s">
        <v>749</v>
      </c>
      <c r="N70" s="23">
        <v>756.51</v>
      </c>
      <c r="O70" s="23">
        <v>850.8</v>
      </c>
      <c r="P70" s="8">
        <v>7.3999999999999996E-2</v>
      </c>
      <c r="Q70">
        <v>9</v>
      </c>
      <c r="R70" s="23">
        <f t="shared" si="13"/>
        <v>7090.5672000000004</v>
      </c>
      <c r="S70" s="23">
        <f t="shared" si="14"/>
        <v>6808.59</v>
      </c>
      <c r="T70" s="23">
        <f t="shared" si="15"/>
        <v>281.97720000000027</v>
      </c>
      <c r="U70" s="14">
        <f t="shared" si="16"/>
        <v>3.9767932810791252E-2</v>
      </c>
      <c r="V70" s="7" t="str">
        <f t="shared" si="17"/>
        <v>Apr-2023</v>
      </c>
      <c r="W70" s="22">
        <f t="shared" si="18"/>
        <v>45017</v>
      </c>
      <c r="X70" s="7" t="str">
        <f t="shared" si="19"/>
        <v>Q2-2023</v>
      </c>
      <c r="Y70" t="str">
        <f t="shared" si="20"/>
        <v>Africa → Kenya → Nairobi</v>
      </c>
      <c r="Z70" t="str">
        <f t="shared" si="21"/>
        <v>Laptops</v>
      </c>
      <c r="AA70" t="str" cm="1">
        <f t="array" ref="AA70">_xlfn.IFS(O70&lt;=$AF$2,"Low",AND(O70&gt;$AF$2,O70&lt;$AF$3),"Medium",O70&gt;=$AF$3,"High")</f>
        <v>Medium</v>
      </c>
      <c r="AB70" s="22">
        <f t="shared" si="22"/>
        <v>44927</v>
      </c>
      <c r="AC70">
        <v>3</v>
      </c>
    </row>
    <row r="71" spans="1:29" x14ac:dyDescent="0.35">
      <c r="A71" s="4" t="s">
        <v>589</v>
      </c>
      <c r="B71" s="5" t="str">
        <f>IF(COUNTIF($A$2:A71,A71)=1,"Original","Duplicate")</f>
        <v>Original</v>
      </c>
      <c r="C71" s="7">
        <v>45042</v>
      </c>
      <c r="D71" s="7">
        <v>45049</v>
      </c>
      <c r="E71">
        <f t="shared" si="12"/>
        <v>7</v>
      </c>
      <c r="F71" t="s">
        <v>649</v>
      </c>
      <c r="G71" t="s">
        <v>657</v>
      </c>
      <c r="H71" t="s">
        <v>673</v>
      </c>
      <c r="I71" t="s">
        <v>704</v>
      </c>
      <c r="J71" t="s">
        <v>711</v>
      </c>
      <c r="K71" t="s">
        <v>724</v>
      </c>
      <c r="L71" t="s">
        <v>727</v>
      </c>
      <c r="M71" t="s">
        <v>1307</v>
      </c>
      <c r="N71" s="23">
        <v>81.489999999999995</v>
      </c>
      <c r="O71" s="23">
        <v>113.08</v>
      </c>
      <c r="P71" s="8">
        <v>0.121</v>
      </c>
      <c r="Q71">
        <v>5</v>
      </c>
      <c r="R71" s="23">
        <f t="shared" si="13"/>
        <v>496.98660000000001</v>
      </c>
      <c r="S71" s="23">
        <f t="shared" si="14"/>
        <v>407.45</v>
      </c>
      <c r="T71" s="23">
        <f t="shared" si="15"/>
        <v>89.536600000000021</v>
      </c>
      <c r="U71" s="14">
        <f t="shared" si="16"/>
        <v>0.18015898215364362</v>
      </c>
      <c r="V71" s="7" t="str">
        <f t="shared" si="17"/>
        <v>Apr-2023</v>
      </c>
      <c r="W71" s="22">
        <f t="shared" si="18"/>
        <v>45017</v>
      </c>
      <c r="X71" s="7" t="str">
        <f t="shared" si="19"/>
        <v>Q2-2023</v>
      </c>
      <c r="Y71" t="str">
        <f t="shared" si="20"/>
        <v>Europe → France → Marseille</v>
      </c>
      <c r="Z71" t="str">
        <f t="shared" si="21"/>
        <v>Components</v>
      </c>
      <c r="AA71" t="str" cm="1">
        <f t="array" ref="AA71">_xlfn.IFS(O71&lt;=$AF$2,"Low",AND(O71&gt;$AF$2,O71&lt;$AF$3),"Medium",O71&gt;=$AF$3,"High")</f>
        <v>Low</v>
      </c>
      <c r="AB71" s="22">
        <f t="shared" si="22"/>
        <v>44927</v>
      </c>
      <c r="AC71">
        <v>3</v>
      </c>
    </row>
    <row r="72" spans="1:29" x14ac:dyDescent="0.35">
      <c r="A72" s="4" t="s">
        <v>533</v>
      </c>
      <c r="B72" s="5" t="str">
        <f>IF(COUNTIF($A$2:A72,A72)=1,"Original","Duplicate")</f>
        <v>Original</v>
      </c>
      <c r="C72" s="7">
        <v>45047</v>
      </c>
      <c r="D72" s="7">
        <v>45064</v>
      </c>
      <c r="E72">
        <f t="shared" si="12"/>
        <v>17</v>
      </c>
      <c r="F72" t="s">
        <v>646</v>
      </c>
      <c r="G72" t="s">
        <v>651</v>
      </c>
      <c r="H72" t="s">
        <v>663</v>
      </c>
      <c r="I72" t="s">
        <v>701</v>
      </c>
      <c r="J72" t="s">
        <v>711</v>
      </c>
      <c r="K72" t="s">
        <v>721</v>
      </c>
      <c r="L72" t="s">
        <v>727</v>
      </c>
      <c r="M72" t="s">
        <v>1252</v>
      </c>
      <c r="N72" s="23">
        <v>327.97</v>
      </c>
      <c r="O72" s="23">
        <v>299.94</v>
      </c>
      <c r="P72" s="8">
        <v>4.9000000000000002E-2</v>
      </c>
      <c r="Q72">
        <v>3</v>
      </c>
      <c r="R72" s="23">
        <f t="shared" si="13"/>
        <v>855.72881999999993</v>
      </c>
      <c r="S72" s="23">
        <f t="shared" si="14"/>
        <v>983.91000000000008</v>
      </c>
      <c r="T72" s="23">
        <f t="shared" si="15"/>
        <v>-128.18118000000015</v>
      </c>
      <c r="U72" s="14">
        <f t="shared" si="16"/>
        <v>-0.14979182306843442</v>
      </c>
      <c r="V72" s="7" t="str">
        <f t="shared" si="17"/>
        <v>May-2023</v>
      </c>
      <c r="W72" s="22">
        <f t="shared" si="18"/>
        <v>45047</v>
      </c>
      <c r="X72" s="7" t="str">
        <f t="shared" si="19"/>
        <v>Q2-2023</v>
      </c>
      <c r="Y72" t="str">
        <f t="shared" si="20"/>
        <v>Africa → Nigeria → Port Harcourt</v>
      </c>
      <c r="Z72" t="str">
        <f t="shared" si="21"/>
        <v>Components</v>
      </c>
      <c r="AA72" t="str" cm="1">
        <f t="array" ref="AA72">_xlfn.IFS(O72&lt;=$AF$2,"Low",AND(O72&gt;$AF$2,O72&lt;$AF$3),"Medium",O72&gt;=$AF$3,"High")</f>
        <v>Low</v>
      </c>
      <c r="AB72" s="22">
        <f t="shared" si="22"/>
        <v>44927</v>
      </c>
      <c r="AC72">
        <v>4</v>
      </c>
    </row>
    <row r="73" spans="1:29" x14ac:dyDescent="0.35">
      <c r="A73" s="4" t="s">
        <v>155</v>
      </c>
      <c r="B73" s="5" t="str">
        <f>IF(COUNTIF($A$2:A73,A73)=1,"Original","Duplicate")</f>
        <v>Original</v>
      </c>
      <c r="C73" s="7">
        <v>45048</v>
      </c>
      <c r="D73" s="7">
        <v>45064</v>
      </c>
      <c r="E73">
        <f t="shared" si="12"/>
        <v>16</v>
      </c>
      <c r="F73" t="s">
        <v>647</v>
      </c>
      <c r="G73" t="s">
        <v>654</v>
      </c>
      <c r="H73" t="s">
        <v>680</v>
      </c>
      <c r="I73" t="s">
        <v>705</v>
      </c>
      <c r="J73" t="s">
        <v>709</v>
      </c>
      <c r="K73" t="s">
        <v>723</v>
      </c>
      <c r="L73" t="s">
        <v>732</v>
      </c>
      <c r="M73" t="s">
        <v>874</v>
      </c>
      <c r="N73" s="23">
        <v>1463.92</v>
      </c>
      <c r="O73" s="23">
        <v>2252.2399999999998</v>
      </c>
      <c r="P73" s="8">
        <v>0.11799999999999999</v>
      </c>
      <c r="Q73">
        <v>44</v>
      </c>
      <c r="R73" s="23">
        <f t="shared" si="13"/>
        <v>87404.929919999995</v>
      </c>
      <c r="S73" s="23">
        <f t="shared" si="14"/>
        <v>64412.480000000003</v>
      </c>
      <c r="T73" s="23">
        <f t="shared" si="15"/>
        <v>22992.449919999992</v>
      </c>
      <c r="U73" s="14">
        <f t="shared" si="16"/>
        <v>0.26305667130040061</v>
      </c>
      <c r="V73" s="7" t="str">
        <f t="shared" si="17"/>
        <v>May-2023</v>
      </c>
      <c r="W73" s="22">
        <f t="shared" si="18"/>
        <v>45047</v>
      </c>
      <c r="X73" s="7" t="str">
        <f t="shared" si="19"/>
        <v>Q2-2023</v>
      </c>
      <c r="Y73" t="str">
        <f t="shared" si="20"/>
        <v>Asia → India → Delhi</v>
      </c>
      <c r="Z73" t="str">
        <f t="shared" si="21"/>
        <v>Monitors</v>
      </c>
      <c r="AA73" t="str" cm="1">
        <f t="array" ref="AA73">_xlfn.IFS(O73&lt;=$AF$2,"Low",AND(O73&gt;$AF$2,O73&lt;$AF$3),"Medium",O73&gt;=$AF$3,"High")</f>
        <v>High</v>
      </c>
      <c r="AB73" s="22">
        <f t="shared" si="22"/>
        <v>44958</v>
      </c>
      <c r="AC73">
        <v>3</v>
      </c>
    </row>
    <row r="74" spans="1:29" x14ac:dyDescent="0.35">
      <c r="A74" s="4" t="s">
        <v>471</v>
      </c>
      <c r="B74" s="5" t="str">
        <f>IF(COUNTIF($A$2:A74,A74)=1,"Original","Duplicate")</f>
        <v>Original</v>
      </c>
      <c r="C74" s="7">
        <v>45048</v>
      </c>
      <c r="D74" s="7">
        <v>45065</v>
      </c>
      <c r="E74">
        <f t="shared" si="12"/>
        <v>17</v>
      </c>
      <c r="F74" t="s">
        <v>647</v>
      </c>
      <c r="G74" t="s">
        <v>659</v>
      </c>
      <c r="H74" t="s">
        <v>685</v>
      </c>
      <c r="I74" t="s">
        <v>703</v>
      </c>
      <c r="J74" t="s">
        <v>711</v>
      </c>
      <c r="K74" t="s">
        <v>713</v>
      </c>
      <c r="L74" t="s">
        <v>732</v>
      </c>
      <c r="M74" t="s">
        <v>1190</v>
      </c>
      <c r="N74" s="23">
        <v>714.28</v>
      </c>
      <c r="O74" s="23">
        <v>757.59</v>
      </c>
      <c r="P74" s="8">
        <v>0.13600000000000001</v>
      </c>
      <c r="Q74">
        <v>12</v>
      </c>
      <c r="R74" s="23">
        <f t="shared" si="13"/>
        <v>7854.6931199999999</v>
      </c>
      <c r="S74" s="23">
        <f t="shared" si="14"/>
        <v>8571.36</v>
      </c>
      <c r="T74" s="23">
        <f t="shared" si="15"/>
        <v>-716.66688000000067</v>
      </c>
      <c r="U74" s="14">
        <f t="shared" si="16"/>
        <v>-9.1240595787910383E-2</v>
      </c>
      <c r="V74" s="7" t="str">
        <f t="shared" si="17"/>
        <v>May-2023</v>
      </c>
      <c r="W74" s="22">
        <f t="shared" si="18"/>
        <v>45047</v>
      </c>
      <c r="X74" s="7" t="str">
        <f t="shared" si="19"/>
        <v>Q2-2023</v>
      </c>
      <c r="Y74" t="str">
        <f t="shared" si="20"/>
        <v>Asia → China → Shanghai</v>
      </c>
      <c r="Z74" t="str">
        <f t="shared" si="21"/>
        <v>Monitors</v>
      </c>
      <c r="AA74" t="str" cm="1">
        <f t="array" ref="AA74">_xlfn.IFS(O74&lt;=$AF$2,"Low",AND(O74&gt;$AF$2,O74&lt;$AF$3),"Medium",O74&gt;=$AF$3,"High")</f>
        <v>Low</v>
      </c>
      <c r="AB74" s="22">
        <f t="shared" si="22"/>
        <v>44927</v>
      </c>
      <c r="AC74">
        <v>4</v>
      </c>
    </row>
    <row r="75" spans="1:29" x14ac:dyDescent="0.35">
      <c r="A75" s="4" t="s">
        <v>514</v>
      </c>
      <c r="B75" s="5" t="str">
        <f>IF(COUNTIF($A$2:A75,A75)=1,"Original","Duplicate")</f>
        <v>Original</v>
      </c>
      <c r="C75" s="7">
        <v>45048</v>
      </c>
      <c r="D75" s="7">
        <v>45062</v>
      </c>
      <c r="E75">
        <f t="shared" si="12"/>
        <v>14</v>
      </c>
      <c r="F75" t="s">
        <v>647</v>
      </c>
      <c r="G75" t="s">
        <v>654</v>
      </c>
      <c r="H75" t="s">
        <v>668</v>
      </c>
      <c r="I75" t="s">
        <v>703</v>
      </c>
      <c r="J75" t="s">
        <v>707</v>
      </c>
      <c r="K75" t="s">
        <v>716</v>
      </c>
      <c r="L75" t="s">
        <v>732</v>
      </c>
      <c r="M75" t="s">
        <v>1233</v>
      </c>
      <c r="N75" s="23">
        <v>475.37</v>
      </c>
      <c r="O75" s="23">
        <v>963.73</v>
      </c>
      <c r="P75" s="8">
        <v>4.1000000000000002E-2</v>
      </c>
      <c r="Q75">
        <v>22</v>
      </c>
      <c r="R75" s="23">
        <f t="shared" si="13"/>
        <v>20332.775539999999</v>
      </c>
      <c r="S75" s="23">
        <f t="shared" si="14"/>
        <v>10458.14</v>
      </c>
      <c r="T75" s="23">
        <f t="shared" si="15"/>
        <v>9874.6355399999993</v>
      </c>
      <c r="U75" s="14">
        <f t="shared" si="16"/>
        <v>0.48565113604750881</v>
      </c>
      <c r="V75" s="7" t="str">
        <f t="shared" si="17"/>
        <v>May-2023</v>
      </c>
      <c r="W75" s="22">
        <f t="shared" si="18"/>
        <v>45047</v>
      </c>
      <c r="X75" s="7" t="str">
        <f t="shared" si="19"/>
        <v>Q2-2023</v>
      </c>
      <c r="Y75" t="str">
        <f t="shared" si="20"/>
        <v>Asia → India → Bengaluru</v>
      </c>
      <c r="Z75" t="str">
        <f t="shared" si="21"/>
        <v>Monitors</v>
      </c>
      <c r="AA75" t="str" cm="1">
        <f t="array" ref="AA75">_xlfn.IFS(O75&lt;=$AF$2,"Low",AND(O75&gt;$AF$2,O75&lt;$AF$3),"Medium",O75&gt;=$AF$3,"High")</f>
        <v>Medium</v>
      </c>
      <c r="AB75" s="22">
        <f t="shared" si="22"/>
        <v>44958</v>
      </c>
      <c r="AC75">
        <v>3</v>
      </c>
    </row>
    <row r="76" spans="1:29" x14ac:dyDescent="0.35">
      <c r="A76" s="4" t="s">
        <v>600</v>
      </c>
      <c r="B76" s="5" t="str">
        <f>IF(COUNTIF($A$2:A76,A76)=1,"Original","Duplicate")</f>
        <v>Original</v>
      </c>
      <c r="C76" s="7">
        <v>45049</v>
      </c>
      <c r="D76" s="7">
        <v>45062</v>
      </c>
      <c r="E76">
        <f t="shared" si="12"/>
        <v>13</v>
      </c>
      <c r="F76" t="s">
        <v>648</v>
      </c>
      <c r="G76" t="s">
        <v>660</v>
      </c>
      <c r="H76" t="s">
        <v>700</v>
      </c>
      <c r="I76" t="s">
        <v>701</v>
      </c>
      <c r="J76" t="s">
        <v>709</v>
      </c>
      <c r="K76" t="s">
        <v>716</v>
      </c>
      <c r="L76" t="s">
        <v>730</v>
      </c>
      <c r="M76" t="s">
        <v>1318</v>
      </c>
      <c r="N76" s="23">
        <v>64.5</v>
      </c>
      <c r="O76" s="23">
        <v>123.62</v>
      </c>
      <c r="P76" s="8">
        <v>0</v>
      </c>
      <c r="Q76">
        <v>3</v>
      </c>
      <c r="R76" s="23">
        <f t="shared" si="13"/>
        <v>370.86</v>
      </c>
      <c r="S76" s="23">
        <f t="shared" si="14"/>
        <v>193.5</v>
      </c>
      <c r="T76" s="23">
        <f t="shared" si="15"/>
        <v>177.36</v>
      </c>
      <c r="U76" s="14">
        <f t="shared" si="16"/>
        <v>0.47823976702798904</v>
      </c>
      <c r="V76" s="7" t="str">
        <f t="shared" si="17"/>
        <v>May-2023</v>
      </c>
      <c r="W76" s="22">
        <f t="shared" si="18"/>
        <v>45047</v>
      </c>
      <c r="X76" s="7" t="str">
        <f t="shared" si="19"/>
        <v>Q2-2023</v>
      </c>
      <c r="Y76" t="str">
        <f t="shared" si="20"/>
        <v>Americas → USA → New York</v>
      </c>
      <c r="Z76" t="str">
        <f t="shared" si="21"/>
        <v>Phones</v>
      </c>
      <c r="AA76" t="str" cm="1">
        <f t="array" ref="AA76">_xlfn.IFS(O76&lt;=$AF$2,"Low",AND(O76&gt;$AF$2,O76&lt;$AF$3),"Medium",O76&gt;=$AF$3,"High")</f>
        <v>Low</v>
      </c>
      <c r="AB76" s="22">
        <f t="shared" si="22"/>
        <v>44927</v>
      </c>
      <c r="AC76">
        <v>4</v>
      </c>
    </row>
    <row r="77" spans="1:29" x14ac:dyDescent="0.35">
      <c r="A77" s="4" t="s">
        <v>208</v>
      </c>
      <c r="B77" s="5" t="str">
        <f>IF(COUNTIF($A$2:A77,A77)=1,"Original","Duplicate")</f>
        <v>Original</v>
      </c>
      <c r="C77" s="7">
        <v>45050</v>
      </c>
      <c r="D77" s="7">
        <v>45072</v>
      </c>
      <c r="E77">
        <f t="shared" si="12"/>
        <v>22</v>
      </c>
      <c r="F77" t="s">
        <v>648</v>
      </c>
      <c r="G77" t="s">
        <v>660</v>
      </c>
      <c r="H77" t="s">
        <v>686</v>
      </c>
      <c r="I77" t="s">
        <v>706</v>
      </c>
      <c r="J77" t="s">
        <v>708</v>
      </c>
      <c r="K77" t="s">
        <v>713</v>
      </c>
      <c r="L77" t="s">
        <v>729</v>
      </c>
      <c r="M77" t="s">
        <v>928</v>
      </c>
      <c r="N77" s="23">
        <v>249.71</v>
      </c>
      <c r="O77" s="23">
        <v>361.33</v>
      </c>
      <c r="P77" s="8">
        <v>9.4E-2</v>
      </c>
      <c r="Q77">
        <v>12</v>
      </c>
      <c r="R77" s="23">
        <f t="shared" si="13"/>
        <v>3928.3797600000003</v>
      </c>
      <c r="S77" s="23">
        <f t="shared" si="14"/>
        <v>2996.52</v>
      </c>
      <c r="T77" s="23">
        <f t="shared" si="15"/>
        <v>931.85976000000028</v>
      </c>
      <c r="U77" s="14">
        <f t="shared" si="16"/>
        <v>0.23721223937881206</v>
      </c>
      <c r="V77" s="7" t="str">
        <f t="shared" si="17"/>
        <v>May-2023</v>
      </c>
      <c r="W77" s="22">
        <f t="shared" si="18"/>
        <v>45047</v>
      </c>
      <c r="X77" s="7" t="str">
        <f t="shared" si="19"/>
        <v>Q2-2023</v>
      </c>
      <c r="Y77" t="str">
        <f t="shared" si="20"/>
        <v>Americas → USA → San Francisco</v>
      </c>
      <c r="Z77" t="str">
        <f t="shared" si="21"/>
        <v>Networking</v>
      </c>
      <c r="AA77" t="str" cm="1">
        <f t="array" ref="AA77">_xlfn.IFS(O77&lt;=$AF$2,"Low",AND(O77&gt;$AF$2,O77&lt;$AF$3),"Medium",O77&gt;=$AF$3,"High")</f>
        <v>Low</v>
      </c>
      <c r="AB77" s="22">
        <f t="shared" si="22"/>
        <v>44927</v>
      </c>
      <c r="AC77">
        <v>4</v>
      </c>
    </row>
    <row r="78" spans="1:29" x14ac:dyDescent="0.35">
      <c r="A78" s="4" t="s">
        <v>361</v>
      </c>
      <c r="B78" s="5" t="str">
        <f>IF(COUNTIF($A$2:A78,A78)=1,"Original","Duplicate")</f>
        <v>Original</v>
      </c>
      <c r="C78" s="7">
        <v>45050</v>
      </c>
      <c r="D78" s="7">
        <v>45062</v>
      </c>
      <c r="E78">
        <f t="shared" si="12"/>
        <v>12</v>
      </c>
      <c r="F78" t="s">
        <v>646</v>
      </c>
      <c r="G78" t="s">
        <v>651</v>
      </c>
      <c r="H78" t="s">
        <v>669</v>
      </c>
      <c r="I78" t="s">
        <v>705</v>
      </c>
      <c r="J78" t="s">
        <v>709</v>
      </c>
      <c r="K78" t="s">
        <v>713</v>
      </c>
      <c r="L78" t="s">
        <v>730</v>
      </c>
      <c r="M78" t="s">
        <v>1081</v>
      </c>
      <c r="N78" s="23">
        <v>77.739999999999995</v>
      </c>
      <c r="O78" s="23">
        <v>147.12</v>
      </c>
      <c r="P78" s="8">
        <v>0</v>
      </c>
      <c r="Q78">
        <v>15</v>
      </c>
      <c r="R78" s="23">
        <f t="shared" si="13"/>
        <v>2206.8000000000002</v>
      </c>
      <c r="S78" s="23">
        <f t="shared" si="14"/>
        <v>1166.0999999999999</v>
      </c>
      <c r="T78" s="23">
        <f t="shared" si="15"/>
        <v>1040.7000000000003</v>
      </c>
      <c r="U78" s="14">
        <f t="shared" si="16"/>
        <v>0.47158781946710177</v>
      </c>
      <c r="V78" s="7" t="str">
        <f t="shared" si="17"/>
        <v>May-2023</v>
      </c>
      <c r="W78" s="22">
        <f t="shared" si="18"/>
        <v>45047</v>
      </c>
      <c r="X78" s="7" t="str">
        <f t="shared" si="19"/>
        <v>Q2-2023</v>
      </c>
      <c r="Y78" t="str">
        <f t="shared" si="20"/>
        <v>Africa → Nigeria → Abuja</v>
      </c>
      <c r="Z78" t="str">
        <f t="shared" si="21"/>
        <v>Phones</v>
      </c>
      <c r="AA78" t="str" cm="1">
        <f t="array" ref="AA78">_xlfn.IFS(O78&lt;=$AF$2,"Low",AND(O78&gt;$AF$2,O78&lt;$AF$3),"Medium",O78&gt;=$AF$3,"High")</f>
        <v>Low</v>
      </c>
      <c r="AB78" s="22">
        <f t="shared" si="22"/>
        <v>44927</v>
      </c>
      <c r="AC78">
        <v>4</v>
      </c>
    </row>
    <row r="79" spans="1:29" x14ac:dyDescent="0.35">
      <c r="A79" s="4" t="s">
        <v>330</v>
      </c>
      <c r="B79" s="5" t="str">
        <f>IF(COUNTIF($A$2:A79,A79)=1,"Original","Duplicate")</f>
        <v>Original</v>
      </c>
      <c r="C79" s="7">
        <v>45052</v>
      </c>
      <c r="D79" s="7">
        <v>45060</v>
      </c>
      <c r="E79">
        <f t="shared" si="12"/>
        <v>8</v>
      </c>
      <c r="F79" t="s">
        <v>647</v>
      </c>
      <c r="G79" t="s">
        <v>652</v>
      </c>
      <c r="H79" t="s">
        <v>666</v>
      </c>
      <c r="I79" t="s">
        <v>706</v>
      </c>
      <c r="J79" t="s">
        <v>709</v>
      </c>
      <c r="K79" t="s">
        <v>717</v>
      </c>
      <c r="L79" t="s">
        <v>730</v>
      </c>
      <c r="M79" t="s">
        <v>1050</v>
      </c>
      <c r="N79" s="23">
        <v>291.18</v>
      </c>
      <c r="O79" s="23">
        <v>479.54</v>
      </c>
      <c r="P79" s="8">
        <v>0.14099999999999999</v>
      </c>
      <c r="Q79">
        <v>22</v>
      </c>
      <c r="R79" s="23">
        <f t="shared" si="13"/>
        <v>9062.34692</v>
      </c>
      <c r="S79" s="23">
        <f t="shared" si="14"/>
        <v>6405.96</v>
      </c>
      <c r="T79" s="23">
        <f t="shared" si="15"/>
        <v>2656.3869199999999</v>
      </c>
      <c r="U79" s="14">
        <f t="shared" si="16"/>
        <v>0.29312350801066001</v>
      </c>
      <c r="V79" s="7" t="str">
        <f t="shared" si="17"/>
        <v>May-2023</v>
      </c>
      <c r="W79" s="22">
        <f t="shared" si="18"/>
        <v>45047</v>
      </c>
      <c r="X79" s="7" t="str">
        <f t="shared" si="19"/>
        <v>Q2-2023</v>
      </c>
      <c r="Y79" t="str">
        <f t="shared" si="20"/>
        <v>Asia → Japan → Osaka</v>
      </c>
      <c r="Z79" t="str">
        <f t="shared" si="21"/>
        <v>Phones</v>
      </c>
      <c r="AA79" t="str" cm="1">
        <f t="array" ref="AA79">_xlfn.IFS(O79&lt;=$AF$2,"Low",AND(O79&gt;$AF$2,O79&lt;$AF$3),"Medium",O79&gt;=$AF$3,"High")</f>
        <v>Low</v>
      </c>
      <c r="AB79" s="22">
        <f t="shared" si="22"/>
        <v>44986</v>
      </c>
      <c r="AC79">
        <v>2</v>
      </c>
    </row>
    <row r="80" spans="1:29" x14ac:dyDescent="0.35">
      <c r="A80" s="4" t="s">
        <v>281</v>
      </c>
      <c r="B80" s="5" t="str">
        <f>IF(COUNTIF($A$2:A80,A80)=1,"Original","Duplicate")</f>
        <v>Original</v>
      </c>
      <c r="C80" s="7">
        <v>45053</v>
      </c>
      <c r="D80" s="7">
        <v>45058</v>
      </c>
      <c r="E80">
        <f t="shared" si="12"/>
        <v>5</v>
      </c>
      <c r="F80" t="s">
        <v>646</v>
      </c>
      <c r="G80" t="s">
        <v>651</v>
      </c>
      <c r="H80" t="s">
        <v>663</v>
      </c>
      <c r="I80" t="s">
        <v>703</v>
      </c>
      <c r="J80" t="s">
        <v>709</v>
      </c>
      <c r="K80" t="s">
        <v>720</v>
      </c>
      <c r="L80" t="s">
        <v>727</v>
      </c>
      <c r="M80" t="s">
        <v>1001</v>
      </c>
      <c r="N80" s="23">
        <v>1269.6500000000001</v>
      </c>
      <c r="O80" s="23">
        <v>2462.77</v>
      </c>
      <c r="P80" s="8">
        <v>0.107</v>
      </c>
      <c r="Q80">
        <v>8</v>
      </c>
      <c r="R80" s="23">
        <f t="shared" si="13"/>
        <v>17594.028880000002</v>
      </c>
      <c r="S80" s="23">
        <f t="shared" si="14"/>
        <v>10157.200000000001</v>
      </c>
      <c r="T80" s="23">
        <f t="shared" si="15"/>
        <v>7436.8288800000009</v>
      </c>
      <c r="U80" s="14">
        <f t="shared" si="16"/>
        <v>0.42269050089225502</v>
      </c>
      <c r="V80" s="7" t="str">
        <f t="shared" si="17"/>
        <v>May-2023</v>
      </c>
      <c r="W80" s="22">
        <f t="shared" si="18"/>
        <v>45047</v>
      </c>
      <c r="X80" s="7" t="str">
        <f t="shared" si="19"/>
        <v>Q2-2023</v>
      </c>
      <c r="Y80" t="str">
        <f t="shared" si="20"/>
        <v>Africa → Nigeria → Port Harcourt</v>
      </c>
      <c r="Z80" t="str">
        <f t="shared" si="21"/>
        <v>Components</v>
      </c>
      <c r="AA80" t="str" cm="1">
        <f t="array" ref="AA80">_xlfn.IFS(O80&lt;=$AF$2,"Low",AND(O80&gt;$AF$2,O80&lt;$AF$3),"Medium",O80&gt;=$AF$3,"High")</f>
        <v>High</v>
      </c>
      <c r="AB80" s="22">
        <f t="shared" si="22"/>
        <v>44927</v>
      </c>
      <c r="AC80">
        <v>4</v>
      </c>
    </row>
    <row r="81" spans="1:29" x14ac:dyDescent="0.35">
      <c r="A81" s="4" t="s">
        <v>339</v>
      </c>
      <c r="B81" s="5" t="str">
        <f>IF(COUNTIF($A$2:A81,A81)=1,"Original","Duplicate")</f>
        <v>Original</v>
      </c>
      <c r="C81" s="7">
        <v>45053</v>
      </c>
      <c r="D81" s="7">
        <v>45075</v>
      </c>
      <c r="E81">
        <f t="shared" si="12"/>
        <v>22</v>
      </c>
      <c r="F81" t="s">
        <v>646</v>
      </c>
      <c r="G81" t="s">
        <v>661</v>
      </c>
      <c r="H81" t="s">
        <v>687</v>
      </c>
      <c r="I81" t="s">
        <v>702</v>
      </c>
      <c r="J81" t="s">
        <v>710</v>
      </c>
      <c r="K81" t="s">
        <v>723</v>
      </c>
      <c r="L81" t="s">
        <v>733</v>
      </c>
      <c r="M81" t="s">
        <v>1059</v>
      </c>
      <c r="N81" s="23">
        <v>653.86</v>
      </c>
      <c r="O81" s="23">
        <v>931.84</v>
      </c>
      <c r="P81" s="8">
        <v>0.121</v>
      </c>
      <c r="Q81">
        <v>12</v>
      </c>
      <c r="R81" s="23">
        <f t="shared" si="13"/>
        <v>9829.0483199999999</v>
      </c>
      <c r="S81" s="23">
        <f t="shared" si="14"/>
        <v>7846.32</v>
      </c>
      <c r="T81" s="23">
        <f t="shared" si="15"/>
        <v>1982.7283200000002</v>
      </c>
      <c r="U81" s="14">
        <f t="shared" si="16"/>
        <v>0.20172129136506273</v>
      </c>
      <c r="V81" s="7" t="str">
        <f t="shared" si="17"/>
        <v>May-2023</v>
      </c>
      <c r="W81" s="22">
        <f t="shared" si="18"/>
        <v>45047</v>
      </c>
      <c r="X81" s="7" t="str">
        <f t="shared" si="19"/>
        <v>Q2-2023</v>
      </c>
      <c r="Y81" t="str">
        <f t="shared" si="20"/>
        <v>Africa → South Africa → Durban</v>
      </c>
      <c r="Z81" t="str">
        <f t="shared" si="21"/>
        <v>Accessories</v>
      </c>
      <c r="AA81" t="str" cm="1">
        <f t="array" ref="AA81">_xlfn.IFS(O81&lt;=$AF$2,"Low",AND(O81&gt;$AF$2,O81&lt;$AF$3),"Medium",O81&gt;=$AF$3,"High")</f>
        <v>Medium</v>
      </c>
      <c r="AB81" s="22">
        <f t="shared" si="22"/>
        <v>44927</v>
      </c>
      <c r="AC81">
        <v>4</v>
      </c>
    </row>
    <row r="82" spans="1:29" x14ac:dyDescent="0.35">
      <c r="A82" s="4" t="s">
        <v>570</v>
      </c>
      <c r="B82" s="5" t="str">
        <f>IF(COUNTIF($A$2:A82,A82)=1,"Original","Duplicate")</f>
        <v>Original</v>
      </c>
      <c r="C82" s="7">
        <v>45053</v>
      </c>
      <c r="D82" s="7">
        <v>45066</v>
      </c>
      <c r="E82">
        <f t="shared" si="12"/>
        <v>13</v>
      </c>
      <c r="F82" t="s">
        <v>647</v>
      </c>
      <c r="G82" t="s">
        <v>654</v>
      </c>
      <c r="H82" t="s">
        <v>691</v>
      </c>
      <c r="I82" t="s">
        <v>706</v>
      </c>
      <c r="J82" t="s">
        <v>707</v>
      </c>
      <c r="K82" t="s">
        <v>726</v>
      </c>
      <c r="L82" t="s">
        <v>733</v>
      </c>
      <c r="M82" t="s">
        <v>1288</v>
      </c>
      <c r="N82" s="23">
        <v>1443.28</v>
      </c>
      <c r="O82" s="23">
        <v>2580.5700000000002</v>
      </c>
      <c r="P82" s="8">
        <v>0</v>
      </c>
      <c r="Q82">
        <v>18</v>
      </c>
      <c r="R82" s="23">
        <f t="shared" si="13"/>
        <v>46450.26</v>
      </c>
      <c r="S82" s="23">
        <f t="shared" si="14"/>
        <v>25979.040000000001</v>
      </c>
      <c r="T82" s="23">
        <f t="shared" si="15"/>
        <v>20471.22</v>
      </c>
      <c r="U82" s="14">
        <f t="shared" si="16"/>
        <v>0.4407127107577008</v>
      </c>
      <c r="V82" s="7" t="str">
        <f t="shared" si="17"/>
        <v>May-2023</v>
      </c>
      <c r="W82" s="22">
        <f t="shared" si="18"/>
        <v>45047</v>
      </c>
      <c r="X82" s="7" t="str">
        <f t="shared" si="19"/>
        <v>Q2-2023</v>
      </c>
      <c r="Y82" t="str">
        <f t="shared" si="20"/>
        <v>Asia → India → Mumbai</v>
      </c>
      <c r="Z82" t="str">
        <f t="shared" si="21"/>
        <v>Accessories</v>
      </c>
      <c r="AA82" t="str" cm="1">
        <f t="array" ref="AA82">_xlfn.IFS(O82&lt;=$AF$2,"Low",AND(O82&gt;$AF$2,O82&lt;$AF$3),"Medium",O82&gt;=$AF$3,"High")</f>
        <v>High</v>
      </c>
      <c r="AB82" s="22">
        <f t="shared" si="22"/>
        <v>44958</v>
      </c>
      <c r="AC82">
        <v>3</v>
      </c>
    </row>
    <row r="83" spans="1:29" x14ac:dyDescent="0.35">
      <c r="A83" s="4" t="s">
        <v>524</v>
      </c>
      <c r="B83" s="5" t="str">
        <f>IF(COUNTIF($A$2:A83,A83)=1,"Original","Duplicate")</f>
        <v>Original</v>
      </c>
      <c r="C83" s="7">
        <v>45056</v>
      </c>
      <c r="D83" s="7">
        <v>45060</v>
      </c>
      <c r="E83">
        <f t="shared" si="12"/>
        <v>4</v>
      </c>
      <c r="F83" t="s">
        <v>647</v>
      </c>
      <c r="G83" t="s">
        <v>654</v>
      </c>
      <c r="H83" t="s">
        <v>680</v>
      </c>
      <c r="I83" t="s">
        <v>703</v>
      </c>
      <c r="J83" t="s">
        <v>710</v>
      </c>
      <c r="K83" t="s">
        <v>712</v>
      </c>
      <c r="L83" t="s">
        <v>732</v>
      </c>
      <c r="M83" t="s">
        <v>1243</v>
      </c>
      <c r="N83" s="23">
        <v>622.6</v>
      </c>
      <c r="O83" s="23">
        <v>833.69</v>
      </c>
      <c r="P83" s="8">
        <v>0.20899999999999999</v>
      </c>
      <c r="Q83">
        <v>14</v>
      </c>
      <c r="R83" s="23">
        <f t="shared" si="13"/>
        <v>9232.2830599999998</v>
      </c>
      <c r="S83" s="23">
        <f t="shared" si="14"/>
        <v>8716.4</v>
      </c>
      <c r="T83" s="23">
        <f t="shared" si="15"/>
        <v>515.88306000000011</v>
      </c>
      <c r="U83" s="14">
        <f t="shared" si="16"/>
        <v>5.5878167582959715E-2</v>
      </c>
      <c r="V83" s="7" t="str">
        <f t="shared" si="17"/>
        <v>May-2023</v>
      </c>
      <c r="W83" s="22">
        <f t="shared" si="18"/>
        <v>45047</v>
      </c>
      <c r="X83" s="7" t="str">
        <f t="shared" si="19"/>
        <v>Q2-2023</v>
      </c>
      <c r="Y83" t="str">
        <f t="shared" si="20"/>
        <v>Asia → India → Delhi</v>
      </c>
      <c r="Z83" t="str">
        <f t="shared" si="21"/>
        <v>Monitors</v>
      </c>
      <c r="AA83" t="str" cm="1">
        <f t="array" ref="AA83">_xlfn.IFS(O83&lt;=$AF$2,"Low",AND(O83&gt;$AF$2,O83&lt;$AF$3),"Medium",O83&gt;=$AF$3,"High")</f>
        <v>Medium</v>
      </c>
      <c r="AB83" s="22">
        <f t="shared" si="22"/>
        <v>44958</v>
      </c>
      <c r="AC83">
        <v>3</v>
      </c>
    </row>
    <row r="84" spans="1:29" x14ac:dyDescent="0.35">
      <c r="A84" s="4" t="s">
        <v>535</v>
      </c>
      <c r="B84" s="5" t="str">
        <f>IF(COUNTIF($A$2:A84,A84)=1,"Original","Duplicate")</f>
        <v>Original</v>
      </c>
      <c r="C84" s="7">
        <v>45056</v>
      </c>
      <c r="D84" s="7">
        <v>45073</v>
      </c>
      <c r="E84">
        <f t="shared" si="12"/>
        <v>17</v>
      </c>
      <c r="F84" t="s">
        <v>647</v>
      </c>
      <c r="G84" t="s">
        <v>654</v>
      </c>
      <c r="H84" t="s">
        <v>691</v>
      </c>
      <c r="I84" t="s">
        <v>704</v>
      </c>
      <c r="J84" t="s">
        <v>707</v>
      </c>
      <c r="K84" t="s">
        <v>724</v>
      </c>
      <c r="L84" t="s">
        <v>731</v>
      </c>
      <c r="M84" t="s">
        <v>1254</v>
      </c>
      <c r="N84" s="23">
        <v>1286.1600000000001</v>
      </c>
      <c r="O84" s="23">
        <v>3101.11</v>
      </c>
      <c r="P84" s="8">
        <v>0.1</v>
      </c>
      <c r="Q84">
        <v>23</v>
      </c>
      <c r="R84" s="23">
        <f t="shared" si="13"/>
        <v>64192.976999999999</v>
      </c>
      <c r="S84" s="23">
        <f t="shared" si="14"/>
        <v>29581.68</v>
      </c>
      <c r="T84" s="23">
        <f t="shared" si="15"/>
        <v>34611.296999999999</v>
      </c>
      <c r="U84" s="14">
        <f t="shared" si="16"/>
        <v>0.53917575749758417</v>
      </c>
      <c r="V84" s="7" t="str">
        <f t="shared" si="17"/>
        <v>May-2023</v>
      </c>
      <c r="W84" s="22">
        <f t="shared" si="18"/>
        <v>45047</v>
      </c>
      <c r="X84" s="7" t="str">
        <f t="shared" si="19"/>
        <v>Q2-2023</v>
      </c>
      <c r="Y84" t="str">
        <f t="shared" si="20"/>
        <v>Asia → India → Mumbai</v>
      </c>
      <c r="Z84" t="str">
        <f t="shared" si="21"/>
        <v>Laptops</v>
      </c>
      <c r="AA84" t="str" cm="1">
        <f t="array" ref="AA84">_xlfn.IFS(O84&lt;=$AF$2,"Low",AND(O84&gt;$AF$2,O84&lt;$AF$3),"Medium",O84&gt;=$AF$3,"High")</f>
        <v>High</v>
      </c>
      <c r="AB84" s="22">
        <f t="shared" si="22"/>
        <v>44958</v>
      </c>
      <c r="AC84">
        <v>3</v>
      </c>
    </row>
    <row r="85" spans="1:29" x14ac:dyDescent="0.35">
      <c r="A85" s="4" t="s">
        <v>36</v>
      </c>
      <c r="B85" s="5" t="str">
        <f>IF(COUNTIF($A$2:A85,A85)=1,"Original","Duplicate")</f>
        <v>Original</v>
      </c>
      <c r="C85" s="7">
        <v>45057</v>
      </c>
      <c r="D85" s="7">
        <v>45074</v>
      </c>
      <c r="E85">
        <f t="shared" si="12"/>
        <v>17</v>
      </c>
      <c r="F85" t="s">
        <v>647</v>
      </c>
      <c r="G85" t="s">
        <v>659</v>
      </c>
      <c r="H85" t="s">
        <v>676</v>
      </c>
      <c r="I85" t="s">
        <v>706</v>
      </c>
      <c r="J85" t="s">
        <v>709</v>
      </c>
      <c r="K85" t="s">
        <v>718</v>
      </c>
      <c r="L85" t="s">
        <v>729</v>
      </c>
      <c r="M85" t="s">
        <v>755</v>
      </c>
      <c r="N85" s="23">
        <v>1331.19</v>
      </c>
      <c r="O85" s="23">
        <v>2903.09</v>
      </c>
      <c r="P85" s="8">
        <v>0.14299999999999999</v>
      </c>
      <c r="Q85">
        <v>8</v>
      </c>
      <c r="R85" s="23">
        <f t="shared" si="13"/>
        <v>19903.585040000002</v>
      </c>
      <c r="S85" s="23">
        <f t="shared" si="14"/>
        <v>10649.52</v>
      </c>
      <c r="T85" s="23">
        <f t="shared" si="15"/>
        <v>9254.0650400000013</v>
      </c>
      <c r="U85" s="14">
        <f t="shared" si="16"/>
        <v>0.46494463290920784</v>
      </c>
      <c r="V85" s="7" t="str">
        <f t="shared" si="17"/>
        <v>May-2023</v>
      </c>
      <c r="W85" s="22">
        <f t="shared" si="18"/>
        <v>45047</v>
      </c>
      <c r="X85" s="7" t="str">
        <f t="shared" si="19"/>
        <v>Q2-2023</v>
      </c>
      <c r="Y85" t="str">
        <f t="shared" si="20"/>
        <v>Asia → China → Shenzhen</v>
      </c>
      <c r="Z85" t="str">
        <f t="shared" si="21"/>
        <v>Networking</v>
      </c>
      <c r="AA85" t="str" cm="1">
        <f t="array" ref="AA85">_xlfn.IFS(O85&lt;=$AF$2,"Low",AND(O85&gt;$AF$2,O85&lt;$AF$3),"Medium",O85&gt;=$AF$3,"High")</f>
        <v>High</v>
      </c>
      <c r="AB85" s="22">
        <f t="shared" si="22"/>
        <v>44927</v>
      </c>
      <c r="AC85">
        <v>4</v>
      </c>
    </row>
    <row r="86" spans="1:29" x14ac:dyDescent="0.35">
      <c r="A86" s="4" t="s">
        <v>121</v>
      </c>
      <c r="B86" s="5" t="str">
        <f>IF(COUNTIF($A$2:A86,A86)=1,"Original","Duplicate")</f>
        <v>Original</v>
      </c>
      <c r="C86" s="7">
        <v>45057</v>
      </c>
      <c r="D86" s="7">
        <v>45084</v>
      </c>
      <c r="E86">
        <f t="shared" si="12"/>
        <v>27</v>
      </c>
      <c r="F86" t="s">
        <v>646</v>
      </c>
      <c r="G86" t="s">
        <v>650</v>
      </c>
      <c r="H86" t="s">
        <v>675</v>
      </c>
      <c r="I86" t="s">
        <v>701</v>
      </c>
      <c r="J86" t="s">
        <v>708</v>
      </c>
      <c r="K86" t="s">
        <v>713</v>
      </c>
      <c r="L86" t="s">
        <v>730</v>
      </c>
      <c r="M86" t="s">
        <v>840</v>
      </c>
      <c r="N86" s="23">
        <v>12.85</v>
      </c>
      <c r="O86" s="23">
        <v>15.41</v>
      </c>
      <c r="P86" s="8">
        <v>0.13700000000000001</v>
      </c>
      <c r="Q86">
        <v>39</v>
      </c>
      <c r="R86" s="23">
        <f t="shared" si="13"/>
        <v>518.65436999999997</v>
      </c>
      <c r="S86" s="23">
        <f t="shared" si="14"/>
        <v>501.15</v>
      </c>
      <c r="T86" s="23">
        <f t="shared" si="15"/>
        <v>17.504369999999994</v>
      </c>
      <c r="U86" s="14">
        <f t="shared" si="16"/>
        <v>3.3749585489851353E-2</v>
      </c>
      <c r="V86" s="7" t="str">
        <f t="shared" si="17"/>
        <v>May-2023</v>
      </c>
      <c r="W86" s="22">
        <f t="shared" si="18"/>
        <v>45047</v>
      </c>
      <c r="X86" s="7" t="str">
        <f t="shared" si="19"/>
        <v>Q2-2023</v>
      </c>
      <c r="Y86" t="str">
        <f t="shared" si="20"/>
        <v>Africa → Kenya → Mombasa</v>
      </c>
      <c r="Z86" t="str">
        <f t="shared" si="21"/>
        <v>Phones</v>
      </c>
      <c r="AA86" t="str" cm="1">
        <f t="array" ref="AA86">_xlfn.IFS(O86&lt;=$AF$2,"Low",AND(O86&gt;$AF$2,O86&lt;$AF$3),"Medium",O86&gt;=$AF$3,"High")</f>
        <v>Low</v>
      </c>
      <c r="AB86" s="22">
        <f t="shared" si="22"/>
        <v>44927</v>
      </c>
      <c r="AC86">
        <v>4</v>
      </c>
    </row>
    <row r="87" spans="1:29" x14ac:dyDescent="0.35">
      <c r="A87" s="4" t="s">
        <v>484</v>
      </c>
      <c r="B87" s="5" t="str">
        <f>IF(COUNTIF($A$2:A87,A87)=1,"Original","Duplicate")</f>
        <v>Original</v>
      </c>
      <c r="C87" s="7">
        <v>45060</v>
      </c>
      <c r="D87" s="7">
        <v>45068</v>
      </c>
      <c r="E87">
        <f t="shared" si="12"/>
        <v>8</v>
      </c>
      <c r="F87" t="s">
        <v>646</v>
      </c>
      <c r="G87" t="s">
        <v>650</v>
      </c>
      <c r="H87" t="s">
        <v>675</v>
      </c>
      <c r="I87" t="s">
        <v>705</v>
      </c>
      <c r="J87" t="s">
        <v>710</v>
      </c>
      <c r="K87" t="s">
        <v>721</v>
      </c>
      <c r="L87" t="s">
        <v>728</v>
      </c>
      <c r="M87" t="s">
        <v>1203</v>
      </c>
      <c r="N87" s="23">
        <v>432.01</v>
      </c>
      <c r="O87" s="23">
        <v>913.78</v>
      </c>
      <c r="P87" s="8">
        <v>4.9000000000000002E-2</v>
      </c>
      <c r="Q87">
        <v>12</v>
      </c>
      <c r="R87" s="23">
        <f t="shared" si="13"/>
        <v>10428.057360000001</v>
      </c>
      <c r="S87" s="23">
        <f t="shared" si="14"/>
        <v>5184.12</v>
      </c>
      <c r="T87" s="23">
        <f t="shared" si="15"/>
        <v>5243.9373600000008</v>
      </c>
      <c r="U87" s="14">
        <f t="shared" si="16"/>
        <v>0.50286809699711899</v>
      </c>
      <c r="V87" s="7" t="str">
        <f t="shared" si="17"/>
        <v>May-2023</v>
      </c>
      <c r="W87" s="22">
        <f t="shared" si="18"/>
        <v>45047</v>
      </c>
      <c r="X87" s="7" t="str">
        <f t="shared" si="19"/>
        <v>Q2-2023</v>
      </c>
      <c r="Y87" t="str">
        <f t="shared" si="20"/>
        <v>Africa → Kenya → Mombasa</v>
      </c>
      <c r="Z87" t="str">
        <f t="shared" si="21"/>
        <v>Printers</v>
      </c>
      <c r="AA87" t="str" cm="1">
        <f t="array" ref="AA87">_xlfn.IFS(O87&lt;=$AF$2,"Low",AND(O87&gt;$AF$2,O87&lt;$AF$3),"Medium",O87&gt;=$AF$3,"High")</f>
        <v>Medium</v>
      </c>
      <c r="AB87" s="22">
        <f t="shared" si="22"/>
        <v>44927</v>
      </c>
      <c r="AC87">
        <v>4</v>
      </c>
    </row>
    <row r="88" spans="1:29" x14ac:dyDescent="0.35">
      <c r="A88" s="4" t="s">
        <v>454</v>
      </c>
      <c r="B88" s="5" t="str">
        <f>IF(COUNTIF($A$2:A88,A88)=1,"Original","Duplicate")</f>
        <v>Original</v>
      </c>
      <c r="C88" s="7">
        <v>45063</v>
      </c>
      <c r="D88" s="7">
        <v>45080</v>
      </c>
      <c r="E88">
        <f t="shared" si="12"/>
        <v>17</v>
      </c>
      <c r="F88" t="s">
        <v>647</v>
      </c>
      <c r="G88" t="s">
        <v>659</v>
      </c>
      <c r="H88" t="s">
        <v>699</v>
      </c>
      <c r="I88" t="s">
        <v>703</v>
      </c>
      <c r="J88" t="s">
        <v>710</v>
      </c>
      <c r="K88" t="s">
        <v>724</v>
      </c>
      <c r="L88" t="s">
        <v>728</v>
      </c>
      <c r="M88" t="s">
        <v>1173</v>
      </c>
      <c r="N88" s="23">
        <v>979.59</v>
      </c>
      <c r="O88" s="23">
        <v>2210.94</v>
      </c>
      <c r="P88" s="8">
        <v>0.15</v>
      </c>
      <c r="Q88">
        <v>11</v>
      </c>
      <c r="R88" s="23">
        <f t="shared" si="13"/>
        <v>20672.289000000001</v>
      </c>
      <c r="S88" s="23">
        <f t="shared" si="14"/>
        <v>10775.49</v>
      </c>
      <c r="T88" s="23">
        <f t="shared" si="15"/>
        <v>9896.7990000000009</v>
      </c>
      <c r="U88" s="14">
        <f t="shared" si="16"/>
        <v>0.47874712858358359</v>
      </c>
      <c r="V88" s="7" t="str">
        <f t="shared" si="17"/>
        <v>May-2023</v>
      </c>
      <c r="W88" s="22">
        <f t="shared" si="18"/>
        <v>45047</v>
      </c>
      <c r="X88" s="7" t="str">
        <f t="shared" si="19"/>
        <v>Q2-2023</v>
      </c>
      <c r="Y88" t="str">
        <f t="shared" si="20"/>
        <v>Asia → China → Beijing</v>
      </c>
      <c r="Z88" t="str">
        <f t="shared" si="21"/>
        <v>Printers</v>
      </c>
      <c r="AA88" t="str" cm="1">
        <f t="array" ref="AA88">_xlfn.IFS(O88&lt;=$AF$2,"Low",AND(O88&gt;$AF$2,O88&lt;$AF$3),"Medium",O88&gt;=$AF$3,"High")</f>
        <v>High</v>
      </c>
      <c r="AB88" s="22">
        <f t="shared" si="22"/>
        <v>44927</v>
      </c>
      <c r="AC88">
        <v>4</v>
      </c>
    </row>
    <row r="89" spans="1:29" x14ac:dyDescent="0.35">
      <c r="A89" s="4" t="s">
        <v>475</v>
      </c>
      <c r="B89" s="5" t="str">
        <f>IF(COUNTIF($A$2:A89,A89)=1,"Original","Duplicate")</f>
        <v>Original</v>
      </c>
      <c r="C89" s="7">
        <v>45063</v>
      </c>
      <c r="D89" s="7">
        <v>45092</v>
      </c>
      <c r="E89">
        <f t="shared" si="12"/>
        <v>29</v>
      </c>
      <c r="F89" t="s">
        <v>646</v>
      </c>
      <c r="G89" t="s">
        <v>661</v>
      </c>
      <c r="H89" t="s">
        <v>687</v>
      </c>
      <c r="I89" t="s">
        <v>706</v>
      </c>
      <c r="J89" t="s">
        <v>707</v>
      </c>
      <c r="K89" t="s">
        <v>723</v>
      </c>
      <c r="L89" t="s">
        <v>733</v>
      </c>
      <c r="M89" t="s">
        <v>1194</v>
      </c>
      <c r="N89" s="23">
        <v>40.89</v>
      </c>
      <c r="O89" s="23">
        <v>62.82</v>
      </c>
      <c r="P89" s="8">
        <v>0.129</v>
      </c>
      <c r="Q89">
        <v>17</v>
      </c>
      <c r="R89" s="23">
        <f t="shared" si="13"/>
        <v>930.17574000000002</v>
      </c>
      <c r="S89" s="23">
        <f t="shared" si="14"/>
        <v>695.13</v>
      </c>
      <c r="T89" s="23">
        <f t="shared" si="15"/>
        <v>235.04574000000002</v>
      </c>
      <c r="U89" s="14">
        <f t="shared" si="16"/>
        <v>0.25268960465470752</v>
      </c>
      <c r="V89" s="7" t="str">
        <f t="shared" si="17"/>
        <v>May-2023</v>
      </c>
      <c r="W89" s="22">
        <f t="shared" si="18"/>
        <v>45047</v>
      </c>
      <c r="X89" s="7" t="str">
        <f t="shared" si="19"/>
        <v>Q2-2023</v>
      </c>
      <c r="Y89" t="str">
        <f t="shared" si="20"/>
        <v>Africa → South Africa → Durban</v>
      </c>
      <c r="Z89" t="str">
        <f t="shared" si="21"/>
        <v>Accessories</v>
      </c>
      <c r="AA89" t="str" cm="1">
        <f t="array" ref="AA89">_xlfn.IFS(O89&lt;=$AF$2,"Low",AND(O89&gt;$AF$2,O89&lt;$AF$3),"Medium",O89&gt;=$AF$3,"High")</f>
        <v>Low</v>
      </c>
      <c r="AB89" s="22">
        <f t="shared" si="22"/>
        <v>44927</v>
      </c>
      <c r="AC89">
        <v>4</v>
      </c>
    </row>
    <row r="90" spans="1:29" x14ac:dyDescent="0.35">
      <c r="A90" s="4" t="s">
        <v>89</v>
      </c>
      <c r="B90" s="5" t="str">
        <f>IF(COUNTIF($A$2:A90,A90)=1,"Original","Duplicate")</f>
        <v>Original</v>
      </c>
      <c r="C90" s="7">
        <v>45066</v>
      </c>
      <c r="D90" s="7">
        <v>45072</v>
      </c>
      <c r="E90">
        <f t="shared" si="12"/>
        <v>6</v>
      </c>
      <c r="F90" t="s">
        <v>646</v>
      </c>
      <c r="G90" t="s">
        <v>661</v>
      </c>
      <c r="H90" t="s">
        <v>687</v>
      </c>
      <c r="I90" t="s">
        <v>701</v>
      </c>
      <c r="J90" t="s">
        <v>710</v>
      </c>
      <c r="K90" t="s">
        <v>720</v>
      </c>
      <c r="L90" t="s">
        <v>727</v>
      </c>
      <c r="M90" t="s">
        <v>808</v>
      </c>
      <c r="N90" s="23">
        <v>917.88</v>
      </c>
      <c r="O90" s="23">
        <v>1347.92</v>
      </c>
      <c r="P90" s="8">
        <v>0.3</v>
      </c>
      <c r="Q90">
        <v>5</v>
      </c>
      <c r="R90" s="23">
        <f t="shared" si="13"/>
        <v>4717.72</v>
      </c>
      <c r="S90" s="23">
        <f t="shared" si="14"/>
        <v>4589.3999999999996</v>
      </c>
      <c r="T90" s="23">
        <f t="shared" si="15"/>
        <v>128.32000000000062</v>
      </c>
      <c r="U90" s="14">
        <f t="shared" si="16"/>
        <v>2.7199579457873848E-2</v>
      </c>
      <c r="V90" s="7" t="str">
        <f t="shared" si="17"/>
        <v>May-2023</v>
      </c>
      <c r="W90" s="22">
        <f t="shared" si="18"/>
        <v>45047</v>
      </c>
      <c r="X90" s="7" t="str">
        <f t="shared" si="19"/>
        <v>Q2-2023</v>
      </c>
      <c r="Y90" t="str">
        <f t="shared" si="20"/>
        <v>Africa → South Africa → Durban</v>
      </c>
      <c r="Z90" t="str">
        <f t="shared" si="21"/>
        <v>Components</v>
      </c>
      <c r="AA90" t="str" cm="1">
        <f t="array" ref="AA90">_xlfn.IFS(O90&lt;=$AF$2,"Low",AND(O90&gt;$AF$2,O90&lt;$AF$3),"Medium",O90&gt;=$AF$3,"High")</f>
        <v>Medium</v>
      </c>
      <c r="AB90" s="22">
        <f t="shared" si="22"/>
        <v>44927</v>
      </c>
      <c r="AC90">
        <v>4</v>
      </c>
    </row>
    <row r="91" spans="1:29" x14ac:dyDescent="0.35">
      <c r="A91" s="4" t="s">
        <v>274</v>
      </c>
      <c r="B91" s="5" t="str">
        <f>IF(COUNTIF($A$2:A91,A91)=1,"Original","Duplicate")</f>
        <v>Original</v>
      </c>
      <c r="C91" s="7">
        <v>45066</v>
      </c>
      <c r="D91" s="7">
        <v>45084</v>
      </c>
      <c r="E91">
        <f t="shared" si="12"/>
        <v>18</v>
      </c>
      <c r="F91" t="s">
        <v>646</v>
      </c>
      <c r="G91" t="s">
        <v>651</v>
      </c>
      <c r="H91" t="s">
        <v>663</v>
      </c>
      <c r="I91" t="s">
        <v>706</v>
      </c>
      <c r="J91" t="s">
        <v>710</v>
      </c>
      <c r="K91" t="s">
        <v>718</v>
      </c>
      <c r="L91" t="s">
        <v>727</v>
      </c>
      <c r="M91" t="s">
        <v>994</v>
      </c>
      <c r="N91" s="23">
        <v>1120.06</v>
      </c>
      <c r="O91" s="23">
        <v>2068.21</v>
      </c>
      <c r="P91" s="8">
        <v>7.8E-2</v>
      </c>
      <c r="Q91">
        <v>12</v>
      </c>
      <c r="R91" s="23">
        <f t="shared" si="13"/>
        <v>22882.675440000003</v>
      </c>
      <c r="S91" s="23">
        <f t="shared" si="14"/>
        <v>13440.72</v>
      </c>
      <c r="T91" s="23">
        <f t="shared" si="15"/>
        <v>9441.9554400000034</v>
      </c>
      <c r="U91" s="14">
        <f t="shared" si="16"/>
        <v>0.41262462795303284</v>
      </c>
      <c r="V91" s="7" t="str">
        <f t="shared" si="17"/>
        <v>May-2023</v>
      </c>
      <c r="W91" s="22">
        <f t="shared" si="18"/>
        <v>45047</v>
      </c>
      <c r="X91" s="7" t="str">
        <f t="shared" si="19"/>
        <v>Q2-2023</v>
      </c>
      <c r="Y91" t="str">
        <f t="shared" si="20"/>
        <v>Africa → Nigeria → Port Harcourt</v>
      </c>
      <c r="Z91" t="str">
        <f t="shared" si="21"/>
        <v>Components</v>
      </c>
      <c r="AA91" t="str" cm="1">
        <f t="array" ref="AA91">_xlfn.IFS(O91&lt;=$AF$2,"Low",AND(O91&gt;$AF$2,O91&lt;$AF$3),"Medium",O91&gt;=$AF$3,"High")</f>
        <v>High</v>
      </c>
      <c r="AB91" s="22">
        <f t="shared" si="22"/>
        <v>44927</v>
      </c>
      <c r="AC91">
        <v>4</v>
      </c>
    </row>
    <row r="92" spans="1:29" x14ac:dyDescent="0.35">
      <c r="A92" s="4" t="s">
        <v>399</v>
      </c>
      <c r="B92" s="5" t="str">
        <f>IF(COUNTIF($A$2:A92,A92)=1,"Original","Duplicate")</f>
        <v>Original</v>
      </c>
      <c r="C92" s="7">
        <v>45066</v>
      </c>
      <c r="D92" s="7">
        <v>45096</v>
      </c>
      <c r="E92">
        <f t="shared" si="12"/>
        <v>30</v>
      </c>
      <c r="F92" t="s">
        <v>647</v>
      </c>
      <c r="G92" t="s">
        <v>654</v>
      </c>
      <c r="H92" t="s">
        <v>680</v>
      </c>
      <c r="I92" t="s">
        <v>703</v>
      </c>
      <c r="J92" t="s">
        <v>709</v>
      </c>
      <c r="K92" t="s">
        <v>722</v>
      </c>
      <c r="L92" t="s">
        <v>731</v>
      </c>
      <c r="M92" t="s">
        <v>1118</v>
      </c>
      <c r="N92" s="23">
        <v>1161.2</v>
      </c>
      <c r="O92" s="23">
        <v>878.73</v>
      </c>
      <c r="P92" s="8">
        <v>0.19</v>
      </c>
      <c r="Q92">
        <v>31</v>
      </c>
      <c r="R92" s="23">
        <f t="shared" si="13"/>
        <v>22064.910300000003</v>
      </c>
      <c r="S92" s="23">
        <f t="shared" si="14"/>
        <v>35997.200000000004</v>
      </c>
      <c r="T92" s="23">
        <f t="shared" si="15"/>
        <v>-13932.289700000001</v>
      </c>
      <c r="U92" s="14">
        <f t="shared" si="16"/>
        <v>-0.63142290227212028</v>
      </c>
      <c r="V92" s="7" t="str">
        <f t="shared" si="17"/>
        <v>May-2023</v>
      </c>
      <c r="W92" s="22">
        <f t="shared" si="18"/>
        <v>45047</v>
      </c>
      <c r="X92" s="7" t="str">
        <f t="shared" si="19"/>
        <v>Q2-2023</v>
      </c>
      <c r="Y92" t="str">
        <f t="shared" si="20"/>
        <v>Asia → India → Delhi</v>
      </c>
      <c r="Z92" t="str">
        <f t="shared" si="21"/>
        <v>Laptops</v>
      </c>
      <c r="AA92" t="str" cm="1">
        <f t="array" ref="AA92">_xlfn.IFS(O92&lt;=$AF$2,"Low",AND(O92&gt;$AF$2,O92&lt;$AF$3),"Medium",O92&gt;=$AF$3,"High")</f>
        <v>Medium</v>
      </c>
      <c r="AB92" s="22">
        <f t="shared" si="22"/>
        <v>44958</v>
      </c>
      <c r="AC92">
        <v>3</v>
      </c>
    </row>
    <row r="93" spans="1:29" x14ac:dyDescent="0.35">
      <c r="A93" s="4" t="s">
        <v>244</v>
      </c>
      <c r="B93" s="5" t="str">
        <f>IF(COUNTIF($A$2:A93,A93)=1,"Original","Duplicate")</f>
        <v>Original</v>
      </c>
      <c r="C93" s="7">
        <v>45069</v>
      </c>
      <c r="D93" s="7">
        <v>45087</v>
      </c>
      <c r="E93">
        <f t="shared" si="12"/>
        <v>18</v>
      </c>
      <c r="F93" t="s">
        <v>647</v>
      </c>
      <c r="G93" t="s">
        <v>659</v>
      </c>
      <c r="H93" t="s">
        <v>685</v>
      </c>
      <c r="I93" t="s">
        <v>701</v>
      </c>
      <c r="J93" t="s">
        <v>710</v>
      </c>
      <c r="K93" t="s">
        <v>718</v>
      </c>
      <c r="L93" t="s">
        <v>727</v>
      </c>
      <c r="M93" t="s">
        <v>964</v>
      </c>
      <c r="N93" s="23">
        <v>54.62</v>
      </c>
      <c r="O93" s="23">
        <v>48.94</v>
      </c>
      <c r="P93" s="8">
        <v>0.14799999999999999</v>
      </c>
      <c r="Q93">
        <v>16</v>
      </c>
      <c r="R93" s="23">
        <f t="shared" si="13"/>
        <v>667.15008</v>
      </c>
      <c r="S93" s="23">
        <f t="shared" si="14"/>
        <v>873.92</v>
      </c>
      <c r="T93" s="23">
        <f t="shared" si="15"/>
        <v>-206.76991999999996</v>
      </c>
      <c r="U93" s="14">
        <f t="shared" si="16"/>
        <v>-0.3099301434543783</v>
      </c>
      <c r="V93" s="7" t="str">
        <f t="shared" si="17"/>
        <v>May-2023</v>
      </c>
      <c r="W93" s="22">
        <f t="shared" si="18"/>
        <v>45047</v>
      </c>
      <c r="X93" s="7" t="str">
        <f t="shared" si="19"/>
        <v>Q2-2023</v>
      </c>
      <c r="Y93" t="str">
        <f t="shared" si="20"/>
        <v>Asia → China → Shanghai</v>
      </c>
      <c r="Z93" t="str">
        <f t="shared" si="21"/>
        <v>Components</v>
      </c>
      <c r="AA93" t="str" cm="1">
        <f t="array" ref="AA93">_xlfn.IFS(O93&lt;=$AF$2,"Low",AND(O93&gt;$AF$2,O93&lt;$AF$3),"Medium",O93&gt;=$AF$3,"High")</f>
        <v>Low</v>
      </c>
      <c r="AB93" s="22">
        <f t="shared" si="22"/>
        <v>44927</v>
      </c>
      <c r="AC93">
        <v>4</v>
      </c>
    </row>
    <row r="94" spans="1:29" x14ac:dyDescent="0.35">
      <c r="A94" s="4" t="s">
        <v>489</v>
      </c>
      <c r="B94" s="5" t="str">
        <f>IF(COUNTIF($A$2:A94,A94)=1,"Original","Duplicate")</f>
        <v>Original</v>
      </c>
      <c r="C94" s="7">
        <v>45069</v>
      </c>
      <c r="D94" s="7">
        <v>45071</v>
      </c>
      <c r="E94">
        <f t="shared" si="12"/>
        <v>2</v>
      </c>
      <c r="F94" t="s">
        <v>648</v>
      </c>
      <c r="G94" t="s">
        <v>655</v>
      </c>
      <c r="H94" t="s">
        <v>692</v>
      </c>
      <c r="I94" t="s">
        <v>706</v>
      </c>
      <c r="J94" t="s">
        <v>707</v>
      </c>
      <c r="K94" t="s">
        <v>724</v>
      </c>
      <c r="L94" t="s">
        <v>728</v>
      </c>
      <c r="M94" t="s">
        <v>1208</v>
      </c>
      <c r="N94" s="23">
        <v>690.49</v>
      </c>
      <c r="O94" s="23">
        <v>1290.29</v>
      </c>
      <c r="P94" s="8">
        <v>4.2000000000000003E-2</v>
      </c>
      <c r="Q94">
        <v>22</v>
      </c>
      <c r="R94" s="23">
        <f t="shared" si="13"/>
        <v>27194.152039999997</v>
      </c>
      <c r="S94" s="23">
        <f t="shared" si="14"/>
        <v>15190.78</v>
      </c>
      <c r="T94" s="23">
        <f t="shared" si="15"/>
        <v>12003.372039999997</v>
      </c>
      <c r="U94" s="14">
        <f t="shared" si="16"/>
        <v>0.44139534199647718</v>
      </c>
      <c r="V94" s="7" t="str">
        <f t="shared" si="17"/>
        <v>May-2023</v>
      </c>
      <c r="W94" s="22">
        <f t="shared" si="18"/>
        <v>45047</v>
      </c>
      <c r="X94" s="7" t="str">
        <f t="shared" si="19"/>
        <v>Q2-2023</v>
      </c>
      <c r="Y94" t="str">
        <f t="shared" si="20"/>
        <v>Americas → Brazil → Rio de Janeiro</v>
      </c>
      <c r="Z94" t="str">
        <f t="shared" si="21"/>
        <v>Printers</v>
      </c>
      <c r="AA94" t="str" cm="1">
        <f t="array" ref="AA94">_xlfn.IFS(O94&lt;=$AF$2,"Low",AND(O94&gt;$AF$2,O94&lt;$AF$3),"Medium",O94&gt;=$AF$3,"High")</f>
        <v>Medium</v>
      </c>
      <c r="AB94" s="22">
        <f t="shared" si="22"/>
        <v>44927</v>
      </c>
      <c r="AC94">
        <v>4</v>
      </c>
    </row>
    <row r="95" spans="1:29" x14ac:dyDescent="0.35">
      <c r="A95" s="4" t="s">
        <v>468</v>
      </c>
      <c r="B95" s="5" t="str">
        <f>IF(COUNTIF($A$2:A95,A95)=1,"Original","Duplicate")</f>
        <v>Original</v>
      </c>
      <c r="C95" s="7">
        <v>45070</v>
      </c>
      <c r="D95" s="7">
        <v>45098</v>
      </c>
      <c r="E95">
        <f t="shared" si="12"/>
        <v>28</v>
      </c>
      <c r="F95" t="s">
        <v>648</v>
      </c>
      <c r="G95" t="s">
        <v>660</v>
      </c>
      <c r="H95" t="s">
        <v>697</v>
      </c>
      <c r="I95" t="s">
        <v>705</v>
      </c>
      <c r="J95" t="s">
        <v>709</v>
      </c>
      <c r="K95" t="s">
        <v>715</v>
      </c>
      <c r="L95" t="s">
        <v>732</v>
      </c>
      <c r="M95" t="s">
        <v>1187</v>
      </c>
      <c r="N95" s="23">
        <v>813.97</v>
      </c>
      <c r="O95" s="23">
        <v>1568.83</v>
      </c>
      <c r="P95" s="8">
        <v>1.7000000000000001E-2</v>
      </c>
      <c r="Q95">
        <v>15</v>
      </c>
      <c r="R95" s="23">
        <f t="shared" si="13"/>
        <v>23132.398349999996</v>
      </c>
      <c r="S95" s="23">
        <f t="shared" si="14"/>
        <v>12209.550000000001</v>
      </c>
      <c r="T95" s="23">
        <f t="shared" si="15"/>
        <v>10922.848349999995</v>
      </c>
      <c r="U95" s="14">
        <f t="shared" si="16"/>
        <v>0.4721883215364911</v>
      </c>
      <c r="V95" s="7" t="str">
        <f t="shared" si="17"/>
        <v>May-2023</v>
      </c>
      <c r="W95" s="22">
        <f t="shared" si="18"/>
        <v>45047</v>
      </c>
      <c r="X95" s="7" t="str">
        <f t="shared" si="19"/>
        <v>Q2-2023</v>
      </c>
      <c r="Y95" t="str">
        <f t="shared" si="20"/>
        <v>Americas → USA → Austin</v>
      </c>
      <c r="Z95" t="str">
        <f t="shared" si="21"/>
        <v>Monitors</v>
      </c>
      <c r="AA95" t="str" cm="1">
        <f t="array" ref="AA95">_xlfn.IFS(O95&lt;=$AF$2,"Low",AND(O95&gt;$AF$2,O95&lt;$AF$3),"Medium",O95&gt;=$AF$3,"High")</f>
        <v>Medium</v>
      </c>
      <c r="AB95" s="22">
        <f t="shared" si="22"/>
        <v>44927</v>
      </c>
      <c r="AC95">
        <v>4</v>
      </c>
    </row>
    <row r="96" spans="1:29" x14ac:dyDescent="0.35">
      <c r="A96" s="4" t="s">
        <v>275</v>
      </c>
      <c r="B96" s="5" t="str">
        <f>IF(COUNTIF($A$2:A96,A96)=1,"Original","Duplicate")</f>
        <v>Original</v>
      </c>
      <c r="C96" s="7">
        <v>45073</v>
      </c>
      <c r="D96" s="7">
        <v>45096</v>
      </c>
      <c r="E96">
        <f t="shared" si="12"/>
        <v>23</v>
      </c>
      <c r="F96" t="s">
        <v>649</v>
      </c>
      <c r="G96" t="s">
        <v>656</v>
      </c>
      <c r="H96" t="s">
        <v>671</v>
      </c>
      <c r="I96" t="s">
        <v>702</v>
      </c>
      <c r="J96" t="s">
        <v>707</v>
      </c>
      <c r="K96" t="s">
        <v>719</v>
      </c>
      <c r="L96" t="s">
        <v>733</v>
      </c>
      <c r="M96" t="s">
        <v>995</v>
      </c>
      <c r="N96" s="23">
        <v>1471.58</v>
      </c>
      <c r="O96" s="23">
        <v>2576.65</v>
      </c>
      <c r="P96" s="8">
        <v>4.0000000000000001E-3</v>
      </c>
      <c r="Q96">
        <v>7</v>
      </c>
      <c r="R96" s="23">
        <f t="shared" si="13"/>
        <v>17964.4038</v>
      </c>
      <c r="S96" s="23">
        <f t="shared" si="14"/>
        <v>10301.06</v>
      </c>
      <c r="T96" s="23">
        <f t="shared" si="15"/>
        <v>7663.3438000000006</v>
      </c>
      <c r="U96" s="14">
        <f t="shared" si="16"/>
        <v>0.4265849223451546</v>
      </c>
      <c r="V96" s="7" t="str">
        <f t="shared" si="17"/>
        <v>May-2023</v>
      </c>
      <c r="W96" s="22">
        <f t="shared" si="18"/>
        <v>45047</v>
      </c>
      <c r="X96" s="7" t="str">
        <f t="shared" si="19"/>
        <v>Q2-2023</v>
      </c>
      <c r="Y96" t="str">
        <f t="shared" si="20"/>
        <v>Europe → Germany → Berlin</v>
      </c>
      <c r="Z96" t="str">
        <f t="shared" si="21"/>
        <v>Accessories</v>
      </c>
      <c r="AA96" t="str" cm="1">
        <f t="array" ref="AA96">_xlfn.IFS(O96&lt;=$AF$2,"Low",AND(O96&gt;$AF$2,O96&lt;$AF$3),"Medium",O96&gt;=$AF$3,"High")</f>
        <v>High</v>
      </c>
      <c r="AB96" s="22">
        <f t="shared" si="22"/>
        <v>44927</v>
      </c>
      <c r="AC96">
        <v>4</v>
      </c>
    </row>
    <row r="97" spans="1:29" x14ac:dyDescent="0.35">
      <c r="A97" s="4" t="s">
        <v>408</v>
      </c>
      <c r="B97" s="5" t="str">
        <f>IF(COUNTIF($A$2:A97,A97)=1,"Original","Duplicate")</f>
        <v>Original</v>
      </c>
      <c r="C97" s="7">
        <v>45075</v>
      </c>
      <c r="D97" s="7">
        <v>45097</v>
      </c>
      <c r="E97">
        <f t="shared" si="12"/>
        <v>22</v>
      </c>
      <c r="F97" t="s">
        <v>649</v>
      </c>
      <c r="G97" t="s">
        <v>658</v>
      </c>
      <c r="H97" t="s">
        <v>683</v>
      </c>
      <c r="I97" t="s">
        <v>705</v>
      </c>
      <c r="J97" t="s">
        <v>711</v>
      </c>
      <c r="K97" t="s">
        <v>723</v>
      </c>
      <c r="L97" t="s">
        <v>727</v>
      </c>
      <c r="M97" t="s">
        <v>1127</v>
      </c>
      <c r="N97" s="23">
        <v>1295.3900000000001</v>
      </c>
      <c r="O97" s="23">
        <v>2905.06</v>
      </c>
      <c r="P97" s="8">
        <v>0.14799999999999999</v>
      </c>
      <c r="Q97">
        <v>8</v>
      </c>
      <c r="R97" s="23">
        <f t="shared" si="13"/>
        <v>19800.88896</v>
      </c>
      <c r="S97" s="23">
        <f t="shared" si="14"/>
        <v>10363.120000000001</v>
      </c>
      <c r="T97" s="23">
        <f t="shared" si="15"/>
        <v>9437.7689599999994</v>
      </c>
      <c r="U97" s="14">
        <f t="shared" si="16"/>
        <v>0.47663359857556614</v>
      </c>
      <c r="V97" s="7" t="str">
        <f t="shared" si="17"/>
        <v>May-2023</v>
      </c>
      <c r="W97" s="22">
        <f t="shared" si="18"/>
        <v>45047</v>
      </c>
      <c r="X97" s="7" t="str">
        <f t="shared" si="19"/>
        <v>Q2-2023</v>
      </c>
      <c r="Y97" t="str">
        <f t="shared" si="20"/>
        <v>Europe → United Kingdom → London</v>
      </c>
      <c r="Z97" t="str">
        <f t="shared" si="21"/>
        <v>Components</v>
      </c>
      <c r="AA97" t="str" cm="1">
        <f t="array" ref="AA97">_xlfn.IFS(O97&lt;=$AF$2,"Low",AND(O97&gt;$AF$2,O97&lt;$AF$3),"Medium",O97&gt;=$AF$3,"High")</f>
        <v>High</v>
      </c>
      <c r="AB97" s="22">
        <f t="shared" si="22"/>
        <v>44927</v>
      </c>
      <c r="AC97">
        <v>4</v>
      </c>
    </row>
    <row r="98" spans="1:29" x14ac:dyDescent="0.35">
      <c r="A98" s="4" t="s">
        <v>527</v>
      </c>
      <c r="B98" s="5" t="str">
        <f>IF(COUNTIF($A$2:A98,A98)=1,"Original","Duplicate")</f>
        <v>Original</v>
      </c>
      <c r="C98" s="7">
        <v>45078</v>
      </c>
      <c r="D98" s="7">
        <v>45085</v>
      </c>
      <c r="E98">
        <f t="shared" si="12"/>
        <v>7</v>
      </c>
      <c r="F98" t="s">
        <v>649</v>
      </c>
      <c r="G98" t="s">
        <v>656</v>
      </c>
      <c r="H98" t="s">
        <v>698</v>
      </c>
      <c r="I98" t="s">
        <v>704</v>
      </c>
      <c r="J98" t="s">
        <v>708</v>
      </c>
      <c r="K98" t="s">
        <v>720</v>
      </c>
      <c r="L98" t="s">
        <v>730</v>
      </c>
      <c r="M98" t="s">
        <v>1246</v>
      </c>
      <c r="N98" s="23">
        <v>804.17</v>
      </c>
      <c r="O98" s="23">
        <v>1072.29</v>
      </c>
      <c r="P98" s="8">
        <v>3.2000000000000001E-2</v>
      </c>
      <c r="Q98">
        <v>5</v>
      </c>
      <c r="R98" s="23">
        <f t="shared" si="13"/>
        <v>5189.8836000000001</v>
      </c>
      <c r="S98" s="23">
        <f t="shared" si="14"/>
        <v>4020.85</v>
      </c>
      <c r="T98" s="23">
        <f t="shared" si="15"/>
        <v>1169.0336000000002</v>
      </c>
      <c r="U98" s="14">
        <f t="shared" si="16"/>
        <v>0.2252523736755869</v>
      </c>
      <c r="V98" s="7" t="str">
        <f t="shared" si="17"/>
        <v>Jun-2023</v>
      </c>
      <c r="W98" s="22">
        <f t="shared" si="18"/>
        <v>45078</v>
      </c>
      <c r="X98" s="7" t="str">
        <f t="shared" si="19"/>
        <v>Q2-2023</v>
      </c>
      <c r="Y98" t="str">
        <f t="shared" si="20"/>
        <v>Europe → Germany → Frankfurt</v>
      </c>
      <c r="Z98" t="str">
        <f t="shared" si="21"/>
        <v>Phones</v>
      </c>
      <c r="AA98" t="str" cm="1">
        <f t="array" ref="AA98">_xlfn.IFS(O98&lt;=$AF$2,"Low",AND(O98&gt;$AF$2,O98&lt;$AF$3),"Medium",O98&gt;=$AF$3,"High")</f>
        <v>Medium</v>
      </c>
      <c r="AB98" s="22">
        <f t="shared" si="22"/>
        <v>44927</v>
      </c>
      <c r="AC98">
        <v>5</v>
      </c>
    </row>
    <row r="99" spans="1:29" x14ac:dyDescent="0.35">
      <c r="A99" s="4" t="s">
        <v>585</v>
      </c>
      <c r="B99" s="5" t="str">
        <f>IF(COUNTIF($A$2:A99,A99)=1,"Original","Duplicate")</f>
        <v>Original</v>
      </c>
      <c r="C99" s="7">
        <v>45078</v>
      </c>
      <c r="D99" s="7">
        <v>45085</v>
      </c>
      <c r="E99">
        <f t="shared" si="12"/>
        <v>7</v>
      </c>
      <c r="F99" t="s">
        <v>647</v>
      </c>
      <c r="G99" t="s">
        <v>654</v>
      </c>
      <c r="H99" t="s">
        <v>668</v>
      </c>
      <c r="I99" t="s">
        <v>701</v>
      </c>
      <c r="J99" t="s">
        <v>707</v>
      </c>
      <c r="K99" t="s">
        <v>718</v>
      </c>
      <c r="L99" t="s">
        <v>733</v>
      </c>
      <c r="M99" t="s">
        <v>1303</v>
      </c>
      <c r="N99" s="23">
        <v>669.37</v>
      </c>
      <c r="O99" s="23">
        <v>997.2</v>
      </c>
      <c r="P99" s="8">
        <v>8.2000000000000003E-2</v>
      </c>
      <c r="Q99">
        <v>5</v>
      </c>
      <c r="R99" s="23">
        <f t="shared" si="13"/>
        <v>4577.1480000000001</v>
      </c>
      <c r="S99" s="23">
        <f t="shared" si="14"/>
        <v>3346.85</v>
      </c>
      <c r="T99" s="23">
        <f t="shared" si="15"/>
        <v>1230.2980000000002</v>
      </c>
      <c r="U99" s="14">
        <f t="shared" si="16"/>
        <v>0.26879139586484863</v>
      </c>
      <c r="V99" s="7" t="str">
        <f t="shared" si="17"/>
        <v>Jun-2023</v>
      </c>
      <c r="W99" s="22">
        <f t="shared" si="18"/>
        <v>45078</v>
      </c>
      <c r="X99" s="7" t="str">
        <f t="shared" si="19"/>
        <v>Q2-2023</v>
      </c>
      <c r="Y99" t="str">
        <f t="shared" si="20"/>
        <v>Asia → India → Bengaluru</v>
      </c>
      <c r="Z99" t="str">
        <f t="shared" si="21"/>
        <v>Accessories</v>
      </c>
      <c r="AA99" t="str" cm="1">
        <f t="array" ref="AA99">_xlfn.IFS(O99&lt;=$AF$2,"Low",AND(O99&gt;$AF$2,O99&lt;$AF$3),"Medium",O99&gt;=$AF$3,"High")</f>
        <v>Medium</v>
      </c>
      <c r="AB99" s="22">
        <f t="shared" si="22"/>
        <v>44958</v>
      </c>
      <c r="AC99">
        <v>4</v>
      </c>
    </row>
    <row r="100" spans="1:29" x14ac:dyDescent="0.35">
      <c r="A100" s="4" t="s">
        <v>595</v>
      </c>
      <c r="B100" s="5" t="str">
        <f>IF(COUNTIF($A$2:A100,A100)=1,"Original","Duplicate")</f>
        <v>Original</v>
      </c>
      <c r="C100" s="7">
        <v>45080</v>
      </c>
      <c r="D100" s="7">
        <v>45108</v>
      </c>
      <c r="E100">
        <f t="shared" si="12"/>
        <v>28</v>
      </c>
      <c r="F100" t="s">
        <v>648</v>
      </c>
      <c r="G100" t="s">
        <v>655</v>
      </c>
      <c r="H100" t="s">
        <v>672</v>
      </c>
      <c r="I100" t="s">
        <v>705</v>
      </c>
      <c r="J100" t="s">
        <v>709</v>
      </c>
      <c r="K100" t="s">
        <v>720</v>
      </c>
      <c r="L100" t="s">
        <v>727</v>
      </c>
      <c r="M100" t="s">
        <v>1313</v>
      </c>
      <c r="N100" s="23">
        <v>860.4</v>
      </c>
      <c r="O100" s="23">
        <v>2066.6</v>
      </c>
      <c r="P100" s="8">
        <v>0.01</v>
      </c>
      <c r="Q100">
        <v>3</v>
      </c>
      <c r="R100" s="23">
        <f t="shared" si="13"/>
        <v>6137.8019999999988</v>
      </c>
      <c r="S100" s="23">
        <f t="shared" si="14"/>
        <v>2581.1999999999998</v>
      </c>
      <c r="T100" s="23">
        <f t="shared" si="15"/>
        <v>3556.601999999999</v>
      </c>
      <c r="U100" s="14">
        <f t="shared" si="16"/>
        <v>0.57945857491004105</v>
      </c>
      <c r="V100" s="7" t="str">
        <f t="shared" si="17"/>
        <v>Jun-2023</v>
      </c>
      <c r="W100" s="22">
        <f t="shared" si="18"/>
        <v>45078</v>
      </c>
      <c r="X100" s="7" t="str">
        <f t="shared" si="19"/>
        <v>Q2-2023</v>
      </c>
      <c r="Y100" t="str">
        <f t="shared" si="20"/>
        <v>Americas → Brazil → Brasília</v>
      </c>
      <c r="Z100" t="str">
        <f t="shared" si="21"/>
        <v>Components</v>
      </c>
      <c r="AA100" t="str" cm="1">
        <f t="array" ref="AA100">_xlfn.IFS(O100&lt;=$AF$2,"Low",AND(O100&gt;$AF$2,O100&lt;$AF$3),"Medium",O100&gt;=$AF$3,"High")</f>
        <v>High</v>
      </c>
      <c r="AB100" s="22">
        <f t="shared" si="22"/>
        <v>44927</v>
      </c>
      <c r="AC100">
        <v>5</v>
      </c>
    </row>
    <row r="101" spans="1:29" x14ac:dyDescent="0.35">
      <c r="A101" s="4" t="s">
        <v>378</v>
      </c>
      <c r="B101" s="5" t="str">
        <f>IF(COUNTIF($A$2:A101,A101)=1,"Original","Duplicate")</f>
        <v>Original</v>
      </c>
      <c r="C101" s="7">
        <v>45082</v>
      </c>
      <c r="D101" s="7">
        <v>45105</v>
      </c>
      <c r="E101">
        <f t="shared" si="12"/>
        <v>23</v>
      </c>
      <c r="F101" t="s">
        <v>649</v>
      </c>
      <c r="G101" t="s">
        <v>658</v>
      </c>
      <c r="H101" t="s">
        <v>674</v>
      </c>
      <c r="I101" t="s">
        <v>701</v>
      </c>
      <c r="J101" t="s">
        <v>711</v>
      </c>
      <c r="K101" t="s">
        <v>723</v>
      </c>
      <c r="L101" t="s">
        <v>728</v>
      </c>
      <c r="M101" t="s">
        <v>1098</v>
      </c>
      <c r="N101" s="23">
        <v>605.82000000000005</v>
      </c>
      <c r="O101" s="23">
        <v>771.12</v>
      </c>
      <c r="P101" s="8">
        <v>0.13200000000000001</v>
      </c>
      <c r="Q101">
        <v>19</v>
      </c>
      <c r="R101" s="23">
        <f t="shared" si="13"/>
        <v>12717.311040000001</v>
      </c>
      <c r="S101" s="23">
        <f t="shared" si="14"/>
        <v>11510.580000000002</v>
      </c>
      <c r="T101" s="23">
        <f t="shared" si="15"/>
        <v>1206.7310399999988</v>
      </c>
      <c r="U101" s="14">
        <f t="shared" si="16"/>
        <v>9.4888851597986767E-2</v>
      </c>
      <c r="V101" s="7" t="str">
        <f t="shared" si="17"/>
        <v>Jun-2023</v>
      </c>
      <c r="W101" s="22">
        <f t="shared" si="18"/>
        <v>45078</v>
      </c>
      <c r="X101" s="7" t="str">
        <f t="shared" si="19"/>
        <v>Q2-2023</v>
      </c>
      <c r="Y101" t="str">
        <f t="shared" si="20"/>
        <v>Europe → United Kingdom → Birmingham</v>
      </c>
      <c r="Z101" t="str">
        <f t="shared" si="21"/>
        <v>Printers</v>
      </c>
      <c r="AA101" t="str" cm="1">
        <f t="array" ref="AA101">_xlfn.IFS(O101&lt;=$AF$2,"Low",AND(O101&gt;$AF$2,O101&lt;$AF$3),"Medium",O101&gt;=$AF$3,"High")</f>
        <v>Low</v>
      </c>
      <c r="AB101" s="22">
        <f t="shared" si="22"/>
        <v>44927</v>
      </c>
      <c r="AC101">
        <v>5</v>
      </c>
    </row>
    <row r="102" spans="1:29" x14ac:dyDescent="0.35">
      <c r="A102" s="4" t="s">
        <v>133</v>
      </c>
      <c r="B102" s="5" t="str">
        <f>IF(COUNTIF($A$2:A102,A102)=1,"Original","Duplicate")</f>
        <v>Original</v>
      </c>
      <c r="C102" s="7">
        <v>45086</v>
      </c>
      <c r="D102" s="7">
        <v>45096</v>
      </c>
      <c r="E102">
        <f t="shared" si="12"/>
        <v>10</v>
      </c>
      <c r="F102" t="s">
        <v>647</v>
      </c>
      <c r="G102" t="s">
        <v>659</v>
      </c>
      <c r="H102" t="s">
        <v>699</v>
      </c>
      <c r="I102" t="s">
        <v>706</v>
      </c>
      <c r="J102" t="s">
        <v>707</v>
      </c>
      <c r="K102" t="s">
        <v>721</v>
      </c>
      <c r="L102" t="s">
        <v>732</v>
      </c>
      <c r="M102" t="s">
        <v>852</v>
      </c>
      <c r="N102" s="23">
        <v>339.61</v>
      </c>
      <c r="O102" s="23">
        <v>621.02</v>
      </c>
      <c r="P102" s="8">
        <v>7.0999999999999994E-2</v>
      </c>
      <c r="Q102">
        <v>10</v>
      </c>
      <c r="R102" s="23">
        <f t="shared" si="13"/>
        <v>5769.2758000000003</v>
      </c>
      <c r="S102" s="23">
        <f t="shared" si="14"/>
        <v>3396.1000000000004</v>
      </c>
      <c r="T102" s="23">
        <f t="shared" si="15"/>
        <v>2373.1758</v>
      </c>
      <c r="U102" s="14">
        <f t="shared" si="16"/>
        <v>0.41134726129750981</v>
      </c>
      <c r="V102" s="7" t="str">
        <f t="shared" si="17"/>
        <v>Jun-2023</v>
      </c>
      <c r="W102" s="22">
        <f t="shared" si="18"/>
        <v>45078</v>
      </c>
      <c r="X102" s="7" t="str">
        <f t="shared" si="19"/>
        <v>Q2-2023</v>
      </c>
      <c r="Y102" t="str">
        <f t="shared" si="20"/>
        <v>Asia → China → Beijing</v>
      </c>
      <c r="Z102" t="str">
        <f t="shared" si="21"/>
        <v>Monitors</v>
      </c>
      <c r="AA102" t="str" cm="1">
        <f t="array" ref="AA102">_xlfn.IFS(O102&lt;=$AF$2,"Low",AND(O102&gt;$AF$2,O102&lt;$AF$3),"Medium",O102&gt;=$AF$3,"High")</f>
        <v>Low</v>
      </c>
      <c r="AB102" s="22">
        <f t="shared" si="22"/>
        <v>44927</v>
      </c>
      <c r="AC102">
        <v>5</v>
      </c>
    </row>
    <row r="103" spans="1:29" x14ac:dyDescent="0.35">
      <c r="A103" s="4" t="s">
        <v>341</v>
      </c>
      <c r="B103" s="5" t="str">
        <f>IF(COUNTIF($A$2:A103,A103)=1,"Original","Duplicate")</f>
        <v>Original</v>
      </c>
      <c r="C103" s="7">
        <v>45087</v>
      </c>
      <c r="D103" s="7">
        <v>45095</v>
      </c>
      <c r="E103">
        <f t="shared" si="12"/>
        <v>8</v>
      </c>
      <c r="F103" t="s">
        <v>646</v>
      </c>
      <c r="G103" t="s">
        <v>650</v>
      </c>
      <c r="H103" t="s">
        <v>678</v>
      </c>
      <c r="I103" t="s">
        <v>706</v>
      </c>
      <c r="J103" t="s">
        <v>711</v>
      </c>
      <c r="K103" t="s">
        <v>722</v>
      </c>
      <c r="L103" t="s">
        <v>730</v>
      </c>
      <c r="M103" t="s">
        <v>1061</v>
      </c>
      <c r="N103" s="23">
        <v>894.23</v>
      </c>
      <c r="O103" s="23">
        <v>1421.55</v>
      </c>
      <c r="P103" s="8">
        <v>0.109</v>
      </c>
      <c r="Q103">
        <v>3</v>
      </c>
      <c r="R103" s="23">
        <f t="shared" si="13"/>
        <v>3799.8031499999997</v>
      </c>
      <c r="S103" s="23">
        <f t="shared" si="14"/>
        <v>2682.69</v>
      </c>
      <c r="T103" s="23">
        <f t="shared" si="15"/>
        <v>1117.1131499999997</v>
      </c>
      <c r="U103" s="14">
        <f t="shared" si="16"/>
        <v>0.29399237431549574</v>
      </c>
      <c r="V103" s="7" t="str">
        <f t="shared" si="17"/>
        <v>Jun-2023</v>
      </c>
      <c r="W103" s="22">
        <f t="shared" si="18"/>
        <v>45078</v>
      </c>
      <c r="X103" s="7" t="str">
        <f t="shared" si="19"/>
        <v>Q2-2023</v>
      </c>
      <c r="Y103" t="str">
        <f t="shared" si="20"/>
        <v>Africa → Kenya → Nakuru</v>
      </c>
      <c r="Z103" t="str">
        <f t="shared" si="21"/>
        <v>Phones</v>
      </c>
      <c r="AA103" t="str" cm="1">
        <f t="array" ref="AA103">_xlfn.IFS(O103&lt;=$AF$2,"Low",AND(O103&gt;$AF$2,O103&lt;$AF$3),"Medium",O103&gt;=$AF$3,"High")</f>
        <v>Medium</v>
      </c>
      <c r="AB103" s="22">
        <f t="shared" si="22"/>
        <v>44927</v>
      </c>
      <c r="AC103">
        <v>5</v>
      </c>
    </row>
    <row r="104" spans="1:29" x14ac:dyDescent="0.35">
      <c r="A104" s="4" t="s">
        <v>459</v>
      </c>
      <c r="B104" s="5" t="str">
        <f>IF(COUNTIF($A$2:A104,A104)=1,"Original","Duplicate")</f>
        <v>Original</v>
      </c>
      <c r="C104" s="7">
        <v>45090</v>
      </c>
      <c r="D104" s="7">
        <v>45101</v>
      </c>
      <c r="E104">
        <f t="shared" si="12"/>
        <v>11</v>
      </c>
      <c r="F104" t="s">
        <v>648</v>
      </c>
      <c r="G104" t="s">
        <v>653</v>
      </c>
      <c r="H104" t="s">
        <v>667</v>
      </c>
      <c r="I104" t="s">
        <v>701</v>
      </c>
      <c r="J104" t="s">
        <v>708</v>
      </c>
      <c r="K104" t="s">
        <v>712</v>
      </c>
      <c r="L104" t="s">
        <v>728</v>
      </c>
      <c r="M104" t="s">
        <v>1178</v>
      </c>
      <c r="N104" s="23">
        <v>247.07</v>
      </c>
      <c r="O104" s="23">
        <v>495.19</v>
      </c>
      <c r="P104" s="8">
        <v>2.8000000000000001E-2</v>
      </c>
      <c r="Q104">
        <v>4</v>
      </c>
      <c r="R104" s="23">
        <f t="shared" si="13"/>
        <v>1925.29872</v>
      </c>
      <c r="S104" s="23">
        <f t="shared" si="14"/>
        <v>988.28</v>
      </c>
      <c r="T104" s="23">
        <f t="shared" si="15"/>
        <v>937.01872000000003</v>
      </c>
      <c r="U104" s="14">
        <f t="shared" si="16"/>
        <v>0.48668744764968214</v>
      </c>
      <c r="V104" s="7" t="str">
        <f t="shared" si="17"/>
        <v>Jun-2023</v>
      </c>
      <c r="W104" s="22">
        <f t="shared" si="18"/>
        <v>45078</v>
      </c>
      <c r="X104" s="7" t="str">
        <f t="shared" si="19"/>
        <v>Q2-2023</v>
      </c>
      <c r="Y104" t="str">
        <f t="shared" si="20"/>
        <v>Americas → Canada → Toronto</v>
      </c>
      <c r="Z104" t="str">
        <f t="shared" si="21"/>
        <v>Printers</v>
      </c>
      <c r="AA104" t="str" cm="1">
        <f t="array" ref="AA104">_xlfn.IFS(O104&lt;=$AF$2,"Low",AND(O104&gt;$AF$2,O104&lt;$AF$3),"Medium",O104&gt;=$AF$3,"High")</f>
        <v>Low</v>
      </c>
      <c r="AB104" s="22">
        <f t="shared" si="22"/>
        <v>44927</v>
      </c>
      <c r="AC104">
        <v>5</v>
      </c>
    </row>
    <row r="105" spans="1:29" x14ac:dyDescent="0.35">
      <c r="A105" s="4" t="s">
        <v>93</v>
      </c>
      <c r="B105" s="5" t="str">
        <f>IF(COUNTIF($A$2:A105,A105)=1,"Original","Duplicate")</f>
        <v>Original</v>
      </c>
      <c r="C105" s="7">
        <v>45091</v>
      </c>
      <c r="D105" s="7">
        <v>45093</v>
      </c>
      <c r="E105">
        <f t="shared" si="12"/>
        <v>2</v>
      </c>
      <c r="F105" t="s">
        <v>649</v>
      </c>
      <c r="G105" t="s">
        <v>658</v>
      </c>
      <c r="H105" t="s">
        <v>693</v>
      </c>
      <c r="I105" t="s">
        <v>703</v>
      </c>
      <c r="J105" t="s">
        <v>711</v>
      </c>
      <c r="K105" t="s">
        <v>723</v>
      </c>
      <c r="L105" t="s">
        <v>727</v>
      </c>
      <c r="M105" t="s">
        <v>812</v>
      </c>
      <c r="N105" s="23">
        <v>357.36</v>
      </c>
      <c r="O105" s="23">
        <v>703.62</v>
      </c>
      <c r="P105" s="8">
        <v>0.25700000000000001</v>
      </c>
      <c r="Q105">
        <v>20</v>
      </c>
      <c r="R105" s="23">
        <f t="shared" si="13"/>
        <v>10455.7932</v>
      </c>
      <c r="S105" s="23">
        <f t="shared" si="14"/>
        <v>7147.2000000000007</v>
      </c>
      <c r="T105" s="23">
        <f t="shared" si="15"/>
        <v>3308.5931999999993</v>
      </c>
      <c r="U105" s="14">
        <f t="shared" si="16"/>
        <v>0.31643636563125593</v>
      </c>
      <c r="V105" s="7" t="str">
        <f t="shared" si="17"/>
        <v>Jun-2023</v>
      </c>
      <c r="W105" s="22">
        <f t="shared" si="18"/>
        <v>45078</v>
      </c>
      <c r="X105" s="7" t="str">
        <f t="shared" si="19"/>
        <v>Q2-2023</v>
      </c>
      <c r="Y105" t="str">
        <f t="shared" si="20"/>
        <v>Europe → United Kingdom → Manchester</v>
      </c>
      <c r="Z105" t="str">
        <f t="shared" si="21"/>
        <v>Components</v>
      </c>
      <c r="AA105" t="str" cm="1">
        <f t="array" ref="AA105">_xlfn.IFS(O105&lt;=$AF$2,"Low",AND(O105&gt;$AF$2,O105&lt;$AF$3),"Medium",O105&gt;=$AF$3,"High")</f>
        <v>Low</v>
      </c>
      <c r="AB105" s="22">
        <f t="shared" si="22"/>
        <v>44927</v>
      </c>
      <c r="AC105">
        <v>5</v>
      </c>
    </row>
    <row r="106" spans="1:29" x14ac:dyDescent="0.35">
      <c r="A106" s="4" t="s">
        <v>294</v>
      </c>
      <c r="B106" s="5" t="str">
        <f>IF(COUNTIF($A$2:A106,A106)=1,"Original","Duplicate")</f>
        <v>Original</v>
      </c>
      <c r="C106" s="7">
        <v>45092</v>
      </c>
      <c r="D106" s="7">
        <v>45100</v>
      </c>
      <c r="E106">
        <f t="shared" si="12"/>
        <v>8</v>
      </c>
      <c r="F106" t="s">
        <v>648</v>
      </c>
      <c r="G106" t="s">
        <v>660</v>
      </c>
      <c r="H106" t="s">
        <v>686</v>
      </c>
      <c r="I106" t="s">
        <v>704</v>
      </c>
      <c r="J106" t="s">
        <v>710</v>
      </c>
      <c r="K106" t="s">
        <v>719</v>
      </c>
      <c r="L106" t="s">
        <v>732</v>
      </c>
      <c r="M106" t="s">
        <v>1014</v>
      </c>
      <c r="N106" s="23">
        <v>1097.0899999999999</v>
      </c>
      <c r="O106" s="23">
        <v>2182.31</v>
      </c>
      <c r="P106" s="8">
        <v>0.112</v>
      </c>
      <c r="Q106">
        <v>9</v>
      </c>
      <c r="R106" s="23">
        <f t="shared" si="13"/>
        <v>17441.021520000002</v>
      </c>
      <c r="S106" s="23">
        <f t="shared" si="14"/>
        <v>9873.81</v>
      </c>
      <c r="T106" s="23">
        <f t="shared" si="15"/>
        <v>7567.2115200000026</v>
      </c>
      <c r="U106" s="14">
        <f t="shared" si="16"/>
        <v>0.43387432962699546</v>
      </c>
      <c r="V106" s="7" t="str">
        <f t="shared" si="17"/>
        <v>Jun-2023</v>
      </c>
      <c r="W106" s="22">
        <f t="shared" si="18"/>
        <v>45078</v>
      </c>
      <c r="X106" s="7" t="str">
        <f t="shared" si="19"/>
        <v>Q2-2023</v>
      </c>
      <c r="Y106" t="str">
        <f t="shared" si="20"/>
        <v>Americas → USA → San Francisco</v>
      </c>
      <c r="Z106" t="str">
        <f t="shared" si="21"/>
        <v>Monitors</v>
      </c>
      <c r="AA106" t="str" cm="1">
        <f t="array" ref="AA106">_xlfn.IFS(O106&lt;=$AF$2,"Low",AND(O106&gt;$AF$2,O106&lt;$AF$3),"Medium",O106&gt;=$AF$3,"High")</f>
        <v>High</v>
      </c>
      <c r="AB106" s="22">
        <f t="shared" si="22"/>
        <v>44927</v>
      </c>
      <c r="AC106">
        <v>5</v>
      </c>
    </row>
    <row r="107" spans="1:29" x14ac:dyDescent="0.35">
      <c r="A107" s="4" t="s">
        <v>592</v>
      </c>
      <c r="B107" s="5" t="str">
        <f>IF(COUNTIF($A$2:A107,A107)=1,"Original","Duplicate")</f>
        <v>Original</v>
      </c>
      <c r="C107" s="7">
        <v>45092</v>
      </c>
      <c r="D107" s="7">
        <v>45119</v>
      </c>
      <c r="E107">
        <f t="shared" si="12"/>
        <v>27</v>
      </c>
      <c r="F107" t="s">
        <v>649</v>
      </c>
      <c r="G107" t="s">
        <v>658</v>
      </c>
      <c r="H107" t="s">
        <v>693</v>
      </c>
      <c r="I107" t="s">
        <v>704</v>
      </c>
      <c r="J107" t="s">
        <v>711</v>
      </c>
      <c r="K107" t="s">
        <v>714</v>
      </c>
      <c r="L107" t="s">
        <v>733</v>
      </c>
      <c r="M107" t="s">
        <v>1310</v>
      </c>
      <c r="N107" s="23">
        <v>751.28</v>
      </c>
      <c r="O107" s="23">
        <v>1111.8800000000001</v>
      </c>
      <c r="P107" s="8">
        <v>0.13500000000000001</v>
      </c>
      <c r="Q107">
        <v>7</v>
      </c>
      <c r="R107" s="23">
        <f t="shared" si="13"/>
        <v>6732.4334000000008</v>
      </c>
      <c r="S107" s="23">
        <f t="shared" si="14"/>
        <v>5258.96</v>
      </c>
      <c r="T107" s="23">
        <f t="shared" si="15"/>
        <v>1473.4734000000008</v>
      </c>
      <c r="U107" s="14">
        <f t="shared" si="16"/>
        <v>0.21886193482433863</v>
      </c>
      <c r="V107" s="7" t="str">
        <f t="shared" si="17"/>
        <v>Jun-2023</v>
      </c>
      <c r="W107" s="22">
        <f t="shared" si="18"/>
        <v>45078</v>
      </c>
      <c r="X107" s="7" t="str">
        <f t="shared" si="19"/>
        <v>Q2-2023</v>
      </c>
      <c r="Y107" t="str">
        <f t="shared" si="20"/>
        <v>Europe → United Kingdom → Manchester</v>
      </c>
      <c r="Z107" t="str">
        <f t="shared" si="21"/>
        <v>Accessories</v>
      </c>
      <c r="AA107" t="str" cm="1">
        <f t="array" ref="AA107">_xlfn.IFS(O107&lt;=$AF$2,"Low",AND(O107&gt;$AF$2,O107&lt;$AF$3),"Medium",O107&gt;=$AF$3,"High")</f>
        <v>Medium</v>
      </c>
      <c r="AB107" s="22">
        <f t="shared" si="22"/>
        <v>44927</v>
      </c>
      <c r="AC107">
        <v>5</v>
      </c>
    </row>
    <row r="108" spans="1:29" x14ac:dyDescent="0.35">
      <c r="A108" s="4" t="s">
        <v>54</v>
      </c>
      <c r="B108" s="5" t="str">
        <f>IF(COUNTIF($A$2:A108,A108)=1,"Original","Duplicate")</f>
        <v>Original</v>
      </c>
      <c r="C108" s="7">
        <v>45094</v>
      </c>
      <c r="D108" s="7">
        <v>45101</v>
      </c>
      <c r="E108">
        <f t="shared" si="12"/>
        <v>7</v>
      </c>
      <c r="F108" t="s">
        <v>648</v>
      </c>
      <c r="G108" t="s">
        <v>660</v>
      </c>
      <c r="H108" t="s">
        <v>686</v>
      </c>
      <c r="I108" t="s">
        <v>701</v>
      </c>
      <c r="J108" t="s">
        <v>707</v>
      </c>
      <c r="K108" t="s">
        <v>714</v>
      </c>
      <c r="L108" t="s">
        <v>728</v>
      </c>
      <c r="M108" t="s">
        <v>773</v>
      </c>
      <c r="N108" s="23">
        <v>313.99</v>
      </c>
      <c r="O108" s="23">
        <v>454.42</v>
      </c>
      <c r="P108" s="8">
        <v>0.129</v>
      </c>
      <c r="Q108">
        <v>9</v>
      </c>
      <c r="R108" s="23">
        <f t="shared" si="13"/>
        <v>3562.1983800000003</v>
      </c>
      <c r="S108" s="23">
        <f t="shared" si="14"/>
        <v>2825.91</v>
      </c>
      <c r="T108" s="23">
        <f t="shared" si="15"/>
        <v>736.28838000000042</v>
      </c>
      <c r="U108" s="14">
        <f t="shared" si="16"/>
        <v>0.20669493988147858</v>
      </c>
      <c r="V108" s="7" t="str">
        <f t="shared" si="17"/>
        <v>Jun-2023</v>
      </c>
      <c r="W108" s="22">
        <f t="shared" si="18"/>
        <v>45078</v>
      </c>
      <c r="X108" s="7" t="str">
        <f t="shared" si="19"/>
        <v>Q2-2023</v>
      </c>
      <c r="Y108" t="str">
        <f t="shared" si="20"/>
        <v>Americas → USA → San Francisco</v>
      </c>
      <c r="Z108" t="str">
        <f t="shared" si="21"/>
        <v>Printers</v>
      </c>
      <c r="AA108" t="str" cm="1">
        <f t="array" ref="AA108">_xlfn.IFS(O108&lt;=$AF$2,"Low",AND(O108&gt;$AF$2,O108&lt;$AF$3),"Medium",O108&gt;=$AF$3,"High")</f>
        <v>Low</v>
      </c>
      <c r="AB108" s="22">
        <f t="shared" si="22"/>
        <v>44927</v>
      </c>
      <c r="AC108">
        <v>5</v>
      </c>
    </row>
    <row r="109" spans="1:29" x14ac:dyDescent="0.35">
      <c r="A109" s="4" t="s">
        <v>311</v>
      </c>
      <c r="B109" s="5" t="str">
        <f>IF(COUNTIF($A$2:A109,A109)=1,"Original","Duplicate")</f>
        <v>Original</v>
      </c>
      <c r="C109" s="7">
        <v>45097</v>
      </c>
      <c r="D109" s="7">
        <v>45115</v>
      </c>
      <c r="E109">
        <f t="shared" si="12"/>
        <v>18</v>
      </c>
      <c r="F109" t="s">
        <v>648</v>
      </c>
      <c r="G109" t="s">
        <v>660</v>
      </c>
      <c r="H109" t="s">
        <v>697</v>
      </c>
      <c r="I109" t="s">
        <v>703</v>
      </c>
      <c r="J109" t="s">
        <v>711</v>
      </c>
      <c r="K109" t="s">
        <v>721</v>
      </c>
      <c r="L109" t="s">
        <v>732</v>
      </c>
      <c r="M109" t="s">
        <v>1031</v>
      </c>
      <c r="N109" s="23">
        <v>337</v>
      </c>
      <c r="O109" s="23">
        <v>511.03</v>
      </c>
      <c r="P109" s="8">
        <v>0.108</v>
      </c>
      <c r="Q109">
        <v>7</v>
      </c>
      <c r="R109" s="23">
        <f t="shared" si="13"/>
        <v>3190.8713200000002</v>
      </c>
      <c r="S109" s="23">
        <f t="shared" si="14"/>
        <v>2359</v>
      </c>
      <c r="T109" s="23">
        <f t="shared" si="15"/>
        <v>831.8713200000002</v>
      </c>
      <c r="U109" s="14">
        <f t="shared" si="16"/>
        <v>0.26070349963219458</v>
      </c>
      <c r="V109" s="7" t="str">
        <f t="shared" si="17"/>
        <v>Jun-2023</v>
      </c>
      <c r="W109" s="22">
        <f t="shared" si="18"/>
        <v>45078</v>
      </c>
      <c r="X109" s="7" t="str">
        <f t="shared" si="19"/>
        <v>Q2-2023</v>
      </c>
      <c r="Y109" t="str">
        <f t="shared" si="20"/>
        <v>Americas → USA → Austin</v>
      </c>
      <c r="Z109" t="str">
        <f t="shared" si="21"/>
        <v>Monitors</v>
      </c>
      <c r="AA109" t="str" cm="1">
        <f t="array" ref="AA109">_xlfn.IFS(O109&lt;=$AF$2,"Low",AND(O109&gt;$AF$2,O109&lt;$AF$3),"Medium",O109&gt;=$AF$3,"High")</f>
        <v>Low</v>
      </c>
      <c r="AB109" s="22">
        <f t="shared" si="22"/>
        <v>44927</v>
      </c>
      <c r="AC109">
        <v>5</v>
      </c>
    </row>
    <row r="110" spans="1:29" x14ac:dyDescent="0.35">
      <c r="A110" s="4" t="s">
        <v>397</v>
      </c>
      <c r="B110" s="5" t="str">
        <f>IF(COUNTIF($A$2:A110,A110)=1,"Original","Duplicate")</f>
        <v>Original</v>
      </c>
      <c r="C110" s="7">
        <v>45097</v>
      </c>
      <c r="D110" s="7">
        <v>45115</v>
      </c>
      <c r="E110">
        <f t="shared" si="12"/>
        <v>18</v>
      </c>
      <c r="F110" t="s">
        <v>648</v>
      </c>
      <c r="G110" t="s">
        <v>660</v>
      </c>
      <c r="H110" t="s">
        <v>700</v>
      </c>
      <c r="I110" t="s">
        <v>704</v>
      </c>
      <c r="J110" t="s">
        <v>709</v>
      </c>
      <c r="K110" t="s">
        <v>719</v>
      </c>
      <c r="L110" t="s">
        <v>729</v>
      </c>
      <c r="M110" t="s">
        <v>1116</v>
      </c>
      <c r="N110" s="23">
        <v>1145.53</v>
      </c>
      <c r="O110" s="23">
        <v>1278.3</v>
      </c>
      <c r="P110" s="8">
        <v>0.09</v>
      </c>
      <c r="Q110">
        <v>41</v>
      </c>
      <c r="R110" s="23">
        <f t="shared" si="13"/>
        <v>47693.373</v>
      </c>
      <c r="S110" s="23">
        <f t="shared" si="14"/>
        <v>46966.729999999996</v>
      </c>
      <c r="T110" s="23">
        <f t="shared" si="15"/>
        <v>726.64300000000367</v>
      </c>
      <c r="U110" s="14">
        <f t="shared" si="16"/>
        <v>1.5235722581416158E-2</v>
      </c>
      <c r="V110" s="7" t="str">
        <f t="shared" si="17"/>
        <v>Jun-2023</v>
      </c>
      <c r="W110" s="22">
        <f t="shared" si="18"/>
        <v>45078</v>
      </c>
      <c r="X110" s="7" t="str">
        <f t="shared" si="19"/>
        <v>Q2-2023</v>
      </c>
      <c r="Y110" t="str">
        <f t="shared" si="20"/>
        <v>Americas → USA → New York</v>
      </c>
      <c r="Z110" t="str">
        <f t="shared" si="21"/>
        <v>Networking</v>
      </c>
      <c r="AA110" t="str" cm="1">
        <f t="array" ref="AA110">_xlfn.IFS(O110&lt;=$AF$2,"Low",AND(O110&gt;$AF$2,O110&lt;$AF$3),"Medium",O110&gt;=$AF$3,"High")</f>
        <v>Medium</v>
      </c>
      <c r="AB110" s="22">
        <f t="shared" si="22"/>
        <v>44927</v>
      </c>
      <c r="AC110">
        <v>5</v>
      </c>
    </row>
    <row r="111" spans="1:29" x14ac:dyDescent="0.35">
      <c r="A111" s="4" t="s">
        <v>510</v>
      </c>
      <c r="B111" s="5" t="str">
        <f>IF(COUNTIF($A$2:A111,A111)=1,"Original","Duplicate")</f>
        <v>Original</v>
      </c>
      <c r="C111" s="7">
        <v>45097</v>
      </c>
      <c r="D111" s="7">
        <v>45111</v>
      </c>
      <c r="E111">
        <f t="shared" si="12"/>
        <v>14</v>
      </c>
      <c r="F111" t="s">
        <v>648</v>
      </c>
      <c r="G111" t="s">
        <v>655</v>
      </c>
      <c r="H111" t="s">
        <v>672</v>
      </c>
      <c r="I111" t="s">
        <v>703</v>
      </c>
      <c r="J111" t="s">
        <v>711</v>
      </c>
      <c r="K111" t="s">
        <v>712</v>
      </c>
      <c r="L111" t="s">
        <v>729</v>
      </c>
      <c r="M111" t="s">
        <v>1229</v>
      </c>
      <c r="N111" s="23">
        <v>1292.8599999999999</v>
      </c>
      <c r="O111" s="23">
        <v>2981.01</v>
      </c>
      <c r="P111" s="8">
        <v>0.14199999999999999</v>
      </c>
      <c r="Q111">
        <v>12</v>
      </c>
      <c r="R111" s="23">
        <f t="shared" si="13"/>
        <v>30692.47896</v>
      </c>
      <c r="S111" s="23">
        <f t="shared" si="14"/>
        <v>15514.32</v>
      </c>
      <c r="T111" s="23">
        <f t="shared" si="15"/>
        <v>15178.158960000001</v>
      </c>
      <c r="U111" s="14">
        <f t="shared" si="16"/>
        <v>0.49452372288927687</v>
      </c>
      <c r="V111" s="7" t="str">
        <f t="shared" si="17"/>
        <v>Jun-2023</v>
      </c>
      <c r="W111" s="22">
        <f t="shared" si="18"/>
        <v>45078</v>
      </c>
      <c r="X111" s="7" t="str">
        <f t="shared" si="19"/>
        <v>Q2-2023</v>
      </c>
      <c r="Y111" t="str">
        <f t="shared" si="20"/>
        <v>Americas → Brazil → Brasília</v>
      </c>
      <c r="Z111" t="str">
        <f t="shared" si="21"/>
        <v>Networking</v>
      </c>
      <c r="AA111" t="str" cm="1">
        <f t="array" ref="AA111">_xlfn.IFS(O111&lt;=$AF$2,"Low",AND(O111&gt;$AF$2,O111&lt;$AF$3),"Medium",O111&gt;=$AF$3,"High")</f>
        <v>High</v>
      </c>
      <c r="AB111" s="22">
        <f t="shared" si="22"/>
        <v>44927</v>
      </c>
      <c r="AC111">
        <v>5</v>
      </c>
    </row>
    <row r="112" spans="1:29" x14ac:dyDescent="0.35">
      <c r="A112" s="4" t="s">
        <v>200</v>
      </c>
      <c r="B112" s="5" t="str">
        <f>IF(COUNTIF($A$2:A112,A112)=1,"Original","Duplicate")</f>
        <v>Original</v>
      </c>
      <c r="C112" s="7">
        <v>45099</v>
      </c>
      <c r="D112" s="7">
        <v>45128</v>
      </c>
      <c r="E112">
        <f t="shared" si="12"/>
        <v>29</v>
      </c>
      <c r="F112" t="s">
        <v>649</v>
      </c>
      <c r="G112" t="s">
        <v>657</v>
      </c>
      <c r="H112" t="s">
        <v>679</v>
      </c>
      <c r="I112" t="s">
        <v>701</v>
      </c>
      <c r="J112" t="s">
        <v>707</v>
      </c>
      <c r="K112" t="s">
        <v>713</v>
      </c>
      <c r="L112" t="s">
        <v>733</v>
      </c>
      <c r="M112" t="s">
        <v>919</v>
      </c>
      <c r="N112" s="23">
        <v>734.34</v>
      </c>
      <c r="O112" s="23">
        <v>887.9</v>
      </c>
      <c r="P112" s="8">
        <v>2.5000000000000001E-2</v>
      </c>
      <c r="Q112">
        <v>12</v>
      </c>
      <c r="R112" s="23">
        <f t="shared" si="13"/>
        <v>10388.429999999998</v>
      </c>
      <c r="S112" s="23">
        <f t="shared" si="14"/>
        <v>8812.08</v>
      </c>
      <c r="T112" s="23">
        <f t="shared" si="15"/>
        <v>1576.3499999999985</v>
      </c>
      <c r="U112" s="14">
        <f t="shared" si="16"/>
        <v>0.15174092716608753</v>
      </c>
      <c r="V112" s="7" t="str">
        <f t="shared" si="17"/>
        <v>Jun-2023</v>
      </c>
      <c r="W112" s="22">
        <f t="shared" si="18"/>
        <v>45078</v>
      </c>
      <c r="X112" s="7" t="str">
        <f t="shared" si="19"/>
        <v>Q2-2023</v>
      </c>
      <c r="Y112" t="str">
        <f t="shared" si="20"/>
        <v>Europe → France → Lyon</v>
      </c>
      <c r="Z112" t="str">
        <f t="shared" si="21"/>
        <v>Accessories</v>
      </c>
      <c r="AA112" t="str" cm="1">
        <f t="array" ref="AA112">_xlfn.IFS(O112&lt;=$AF$2,"Low",AND(O112&gt;$AF$2,O112&lt;$AF$3),"Medium",O112&gt;=$AF$3,"High")</f>
        <v>Medium</v>
      </c>
      <c r="AB112" s="22">
        <f t="shared" si="22"/>
        <v>44927</v>
      </c>
      <c r="AC112">
        <v>5</v>
      </c>
    </row>
    <row r="113" spans="1:29" x14ac:dyDescent="0.35">
      <c r="A113" s="4" t="s">
        <v>61</v>
      </c>
      <c r="B113" s="5" t="str">
        <f>IF(COUNTIF($A$2:A113,A113)=1,"Original","Duplicate")</f>
        <v>Original</v>
      </c>
      <c r="C113" s="7">
        <v>45100</v>
      </c>
      <c r="D113" s="7">
        <v>45110</v>
      </c>
      <c r="E113">
        <f t="shared" si="12"/>
        <v>10</v>
      </c>
      <c r="F113" t="s">
        <v>646</v>
      </c>
      <c r="G113" t="s">
        <v>651</v>
      </c>
      <c r="H113" t="s">
        <v>669</v>
      </c>
      <c r="I113" t="s">
        <v>704</v>
      </c>
      <c r="J113" t="s">
        <v>708</v>
      </c>
      <c r="K113" t="s">
        <v>713</v>
      </c>
      <c r="L113" t="s">
        <v>728</v>
      </c>
      <c r="M113" t="s">
        <v>780</v>
      </c>
      <c r="N113" s="23">
        <v>337.75</v>
      </c>
      <c r="O113" s="23">
        <v>548.89</v>
      </c>
      <c r="P113" s="8">
        <v>0</v>
      </c>
      <c r="Q113">
        <v>13</v>
      </c>
      <c r="R113" s="23">
        <f t="shared" si="13"/>
        <v>7135.57</v>
      </c>
      <c r="S113" s="23">
        <f t="shared" si="14"/>
        <v>4390.75</v>
      </c>
      <c r="T113" s="23">
        <f t="shared" si="15"/>
        <v>2744.8199999999997</v>
      </c>
      <c r="U113" s="14">
        <f t="shared" si="16"/>
        <v>0.38466723751571352</v>
      </c>
      <c r="V113" s="7" t="str">
        <f t="shared" si="17"/>
        <v>Jun-2023</v>
      </c>
      <c r="W113" s="22">
        <f t="shared" si="18"/>
        <v>45078</v>
      </c>
      <c r="X113" s="7" t="str">
        <f t="shared" si="19"/>
        <v>Q2-2023</v>
      </c>
      <c r="Y113" t="str">
        <f t="shared" si="20"/>
        <v>Africa → Nigeria → Abuja</v>
      </c>
      <c r="Z113" t="str">
        <f t="shared" si="21"/>
        <v>Printers</v>
      </c>
      <c r="AA113" t="str" cm="1">
        <f t="array" ref="AA113">_xlfn.IFS(O113&lt;=$AF$2,"Low",AND(O113&gt;$AF$2,O113&lt;$AF$3),"Medium",O113&gt;=$AF$3,"High")</f>
        <v>Low</v>
      </c>
      <c r="AB113" s="22">
        <f t="shared" si="22"/>
        <v>44927</v>
      </c>
      <c r="AC113">
        <v>5</v>
      </c>
    </row>
    <row r="114" spans="1:29" x14ac:dyDescent="0.35">
      <c r="A114" s="4" t="s">
        <v>642</v>
      </c>
      <c r="B114" s="5" t="str">
        <f>IF(COUNTIF($A$2:A114,A114)=1,"Original","Duplicate")</f>
        <v>Original</v>
      </c>
      <c r="C114" s="7">
        <v>45100</v>
      </c>
      <c r="D114" s="7">
        <v>45125</v>
      </c>
      <c r="E114">
        <f t="shared" si="12"/>
        <v>25</v>
      </c>
      <c r="F114" t="s">
        <v>648</v>
      </c>
      <c r="G114" t="s">
        <v>653</v>
      </c>
      <c r="H114" t="s">
        <v>688</v>
      </c>
      <c r="I114" t="s">
        <v>706</v>
      </c>
      <c r="J114" t="s">
        <v>708</v>
      </c>
      <c r="K114" t="s">
        <v>725</v>
      </c>
      <c r="L114" t="s">
        <v>730</v>
      </c>
      <c r="M114" t="s">
        <v>1360</v>
      </c>
      <c r="N114" s="23">
        <v>807.02</v>
      </c>
      <c r="O114" s="23">
        <v>1435.54</v>
      </c>
      <c r="P114" s="8">
        <v>0</v>
      </c>
      <c r="Q114">
        <v>23</v>
      </c>
      <c r="R114" s="23">
        <f t="shared" si="13"/>
        <v>33017.42</v>
      </c>
      <c r="S114" s="23">
        <f t="shared" si="14"/>
        <v>18561.46</v>
      </c>
      <c r="T114" s="23">
        <f t="shared" si="15"/>
        <v>14455.96</v>
      </c>
      <c r="U114" s="14">
        <f t="shared" si="16"/>
        <v>0.43782827368098415</v>
      </c>
      <c r="V114" s="7" t="str">
        <f t="shared" si="17"/>
        <v>Jun-2023</v>
      </c>
      <c r="W114" s="22">
        <f t="shared" si="18"/>
        <v>45078</v>
      </c>
      <c r="X114" s="7" t="str">
        <f t="shared" si="19"/>
        <v>Q2-2023</v>
      </c>
      <c r="Y114" t="str">
        <f t="shared" si="20"/>
        <v>Americas → Canada → Vancouver</v>
      </c>
      <c r="Z114" t="str">
        <f t="shared" si="21"/>
        <v>Phones</v>
      </c>
      <c r="AA114" t="str" cm="1">
        <f t="array" ref="AA114">_xlfn.IFS(O114&lt;=$AF$2,"Low",AND(O114&gt;$AF$2,O114&lt;$AF$3),"Medium",O114&gt;=$AF$3,"High")</f>
        <v>Medium</v>
      </c>
      <c r="AB114" s="22">
        <f t="shared" si="22"/>
        <v>44927</v>
      </c>
      <c r="AC114">
        <v>5</v>
      </c>
    </row>
    <row r="115" spans="1:29" x14ac:dyDescent="0.35">
      <c r="A115" s="4" t="s">
        <v>107</v>
      </c>
      <c r="B115" s="5" t="str">
        <f>IF(COUNTIF($A$2:A115,A115)=1,"Original","Duplicate")</f>
        <v>Original</v>
      </c>
      <c r="C115" s="7">
        <v>45101</v>
      </c>
      <c r="D115" s="7">
        <v>45107</v>
      </c>
      <c r="E115">
        <f t="shared" si="12"/>
        <v>6</v>
      </c>
      <c r="F115" t="s">
        <v>648</v>
      </c>
      <c r="G115" t="s">
        <v>655</v>
      </c>
      <c r="H115" t="s">
        <v>692</v>
      </c>
      <c r="I115" t="s">
        <v>703</v>
      </c>
      <c r="J115" t="s">
        <v>707</v>
      </c>
      <c r="K115" t="s">
        <v>718</v>
      </c>
      <c r="L115" t="s">
        <v>728</v>
      </c>
      <c r="M115" t="s">
        <v>826</v>
      </c>
      <c r="N115" s="23">
        <v>804.01</v>
      </c>
      <c r="O115" s="23">
        <v>1405.07</v>
      </c>
      <c r="P115" s="8">
        <v>9.6000000000000002E-2</v>
      </c>
      <c r="Q115">
        <v>8</v>
      </c>
      <c r="R115" s="23">
        <f t="shared" si="13"/>
        <v>10161.46624</v>
      </c>
      <c r="S115" s="23">
        <f t="shared" si="14"/>
        <v>6432.08</v>
      </c>
      <c r="T115" s="23">
        <f t="shared" si="15"/>
        <v>3729.3862399999998</v>
      </c>
      <c r="U115" s="14">
        <f t="shared" si="16"/>
        <v>0.36701260939287439</v>
      </c>
      <c r="V115" s="7" t="str">
        <f t="shared" si="17"/>
        <v>Jun-2023</v>
      </c>
      <c r="W115" s="22">
        <f t="shared" si="18"/>
        <v>45078</v>
      </c>
      <c r="X115" s="7" t="str">
        <f t="shared" si="19"/>
        <v>Q2-2023</v>
      </c>
      <c r="Y115" t="str">
        <f t="shared" si="20"/>
        <v>Americas → Brazil → Rio de Janeiro</v>
      </c>
      <c r="Z115" t="str">
        <f t="shared" si="21"/>
        <v>Printers</v>
      </c>
      <c r="AA115" t="str" cm="1">
        <f t="array" ref="AA115">_xlfn.IFS(O115&lt;=$AF$2,"Low",AND(O115&gt;$AF$2,O115&lt;$AF$3),"Medium",O115&gt;=$AF$3,"High")</f>
        <v>Medium</v>
      </c>
      <c r="AB115" s="22">
        <f t="shared" si="22"/>
        <v>44927</v>
      </c>
      <c r="AC115">
        <v>5</v>
      </c>
    </row>
    <row r="116" spans="1:29" x14ac:dyDescent="0.35">
      <c r="A116" s="4" t="s">
        <v>299</v>
      </c>
      <c r="B116" s="5" t="str">
        <f>IF(COUNTIF($A$2:A116,A116)=1,"Original","Duplicate")</f>
        <v>Original</v>
      </c>
      <c r="C116" s="7">
        <v>45101</v>
      </c>
      <c r="D116" s="7">
        <v>45128</v>
      </c>
      <c r="E116">
        <f t="shared" si="12"/>
        <v>27</v>
      </c>
      <c r="F116" t="s">
        <v>647</v>
      </c>
      <c r="G116" t="s">
        <v>652</v>
      </c>
      <c r="H116" t="s">
        <v>694</v>
      </c>
      <c r="I116" t="s">
        <v>704</v>
      </c>
      <c r="J116" t="s">
        <v>709</v>
      </c>
      <c r="K116" t="s">
        <v>713</v>
      </c>
      <c r="L116" t="s">
        <v>730</v>
      </c>
      <c r="M116" t="s">
        <v>1019</v>
      </c>
      <c r="N116" s="23">
        <v>554.76</v>
      </c>
      <c r="O116" s="23">
        <v>728.69</v>
      </c>
      <c r="P116" s="8">
        <v>0.22</v>
      </c>
      <c r="Q116">
        <v>7</v>
      </c>
      <c r="R116" s="23">
        <f t="shared" si="13"/>
        <v>3978.6474000000003</v>
      </c>
      <c r="S116" s="23">
        <f t="shared" si="14"/>
        <v>3883.3199999999997</v>
      </c>
      <c r="T116" s="23">
        <f t="shared" si="15"/>
        <v>95.32740000000058</v>
      </c>
      <c r="U116" s="14">
        <f t="shared" si="16"/>
        <v>2.395975074343119E-2</v>
      </c>
      <c r="V116" s="7" t="str">
        <f t="shared" si="17"/>
        <v>Jun-2023</v>
      </c>
      <c r="W116" s="22">
        <f t="shared" si="18"/>
        <v>45078</v>
      </c>
      <c r="X116" s="7" t="str">
        <f t="shared" si="19"/>
        <v>Q2-2023</v>
      </c>
      <c r="Y116" t="str">
        <f t="shared" si="20"/>
        <v>Asia → Japan → Nagoya</v>
      </c>
      <c r="Z116" t="str">
        <f t="shared" si="21"/>
        <v>Phones</v>
      </c>
      <c r="AA116" t="str" cm="1">
        <f t="array" ref="AA116">_xlfn.IFS(O116&lt;=$AF$2,"Low",AND(O116&gt;$AF$2,O116&lt;$AF$3),"Medium",O116&gt;=$AF$3,"High")</f>
        <v>Low</v>
      </c>
      <c r="AB116" s="22">
        <f t="shared" si="22"/>
        <v>44986</v>
      </c>
      <c r="AC116">
        <v>3</v>
      </c>
    </row>
    <row r="117" spans="1:29" x14ac:dyDescent="0.35">
      <c r="A117" s="4" t="s">
        <v>326</v>
      </c>
      <c r="B117" s="5" t="str">
        <f>IF(COUNTIF($A$2:A117,A117)=1,"Original","Duplicate")</f>
        <v>Original</v>
      </c>
      <c r="C117" s="7">
        <v>45101</v>
      </c>
      <c r="D117" s="7">
        <v>45107</v>
      </c>
      <c r="E117">
        <f t="shared" si="12"/>
        <v>6</v>
      </c>
      <c r="F117" t="s">
        <v>648</v>
      </c>
      <c r="G117" t="s">
        <v>653</v>
      </c>
      <c r="H117" t="s">
        <v>667</v>
      </c>
      <c r="I117" t="s">
        <v>703</v>
      </c>
      <c r="J117" t="s">
        <v>707</v>
      </c>
      <c r="K117" t="s">
        <v>724</v>
      </c>
      <c r="L117" t="s">
        <v>733</v>
      </c>
      <c r="M117" t="s">
        <v>1046</v>
      </c>
      <c r="N117" s="23">
        <v>471.42</v>
      </c>
      <c r="O117" s="23">
        <v>824.81</v>
      </c>
      <c r="P117" s="8">
        <v>8.7999999999999995E-2</v>
      </c>
      <c r="Q117">
        <v>15</v>
      </c>
      <c r="R117" s="23">
        <f t="shared" si="13"/>
        <v>11283.400799999999</v>
      </c>
      <c r="S117" s="23">
        <f t="shared" si="14"/>
        <v>7071.3</v>
      </c>
      <c r="T117" s="23">
        <f t="shared" si="15"/>
        <v>4212.1007999999993</v>
      </c>
      <c r="U117" s="14">
        <f t="shared" si="16"/>
        <v>0.37330064531608231</v>
      </c>
      <c r="V117" s="7" t="str">
        <f t="shared" si="17"/>
        <v>Jun-2023</v>
      </c>
      <c r="W117" s="22">
        <f t="shared" si="18"/>
        <v>45078</v>
      </c>
      <c r="X117" s="7" t="str">
        <f t="shared" si="19"/>
        <v>Q2-2023</v>
      </c>
      <c r="Y117" t="str">
        <f t="shared" si="20"/>
        <v>Americas → Canada → Toronto</v>
      </c>
      <c r="Z117" t="str">
        <f t="shared" si="21"/>
        <v>Accessories</v>
      </c>
      <c r="AA117" t="str" cm="1">
        <f t="array" ref="AA117">_xlfn.IFS(O117&lt;=$AF$2,"Low",AND(O117&gt;$AF$2,O117&lt;$AF$3),"Medium",O117&gt;=$AF$3,"High")</f>
        <v>Medium</v>
      </c>
      <c r="AB117" s="22">
        <f t="shared" si="22"/>
        <v>44927</v>
      </c>
      <c r="AC117">
        <v>5</v>
      </c>
    </row>
    <row r="118" spans="1:29" x14ac:dyDescent="0.35">
      <c r="A118" s="4" t="s">
        <v>104</v>
      </c>
      <c r="B118" s="5" t="str">
        <f>IF(COUNTIF($A$2:A118,A118)=1,"Original","Duplicate")</f>
        <v>Original</v>
      </c>
      <c r="C118" s="7">
        <v>45106</v>
      </c>
      <c r="D118" s="7">
        <v>45109</v>
      </c>
      <c r="E118">
        <f t="shared" si="12"/>
        <v>3</v>
      </c>
      <c r="F118" t="s">
        <v>647</v>
      </c>
      <c r="G118" t="s">
        <v>652</v>
      </c>
      <c r="H118" t="s">
        <v>694</v>
      </c>
      <c r="I118" t="s">
        <v>702</v>
      </c>
      <c r="J118" t="s">
        <v>709</v>
      </c>
      <c r="K118" t="s">
        <v>721</v>
      </c>
      <c r="L118" t="s">
        <v>732</v>
      </c>
      <c r="M118" t="s">
        <v>823</v>
      </c>
      <c r="N118" s="23">
        <v>55.65</v>
      </c>
      <c r="O118" s="23">
        <v>83.57</v>
      </c>
      <c r="P118" s="8">
        <v>6.6000000000000003E-2</v>
      </c>
      <c r="Q118">
        <v>8</v>
      </c>
      <c r="R118" s="23">
        <f t="shared" si="13"/>
        <v>624.43503999999996</v>
      </c>
      <c r="S118" s="23">
        <f t="shared" si="14"/>
        <v>445.2</v>
      </c>
      <c r="T118" s="23">
        <f t="shared" si="15"/>
        <v>179.23503999999997</v>
      </c>
      <c r="U118" s="14">
        <f t="shared" si="16"/>
        <v>0.2870355257449998</v>
      </c>
      <c r="V118" s="7" t="str">
        <f t="shared" si="17"/>
        <v>Jun-2023</v>
      </c>
      <c r="W118" s="22">
        <f t="shared" si="18"/>
        <v>45078</v>
      </c>
      <c r="X118" s="7" t="str">
        <f t="shared" si="19"/>
        <v>Q2-2023</v>
      </c>
      <c r="Y118" t="str">
        <f t="shared" si="20"/>
        <v>Asia → Japan → Nagoya</v>
      </c>
      <c r="Z118" t="str">
        <f t="shared" si="21"/>
        <v>Monitors</v>
      </c>
      <c r="AA118" t="str" cm="1">
        <f t="array" ref="AA118">_xlfn.IFS(O118&lt;=$AF$2,"Low",AND(O118&gt;$AF$2,O118&lt;$AF$3),"Medium",O118&gt;=$AF$3,"High")</f>
        <v>Low</v>
      </c>
      <c r="AB118" s="22">
        <f t="shared" si="22"/>
        <v>44986</v>
      </c>
      <c r="AC118">
        <v>3</v>
      </c>
    </row>
    <row r="119" spans="1:29" x14ac:dyDescent="0.35">
      <c r="A119" s="4" t="s">
        <v>376</v>
      </c>
      <c r="B119" s="5" t="str">
        <f>IF(COUNTIF($A$2:A119,A119)=1,"Original","Duplicate")</f>
        <v>Original</v>
      </c>
      <c r="C119" s="7">
        <v>45108</v>
      </c>
      <c r="D119" s="7">
        <v>45115</v>
      </c>
      <c r="E119">
        <f t="shared" si="12"/>
        <v>7</v>
      </c>
      <c r="F119" t="s">
        <v>646</v>
      </c>
      <c r="G119" t="s">
        <v>651</v>
      </c>
      <c r="H119" t="s">
        <v>663</v>
      </c>
      <c r="I119" t="s">
        <v>701</v>
      </c>
      <c r="J119" t="s">
        <v>707</v>
      </c>
      <c r="K119" t="s">
        <v>720</v>
      </c>
      <c r="L119" t="s">
        <v>731</v>
      </c>
      <c r="M119" t="s">
        <v>1096</v>
      </c>
      <c r="N119" s="23">
        <v>834.26</v>
      </c>
      <c r="O119" s="23">
        <v>1780.56</v>
      </c>
      <c r="P119" s="8">
        <v>1.4E-2</v>
      </c>
      <c r="Q119">
        <v>47</v>
      </c>
      <c r="R119" s="23">
        <f t="shared" si="13"/>
        <v>82514.711519999997</v>
      </c>
      <c r="S119" s="23">
        <f t="shared" si="14"/>
        <v>39210.22</v>
      </c>
      <c r="T119" s="23">
        <f t="shared" si="15"/>
        <v>43304.491519999996</v>
      </c>
      <c r="U119" s="14">
        <f t="shared" si="16"/>
        <v>0.5248093427497933</v>
      </c>
      <c r="V119" s="7" t="str">
        <f t="shared" si="17"/>
        <v>Jul-2023</v>
      </c>
      <c r="W119" s="22">
        <f t="shared" si="18"/>
        <v>45108</v>
      </c>
      <c r="X119" s="7" t="str">
        <f t="shared" si="19"/>
        <v>Q3-2023</v>
      </c>
      <c r="Y119" t="str">
        <f t="shared" si="20"/>
        <v>Africa → Nigeria → Port Harcourt</v>
      </c>
      <c r="Z119" t="str">
        <f t="shared" si="21"/>
        <v>Laptops</v>
      </c>
      <c r="AA119" t="str" cm="1">
        <f t="array" ref="AA119">_xlfn.IFS(O119&lt;=$AF$2,"Low",AND(O119&gt;$AF$2,O119&lt;$AF$3),"Medium",O119&gt;=$AF$3,"High")</f>
        <v>High</v>
      </c>
      <c r="AB119" s="22">
        <f t="shared" si="22"/>
        <v>44927</v>
      </c>
      <c r="AC119">
        <v>6</v>
      </c>
    </row>
    <row r="120" spans="1:29" x14ac:dyDescent="0.35">
      <c r="A120" s="4" t="s">
        <v>550</v>
      </c>
      <c r="B120" s="5" t="str">
        <f>IF(COUNTIF($A$2:A120,A120)=1,"Original","Duplicate")</f>
        <v>Original</v>
      </c>
      <c r="C120" s="7">
        <v>45108</v>
      </c>
      <c r="D120" s="7">
        <v>45118</v>
      </c>
      <c r="E120">
        <f t="shared" si="12"/>
        <v>10</v>
      </c>
      <c r="F120" t="s">
        <v>649</v>
      </c>
      <c r="G120" t="s">
        <v>657</v>
      </c>
      <c r="H120" t="s">
        <v>690</v>
      </c>
      <c r="I120" t="s">
        <v>701</v>
      </c>
      <c r="J120" t="s">
        <v>711</v>
      </c>
      <c r="K120" t="s">
        <v>721</v>
      </c>
      <c r="L120" t="s">
        <v>729</v>
      </c>
      <c r="M120" t="s">
        <v>1269</v>
      </c>
      <c r="N120" s="23">
        <v>479.5</v>
      </c>
      <c r="O120" s="23">
        <v>656.66</v>
      </c>
      <c r="P120" s="8">
        <v>0.14899999999999999</v>
      </c>
      <c r="Q120">
        <v>14</v>
      </c>
      <c r="R120" s="23">
        <f t="shared" si="13"/>
        <v>7823.4472399999995</v>
      </c>
      <c r="S120" s="23">
        <f t="shared" si="14"/>
        <v>6713</v>
      </c>
      <c r="T120" s="23">
        <f t="shared" si="15"/>
        <v>1110.4472399999995</v>
      </c>
      <c r="U120" s="14">
        <f t="shared" si="16"/>
        <v>0.14193835606412289</v>
      </c>
      <c r="V120" s="7" t="str">
        <f t="shared" si="17"/>
        <v>Jul-2023</v>
      </c>
      <c r="W120" s="22">
        <f t="shared" si="18"/>
        <v>45108</v>
      </c>
      <c r="X120" s="7" t="str">
        <f t="shared" si="19"/>
        <v>Q3-2023</v>
      </c>
      <c r="Y120" t="str">
        <f t="shared" si="20"/>
        <v>Europe → France → Paris</v>
      </c>
      <c r="Z120" t="str">
        <f t="shared" si="21"/>
        <v>Networking</v>
      </c>
      <c r="AA120" t="str" cm="1">
        <f t="array" ref="AA120">_xlfn.IFS(O120&lt;=$AF$2,"Low",AND(O120&gt;$AF$2,O120&lt;$AF$3),"Medium",O120&gt;=$AF$3,"High")</f>
        <v>Low</v>
      </c>
      <c r="AB120" s="22">
        <f t="shared" si="22"/>
        <v>44927</v>
      </c>
      <c r="AC120">
        <v>6</v>
      </c>
    </row>
    <row r="121" spans="1:29" x14ac:dyDescent="0.35">
      <c r="A121" s="4" t="s">
        <v>558</v>
      </c>
      <c r="B121" s="5" t="str">
        <f>IF(COUNTIF($A$2:A121,A121)=1,"Original","Duplicate")</f>
        <v>Original</v>
      </c>
      <c r="C121" s="7">
        <v>45108</v>
      </c>
      <c r="D121" s="7">
        <v>45115</v>
      </c>
      <c r="E121">
        <f t="shared" si="12"/>
        <v>7</v>
      </c>
      <c r="F121" t="s">
        <v>649</v>
      </c>
      <c r="G121" t="s">
        <v>656</v>
      </c>
      <c r="H121" t="s">
        <v>698</v>
      </c>
      <c r="I121" t="s">
        <v>705</v>
      </c>
      <c r="J121" t="s">
        <v>710</v>
      </c>
      <c r="K121" t="s">
        <v>725</v>
      </c>
      <c r="L121" t="s">
        <v>731</v>
      </c>
      <c r="M121" t="s">
        <v>1276</v>
      </c>
      <c r="N121" s="23">
        <v>460.21</v>
      </c>
      <c r="O121" s="23">
        <v>1139.1500000000001</v>
      </c>
      <c r="P121" s="8">
        <v>0.115</v>
      </c>
      <c r="Q121">
        <v>14</v>
      </c>
      <c r="R121" s="23">
        <f t="shared" si="13"/>
        <v>14114.068500000001</v>
      </c>
      <c r="S121" s="23">
        <f t="shared" si="14"/>
        <v>6442.94</v>
      </c>
      <c r="T121" s="23">
        <f t="shared" si="15"/>
        <v>7671.1285000000016</v>
      </c>
      <c r="U121" s="14">
        <f t="shared" si="16"/>
        <v>0.54350937151821255</v>
      </c>
      <c r="V121" s="7" t="str">
        <f t="shared" si="17"/>
        <v>Jul-2023</v>
      </c>
      <c r="W121" s="22">
        <f t="shared" si="18"/>
        <v>45108</v>
      </c>
      <c r="X121" s="7" t="str">
        <f t="shared" si="19"/>
        <v>Q3-2023</v>
      </c>
      <c r="Y121" t="str">
        <f t="shared" si="20"/>
        <v>Europe → Germany → Frankfurt</v>
      </c>
      <c r="Z121" t="str">
        <f t="shared" si="21"/>
        <v>Laptops</v>
      </c>
      <c r="AA121" t="str" cm="1">
        <f t="array" ref="AA121">_xlfn.IFS(O121&lt;=$AF$2,"Low",AND(O121&gt;$AF$2,O121&lt;$AF$3),"Medium",O121&gt;=$AF$3,"High")</f>
        <v>Medium</v>
      </c>
      <c r="AB121" s="22">
        <f t="shared" si="22"/>
        <v>44927</v>
      </c>
      <c r="AC121">
        <v>6</v>
      </c>
    </row>
    <row r="122" spans="1:29" x14ac:dyDescent="0.35">
      <c r="A122" s="4" t="s">
        <v>220</v>
      </c>
      <c r="B122" s="5" t="str">
        <f>IF(COUNTIF($A$2:A122,A122)=1,"Original","Duplicate")</f>
        <v>Original</v>
      </c>
      <c r="C122" s="7">
        <v>45109</v>
      </c>
      <c r="D122" s="7">
        <v>45139</v>
      </c>
      <c r="E122">
        <f t="shared" si="12"/>
        <v>30</v>
      </c>
      <c r="F122" t="s">
        <v>649</v>
      </c>
      <c r="G122" t="s">
        <v>658</v>
      </c>
      <c r="H122" t="s">
        <v>674</v>
      </c>
      <c r="I122" t="s">
        <v>705</v>
      </c>
      <c r="J122" t="s">
        <v>707</v>
      </c>
      <c r="K122" t="s">
        <v>717</v>
      </c>
      <c r="L122" t="s">
        <v>727</v>
      </c>
      <c r="M122" t="s">
        <v>940</v>
      </c>
      <c r="N122" s="23">
        <v>137.46</v>
      </c>
      <c r="O122" s="23">
        <v>188.3</v>
      </c>
      <c r="P122" s="8">
        <v>3.7999999999999999E-2</v>
      </c>
      <c r="Q122">
        <v>37</v>
      </c>
      <c r="R122" s="23">
        <f t="shared" si="13"/>
        <v>6702.3501999999999</v>
      </c>
      <c r="S122" s="23">
        <f t="shared" si="14"/>
        <v>5086.0200000000004</v>
      </c>
      <c r="T122" s="23">
        <f t="shared" si="15"/>
        <v>1616.3301999999994</v>
      </c>
      <c r="U122" s="14">
        <f t="shared" si="16"/>
        <v>0.24115872071262398</v>
      </c>
      <c r="V122" s="7" t="str">
        <f t="shared" si="17"/>
        <v>Jul-2023</v>
      </c>
      <c r="W122" s="22">
        <f t="shared" si="18"/>
        <v>45108</v>
      </c>
      <c r="X122" s="7" t="str">
        <f t="shared" si="19"/>
        <v>Q3-2023</v>
      </c>
      <c r="Y122" t="str">
        <f t="shared" si="20"/>
        <v>Europe → United Kingdom → Birmingham</v>
      </c>
      <c r="Z122" t="str">
        <f t="shared" si="21"/>
        <v>Components</v>
      </c>
      <c r="AA122" t="str" cm="1">
        <f t="array" ref="AA122">_xlfn.IFS(O122&lt;=$AF$2,"Low",AND(O122&gt;$AF$2,O122&lt;$AF$3),"Medium",O122&gt;=$AF$3,"High")</f>
        <v>Low</v>
      </c>
      <c r="AB122" s="22">
        <f t="shared" si="22"/>
        <v>44927</v>
      </c>
      <c r="AC122">
        <v>6</v>
      </c>
    </row>
    <row r="123" spans="1:29" x14ac:dyDescent="0.35">
      <c r="A123" s="4" t="s">
        <v>166</v>
      </c>
      <c r="B123" s="5" t="str">
        <f>IF(COUNTIF($A$2:A123,A123)=1,"Original","Duplicate")</f>
        <v>Original</v>
      </c>
      <c r="C123" s="7">
        <v>45110</v>
      </c>
      <c r="D123" s="7">
        <v>45130</v>
      </c>
      <c r="E123">
        <f t="shared" si="12"/>
        <v>20</v>
      </c>
      <c r="F123" t="s">
        <v>646</v>
      </c>
      <c r="G123" t="s">
        <v>661</v>
      </c>
      <c r="H123" t="s">
        <v>682</v>
      </c>
      <c r="I123" t="s">
        <v>705</v>
      </c>
      <c r="J123" t="s">
        <v>710</v>
      </c>
      <c r="K123" t="s">
        <v>721</v>
      </c>
      <c r="L123" t="s">
        <v>731</v>
      </c>
      <c r="M123" t="s">
        <v>885</v>
      </c>
      <c r="N123" s="23">
        <v>1001.96</v>
      </c>
      <c r="O123" s="23">
        <v>1254.95</v>
      </c>
      <c r="P123" s="8">
        <v>4.4999999999999998E-2</v>
      </c>
      <c r="Q123">
        <v>18</v>
      </c>
      <c r="R123" s="23">
        <f t="shared" si="13"/>
        <v>21572.590500000002</v>
      </c>
      <c r="S123" s="23">
        <f t="shared" si="14"/>
        <v>18035.28</v>
      </c>
      <c r="T123" s="23">
        <f t="shared" si="15"/>
        <v>3537.3105000000032</v>
      </c>
      <c r="U123" s="14">
        <f t="shared" si="16"/>
        <v>0.16397244920585699</v>
      </c>
      <c r="V123" s="7" t="str">
        <f t="shared" si="17"/>
        <v>Jul-2023</v>
      </c>
      <c r="W123" s="22">
        <f t="shared" si="18"/>
        <v>45108</v>
      </c>
      <c r="X123" s="7" t="str">
        <f t="shared" si="19"/>
        <v>Q3-2023</v>
      </c>
      <c r="Y123" t="str">
        <f t="shared" si="20"/>
        <v>Africa → South Africa → Johannesburg</v>
      </c>
      <c r="Z123" t="str">
        <f t="shared" si="21"/>
        <v>Laptops</v>
      </c>
      <c r="AA123" t="str" cm="1">
        <f t="array" ref="AA123">_xlfn.IFS(O123&lt;=$AF$2,"Low",AND(O123&gt;$AF$2,O123&lt;$AF$3),"Medium",O123&gt;=$AF$3,"High")</f>
        <v>Medium</v>
      </c>
      <c r="AB123" s="22">
        <f t="shared" si="22"/>
        <v>44927</v>
      </c>
      <c r="AC123">
        <v>6</v>
      </c>
    </row>
    <row r="124" spans="1:29" x14ac:dyDescent="0.35">
      <c r="A124" s="4" t="s">
        <v>159</v>
      </c>
      <c r="B124" s="5" t="str">
        <f>IF(COUNTIF($A$2:A124,A124)=1,"Original","Duplicate")</f>
        <v>Original</v>
      </c>
      <c r="C124" s="7">
        <v>45112</v>
      </c>
      <c r="D124" s="7">
        <v>45121</v>
      </c>
      <c r="E124">
        <f t="shared" si="12"/>
        <v>9</v>
      </c>
      <c r="F124" t="s">
        <v>648</v>
      </c>
      <c r="G124" t="s">
        <v>655</v>
      </c>
      <c r="H124" t="s">
        <v>672</v>
      </c>
      <c r="I124" t="s">
        <v>706</v>
      </c>
      <c r="J124" t="s">
        <v>711</v>
      </c>
      <c r="K124" t="s">
        <v>717</v>
      </c>
      <c r="L124" t="s">
        <v>729</v>
      </c>
      <c r="M124" t="s">
        <v>878</v>
      </c>
      <c r="N124" s="23">
        <v>578.85</v>
      </c>
      <c r="O124" s="23">
        <v>998.76</v>
      </c>
      <c r="P124" s="8">
        <v>8.2000000000000003E-2</v>
      </c>
      <c r="Q124">
        <v>28</v>
      </c>
      <c r="R124" s="23">
        <f t="shared" si="13"/>
        <v>25672.127039999999</v>
      </c>
      <c r="S124" s="23">
        <f t="shared" si="14"/>
        <v>16207.800000000001</v>
      </c>
      <c r="T124" s="23">
        <f t="shared" si="15"/>
        <v>9464.3270399999983</v>
      </c>
      <c r="U124" s="14">
        <f t="shared" si="16"/>
        <v>0.36866158480960831</v>
      </c>
      <c r="V124" s="7" t="str">
        <f t="shared" si="17"/>
        <v>Jul-2023</v>
      </c>
      <c r="W124" s="22">
        <f t="shared" si="18"/>
        <v>45108</v>
      </c>
      <c r="X124" s="7" t="str">
        <f t="shared" si="19"/>
        <v>Q3-2023</v>
      </c>
      <c r="Y124" t="str">
        <f t="shared" si="20"/>
        <v>Americas → Brazil → Brasília</v>
      </c>
      <c r="Z124" t="str">
        <f t="shared" si="21"/>
        <v>Networking</v>
      </c>
      <c r="AA124" t="str" cm="1">
        <f t="array" ref="AA124">_xlfn.IFS(O124&lt;=$AF$2,"Low",AND(O124&gt;$AF$2,O124&lt;$AF$3),"Medium",O124&gt;=$AF$3,"High")</f>
        <v>Medium</v>
      </c>
      <c r="AB124" s="22">
        <f t="shared" si="22"/>
        <v>44927</v>
      </c>
      <c r="AC124">
        <v>6</v>
      </c>
    </row>
    <row r="125" spans="1:29" x14ac:dyDescent="0.35">
      <c r="A125" s="4" t="s">
        <v>552</v>
      </c>
      <c r="B125" s="5" t="str">
        <f>IF(COUNTIF($A$2:A125,A125)=1,"Original","Duplicate")</f>
        <v>Original</v>
      </c>
      <c r="C125" s="7">
        <v>45114</v>
      </c>
      <c r="D125" s="7">
        <v>45120</v>
      </c>
      <c r="E125">
        <f t="shared" si="12"/>
        <v>6</v>
      </c>
      <c r="F125" t="s">
        <v>646</v>
      </c>
      <c r="G125" t="s">
        <v>661</v>
      </c>
      <c r="H125" t="s">
        <v>695</v>
      </c>
      <c r="I125" t="s">
        <v>705</v>
      </c>
      <c r="J125" t="s">
        <v>709</v>
      </c>
      <c r="K125" t="s">
        <v>717</v>
      </c>
      <c r="L125" t="s">
        <v>733</v>
      </c>
      <c r="M125" t="s">
        <v>1270</v>
      </c>
      <c r="N125" s="23">
        <v>612.59</v>
      </c>
      <c r="O125" s="23">
        <v>1424.74</v>
      </c>
      <c r="P125" s="8">
        <v>4.3999999999999997E-2</v>
      </c>
      <c r="Q125">
        <v>15</v>
      </c>
      <c r="R125" s="23">
        <f t="shared" si="13"/>
        <v>20430.771599999996</v>
      </c>
      <c r="S125" s="23">
        <f t="shared" si="14"/>
        <v>9188.85</v>
      </c>
      <c r="T125" s="23">
        <f t="shared" si="15"/>
        <v>11241.921599999996</v>
      </c>
      <c r="U125" s="14">
        <f t="shared" si="16"/>
        <v>0.55024459281802152</v>
      </c>
      <c r="V125" s="7" t="str">
        <f t="shared" si="17"/>
        <v>Jul-2023</v>
      </c>
      <c r="W125" s="22">
        <f t="shared" si="18"/>
        <v>45108</v>
      </c>
      <c r="X125" s="7" t="str">
        <f t="shared" si="19"/>
        <v>Q3-2023</v>
      </c>
      <c r="Y125" t="str">
        <f t="shared" si="20"/>
        <v>Africa → South Africa → Cape Town</v>
      </c>
      <c r="Z125" t="str">
        <f t="shared" si="21"/>
        <v>Accessories</v>
      </c>
      <c r="AA125" t="str" cm="1">
        <f t="array" ref="AA125">_xlfn.IFS(O125&lt;=$AF$2,"Low",AND(O125&gt;$AF$2,O125&lt;$AF$3),"Medium",O125&gt;=$AF$3,"High")</f>
        <v>Medium</v>
      </c>
      <c r="AB125" s="22">
        <f t="shared" si="22"/>
        <v>44927</v>
      </c>
      <c r="AC125">
        <v>6</v>
      </c>
    </row>
    <row r="126" spans="1:29" x14ac:dyDescent="0.35">
      <c r="A126" s="4" t="s">
        <v>555</v>
      </c>
      <c r="B126" s="5" t="str">
        <f>IF(COUNTIF($A$2:A126,A126)=1,"Original","Duplicate")</f>
        <v>Original</v>
      </c>
      <c r="C126" s="7">
        <v>45115</v>
      </c>
      <c r="D126" s="7">
        <v>45116</v>
      </c>
      <c r="E126">
        <f t="shared" si="12"/>
        <v>1</v>
      </c>
      <c r="F126" t="s">
        <v>646</v>
      </c>
      <c r="G126" t="s">
        <v>650</v>
      </c>
      <c r="H126" t="s">
        <v>664</v>
      </c>
      <c r="I126" t="s">
        <v>704</v>
      </c>
      <c r="J126" t="s">
        <v>708</v>
      </c>
      <c r="K126" t="s">
        <v>726</v>
      </c>
      <c r="L126" t="s">
        <v>731</v>
      </c>
      <c r="M126" t="s">
        <v>1273</v>
      </c>
      <c r="N126" s="23">
        <v>1258.72</v>
      </c>
      <c r="O126" s="23">
        <v>2797.41</v>
      </c>
      <c r="P126" s="8">
        <v>0</v>
      </c>
      <c r="Q126">
        <v>7</v>
      </c>
      <c r="R126" s="23">
        <f t="shared" si="13"/>
        <v>19581.87</v>
      </c>
      <c r="S126" s="23">
        <f t="shared" si="14"/>
        <v>8811.0400000000009</v>
      </c>
      <c r="T126" s="23">
        <f t="shared" si="15"/>
        <v>10770.829999999998</v>
      </c>
      <c r="U126" s="14">
        <f t="shared" si="16"/>
        <v>0.55004093071805704</v>
      </c>
      <c r="V126" s="7" t="str">
        <f t="shared" si="17"/>
        <v>Jul-2023</v>
      </c>
      <c r="W126" s="22">
        <f t="shared" si="18"/>
        <v>45108</v>
      </c>
      <c r="X126" s="7" t="str">
        <f t="shared" si="19"/>
        <v>Q3-2023</v>
      </c>
      <c r="Y126" t="str">
        <f t="shared" si="20"/>
        <v>Africa → Kenya → Nairobi</v>
      </c>
      <c r="Z126" t="str">
        <f t="shared" si="21"/>
        <v>Laptops</v>
      </c>
      <c r="AA126" t="str" cm="1">
        <f t="array" ref="AA126">_xlfn.IFS(O126&lt;=$AF$2,"Low",AND(O126&gt;$AF$2,O126&lt;$AF$3),"Medium",O126&gt;=$AF$3,"High")</f>
        <v>High</v>
      </c>
      <c r="AB126" s="22">
        <f t="shared" si="22"/>
        <v>44927</v>
      </c>
      <c r="AC126">
        <v>6</v>
      </c>
    </row>
    <row r="127" spans="1:29" x14ac:dyDescent="0.35">
      <c r="A127" s="4" t="s">
        <v>474</v>
      </c>
      <c r="B127" s="5" t="str">
        <f>IF(COUNTIF($A$2:A127,A127)=1,"Original","Duplicate")</f>
        <v>Original</v>
      </c>
      <c r="C127" s="7">
        <v>45116</v>
      </c>
      <c r="D127" s="7">
        <v>45126</v>
      </c>
      <c r="E127">
        <f t="shared" si="12"/>
        <v>10</v>
      </c>
      <c r="F127" t="s">
        <v>647</v>
      </c>
      <c r="G127" t="s">
        <v>652</v>
      </c>
      <c r="H127" t="s">
        <v>689</v>
      </c>
      <c r="I127" t="s">
        <v>706</v>
      </c>
      <c r="J127" t="s">
        <v>710</v>
      </c>
      <c r="K127" t="s">
        <v>725</v>
      </c>
      <c r="L127" t="s">
        <v>727</v>
      </c>
      <c r="M127" t="s">
        <v>1193</v>
      </c>
      <c r="N127" s="23">
        <v>141.26</v>
      </c>
      <c r="O127" s="23">
        <v>206.88</v>
      </c>
      <c r="P127" s="8">
        <v>0.107</v>
      </c>
      <c r="Q127">
        <v>9</v>
      </c>
      <c r="R127" s="23">
        <f t="shared" si="13"/>
        <v>1662.6945600000001</v>
      </c>
      <c r="S127" s="23">
        <f t="shared" si="14"/>
        <v>1271.3399999999999</v>
      </c>
      <c r="T127" s="23">
        <f t="shared" si="15"/>
        <v>391.35456000000022</v>
      </c>
      <c r="U127" s="14">
        <f t="shared" si="16"/>
        <v>0.23537369365062469</v>
      </c>
      <c r="V127" s="7" t="str">
        <f t="shared" si="17"/>
        <v>Jul-2023</v>
      </c>
      <c r="W127" s="22">
        <f t="shared" si="18"/>
        <v>45108</v>
      </c>
      <c r="X127" s="7" t="str">
        <f t="shared" si="19"/>
        <v>Q3-2023</v>
      </c>
      <c r="Y127" t="str">
        <f t="shared" si="20"/>
        <v>Asia → Japan → Tokyo</v>
      </c>
      <c r="Z127" t="str">
        <f t="shared" si="21"/>
        <v>Components</v>
      </c>
      <c r="AA127" t="str" cm="1">
        <f t="array" ref="AA127">_xlfn.IFS(O127&lt;=$AF$2,"Low",AND(O127&gt;$AF$2,O127&lt;$AF$3),"Medium",O127&gt;=$AF$3,"High")</f>
        <v>Low</v>
      </c>
      <c r="AB127" s="22">
        <f t="shared" si="22"/>
        <v>44986</v>
      </c>
      <c r="AC127">
        <v>4</v>
      </c>
    </row>
    <row r="128" spans="1:29" x14ac:dyDescent="0.35">
      <c r="A128" s="4" t="s">
        <v>64</v>
      </c>
      <c r="B128" s="5" t="str">
        <f>IF(COUNTIF($A$2:A128,A128)=1,"Original","Duplicate")</f>
        <v>Original</v>
      </c>
      <c r="C128" s="7">
        <v>45117</v>
      </c>
      <c r="D128" s="7">
        <v>45139</v>
      </c>
      <c r="E128">
        <f t="shared" si="12"/>
        <v>22</v>
      </c>
      <c r="F128" t="s">
        <v>649</v>
      </c>
      <c r="G128" t="s">
        <v>657</v>
      </c>
      <c r="H128" t="s">
        <v>673</v>
      </c>
      <c r="I128" t="s">
        <v>704</v>
      </c>
      <c r="J128" t="s">
        <v>709</v>
      </c>
      <c r="K128" t="s">
        <v>717</v>
      </c>
      <c r="L128" t="s">
        <v>728</v>
      </c>
      <c r="M128" t="s">
        <v>783</v>
      </c>
      <c r="N128" s="23">
        <v>1303.56</v>
      </c>
      <c r="O128" s="23">
        <v>1791.37</v>
      </c>
      <c r="P128" s="8">
        <v>0.126</v>
      </c>
      <c r="Q128">
        <v>22</v>
      </c>
      <c r="R128" s="23">
        <f t="shared" si="13"/>
        <v>34444.462359999998</v>
      </c>
      <c r="S128" s="23">
        <f t="shared" si="14"/>
        <v>28678.32</v>
      </c>
      <c r="T128" s="23">
        <f t="shared" si="15"/>
        <v>5766.142359999998</v>
      </c>
      <c r="U128" s="14">
        <f t="shared" si="16"/>
        <v>0.16740404596055358</v>
      </c>
      <c r="V128" s="7" t="str">
        <f t="shared" si="17"/>
        <v>Jul-2023</v>
      </c>
      <c r="W128" s="22">
        <f t="shared" si="18"/>
        <v>45108</v>
      </c>
      <c r="X128" s="7" t="str">
        <f t="shared" si="19"/>
        <v>Q3-2023</v>
      </c>
      <c r="Y128" t="str">
        <f t="shared" si="20"/>
        <v>Europe → France → Marseille</v>
      </c>
      <c r="Z128" t="str">
        <f t="shared" si="21"/>
        <v>Printers</v>
      </c>
      <c r="AA128" t="str" cm="1">
        <f t="array" ref="AA128">_xlfn.IFS(O128&lt;=$AF$2,"Low",AND(O128&gt;$AF$2,O128&lt;$AF$3),"Medium",O128&gt;=$AF$3,"High")</f>
        <v>High</v>
      </c>
      <c r="AB128" s="22">
        <f t="shared" si="22"/>
        <v>44927</v>
      </c>
      <c r="AC128">
        <v>6</v>
      </c>
    </row>
    <row r="129" spans="1:29" x14ac:dyDescent="0.35">
      <c r="A129" s="4" t="s">
        <v>353</v>
      </c>
      <c r="B129" s="5" t="str">
        <f>IF(COUNTIF($A$2:A129,A129)=1,"Original","Duplicate")</f>
        <v>Original</v>
      </c>
      <c r="C129" s="7">
        <v>45121</v>
      </c>
      <c r="D129" s="7">
        <v>45128</v>
      </c>
      <c r="E129">
        <f t="shared" si="12"/>
        <v>7</v>
      </c>
      <c r="F129" t="s">
        <v>646</v>
      </c>
      <c r="G129" t="s">
        <v>661</v>
      </c>
      <c r="H129" t="s">
        <v>687</v>
      </c>
      <c r="I129" t="s">
        <v>706</v>
      </c>
      <c r="J129" t="s">
        <v>709</v>
      </c>
      <c r="K129" t="s">
        <v>1432</v>
      </c>
      <c r="L129" t="s">
        <v>732</v>
      </c>
      <c r="M129" t="s">
        <v>1073</v>
      </c>
      <c r="N129" s="23">
        <v>620.74</v>
      </c>
      <c r="O129" s="23">
        <v>1330.07</v>
      </c>
      <c r="P129" s="8">
        <v>0.29899999999999999</v>
      </c>
      <c r="Q129">
        <v>28</v>
      </c>
      <c r="R129" s="23">
        <f t="shared" si="13"/>
        <v>26106.613960000002</v>
      </c>
      <c r="S129" s="23">
        <f t="shared" si="14"/>
        <v>17380.72</v>
      </c>
      <c r="T129" s="23">
        <f t="shared" si="15"/>
        <v>8725.8939600000012</v>
      </c>
      <c r="U129" s="14">
        <f t="shared" si="16"/>
        <v>0.33424073965967516</v>
      </c>
      <c r="V129" s="7" t="str">
        <f t="shared" si="17"/>
        <v>Jul-2023</v>
      </c>
      <c r="W129" s="22">
        <f t="shared" si="18"/>
        <v>45108</v>
      </c>
      <c r="X129" s="7" t="str">
        <f t="shared" si="19"/>
        <v>Q3-2023</v>
      </c>
      <c r="Y129" t="str">
        <f t="shared" si="20"/>
        <v>Africa → South Africa → Durban</v>
      </c>
      <c r="Z129" t="str">
        <f t="shared" si="21"/>
        <v>Monitors</v>
      </c>
      <c r="AA129" t="str" cm="1">
        <f t="array" ref="AA129">_xlfn.IFS(O129&lt;=$AF$2,"Low",AND(O129&gt;$AF$2,O129&lt;$AF$3),"Medium",O129&gt;=$AF$3,"High")</f>
        <v>Medium</v>
      </c>
      <c r="AB129" s="22">
        <f t="shared" si="22"/>
        <v>44927</v>
      </c>
      <c r="AC129">
        <v>6</v>
      </c>
    </row>
    <row r="130" spans="1:29" x14ac:dyDescent="0.35">
      <c r="A130" s="4" t="s">
        <v>366</v>
      </c>
      <c r="B130" s="5" t="str">
        <f>IF(COUNTIF($A$2:A130,A130)=1,"Original","Duplicate")</f>
        <v>Original</v>
      </c>
      <c r="C130" s="7">
        <v>45121</v>
      </c>
      <c r="D130" s="7">
        <v>45128</v>
      </c>
      <c r="E130">
        <f t="shared" ref="E130:E193" si="23">D130-C130</f>
        <v>7</v>
      </c>
      <c r="F130" t="s">
        <v>646</v>
      </c>
      <c r="G130" t="s">
        <v>651</v>
      </c>
      <c r="H130" t="s">
        <v>665</v>
      </c>
      <c r="I130" t="s">
        <v>702</v>
      </c>
      <c r="J130" t="s">
        <v>707</v>
      </c>
      <c r="K130" t="s">
        <v>714</v>
      </c>
      <c r="L130" t="s">
        <v>733</v>
      </c>
      <c r="M130" t="s">
        <v>1086</v>
      </c>
      <c r="N130" s="23">
        <v>956.38</v>
      </c>
      <c r="O130" s="23">
        <v>1454.22</v>
      </c>
      <c r="P130" s="8">
        <v>3.9E-2</v>
      </c>
      <c r="Q130">
        <v>19</v>
      </c>
      <c r="R130" s="23">
        <f t="shared" si="13"/>
        <v>26552.60298</v>
      </c>
      <c r="S130" s="23">
        <f t="shared" si="14"/>
        <v>18171.22</v>
      </c>
      <c r="T130" s="23">
        <f t="shared" si="15"/>
        <v>8381.3829799999985</v>
      </c>
      <c r="U130" s="14">
        <f t="shared" si="16"/>
        <v>0.31565202802576603</v>
      </c>
      <c r="V130" s="7" t="str">
        <f t="shared" si="17"/>
        <v>Jul-2023</v>
      </c>
      <c r="W130" s="22">
        <f t="shared" si="18"/>
        <v>45108</v>
      </c>
      <c r="X130" s="7" t="str">
        <f t="shared" si="19"/>
        <v>Q3-2023</v>
      </c>
      <c r="Y130" t="str">
        <f t="shared" si="20"/>
        <v>Africa → Nigeria → Lagos</v>
      </c>
      <c r="Z130" t="str">
        <f t="shared" si="21"/>
        <v>Accessories</v>
      </c>
      <c r="AA130" t="str" cm="1">
        <f t="array" ref="AA130">_xlfn.IFS(O130&lt;=$AF$2,"Low",AND(O130&gt;$AF$2,O130&lt;$AF$3),"Medium",O130&gt;=$AF$3,"High")</f>
        <v>Medium</v>
      </c>
      <c r="AB130" s="22">
        <f t="shared" si="22"/>
        <v>44927</v>
      </c>
      <c r="AC130">
        <v>6</v>
      </c>
    </row>
    <row r="131" spans="1:29" x14ac:dyDescent="0.35">
      <c r="A131" s="4" t="s">
        <v>492</v>
      </c>
      <c r="B131" s="5" t="str">
        <f>IF(COUNTIF($A$2:A131,A131)=1,"Original","Duplicate")</f>
        <v>Original</v>
      </c>
      <c r="C131" s="7">
        <v>45123</v>
      </c>
      <c r="D131" s="7">
        <v>45151</v>
      </c>
      <c r="E131">
        <f t="shared" si="23"/>
        <v>28</v>
      </c>
      <c r="F131" t="s">
        <v>649</v>
      </c>
      <c r="G131" t="s">
        <v>658</v>
      </c>
      <c r="H131" t="s">
        <v>693</v>
      </c>
      <c r="I131" t="s">
        <v>703</v>
      </c>
      <c r="J131" t="s">
        <v>708</v>
      </c>
      <c r="K131" t="s">
        <v>713</v>
      </c>
      <c r="L131" t="s">
        <v>731</v>
      </c>
      <c r="M131" t="s">
        <v>1211</v>
      </c>
      <c r="N131" s="23">
        <v>1039.03</v>
      </c>
      <c r="O131" s="23">
        <v>2545.81</v>
      </c>
      <c r="P131" s="8">
        <v>0.216</v>
      </c>
      <c r="Q131">
        <v>21</v>
      </c>
      <c r="R131" s="23">
        <f t="shared" ref="R131:R194" si="24">(O131*Q131)*(1-P131)</f>
        <v>41914.215840000004</v>
      </c>
      <c r="S131" s="23">
        <f t="shared" ref="S131:S194" si="25">N131*Q131</f>
        <v>21819.63</v>
      </c>
      <c r="T131" s="23">
        <f t="shared" ref="T131:T194" si="26">R131-S131</f>
        <v>20094.585840000003</v>
      </c>
      <c r="U131" s="14">
        <f t="shared" ref="U131:U194" si="27">IF(R131=0,0,T131/R131)</f>
        <v>0.47942172929364774</v>
      </c>
      <c r="V131" s="7" t="str">
        <f t="shared" ref="V131:V194" si="28">TEXT(C131,"MMM-YYYY")</f>
        <v>Jul-2023</v>
      </c>
      <c r="W131" s="22">
        <f t="shared" ref="W131:W194" si="29">DATEVALUE(V131)</f>
        <v>45108</v>
      </c>
      <c r="X131" s="7" t="str">
        <f t="shared" ref="X131:X194" si="30">"Q"&amp;ROUNDUP(MONTH(C131)/3,0)&amp;"-"&amp;YEAR(C131)</f>
        <v>Q3-2023</v>
      </c>
      <c r="Y131" t="str">
        <f t="shared" ref="Y131:Y194" si="31">_xlfn.CONCAT(F131," ","→"," ",G131," ","→"," ",H131)</f>
        <v>Europe → United Kingdom → Manchester</v>
      </c>
      <c r="Z131" t="str">
        <f t="shared" ref="Z131:Z194" si="32">TRIM(L131)</f>
        <v>Laptops</v>
      </c>
      <c r="AA131" t="str" cm="1">
        <f t="array" ref="AA131">_xlfn.IFS(O131&lt;=$AF$2,"Low",AND(O131&gt;$AF$2,O131&lt;$AF$3),"Medium",O131&gt;=$AF$3,"High")</f>
        <v>High</v>
      </c>
      <c r="AB131" s="22">
        <f t="shared" ref="AB131:AB194" si="33">_xlfn.MINIFS($W$2:$W$632,$G$2:$G$632,G131)</f>
        <v>44927</v>
      </c>
      <c r="AC131">
        <v>6</v>
      </c>
    </row>
    <row r="132" spans="1:29" x14ac:dyDescent="0.35">
      <c r="A132" s="4" t="s">
        <v>303</v>
      </c>
      <c r="B132" s="5" t="str">
        <f>IF(COUNTIF($A$2:A132,A132)=1,"Original","Duplicate")</f>
        <v>Original</v>
      </c>
      <c r="C132" s="7">
        <v>45125</v>
      </c>
      <c r="D132" s="7">
        <v>45148</v>
      </c>
      <c r="E132">
        <f t="shared" si="23"/>
        <v>23</v>
      </c>
      <c r="F132" t="s">
        <v>646</v>
      </c>
      <c r="G132" t="s">
        <v>661</v>
      </c>
      <c r="H132" t="s">
        <v>682</v>
      </c>
      <c r="I132" t="s">
        <v>705</v>
      </c>
      <c r="J132" t="s">
        <v>707</v>
      </c>
      <c r="K132" t="s">
        <v>716</v>
      </c>
      <c r="L132" t="s">
        <v>727</v>
      </c>
      <c r="M132" t="s">
        <v>1023</v>
      </c>
      <c r="N132" s="23">
        <v>1271.56</v>
      </c>
      <c r="O132" s="23">
        <v>995.47</v>
      </c>
      <c r="P132" s="8">
        <v>0.192</v>
      </c>
      <c r="Q132">
        <v>13</v>
      </c>
      <c r="R132" s="23">
        <f t="shared" si="24"/>
        <v>10456.416880000001</v>
      </c>
      <c r="S132" s="23">
        <f t="shared" si="25"/>
        <v>16530.28</v>
      </c>
      <c r="T132" s="23">
        <f t="shared" si="26"/>
        <v>-6073.8631199999982</v>
      </c>
      <c r="U132" s="14">
        <f t="shared" si="27"/>
        <v>-0.58087423155607754</v>
      </c>
      <c r="V132" s="7" t="str">
        <f t="shared" si="28"/>
        <v>Jul-2023</v>
      </c>
      <c r="W132" s="22">
        <f t="shared" si="29"/>
        <v>45108</v>
      </c>
      <c r="X132" s="7" t="str">
        <f t="shared" si="30"/>
        <v>Q3-2023</v>
      </c>
      <c r="Y132" t="str">
        <f t="shared" si="31"/>
        <v>Africa → South Africa → Johannesburg</v>
      </c>
      <c r="Z132" t="str">
        <f t="shared" si="32"/>
        <v>Components</v>
      </c>
      <c r="AA132" t="str" cm="1">
        <f t="array" ref="AA132">_xlfn.IFS(O132&lt;=$AF$2,"Low",AND(O132&gt;$AF$2,O132&lt;$AF$3),"Medium",O132&gt;=$AF$3,"High")</f>
        <v>Medium</v>
      </c>
      <c r="AB132" s="22">
        <f t="shared" si="33"/>
        <v>44927</v>
      </c>
      <c r="AC132">
        <v>6</v>
      </c>
    </row>
    <row r="133" spans="1:29" x14ac:dyDescent="0.35">
      <c r="A133" s="4" t="s">
        <v>316</v>
      </c>
      <c r="B133" s="5" t="str">
        <f>IF(COUNTIF($A$2:A133,A133)=1,"Original","Duplicate")</f>
        <v>Original</v>
      </c>
      <c r="C133" s="7">
        <v>45125</v>
      </c>
      <c r="D133" s="7">
        <v>45129</v>
      </c>
      <c r="E133">
        <f t="shared" si="23"/>
        <v>4</v>
      </c>
      <c r="F133" t="s">
        <v>648</v>
      </c>
      <c r="G133" t="s">
        <v>655</v>
      </c>
      <c r="H133" t="s">
        <v>670</v>
      </c>
      <c r="I133" t="s">
        <v>704</v>
      </c>
      <c r="J133" t="s">
        <v>711</v>
      </c>
      <c r="K133" t="s">
        <v>721</v>
      </c>
      <c r="L133" t="s">
        <v>729</v>
      </c>
      <c r="M133" t="s">
        <v>1036</v>
      </c>
      <c r="N133" s="23">
        <v>1269.55</v>
      </c>
      <c r="O133" s="23">
        <v>2071.1</v>
      </c>
      <c r="P133" s="8">
        <v>0.129</v>
      </c>
      <c r="Q133">
        <v>22</v>
      </c>
      <c r="R133" s="23">
        <f t="shared" si="24"/>
        <v>39686.4182</v>
      </c>
      <c r="S133" s="23">
        <f t="shared" si="25"/>
        <v>27930.1</v>
      </c>
      <c r="T133" s="23">
        <f t="shared" si="26"/>
        <v>11756.318200000002</v>
      </c>
      <c r="U133" s="14">
        <f t="shared" si="27"/>
        <v>0.29623026549672354</v>
      </c>
      <c r="V133" s="7" t="str">
        <f t="shared" si="28"/>
        <v>Jul-2023</v>
      </c>
      <c r="W133" s="22">
        <f t="shared" si="29"/>
        <v>45108</v>
      </c>
      <c r="X133" s="7" t="str">
        <f t="shared" si="30"/>
        <v>Q3-2023</v>
      </c>
      <c r="Y133" t="str">
        <f t="shared" si="31"/>
        <v>Americas → Brazil → São Paulo</v>
      </c>
      <c r="Z133" t="str">
        <f t="shared" si="32"/>
        <v>Networking</v>
      </c>
      <c r="AA133" t="str" cm="1">
        <f t="array" ref="AA133">_xlfn.IFS(O133&lt;=$AF$2,"Low",AND(O133&gt;$AF$2,O133&lt;$AF$3),"Medium",O133&gt;=$AF$3,"High")</f>
        <v>High</v>
      </c>
      <c r="AB133" s="22">
        <f t="shared" si="33"/>
        <v>44927</v>
      </c>
      <c r="AC133">
        <v>6</v>
      </c>
    </row>
    <row r="134" spans="1:29" x14ac:dyDescent="0.35">
      <c r="A134" s="4" t="s">
        <v>202</v>
      </c>
      <c r="B134" s="5" t="str">
        <f>IF(COUNTIF($A$2:A134,A134)=1,"Original","Duplicate")</f>
        <v>Original</v>
      </c>
      <c r="C134" s="7">
        <v>45126</v>
      </c>
      <c r="D134" s="7">
        <v>45138</v>
      </c>
      <c r="E134">
        <f t="shared" si="23"/>
        <v>12</v>
      </c>
      <c r="F134" t="s">
        <v>648</v>
      </c>
      <c r="G134" t="s">
        <v>655</v>
      </c>
      <c r="H134" t="s">
        <v>692</v>
      </c>
      <c r="I134" t="s">
        <v>701</v>
      </c>
      <c r="J134" t="s">
        <v>707</v>
      </c>
      <c r="K134" t="s">
        <v>712</v>
      </c>
      <c r="L134" t="s">
        <v>732</v>
      </c>
      <c r="M134" t="s">
        <v>922</v>
      </c>
      <c r="N134" s="23">
        <v>1334.64</v>
      </c>
      <c r="O134" s="23">
        <v>2273.42</v>
      </c>
      <c r="P134" s="8">
        <v>0.11799999999999999</v>
      </c>
      <c r="Q134">
        <v>14</v>
      </c>
      <c r="R134" s="23">
        <f t="shared" si="24"/>
        <v>28072.190160000002</v>
      </c>
      <c r="S134" s="23">
        <f t="shared" si="25"/>
        <v>18684.960000000003</v>
      </c>
      <c r="T134" s="23">
        <f t="shared" si="26"/>
        <v>9387.2301599999992</v>
      </c>
      <c r="U134" s="14">
        <f t="shared" si="27"/>
        <v>0.33439607335575267</v>
      </c>
      <c r="V134" s="7" t="str">
        <f t="shared" si="28"/>
        <v>Jul-2023</v>
      </c>
      <c r="W134" s="22">
        <f t="shared" si="29"/>
        <v>45108</v>
      </c>
      <c r="X134" s="7" t="str">
        <f t="shared" si="30"/>
        <v>Q3-2023</v>
      </c>
      <c r="Y134" t="str">
        <f t="shared" si="31"/>
        <v>Americas → Brazil → Rio de Janeiro</v>
      </c>
      <c r="Z134" t="str">
        <f t="shared" si="32"/>
        <v>Monitors</v>
      </c>
      <c r="AA134" t="str" cm="1">
        <f t="array" ref="AA134">_xlfn.IFS(O134&lt;=$AF$2,"Low",AND(O134&gt;$AF$2,O134&lt;$AF$3),"Medium",O134&gt;=$AF$3,"High")</f>
        <v>High</v>
      </c>
      <c r="AB134" s="22">
        <f t="shared" si="33"/>
        <v>44927</v>
      </c>
      <c r="AC134">
        <v>6</v>
      </c>
    </row>
    <row r="135" spans="1:29" x14ac:dyDescent="0.35">
      <c r="A135" s="4" t="s">
        <v>464</v>
      </c>
      <c r="B135" s="5" t="str">
        <f>IF(COUNTIF($A$2:A135,A135)=1,"Original","Duplicate")</f>
        <v>Original</v>
      </c>
      <c r="C135" s="7">
        <v>45129</v>
      </c>
      <c r="D135" s="7">
        <v>45135</v>
      </c>
      <c r="E135">
        <f t="shared" si="23"/>
        <v>6</v>
      </c>
      <c r="F135" t="s">
        <v>647</v>
      </c>
      <c r="G135" t="s">
        <v>654</v>
      </c>
      <c r="H135" t="s">
        <v>680</v>
      </c>
      <c r="I135" t="s">
        <v>705</v>
      </c>
      <c r="J135" t="s">
        <v>710</v>
      </c>
      <c r="K135" t="s">
        <v>718</v>
      </c>
      <c r="L135" t="s">
        <v>728</v>
      </c>
      <c r="M135" t="s">
        <v>1183</v>
      </c>
      <c r="N135" s="23">
        <v>946.99</v>
      </c>
      <c r="O135" s="23">
        <v>2132.19</v>
      </c>
      <c r="P135" s="8">
        <v>0.16500000000000001</v>
      </c>
      <c r="Q135">
        <v>7</v>
      </c>
      <c r="R135" s="23">
        <f t="shared" si="24"/>
        <v>12462.65055</v>
      </c>
      <c r="S135" s="23">
        <f t="shared" si="25"/>
        <v>6628.93</v>
      </c>
      <c r="T135" s="23">
        <f t="shared" si="26"/>
        <v>5833.72055</v>
      </c>
      <c r="U135" s="14">
        <f t="shared" si="27"/>
        <v>0.46809629513362228</v>
      </c>
      <c r="V135" s="7" t="str">
        <f t="shared" si="28"/>
        <v>Jul-2023</v>
      </c>
      <c r="W135" s="22">
        <f t="shared" si="29"/>
        <v>45108</v>
      </c>
      <c r="X135" s="7" t="str">
        <f t="shared" si="30"/>
        <v>Q3-2023</v>
      </c>
      <c r="Y135" t="str">
        <f t="shared" si="31"/>
        <v>Asia → India → Delhi</v>
      </c>
      <c r="Z135" t="str">
        <f t="shared" si="32"/>
        <v>Printers</v>
      </c>
      <c r="AA135" t="str" cm="1">
        <f t="array" ref="AA135">_xlfn.IFS(O135&lt;=$AF$2,"Low",AND(O135&gt;$AF$2,O135&lt;$AF$3),"Medium",O135&gt;=$AF$3,"High")</f>
        <v>High</v>
      </c>
      <c r="AB135" s="22">
        <f t="shared" si="33"/>
        <v>44958</v>
      </c>
      <c r="AC135">
        <v>5</v>
      </c>
    </row>
    <row r="136" spans="1:29" x14ac:dyDescent="0.35">
      <c r="A136" s="4" t="s">
        <v>287</v>
      </c>
      <c r="B136" s="5" t="str">
        <f>IF(COUNTIF($A$2:A136,A136)=1,"Original","Duplicate")</f>
        <v>Original</v>
      </c>
      <c r="C136" s="7">
        <v>45131</v>
      </c>
      <c r="D136" s="7">
        <v>45151</v>
      </c>
      <c r="E136">
        <f t="shared" si="23"/>
        <v>20</v>
      </c>
      <c r="F136" t="s">
        <v>648</v>
      </c>
      <c r="G136" t="s">
        <v>653</v>
      </c>
      <c r="H136" t="s">
        <v>681</v>
      </c>
      <c r="I136" t="s">
        <v>702</v>
      </c>
      <c r="J136" t="s">
        <v>711</v>
      </c>
      <c r="K136" t="s">
        <v>712</v>
      </c>
      <c r="L136" t="s">
        <v>732</v>
      </c>
      <c r="M136" t="s">
        <v>1007</v>
      </c>
      <c r="N136" s="23">
        <v>1082.3800000000001</v>
      </c>
      <c r="O136" s="23">
        <v>1766.55</v>
      </c>
      <c r="P136" s="8">
        <v>0.16400000000000001</v>
      </c>
      <c r="Q136">
        <v>20</v>
      </c>
      <c r="R136" s="23">
        <f t="shared" si="24"/>
        <v>29536.716</v>
      </c>
      <c r="S136" s="23">
        <f t="shared" si="25"/>
        <v>21647.600000000002</v>
      </c>
      <c r="T136" s="23">
        <f t="shared" si="26"/>
        <v>7889.1159999999982</v>
      </c>
      <c r="U136" s="14">
        <f t="shared" si="27"/>
        <v>0.26709523157550752</v>
      </c>
      <c r="V136" s="7" t="str">
        <f t="shared" si="28"/>
        <v>Jul-2023</v>
      </c>
      <c r="W136" s="22">
        <f t="shared" si="29"/>
        <v>45108</v>
      </c>
      <c r="X136" s="7" t="str">
        <f t="shared" si="30"/>
        <v>Q3-2023</v>
      </c>
      <c r="Y136" t="str">
        <f t="shared" si="31"/>
        <v>Americas → Canada → Montreal</v>
      </c>
      <c r="Z136" t="str">
        <f t="shared" si="32"/>
        <v>Monitors</v>
      </c>
      <c r="AA136" t="str" cm="1">
        <f t="array" ref="AA136">_xlfn.IFS(O136&lt;=$AF$2,"Low",AND(O136&gt;$AF$2,O136&lt;$AF$3),"Medium",O136&gt;=$AF$3,"High")</f>
        <v>High</v>
      </c>
      <c r="AB136" s="22">
        <f t="shared" si="33"/>
        <v>44927</v>
      </c>
      <c r="AC136">
        <v>6</v>
      </c>
    </row>
    <row r="137" spans="1:29" x14ac:dyDescent="0.35">
      <c r="A137" s="4" t="s">
        <v>354</v>
      </c>
      <c r="B137" s="5" t="str">
        <f>IF(COUNTIF($A$2:A137,A137)=1,"Original","Duplicate")</f>
        <v>Original</v>
      </c>
      <c r="C137" s="7">
        <v>45131</v>
      </c>
      <c r="D137" s="7">
        <v>45157</v>
      </c>
      <c r="E137">
        <f t="shared" si="23"/>
        <v>26</v>
      </c>
      <c r="F137" t="s">
        <v>646</v>
      </c>
      <c r="G137" t="s">
        <v>650</v>
      </c>
      <c r="H137" t="s">
        <v>664</v>
      </c>
      <c r="I137" t="s">
        <v>706</v>
      </c>
      <c r="J137" t="s">
        <v>710</v>
      </c>
      <c r="K137" t="s">
        <v>724</v>
      </c>
      <c r="L137" t="s">
        <v>733</v>
      </c>
      <c r="M137" t="s">
        <v>1074</v>
      </c>
      <c r="N137" s="23">
        <v>661.45</v>
      </c>
      <c r="O137" s="23">
        <v>1634.86</v>
      </c>
      <c r="P137" s="8">
        <v>0.3</v>
      </c>
      <c r="Q137">
        <v>24</v>
      </c>
      <c r="R137" s="23">
        <f t="shared" si="24"/>
        <v>27465.647999999997</v>
      </c>
      <c r="S137" s="23">
        <f t="shared" si="25"/>
        <v>15874.800000000001</v>
      </c>
      <c r="T137" s="23">
        <f t="shared" si="26"/>
        <v>11590.847999999996</v>
      </c>
      <c r="U137" s="14">
        <f t="shared" si="27"/>
        <v>0.42201254454291404</v>
      </c>
      <c r="V137" s="7" t="str">
        <f t="shared" si="28"/>
        <v>Jul-2023</v>
      </c>
      <c r="W137" s="22">
        <f t="shared" si="29"/>
        <v>45108</v>
      </c>
      <c r="X137" s="7" t="str">
        <f t="shared" si="30"/>
        <v>Q3-2023</v>
      </c>
      <c r="Y137" t="str">
        <f t="shared" si="31"/>
        <v>Africa → Kenya → Nairobi</v>
      </c>
      <c r="Z137" t="str">
        <f t="shared" si="32"/>
        <v>Accessories</v>
      </c>
      <c r="AA137" t="str" cm="1">
        <f t="array" ref="AA137">_xlfn.IFS(O137&lt;=$AF$2,"Low",AND(O137&gt;$AF$2,O137&lt;$AF$3),"Medium",O137&gt;=$AF$3,"High")</f>
        <v>High</v>
      </c>
      <c r="AB137" s="22">
        <f t="shared" si="33"/>
        <v>44927</v>
      </c>
      <c r="AC137">
        <v>6</v>
      </c>
    </row>
    <row r="138" spans="1:29" x14ac:dyDescent="0.35">
      <c r="A138" s="4" t="s">
        <v>352</v>
      </c>
      <c r="B138" s="5" t="str">
        <f>IF(COUNTIF($A$2:A138,A138)=1,"Original","Duplicate")</f>
        <v>Original</v>
      </c>
      <c r="C138" s="7">
        <v>45132</v>
      </c>
      <c r="D138" s="7">
        <v>45148</v>
      </c>
      <c r="E138">
        <f t="shared" si="23"/>
        <v>16</v>
      </c>
      <c r="F138" t="s">
        <v>646</v>
      </c>
      <c r="G138" t="s">
        <v>651</v>
      </c>
      <c r="H138" t="s">
        <v>663</v>
      </c>
      <c r="I138" t="s">
        <v>701</v>
      </c>
      <c r="J138" t="s">
        <v>710</v>
      </c>
      <c r="K138" t="s">
        <v>714</v>
      </c>
      <c r="L138" t="s">
        <v>733</v>
      </c>
      <c r="M138" t="s">
        <v>1072</v>
      </c>
      <c r="N138" s="23">
        <v>506.83</v>
      </c>
      <c r="O138" s="23">
        <v>441.74</v>
      </c>
      <c r="P138" s="8">
        <v>0.24</v>
      </c>
      <c r="Q138">
        <v>9</v>
      </c>
      <c r="R138" s="23">
        <f t="shared" si="24"/>
        <v>3021.5016000000001</v>
      </c>
      <c r="S138" s="23">
        <f t="shared" si="25"/>
        <v>4561.47</v>
      </c>
      <c r="T138" s="23">
        <f t="shared" si="26"/>
        <v>-1539.9684000000002</v>
      </c>
      <c r="U138" s="14">
        <f t="shared" si="27"/>
        <v>-0.50966989393618067</v>
      </c>
      <c r="V138" s="7" t="str">
        <f t="shared" si="28"/>
        <v>Jul-2023</v>
      </c>
      <c r="W138" s="22">
        <f t="shared" si="29"/>
        <v>45108</v>
      </c>
      <c r="X138" s="7" t="str">
        <f t="shared" si="30"/>
        <v>Q3-2023</v>
      </c>
      <c r="Y138" t="str">
        <f t="shared" si="31"/>
        <v>Africa → Nigeria → Port Harcourt</v>
      </c>
      <c r="Z138" t="str">
        <f t="shared" si="32"/>
        <v>Accessories</v>
      </c>
      <c r="AA138" t="str" cm="1">
        <f t="array" ref="AA138">_xlfn.IFS(O138&lt;=$AF$2,"Low",AND(O138&gt;$AF$2,O138&lt;$AF$3),"Medium",O138&gt;=$AF$3,"High")</f>
        <v>Low</v>
      </c>
      <c r="AB138" s="22">
        <f t="shared" si="33"/>
        <v>44927</v>
      </c>
      <c r="AC138">
        <v>6</v>
      </c>
    </row>
    <row r="139" spans="1:29" x14ac:dyDescent="0.35">
      <c r="A139" s="4" t="s">
        <v>157</v>
      </c>
      <c r="B139" s="5" t="str">
        <f>IF(COUNTIF($A$2:A139,A139)=1,"Original","Duplicate")</f>
        <v>Original</v>
      </c>
      <c r="C139" s="7">
        <v>45133</v>
      </c>
      <c r="D139" s="7">
        <v>45163</v>
      </c>
      <c r="E139">
        <f t="shared" si="23"/>
        <v>30</v>
      </c>
      <c r="F139" t="s">
        <v>648</v>
      </c>
      <c r="G139" t="s">
        <v>660</v>
      </c>
      <c r="H139" t="s">
        <v>700</v>
      </c>
      <c r="I139" t="s">
        <v>704</v>
      </c>
      <c r="J139" t="s">
        <v>707</v>
      </c>
      <c r="K139" t="s">
        <v>724</v>
      </c>
      <c r="L139" t="s">
        <v>733</v>
      </c>
      <c r="M139" t="s">
        <v>876</v>
      </c>
      <c r="N139" s="23">
        <v>1261.48</v>
      </c>
      <c r="O139" s="23">
        <v>1643.18</v>
      </c>
      <c r="P139" s="8">
        <v>0.151</v>
      </c>
      <c r="Q139">
        <v>23</v>
      </c>
      <c r="R139" s="23">
        <f t="shared" si="24"/>
        <v>32086.37586</v>
      </c>
      <c r="S139" s="23">
        <f t="shared" si="25"/>
        <v>29014.04</v>
      </c>
      <c r="T139" s="23">
        <f t="shared" si="26"/>
        <v>3072.3358599999992</v>
      </c>
      <c r="U139" s="14">
        <f t="shared" si="27"/>
        <v>9.5752037357079045E-2</v>
      </c>
      <c r="V139" s="7" t="str">
        <f t="shared" si="28"/>
        <v>Jul-2023</v>
      </c>
      <c r="W139" s="22">
        <f t="shared" si="29"/>
        <v>45108</v>
      </c>
      <c r="X139" s="7" t="str">
        <f t="shared" si="30"/>
        <v>Q3-2023</v>
      </c>
      <c r="Y139" t="str">
        <f t="shared" si="31"/>
        <v>Americas → USA → New York</v>
      </c>
      <c r="Z139" t="str">
        <f t="shared" si="32"/>
        <v>Accessories</v>
      </c>
      <c r="AA139" t="str" cm="1">
        <f t="array" ref="AA139">_xlfn.IFS(O139&lt;=$AF$2,"Low",AND(O139&gt;$AF$2,O139&lt;$AF$3),"Medium",O139&gt;=$AF$3,"High")</f>
        <v>High</v>
      </c>
      <c r="AB139" s="22">
        <f t="shared" si="33"/>
        <v>44927</v>
      </c>
      <c r="AC139">
        <v>6</v>
      </c>
    </row>
    <row r="140" spans="1:29" x14ac:dyDescent="0.35">
      <c r="A140" s="4" t="s">
        <v>240</v>
      </c>
      <c r="B140" s="5" t="str">
        <f>IF(COUNTIF($A$2:A140,A140)=1,"Original","Duplicate")</f>
        <v>Original</v>
      </c>
      <c r="C140" s="7">
        <v>45137</v>
      </c>
      <c r="D140" s="7">
        <v>45145</v>
      </c>
      <c r="E140">
        <f t="shared" si="23"/>
        <v>8</v>
      </c>
      <c r="F140" t="s">
        <v>647</v>
      </c>
      <c r="G140" t="s">
        <v>652</v>
      </c>
      <c r="H140" t="s">
        <v>694</v>
      </c>
      <c r="I140" t="s">
        <v>702</v>
      </c>
      <c r="J140" t="s">
        <v>709</v>
      </c>
      <c r="K140" t="s">
        <v>720</v>
      </c>
      <c r="L140" t="s">
        <v>729</v>
      </c>
      <c r="M140" t="s">
        <v>960</v>
      </c>
      <c r="N140" s="23">
        <v>1352.44</v>
      </c>
      <c r="O140" s="23">
        <v>2698.01</v>
      </c>
      <c r="P140" s="8">
        <v>0.13100000000000001</v>
      </c>
      <c r="Q140">
        <v>13</v>
      </c>
      <c r="R140" s="23">
        <f t="shared" si="24"/>
        <v>30479.418970000002</v>
      </c>
      <c r="S140" s="23">
        <f t="shared" si="25"/>
        <v>17581.72</v>
      </c>
      <c r="T140" s="23">
        <f t="shared" si="26"/>
        <v>12897.698970000001</v>
      </c>
      <c r="U140" s="14">
        <f t="shared" si="27"/>
        <v>0.42316091992090887</v>
      </c>
      <c r="V140" s="7" t="str">
        <f t="shared" si="28"/>
        <v>Jul-2023</v>
      </c>
      <c r="W140" s="22">
        <f t="shared" si="29"/>
        <v>45108</v>
      </c>
      <c r="X140" s="7" t="str">
        <f t="shared" si="30"/>
        <v>Q3-2023</v>
      </c>
      <c r="Y140" t="str">
        <f t="shared" si="31"/>
        <v>Asia → Japan → Nagoya</v>
      </c>
      <c r="Z140" t="str">
        <f t="shared" si="32"/>
        <v>Networking</v>
      </c>
      <c r="AA140" t="str" cm="1">
        <f t="array" ref="AA140">_xlfn.IFS(O140&lt;=$AF$2,"Low",AND(O140&gt;$AF$2,O140&lt;$AF$3),"Medium",O140&gt;=$AF$3,"High")</f>
        <v>High</v>
      </c>
      <c r="AB140" s="22">
        <f t="shared" si="33"/>
        <v>44986</v>
      </c>
      <c r="AC140">
        <v>4</v>
      </c>
    </row>
    <row r="141" spans="1:29" x14ac:dyDescent="0.35">
      <c r="A141" s="4" t="s">
        <v>628</v>
      </c>
      <c r="B141" s="5" t="str">
        <f>IF(COUNTIF($A$2:A141,A141)=1,"Original","Duplicate")</f>
        <v>Original</v>
      </c>
      <c r="C141" s="7">
        <v>45137</v>
      </c>
      <c r="D141" s="7">
        <v>45157</v>
      </c>
      <c r="E141">
        <f t="shared" si="23"/>
        <v>20</v>
      </c>
      <c r="F141" t="s">
        <v>649</v>
      </c>
      <c r="G141" t="s">
        <v>657</v>
      </c>
      <c r="H141" t="s">
        <v>690</v>
      </c>
      <c r="I141" t="s">
        <v>706</v>
      </c>
      <c r="J141" t="s">
        <v>709</v>
      </c>
      <c r="K141" t="s">
        <v>715</v>
      </c>
      <c r="L141" t="s">
        <v>729</v>
      </c>
      <c r="M141" t="s">
        <v>1346</v>
      </c>
      <c r="N141" s="23">
        <v>1418.51</v>
      </c>
      <c r="O141" s="23">
        <v>2789.61</v>
      </c>
      <c r="P141" s="8">
        <v>0.17100000000000001</v>
      </c>
      <c r="Q141">
        <v>8</v>
      </c>
      <c r="R141" s="23">
        <f t="shared" si="24"/>
        <v>18500.693520000001</v>
      </c>
      <c r="S141" s="23">
        <f t="shared" si="25"/>
        <v>11348.08</v>
      </c>
      <c r="T141" s="23">
        <f t="shared" si="26"/>
        <v>7152.6135200000008</v>
      </c>
      <c r="U141" s="14">
        <f t="shared" si="27"/>
        <v>0.38661326464695689</v>
      </c>
      <c r="V141" s="7" t="str">
        <f t="shared" si="28"/>
        <v>Jul-2023</v>
      </c>
      <c r="W141" s="22">
        <f t="shared" si="29"/>
        <v>45108</v>
      </c>
      <c r="X141" s="7" t="str">
        <f t="shared" si="30"/>
        <v>Q3-2023</v>
      </c>
      <c r="Y141" t="str">
        <f t="shared" si="31"/>
        <v>Europe → France → Paris</v>
      </c>
      <c r="Z141" t="str">
        <f t="shared" si="32"/>
        <v>Networking</v>
      </c>
      <c r="AA141" t="str" cm="1">
        <f t="array" ref="AA141">_xlfn.IFS(O141&lt;=$AF$2,"Low",AND(O141&gt;$AF$2,O141&lt;$AF$3),"Medium",O141&gt;=$AF$3,"High")</f>
        <v>High</v>
      </c>
      <c r="AB141" s="22">
        <f t="shared" si="33"/>
        <v>44927</v>
      </c>
      <c r="AC141">
        <v>6</v>
      </c>
    </row>
    <row r="142" spans="1:29" x14ac:dyDescent="0.35">
      <c r="A142" s="4" t="s">
        <v>591</v>
      </c>
      <c r="B142" s="5" t="str">
        <f>IF(COUNTIF($A$2:A142,A142)=1,"Original","Duplicate")</f>
        <v>Original</v>
      </c>
      <c r="C142" s="7">
        <v>45140</v>
      </c>
      <c r="D142" s="7">
        <v>45157</v>
      </c>
      <c r="E142">
        <f t="shared" si="23"/>
        <v>17</v>
      </c>
      <c r="F142" t="s">
        <v>648</v>
      </c>
      <c r="G142" t="s">
        <v>653</v>
      </c>
      <c r="H142" t="s">
        <v>688</v>
      </c>
      <c r="I142" t="s">
        <v>701</v>
      </c>
      <c r="J142" t="s">
        <v>708</v>
      </c>
      <c r="K142" t="s">
        <v>721</v>
      </c>
      <c r="L142" t="s">
        <v>729</v>
      </c>
      <c r="M142" t="s">
        <v>1309</v>
      </c>
      <c r="N142" s="23">
        <v>175.38</v>
      </c>
      <c r="O142" s="23">
        <v>347.9</v>
      </c>
      <c r="P142" s="8">
        <v>7.1999999999999995E-2</v>
      </c>
      <c r="Q142">
        <v>43</v>
      </c>
      <c r="R142" s="23">
        <f t="shared" si="24"/>
        <v>13882.6016</v>
      </c>
      <c r="S142" s="23">
        <f t="shared" si="25"/>
        <v>7541.34</v>
      </c>
      <c r="T142" s="23">
        <f t="shared" si="26"/>
        <v>6341.2615999999998</v>
      </c>
      <c r="U142" s="14">
        <f t="shared" si="27"/>
        <v>0.45677761148169804</v>
      </c>
      <c r="V142" s="7" t="str">
        <f t="shared" si="28"/>
        <v>Aug-2023</v>
      </c>
      <c r="W142" s="22">
        <f t="shared" si="29"/>
        <v>45139</v>
      </c>
      <c r="X142" s="7" t="str">
        <f t="shared" si="30"/>
        <v>Q3-2023</v>
      </c>
      <c r="Y142" t="str">
        <f t="shared" si="31"/>
        <v>Americas → Canada → Vancouver</v>
      </c>
      <c r="Z142" t="str">
        <f t="shared" si="32"/>
        <v>Networking</v>
      </c>
      <c r="AA142" t="str" cm="1">
        <f t="array" ref="AA142">_xlfn.IFS(O142&lt;=$AF$2,"Low",AND(O142&gt;$AF$2,O142&lt;$AF$3),"Medium",O142&gt;=$AF$3,"High")</f>
        <v>Low</v>
      </c>
      <c r="AB142" s="22">
        <f t="shared" si="33"/>
        <v>44927</v>
      </c>
      <c r="AC142">
        <v>7</v>
      </c>
    </row>
    <row r="143" spans="1:29" x14ac:dyDescent="0.35">
      <c r="A143" s="4" t="s">
        <v>284</v>
      </c>
      <c r="B143" s="5" t="str">
        <f>IF(COUNTIF($A$2:A143,A143)=1,"Original","Duplicate")</f>
        <v>Original</v>
      </c>
      <c r="C143" s="7">
        <v>45141</v>
      </c>
      <c r="D143" s="7">
        <v>45152</v>
      </c>
      <c r="E143">
        <f t="shared" si="23"/>
        <v>11</v>
      </c>
      <c r="F143" t="s">
        <v>648</v>
      </c>
      <c r="G143" t="s">
        <v>655</v>
      </c>
      <c r="H143" t="s">
        <v>672</v>
      </c>
      <c r="I143" t="s">
        <v>701</v>
      </c>
      <c r="J143" t="s">
        <v>711</v>
      </c>
      <c r="K143" t="s">
        <v>713</v>
      </c>
      <c r="L143" t="s">
        <v>733</v>
      </c>
      <c r="M143" t="s">
        <v>1004</v>
      </c>
      <c r="N143" s="23">
        <v>232.73</v>
      </c>
      <c r="O143" s="23">
        <v>334.19</v>
      </c>
      <c r="P143" s="8">
        <v>0.13400000000000001</v>
      </c>
      <c r="Q143">
        <v>25</v>
      </c>
      <c r="R143" s="23">
        <f t="shared" si="24"/>
        <v>7235.2134999999998</v>
      </c>
      <c r="S143" s="23">
        <f t="shared" si="25"/>
        <v>5818.25</v>
      </c>
      <c r="T143" s="23">
        <f t="shared" si="26"/>
        <v>1416.9634999999998</v>
      </c>
      <c r="U143" s="14">
        <f t="shared" si="27"/>
        <v>0.1958426658729559</v>
      </c>
      <c r="V143" s="7" t="str">
        <f t="shared" si="28"/>
        <v>Aug-2023</v>
      </c>
      <c r="W143" s="22">
        <f t="shared" si="29"/>
        <v>45139</v>
      </c>
      <c r="X143" s="7" t="str">
        <f t="shared" si="30"/>
        <v>Q3-2023</v>
      </c>
      <c r="Y143" t="str">
        <f t="shared" si="31"/>
        <v>Americas → Brazil → Brasília</v>
      </c>
      <c r="Z143" t="str">
        <f t="shared" si="32"/>
        <v>Accessories</v>
      </c>
      <c r="AA143" t="str" cm="1">
        <f t="array" ref="AA143">_xlfn.IFS(O143&lt;=$AF$2,"Low",AND(O143&gt;$AF$2,O143&lt;$AF$3),"Medium",O143&gt;=$AF$3,"High")</f>
        <v>Low</v>
      </c>
      <c r="AB143" s="22">
        <f t="shared" si="33"/>
        <v>44927</v>
      </c>
      <c r="AC143">
        <v>7</v>
      </c>
    </row>
    <row r="144" spans="1:29" x14ac:dyDescent="0.35">
      <c r="A144" s="4" t="s">
        <v>638</v>
      </c>
      <c r="B144" s="5" t="str">
        <f>IF(COUNTIF($A$2:A144,A144)=1,"Original","Duplicate")</f>
        <v>Original</v>
      </c>
      <c r="C144" s="7">
        <v>45141</v>
      </c>
      <c r="D144" s="7">
        <v>45148</v>
      </c>
      <c r="E144">
        <f t="shared" si="23"/>
        <v>7</v>
      </c>
      <c r="F144" t="s">
        <v>647</v>
      </c>
      <c r="G144" t="s">
        <v>659</v>
      </c>
      <c r="H144" t="s">
        <v>685</v>
      </c>
      <c r="I144" t="s">
        <v>703</v>
      </c>
      <c r="J144" t="s">
        <v>711</v>
      </c>
      <c r="K144" t="s">
        <v>713</v>
      </c>
      <c r="L144" t="s">
        <v>729</v>
      </c>
      <c r="M144" t="s">
        <v>1356</v>
      </c>
      <c r="N144" s="23">
        <v>1021.97</v>
      </c>
      <c r="O144" s="23">
        <v>2296.25</v>
      </c>
      <c r="P144" s="8">
        <v>0.161</v>
      </c>
      <c r="Q144">
        <v>26</v>
      </c>
      <c r="R144" s="23">
        <f t="shared" si="24"/>
        <v>50090.397499999999</v>
      </c>
      <c r="S144" s="23">
        <f t="shared" si="25"/>
        <v>26571.22</v>
      </c>
      <c r="T144" s="23">
        <f t="shared" si="26"/>
        <v>23519.177499999998</v>
      </c>
      <c r="U144" s="14">
        <f t="shared" si="27"/>
        <v>0.46953465482081669</v>
      </c>
      <c r="V144" s="7" t="str">
        <f t="shared" si="28"/>
        <v>Aug-2023</v>
      </c>
      <c r="W144" s="22">
        <f t="shared" si="29"/>
        <v>45139</v>
      </c>
      <c r="X144" s="7" t="str">
        <f t="shared" si="30"/>
        <v>Q3-2023</v>
      </c>
      <c r="Y144" t="str">
        <f t="shared" si="31"/>
        <v>Asia → China → Shanghai</v>
      </c>
      <c r="Z144" t="str">
        <f t="shared" si="32"/>
        <v>Networking</v>
      </c>
      <c r="AA144" t="str" cm="1">
        <f t="array" ref="AA144">_xlfn.IFS(O144&lt;=$AF$2,"Low",AND(O144&gt;$AF$2,O144&lt;$AF$3),"Medium",O144&gt;=$AF$3,"High")</f>
        <v>High</v>
      </c>
      <c r="AB144" s="22">
        <f t="shared" si="33"/>
        <v>44927</v>
      </c>
      <c r="AC144">
        <v>7</v>
      </c>
    </row>
    <row r="145" spans="1:29" x14ac:dyDescent="0.35">
      <c r="A145" s="4" t="s">
        <v>641</v>
      </c>
      <c r="B145" s="5" t="str">
        <f>IF(COUNTIF($A$2:A145,A145)=1,"Original","Duplicate")</f>
        <v>Original</v>
      </c>
      <c r="C145" s="7">
        <v>45141</v>
      </c>
      <c r="D145" s="7">
        <v>45168</v>
      </c>
      <c r="E145">
        <f t="shared" si="23"/>
        <v>27</v>
      </c>
      <c r="F145" t="s">
        <v>647</v>
      </c>
      <c r="G145" t="s">
        <v>659</v>
      </c>
      <c r="H145" t="s">
        <v>685</v>
      </c>
      <c r="I145" t="s">
        <v>704</v>
      </c>
      <c r="J145" t="s">
        <v>710</v>
      </c>
      <c r="K145" t="s">
        <v>725</v>
      </c>
      <c r="L145" t="s">
        <v>732</v>
      </c>
      <c r="M145" t="s">
        <v>1359</v>
      </c>
      <c r="N145" s="23">
        <v>226.04</v>
      </c>
      <c r="O145" s="23">
        <v>545.72</v>
      </c>
      <c r="P145" s="8">
        <v>0.151</v>
      </c>
      <c r="Q145">
        <v>11</v>
      </c>
      <c r="R145" s="23">
        <f t="shared" si="24"/>
        <v>5096.4790800000001</v>
      </c>
      <c r="S145" s="23">
        <f t="shared" si="25"/>
        <v>2486.44</v>
      </c>
      <c r="T145" s="23">
        <f t="shared" si="26"/>
        <v>2610.03908</v>
      </c>
      <c r="U145" s="14">
        <f t="shared" si="27"/>
        <v>0.51212592831834014</v>
      </c>
      <c r="V145" s="7" t="str">
        <f t="shared" si="28"/>
        <v>Aug-2023</v>
      </c>
      <c r="W145" s="22">
        <f t="shared" si="29"/>
        <v>45139</v>
      </c>
      <c r="X145" s="7" t="str">
        <f t="shared" si="30"/>
        <v>Q3-2023</v>
      </c>
      <c r="Y145" t="str">
        <f t="shared" si="31"/>
        <v>Asia → China → Shanghai</v>
      </c>
      <c r="Z145" t="str">
        <f t="shared" si="32"/>
        <v>Monitors</v>
      </c>
      <c r="AA145" t="str" cm="1">
        <f t="array" ref="AA145">_xlfn.IFS(O145&lt;=$AF$2,"Low",AND(O145&gt;$AF$2,O145&lt;$AF$3),"Medium",O145&gt;=$AF$3,"High")</f>
        <v>Low</v>
      </c>
      <c r="AB145" s="22">
        <f t="shared" si="33"/>
        <v>44927</v>
      </c>
      <c r="AC145">
        <v>7</v>
      </c>
    </row>
    <row r="146" spans="1:29" x14ac:dyDescent="0.35">
      <c r="A146" s="4" t="s">
        <v>276</v>
      </c>
      <c r="B146" s="5" t="str">
        <f>IF(COUNTIF($A$2:A146,A146)=1,"Original","Duplicate")</f>
        <v>Original</v>
      </c>
      <c r="C146" s="7">
        <v>45142</v>
      </c>
      <c r="D146" s="7">
        <v>45162</v>
      </c>
      <c r="E146">
        <f t="shared" si="23"/>
        <v>20</v>
      </c>
      <c r="F146" t="s">
        <v>648</v>
      </c>
      <c r="G146" t="s">
        <v>655</v>
      </c>
      <c r="H146" t="s">
        <v>672</v>
      </c>
      <c r="I146" t="s">
        <v>703</v>
      </c>
      <c r="J146" t="s">
        <v>711</v>
      </c>
      <c r="K146" t="s">
        <v>1432</v>
      </c>
      <c r="L146" t="s">
        <v>729</v>
      </c>
      <c r="M146" t="s">
        <v>996</v>
      </c>
      <c r="N146" s="23">
        <v>582.88</v>
      </c>
      <c r="O146" s="23">
        <v>1044.1400000000001</v>
      </c>
      <c r="P146" s="8">
        <v>0.216</v>
      </c>
      <c r="Q146">
        <v>10</v>
      </c>
      <c r="R146" s="23">
        <f t="shared" si="24"/>
        <v>8186.057600000001</v>
      </c>
      <c r="S146" s="23">
        <f t="shared" si="25"/>
        <v>5828.8</v>
      </c>
      <c r="T146" s="23">
        <f t="shared" si="26"/>
        <v>2357.2576000000008</v>
      </c>
      <c r="U146" s="14">
        <f t="shared" si="27"/>
        <v>0.28796005539956138</v>
      </c>
      <c r="V146" s="7" t="str">
        <f t="shared" si="28"/>
        <v>Aug-2023</v>
      </c>
      <c r="W146" s="22">
        <f t="shared" si="29"/>
        <v>45139</v>
      </c>
      <c r="X146" s="7" t="str">
        <f t="shared" si="30"/>
        <v>Q3-2023</v>
      </c>
      <c r="Y146" t="str">
        <f t="shared" si="31"/>
        <v>Americas → Brazil → Brasília</v>
      </c>
      <c r="Z146" t="str">
        <f t="shared" si="32"/>
        <v>Networking</v>
      </c>
      <c r="AA146" t="str" cm="1">
        <f t="array" ref="AA146">_xlfn.IFS(O146&lt;=$AF$2,"Low",AND(O146&gt;$AF$2,O146&lt;$AF$3),"Medium",O146&gt;=$AF$3,"High")</f>
        <v>Medium</v>
      </c>
      <c r="AB146" s="22">
        <f t="shared" si="33"/>
        <v>44927</v>
      </c>
      <c r="AC146">
        <v>7</v>
      </c>
    </row>
    <row r="147" spans="1:29" x14ac:dyDescent="0.35">
      <c r="A147" s="4" t="s">
        <v>205</v>
      </c>
      <c r="B147" s="5" t="str">
        <f>IF(COUNTIF($A$2:A147,A147)=1,"Original","Duplicate")</f>
        <v>Original</v>
      </c>
      <c r="C147" s="7">
        <v>45146</v>
      </c>
      <c r="D147" s="7">
        <v>45160</v>
      </c>
      <c r="E147">
        <f t="shared" si="23"/>
        <v>14</v>
      </c>
      <c r="F147" t="s">
        <v>649</v>
      </c>
      <c r="G147" t="s">
        <v>658</v>
      </c>
      <c r="H147" t="s">
        <v>674</v>
      </c>
      <c r="I147" t="s">
        <v>703</v>
      </c>
      <c r="J147" t="s">
        <v>711</v>
      </c>
      <c r="K147" t="s">
        <v>725</v>
      </c>
      <c r="L147" t="s">
        <v>732</v>
      </c>
      <c r="M147" t="s">
        <v>925</v>
      </c>
      <c r="N147" s="23">
        <v>446.69</v>
      </c>
      <c r="O147" s="23">
        <v>967.25</v>
      </c>
      <c r="P147" s="8">
        <v>9.4E-2</v>
      </c>
      <c r="Q147">
        <v>10</v>
      </c>
      <c r="R147" s="23">
        <f t="shared" si="24"/>
        <v>8763.2849999999999</v>
      </c>
      <c r="S147" s="23">
        <f t="shared" si="25"/>
        <v>4466.8999999999996</v>
      </c>
      <c r="T147" s="23">
        <f t="shared" si="26"/>
        <v>4296.3850000000002</v>
      </c>
      <c r="U147" s="14">
        <f t="shared" si="27"/>
        <v>0.49027105702941309</v>
      </c>
      <c r="V147" s="7" t="str">
        <f t="shared" si="28"/>
        <v>Aug-2023</v>
      </c>
      <c r="W147" s="22">
        <f t="shared" si="29"/>
        <v>45139</v>
      </c>
      <c r="X147" s="7" t="str">
        <f t="shared" si="30"/>
        <v>Q3-2023</v>
      </c>
      <c r="Y147" t="str">
        <f t="shared" si="31"/>
        <v>Europe → United Kingdom → Birmingham</v>
      </c>
      <c r="Z147" t="str">
        <f t="shared" si="32"/>
        <v>Monitors</v>
      </c>
      <c r="AA147" t="str" cm="1">
        <f t="array" ref="AA147">_xlfn.IFS(O147&lt;=$AF$2,"Low",AND(O147&gt;$AF$2,O147&lt;$AF$3),"Medium",O147&gt;=$AF$3,"High")</f>
        <v>Medium</v>
      </c>
      <c r="AB147" s="22">
        <f t="shared" si="33"/>
        <v>44927</v>
      </c>
      <c r="AC147">
        <v>7</v>
      </c>
    </row>
    <row r="148" spans="1:29" x14ac:dyDescent="0.35">
      <c r="A148" s="4" t="s">
        <v>498</v>
      </c>
      <c r="B148" s="5" t="str">
        <f>IF(COUNTIF($A$2:A148,A148)=1,"Original","Duplicate")</f>
        <v>Original</v>
      </c>
      <c r="C148" s="7">
        <v>45148</v>
      </c>
      <c r="D148" s="7">
        <v>45153</v>
      </c>
      <c r="E148">
        <f t="shared" si="23"/>
        <v>5</v>
      </c>
      <c r="F148" t="s">
        <v>648</v>
      </c>
      <c r="G148" t="s">
        <v>655</v>
      </c>
      <c r="H148" t="s">
        <v>670</v>
      </c>
      <c r="I148" t="s">
        <v>702</v>
      </c>
      <c r="J148" t="s">
        <v>711</v>
      </c>
      <c r="K148" t="s">
        <v>715</v>
      </c>
      <c r="L148" t="s">
        <v>729</v>
      </c>
      <c r="M148" t="s">
        <v>1217</v>
      </c>
      <c r="N148" s="23">
        <v>1307.52</v>
      </c>
      <c r="O148" s="23">
        <v>1921.65</v>
      </c>
      <c r="P148" s="8">
        <v>0.123</v>
      </c>
      <c r="Q148">
        <v>13</v>
      </c>
      <c r="R148" s="23">
        <f t="shared" si="24"/>
        <v>21908.731650000002</v>
      </c>
      <c r="S148" s="23">
        <f t="shared" si="25"/>
        <v>16997.759999999998</v>
      </c>
      <c r="T148" s="23">
        <f t="shared" si="26"/>
        <v>4910.9716500000031</v>
      </c>
      <c r="U148" s="14">
        <f t="shared" si="27"/>
        <v>0.22415590863289445</v>
      </c>
      <c r="V148" s="7" t="str">
        <f t="shared" si="28"/>
        <v>Aug-2023</v>
      </c>
      <c r="W148" s="22">
        <f t="shared" si="29"/>
        <v>45139</v>
      </c>
      <c r="X148" s="7" t="str">
        <f t="shared" si="30"/>
        <v>Q3-2023</v>
      </c>
      <c r="Y148" t="str">
        <f t="shared" si="31"/>
        <v>Americas → Brazil → São Paulo</v>
      </c>
      <c r="Z148" t="str">
        <f t="shared" si="32"/>
        <v>Networking</v>
      </c>
      <c r="AA148" t="str" cm="1">
        <f t="array" ref="AA148">_xlfn.IFS(O148&lt;=$AF$2,"Low",AND(O148&gt;$AF$2,O148&lt;$AF$3),"Medium",O148&gt;=$AF$3,"High")</f>
        <v>High</v>
      </c>
      <c r="AB148" s="22">
        <f t="shared" si="33"/>
        <v>44927</v>
      </c>
      <c r="AC148">
        <v>7</v>
      </c>
    </row>
    <row r="149" spans="1:29" x14ac:dyDescent="0.35">
      <c r="A149" s="4" t="s">
        <v>140</v>
      </c>
      <c r="B149" s="5" t="str">
        <f>IF(COUNTIF($A$2:A149,A149)=1,"Original","Duplicate")</f>
        <v>Original</v>
      </c>
      <c r="C149" s="7">
        <v>45150</v>
      </c>
      <c r="D149" s="7">
        <v>45175</v>
      </c>
      <c r="E149">
        <f t="shared" si="23"/>
        <v>25</v>
      </c>
      <c r="F149" t="s">
        <v>647</v>
      </c>
      <c r="G149" t="s">
        <v>659</v>
      </c>
      <c r="H149" t="s">
        <v>685</v>
      </c>
      <c r="I149" t="s">
        <v>705</v>
      </c>
      <c r="J149" t="s">
        <v>707</v>
      </c>
      <c r="K149" t="s">
        <v>717</v>
      </c>
      <c r="L149" t="s">
        <v>727</v>
      </c>
      <c r="M149" t="s">
        <v>859</v>
      </c>
      <c r="N149" s="23">
        <v>950.77</v>
      </c>
      <c r="O149" s="23">
        <v>694.78</v>
      </c>
      <c r="P149" s="8">
        <v>8.4000000000000005E-2</v>
      </c>
      <c r="Q149">
        <v>14</v>
      </c>
      <c r="R149" s="23">
        <f t="shared" si="24"/>
        <v>8909.8587200000002</v>
      </c>
      <c r="S149" s="23">
        <f t="shared" si="25"/>
        <v>13310.779999999999</v>
      </c>
      <c r="T149" s="23">
        <f t="shared" si="26"/>
        <v>-4400.9212799999987</v>
      </c>
      <c r="U149" s="14">
        <f t="shared" si="27"/>
        <v>-0.49393839097821279</v>
      </c>
      <c r="V149" s="7" t="str">
        <f t="shared" si="28"/>
        <v>Aug-2023</v>
      </c>
      <c r="W149" s="22">
        <f t="shared" si="29"/>
        <v>45139</v>
      </c>
      <c r="X149" s="7" t="str">
        <f t="shared" si="30"/>
        <v>Q3-2023</v>
      </c>
      <c r="Y149" t="str">
        <f t="shared" si="31"/>
        <v>Asia → China → Shanghai</v>
      </c>
      <c r="Z149" t="str">
        <f t="shared" si="32"/>
        <v>Components</v>
      </c>
      <c r="AA149" t="str" cm="1">
        <f t="array" ref="AA149">_xlfn.IFS(O149&lt;=$AF$2,"Low",AND(O149&gt;$AF$2,O149&lt;$AF$3),"Medium",O149&gt;=$AF$3,"High")</f>
        <v>Low</v>
      </c>
      <c r="AB149" s="22">
        <f t="shared" si="33"/>
        <v>44927</v>
      </c>
      <c r="AC149">
        <v>7</v>
      </c>
    </row>
    <row r="150" spans="1:29" x14ac:dyDescent="0.35">
      <c r="A150" s="4" t="s">
        <v>216</v>
      </c>
      <c r="B150" s="5" t="str">
        <f>IF(COUNTIF($A$2:A150,A150)=1,"Original","Duplicate")</f>
        <v>Original</v>
      </c>
      <c r="C150" s="7">
        <v>45153</v>
      </c>
      <c r="D150" s="7">
        <v>45176</v>
      </c>
      <c r="E150">
        <f t="shared" si="23"/>
        <v>23</v>
      </c>
      <c r="F150" t="s">
        <v>648</v>
      </c>
      <c r="G150" t="s">
        <v>660</v>
      </c>
      <c r="H150" t="s">
        <v>700</v>
      </c>
      <c r="I150" t="s">
        <v>706</v>
      </c>
      <c r="J150" t="s">
        <v>708</v>
      </c>
      <c r="K150" t="s">
        <v>723</v>
      </c>
      <c r="L150" t="s">
        <v>730</v>
      </c>
      <c r="M150" t="s">
        <v>936</v>
      </c>
      <c r="N150" s="23">
        <v>590.33000000000004</v>
      </c>
      <c r="O150" s="23">
        <v>973.04</v>
      </c>
      <c r="P150" s="8">
        <v>0</v>
      </c>
      <c r="Q150">
        <v>26</v>
      </c>
      <c r="R150" s="23">
        <f t="shared" si="24"/>
        <v>25299.040000000001</v>
      </c>
      <c r="S150" s="23">
        <f t="shared" si="25"/>
        <v>15348.580000000002</v>
      </c>
      <c r="T150" s="23">
        <f t="shared" si="26"/>
        <v>9950.4599999999991</v>
      </c>
      <c r="U150" s="14">
        <f t="shared" si="27"/>
        <v>0.39331373838691108</v>
      </c>
      <c r="V150" s="7" t="str">
        <f t="shared" si="28"/>
        <v>Aug-2023</v>
      </c>
      <c r="W150" s="22">
        <f t="shared" si="29"/>
        <v>45139</v>
      </c>
      <c r="X150" s="7" t="str">
        <f t="shared" si="30"/>
        <v>Q3-2023</v>
      </c>
      <c r="Y150" t="str">
        <f t="shared" si="31"/>
        <v>Americas → USA → New York</v>
      </c>
      <c r="Z150" t="str">
        <f t="shared" si="32"/>
        <v>Phones</v>
      </c>
      <c r="AA150" t="str" cm="1">
        <f t="array" ref="AA150">_xlfn.IFS(O150&lt;=$AF$2,"Low",AND(O150&gt;$AF$2,O150&lt;$AF$3),"Medium",O150&gt;=$AF$3,"High")</f>
        <v>Medium</v>
      </c>
      <c r="AB150" s="22">
        <f t="shared" si="33"/>
        <v>44927</v>
      </c>
      <c r="AC150">
        <v>7</v>
      </c>
    </row>
    <row r="151" spans="1:29" x14ac:dyDescent="0.35">
      <c r="A151" s="4" t="s">
        <v>296</v>
      </c>
      <c r="B151" s="5" t="str">
        <f>IF(COUNTIF($A$2:A151,A151)=1,"Original","Duplicate")</f>
        <v>Original</v>
      </c>
      <c r="C151" s="7">
        <v>45153</v>
      </c>
      <c r="D151" s="7">
        <v>45163</v>
      </c>
      <c r="E151">
        <f t="shared" si="23"/>
        <v>10</v>
      </c>
      <c r="F151" t="s">
        <v>646</v>
      </c>
      <c r="G151" t="s">
        <v>650</v>
      </c>
      <c r="H151" t="s">
        <v>664</v>
      </c>
      <c r="I151" t="s">
        <v>705</v>
      </c>
      <c r="J151" t="s">
        <v>707</v>
      </c>
      <c r="K151" t="s">
        <v>725</v>
      </c>
      <c r="L151" t="s">
        <v>730</v>
      </c>
      <c r="M151" t="s">
        <v>1016</v>
      </c>
      <c r="N151" s="23">
        <v>91.85</v>
      </c>
      <c r="O151" s="23">
        <v>111.29</v>
      </c>
      <c r="P151" s="8">
        <v>0</v>
      </c>
      <c r="Q151">
        <v>6</v>
      </c>
      <c r="R151" s="23">
        <f t="shared" si="24"/>
        <v>667.74</v>
      </c>
      <c r="S151" s="23">
        <f t="shared" si="25"/>
        <v>551.09999999999991</v>
      </c>
      <c r="T151" s="23">
        <f t="shared" si="26"/>
        <v>116.6400000000001</v>
      </c>
      <c r="U151" s="14">
        <f t="shared" si="27"/>
        <v>0.17467876718483258</v>
      </c>
      <c r="V151" s="7" t="str">
        <f t="shared" si="28"/>
        <v>Aug-2023</v>
      </c>
      <c r="W151" s="22">
        <f t="shared" si="29"/>
        <v>45139</v>
      </c>
      <c r="X151" s="7" t="str">
        <f t="shared" si="30"/>
        <v>Q3-2023</v>
      </c>
      <c r="Y151" t="str">
        <f t="shared" si="31"/>
        <v>Africa → Kenya → Nairobi</v>
      </c>
      <c r="Z151" t="str">
        <f t="shared" si="32"/>
        <v>Phones</v>
      </c>
      <c r="AA151" t="str" cm="1">
        <f t="array" ref="AA151">_xlfn.IFS(O151&lt;=$AF$2,"Low",AND(O151&gt;$AF$2,O151&lt;$AF$3),"Medium",O151&gt;=$AF$3,"High")</f>
        <v>Low</v>
      </c>
      <c r="AB151" s="22">
        <f t="shared" si="33"/>
        <v>44927</v>
      </c>
      <c r="AC151">
        <v>7</v>
      </c>
    </row>
    <row r="152" spans="1:29" x14ac:dyDescent="0.35">
      <c r="A152" s="4" t="s">
        <v>547</v>
      </c>
      <c r="B152" s="5" t="str">
        <f>IF(COUNTIF($A$2:A152,A152)=1,"Original","Duplicate")</f>
        <v>Original</v>
      </c>
      <c r="C152" s="7">
        <v>45155</v>
      </c>
      <c r="D152" s="7">
        <v>45172</v>
      </c>
      <c r="E152">
        <f t="shared" si="23"/>
        <v>17</v>
      </c>
      <c r="F152" t="s">
        <v>646</v>
      </c>
      <c r="G152" t="s">
        <v>661</v>
      </c>
      <c r="H152" t="s">
        <v>687</v>
      </c>
      <c r="I152" t="s">
        <v>706</v>
      </c>
      <c r="J152" t="s">
        <v>707</v>
      </c>
      <c r="K152" t="s">
        <v>720</v>
      </c>
      <c r="L152" t="s">
        <v>730</v>
      </c>
      <c r="M152" t="s">
        <v>1266</v>
      </c>
      <c r="N152" s="23">
        <v>676.37</v>
      </c>
      <c r="O152" s="23">
        <v>1276.67</v>
      </c>
      <c r="P152" s="8">
        <v>6.6000000000000003E-2</v>
      </c>
      <c r="Q152">
        <v>10</v>
      </c>
      <c r="R152" s="23">
        <f t="shared" si="24"/>
        <v>11924.0978</v>
      </c>
      <c r="S152" s="23">
        <f t="shared" si="25"/>
        <v>6763.7</v>
      </c>
      <c r="T152" s="23">
        <f t="shared" si="26"/>
        <v>5160.3977999999997</v>
      </c>
      <c r="U152" s="14">
        <f t="shared" si="27"/>
        <v>0.4327705027712872</v>
      </c>
      <c r="V152" s="7" t="str">
        <f t="shared" si="28"/>
        <v>Aug-2023</v>
      </c>
      <c r="W152" s="22">
        <f t="shared" si="29"/>
        <v>45139</v>
      </c>
      <c r="X152" s="7" t="str">
        <f t="shared" si="30"/>
        <v>Q3-2023</v>
      </c>
      <c r="Y152" t="str">
        <f t="shared" si="31"/>
        <v>Africa → South Africa → Durban</v>
      </c>
      <c r="Z152" t="str">
        <f t="shared" si="32"/>
        <v>Phones</v>
      </c>
      <c r="AA152" t="str" cm="1">
        <f t="array" ref="AA152">_xlfn.IFS(O152&lt;=$AF$2,"Low",AND(O152&gt;$AF$2,O152&lt;$AF$3),"Medium",O152&gt;=$AF$3,"High")</f>
        <v>Medium</v>
      </c>
      <c r="AB152" s="22">
        <f t="shared" si="33"/>
        <v>44927</v>
      </c>
      <c r="AC152">
        <v>7</v>
      </c>
    </row>
    <row r="153" spans="1:29" x14ac:dyDescent="0.35">
      <c r="A153" s="4" t="s">
        <v>83</v>
      </c>
      <c r="B153" s="5" t="str">
        <f>IF(COUNTIF($A$2:A153,A153)=1,"Original","Duplicate")</f>
        <v>Original</v>
      </c>
      <c r="C153" s="7">
        <v>45157</v>
      </c>
      <c r="D153" s="7">
        <v>45176</v>
      </c>
      <c r="E153">
        <f t="shared" si="23"/>
        <v>19</v>
      </c>
      <c r="F153" t="s">
        <v>646</v>
      </c>
      <c r="G153" t="s">
        <v>661</v>
      </c>
      <c r="H153" t="s">
        <v>682</v>
      </c>
      <c r="I153" t="s">
        <v>706</v>
      </c>
      <c r="J153" t="s">
        <v>707</v>
      </c>
      <c r="K153" t="s">
        <v>726</v>
      </c>
      <c r="L153" t="s">
        <v>732</v>
      </c>
      <c r="M153" t="s">
        <v>802</v>
      </c>
      <c r="N153" s="23">
        <v>494.61</v>
      </c>
      <c r="O153" s="23">
        <v>605.23</v>
      </c>
      <c r="P153" s="8">
        <v>0.20399999999999999</v>
      </c>
      <c r="Q153">
        <v>18</v>
      </c>
      <c r="R153" s="23">
        <f t="shared" si="24"/>
        <v>8671.7354400000004</v>
      </c>
      <c r="S153" s="23">
        <f t="shared" si="25"/>
        <v>8902.98</v>
      </c>
      <c r="T153" s="23">
        <f t="shared" si="26"/>
        <v>-231.24455999999918</v>
      </c>
      <c r="U153" s="14">
        <f t="shared" si="27"/>
        <v>-2.6666468505639647E-2</v>
      </c>
      <c r="V153" s="7" t="str">
        <f t="shared" si="28"/>
        <v>Aug-2023</v>
      </c>
      <c r="W153" s="22">
        <f t="shared" si="29"/>
        <v>45139</v>
      </c>
      <c r="X153" s="7" t="str">
        <f t="shared" si="30"/>
        <v>Q3-2023</v>
      </c>
      <c r="Y153" t="str">
        <f t="shared" si="31"/>
        <v>Africa → South Africa → Johannesburg</v>
      </c>
      <c r="Z153" t="str">
        <f t="shared" si="32"/>
        <v>Monitors</v>
      </c>
      <c r="AA153" t="str" cm="1">
        <f t="array" ref="AA153">_xlfn.IFS(O153&lt;=$AF$2,"Low",AND(O153&gt;$AF$2,O153&lt;$AF$3),"Medium",O153&gt;=$AF$3,"High")</f>
        <v>Low</v>
      </c>
      <c r="AB153" s="22">
        <f t="shared" si="33"/>
        <v>44927</v>
      </c>
      <c r="AC153">
        <v>7</v>
      </c>
    </row>
    <row r="154" spans="1:29" x14ac:dyDescent="0.35">
      <c r="A154" s="4" t="s">
        <v>96</v>
      </c>
      <c r="B154" s="5" t="str">
        <f>IF(COUNTIF($A$2:A154,A154)=1,"Original","Duplicate")</f>
        <v>Original</v>
      </c>
      <c r="C154" s="7">
        <v>45157</v>
      </c>
      <c r="D154" s="7">
        <v>45181</v>
      </c>
      <c r="E154">
        <f t="shared" si="23"/>
        <v>24</v>
      </c>
      <c r="F154" t="s">
        <v>648</v>
      </c>
      <c r="G154" t="s">
        <v>653</v>
      </c>
      <c r="H154" t="s">
        <v>688</v>
      </c>
      <c r="I154" t="s">
        <v>706</v>
      </c>
      <c r="J154" t="s">
        <v>707</v>
      </c>
      <c r="K154" t="s">
        <v>714</v>
      </c>
      <c r="L154" t="s">
        <v>728</v>
      </c>
      <c r="M154" t="s">
        <v>815</v>
      </c>
      <c r="N154" s="23">
        <v>1183.95</v>
      </c>
      <c r="O154" s="23">
        <v>1503.53</v>
      </c>
      <c r="P154" s="8">
        <v>0.24099999999999999</v>
      </c>
      <c r="Q154">
        <v>16</v>
      </c>
      <c r="R154" s="23">
        <f t="shared" si="24"/>
        <v>18258.868320000001</v>
      </c>
      <c r="S154" s="23">
        <f t="shared" si="25"/>
        <v>18943.2</v>
      </c>
      <c r="T154" s="23">
        <f t="shared" si="26"/>
        <v>-684.33167999999932</v>
      </c>
      <c r="U154" s="14">
        <f t="shared" si="27"/>
        <v>-3.7479413729623705E-2</v>
      </c>
      <c r="V154" s="7" t="str">
        <f t="shared" si="28"/>
        <v>Aug-2023</v>
      </c>
      <c r="W154" s="22">
        <f t="shared" si="29"/>
        <v>45139</v>
      </c>
      <c r="X154" s="7" t="str">
        <f t="shared" si="30"/>
        <v>Q3-2023</v>
      </c>
      <c r="Y154" t="str">
        <f t="shared" si="31"/>
        <v>Americas → Canada → Vancouver</v>
      </c>
      <c r="Z154" t="str">
        <f t="shared" si="32"/>
        <v>Printers</v>
      </c>
      <c r="AA154" t="str" cm="1">
        <f t="array" ref="AA154">_xlfn.IFS(O154&lt;=$AF$2,"Low",AND(O154&gt;$AF$2,O154&lt;$AF$3),"Medium",O154&gt;=$AF$3,"High")</f>
        <v>Medium</v>
      </c>
      <c r="AB154" s="22">
        <f t="shared" si="33"/>
        <v>44927</v>
      </c>
      <c r="AC154">
        <v>7</v>
      </c>
    </row>
    <row r="155" spans="1:29" x14ac:dyDescent="0.35">
      <c r="A155" s="4" t="s">
        <v>198</v>
      </c>
      <c r="B155" s="5" t="str">
        <f>IF(COUNTIF($A$2:A155,A155)=1,"Original","Duplicate")</f>
        <v>Original</v>
      </c>
      <c r="C155" s="7">
        <v>45157</v>
      </c>
      <c r="D155" s="7">
        <v>45161</v>
      </c>
      <c r="E155">
        <f t="shared" si="23"/>
        <v>4</v>
      </c>
      <c r="F155" t="s">
        <v>646</v>
      </c>
      <c r="G155" t="s">
        <v>651</v>
      </c>
      <c r="H155" t="s">
        <v>669</v>
      </c>
      <c r="I155" t="s">
        <v>705</v>
      </c>
      <c r="J155" t="s">
        <v>708</v>
      </c>
      <c r="K155" t="s">
        <v>713</v>
      </c>
      <c r="L155" t="s">
        <v>732</v>
      </c>
      <c r="M155" t="s">
        <v>917</v>
      </c>
      <c r="N155" s="23">
        <v>790.63</v>
      </c>
      <c r="O155" s="23">
        <v>1382.31</v>
      </c>
      <c r="P155" s="8">
        <v>0.10100000000000001</v>
      </c>
      <c r="Q155">
        <v>7</v>
      </c>
      <c r="R155" s="23">
        <f t="shared" si="24"/>
        <v>8698.8768300000011</v>
      </c>
      <c r="S155" s="23">
        <f t="shared" si="25"/>
        <v>5534.41</v>
      </c>
      <c r="T155" s="23">
        <f t="shared" si="26"/>
        <v>3164.4668300000012</v>
      </c>
      <c r="U155" s="14">
        <f t="shared" si="27"/>
        <v>0.36377878338116448</v>
      </c>
      <c r="V155" s="7" t="str">
        <f t="shared" si="28"/>
        <v>Aug-2023</v>
      </c>
      <c r="W155" s="22">
        <f t="shared" si="29"/>
        <v>45139</v>
      </c>
      <c r="X155" s="7" t="str">
        <f t="shared" si="30"/>
        <v>Q3-2023</v>
      </c>
      <c r="Y155" t="str">
        <f t="shared" si="31"/>
        <v>Africa → Nigeria → Abuja</v>
      </c>
      <c r="Z155" t="str">
        <f t="shared" si="32"/>
        <v>Monitors</v>
      </c>
      <c r="AA155" t="str" cm="1">
        <f t="array" ref="AA155">_xlfn.IFS(O155&lt;=$AF$2,"Low",AND(O155&gt;$AF$2,O155&lt;$AF$3),"Medium",O155&gt;=$AF$3,"High")</f>
        <v>Medium</v>
      </c>
      <c r="AB155" s="22">
        <f t="shared" si="33"/>
        <v>44927</v>
      </c>
      <c r="AC155">
        <v>7</v>
      </c>
    </row>
    <row r="156" spans="1:29" x14ac:dyDescent="0.35">
      <c r="A156" s="4" t="s">
        <v>139</v>
      </c>
      <c r="B156" s="5" t="str">
        <f>IF(COUNTIF($A$2:A156,A156)=1,"Original","Duplicate")</f>
        <v>Original</v>
      </c>
      <c r="C156" s="7">
        <v>45159</v>
      </c>
      <c r="D156" s="7">
        <v>45173</v>
      </c>
      <c r="E156">
        <f t="shared" si="23"/>
        <v>14</v>
      </c>
      <c r="F156" t="s">
        <v>648</v>
      </c>
      <c r="G156" t="s">
        <v>653</v>
      </c>
      <c r="H156" t="s">
        <v>681</v>
      </c>
      <c r="I156" t="s">
        <v>702</v>
      </c>
      <c r="J156" t="s">
        <v>710</v>
      </c>
      <c r="K156" t="s">
        <v>721</v>
      </c>
      <c r="L156" t="s">
        <v>727</v>
      </c>
      <c r="M156" t="s">
        <v>858</v>
      </c>
      <c r="N156" s="23">
        <v>178.19</v>
      </c>
      <c r="O156" s="23">
        <v>284.43</v>
      </c>
      <c r="P156" s="8">
        <v>8.8999999999999996E-2</v>
      </c>
      <c r="Q156">
        <v>8</v>
      </c>
      <c r="R156" s="23">
        <f t="shared" si="24"/>
        <v>2072.9258400000003</v>
      </c>
      <c r="S156" s="23">
        <f t="shared" si="25"/>
        <v>1425.52</v>
      </c>
      <c r="T156" s="23">
        <f t="shared" si="26"/>
        <v>647.40584000000035</v>
      </c>
      <c r="U156" s="14">
        <f t="shared" si="27"/>
        <v>0.31231500302972742</v>
      </c>
      <c r="V156" s="7" t="str">
        <f t="shared" si="28"/>
        <v>Aug-2023</v>
      </c>
      <c r="W156" s="22">
        <f t="shared" si="29"/>
        <v>45139</v>
      </c>
      <c r="X156" s="7" t="str">
        <f t="shared" si="30"/>
        <v>Q3-2023</v>
      </c>
      <c r="Y156" t="str">
        <f t="shared" si="31"/>
        <v>Americas → Canada → Montreal</v>
      </c>
      <c r="Z156" t="str">
        <f t="shared" si="32"/>
        <v>Components</v>
      </c>
      <c r="AA156" t="str" cm="1">
        <f t="array" ref="AA156">_xlfn.IFS(O156&lt;=$AF$2,"Low",AND(O156&gt;$AF$2,O156&lt;$AF$3),"Medium",O156&gt;=$AF$3,"High")</f>
        <v>Low</v>
      </c>
      <c r="AB156" s="22">
        <f t="shared" si="33"/>
        <v>44927</v>
      </c>
      <c r="AC156">
        <v>7</v>
      </c>
    </row>
    <row r="157" spans="1:29" x14ac:dyDescent="0.35">
      <c r="A157" s="4" t="s">
        <v>307</v>
      </c>
      <c r="B157" s="5" t="str">
        <f>IF(COUNTIF($A$2:A157,A157)=1,"Original","Duplicate")</f>
        <v>Original</v>
      </c>
      <c r="C157" s="7">
        <v>45161</v>
      </c>
      <c r="D157" s="7">
        <v>45191</v>
      </c>
      <c r="E157">
        <f t="shared" si="23"/>
        <v>30</v>
      </c>
      <c r="F157" t="s">
        <v>649</v>
      </c>
      <c r="G157" t="s">
        <v>658</v>
      </c>
      <c r="H157" t="s">
        <v>683</v>
      </c>
      <c r="I157" t="s">
        <v>704</v>
      </c>
      <c r="J157" t="s">
        <v>710</v>
      </c>
      <c r="K157" t="s">
        <v>719</v>
      </c>
      <c r="L157" t="s">
        <v>733</v>
      </c>
      <c r="M157" t="s">
        <v>1027</v>
      </c>
      <c r="N157" s="23">
        <v>209.81</v>
      </c>
      <c r="O157" s="23">
        <v>523</v>
      </c>
      <c r="P157" s="8">
        <v>5.8999999999999997E-2</v>
      </c>
      <c r="Q157">
        <v>15</v>
      </c>
      <c r="R157" s="23">
        <f t="shared" si="24"/>
        <v>7382.1450000000004</v>
      </c>
      <c r="S157" s="23">
        <f t="shared" si="25"/>
        <v>3147.15</v>
      </c>
      <c r="T157" s="23">
        <f t="shared" si="26"/>
        <v>4234.9950000000008</v>
      </c>
      <c r="U157" s="14">
        <f t="shared" si="27"/>
        <v>0.57368082041195356</v>
      </c>
      <c r="V157" s="7" t="str">
        <f t="shared" si="28"/>
        <v>Aug-2023</v>
      </c>
      <c r="W157" s="22">
        <f t="shared" si="29"/>
        <v>45139</v>
      </c>
      <c r="X157" s="7" t="str">
        <f t="shared" si="30"/>
        <v>Q3-2023</v>
      </c>
      <c r="Y157" t="str">
        <f t="shared" si="31"/>
        <v>Europe → United Kingdom → London</v>
      </c>
      <c r="Z157" t="str">
        <f t="shared" si="32"/>
        <v>Accessories</v>
      </c>
      <c r="AA157" t="str" cm="1">
        <f t="array" ref="AA157">_xlfn.IFS(O157&lt;=$AF$2,"Low",AND(O157&gt;$AF$2,O157&lt;$AF$3),"Medium",O157&gt;=$AF$3,"High")</f>
        <v>Low</v>
      </c>
      <c r="AB157" s="22">
        <f t="shared" si="33"/>
        <v>44927</v>
      </c>
      <c r="AC157">
        <v>7</v>
      </c>
    </row>
    <row r="158" spans="1:29" x14ac:dyDescent="0.35">
      <c r="A158" s="4" t="s">
        <v>543</v>
      </c>
      <c r="B158" s="5" t="str">
        <f>IF(COUNTIF($A$2:A158,A158)=1,"Original","Duplicate")</f>
        <v>Original</v>
      </c>
      <c r="C158" s="7">
        <v>45162</v>
      </c>
      <c r="D158" s="7">
        <v>45189</v>
      </c>
      <c r="E158">
        <f t="shared" si="23"/>
        <v>27</v>
      </c>
      <c r="F158" t="s">
        <v>646</v>
      </c>
      <c r="G158" t="s">
        <v>661</v>
      </c>
      <c r="H158" t="s">
        <v>687</v>
      </c>
      <c r="I158" t="s">
        <v>705</v>
      </c>
      <c r="J158" t="s">
        <v>709</v>
      </c>
      <c r="K158" t="s">
        <v>724</v>
      </c>
      <c r="L158" t="s">
        <v>728</v>
      </c>
      <c r="M158" t="s">
        <v>1262</v>
      </c>
      <c r="N158" s="23">
        <v>1399.64</v>
      </c>
      <c r="O158" s="23">
        <v>3342.11</v>
      </c>
      <c r="P158" s="8">
        <v>0</v>
      </c>
      <c r="Q158">
        <v>10</v>
      </c>
      <c r="R158" s="23">
        <f t="shared" si="24"/>
        <v>33421.1</v>
      </c>
      <c r="S158" s="23">
        <f t="shared" si="25"/>
        <v>13996.400000000001</v>
      </c>
      <c r="T158" s="23">
        <f t="shared" si="26"/>
        <v>19424.699999999997</v>
      </c>
      <c r="U158" s="14">
        <f t="shared" si="27"/>
        <v>0.58121067229983447</v>
      </c>
      <c r="V158" s="7" t="str">
        <f t="shared" si="28"/>
        <v>Aug-2023</v>
      </c>
      <c r="W158" s="22">
        <f t="shared" si="29"/>
        <v>45139</v>
      </c>
      <c r="X158" s="7" t="str">
        <f t="shared" si="30"/>
        <v>Q3-2023</v>
      </c>
      <c r="Y158" t="str">
        <f t="shared" si="31"/>
        <v>Africa → South Africa → Durban</v>
      </c>
      <c r="Z158" t="str">
        <f t="shared" si="32"/>
        <v>Printers</v>
      </c>
      <c r="AA158" t="str" cm="1">
        <f t="array" ref="AA158">_xlfn.IFS(O158&lt;=$AF$2,"Low",AND(O158&gt;$AF$2,O158&lt;$AF$3),"Medium",O158&gt;=$AF$3,"High")</f>
        <v>High</v>
      </c>
      <c r="AB158" s="22">
        <f t="shared" si="33"/>
        <v>44927</v>
      </c>
      <c r="AC158">
        <v>7</v>
      </c>
    </row>
    <row r="159" spans="1:29" x14ac:dyDescent="0.35">
      <c r="A159" s="4" t="s">
        <v>427</v>
      </c>
      <c r="B159" s="5" t="str">
        <f>IF(COUNTIF($A$2:A159,A159)=1,"Original","Duplicate")</f>
        <v>Original</v>
      </c>
      <c r="C159" s="7">
        <v>45163</v>
      </c>
      <c r="D159" s="7">
        <v>45185</v>
      </c>
      <c r="E159">
        <f t="shared" si="23"/>
        <v>22</v>
      </c>
      <c r="F159" t="s">
        <v>646</v>
      </c>
      <c r="G159" t="s">
        <v>651</v>
      </c>
      <c r="H159" t="s">
        <v>669</v>
      </c>
      <c r="I159" t="s">
        <v>701</v>
      </c>
      <c r="J159" t="s">
        <v>709</v>
      </c>
      <c r="K159" t="s">
        <v>716</v>
      </c>
      <c r="L159" t="s">
        <v>730</v>
      </c>
      <c r="M159" t="s">
        <v>1146</v>
      </c>
      <c r="N159" s="23">
        <v>1196.83</v>
      </c>
      <c r="O159" s="23">
        <v>2513.5100000000002</v>
      </c>
      <c r="P159" s="8">
        <v>8.3000000000000004E-2</v>
      </c>
      <c r="Q159">
        <v>7</v>
      </c>
      <c r="R159" s="23">
        <f t="shared" si="24"/>
        <v>16134.22069</v>
      </c>
      <c r="S159" s="23">
        <f t="shared" si="25"/>
        <v>8377.81</v>
      </c>
      <c r="T159" s="23">
        <f t="shared" si="26"/>
        <v>7756.4106900000006</v>
      </c>
      <c r="U159" s="14">
        <f t="shared" si="27"/>
        <v>0.48074281609445374</v>
      </c>
      <c r="V159" s="7" t="str">
        <f t="shared" si="28"/>
        <v>Aug-2023</v>
      </c>
      <c r="W159" s="22">
        <f t="shared" si="29"/>
        <v>45139</v>
      </c>
      <c r="X159" s="7" t="str">
        <f t="shared" si="30"/>
        <v>Q3-2023</v>
      </c>
      <c r="Y159" t="str">
        <f t="shared" si="31"/>
        <v>Africa → Nigeria → Abuja</v>
      </c>
      <c r="Z159" t="str">
        <f t="shared" si="32"/>
        <v>Phones</v>
      </c>
      <c r="AA159" t="str" cm="1">
        <f t="array" ref="AA159">_xlfn.IFS(O159&lt;=$AF$2,"Low",AND(O159&gt;$AF$2,O159&lt;$AF$3),"Medium",O159&gt;=$AF$3,"High")</f>
        <v>High</v>
      </c>
      <c r="AB159" s="22">
        <f t="shared" si="33"/>
        <v>44927</v>
      </c>
      <c r="AC159">
        <v>7</v>
      </c>
    </row>
    <row r="160" spans="1:29" x14ac:dyDescent="0.35">
      <c r="A160" s="4" t="s">
        <v>236</v>
      </c>
      <c r="B160" s="5" t="str">
        <f>IF(COUNTIF($A$2:A160,A160)=1,"Original","Duplicate")</f>
        <v>Original</v>
      </c>
      <c r="C160" s="7">
        <v>45164</v>
      </c>
      <c r="D160" s="7">
        <v>45179</v>
      </c>
      <c r="E160">
        <f t="shared" si="23"/>
        <v>15</v>
      </c>
      <c r="F160" t="s">
        <v>646</v>
      </c>
      <c r="G160" t="s">
        <v>661</v>
      </c>
      <c r="H160" t="s">
        <v>695</v>
      </c>
      <c r="I160" t="s">
        <v>703</v>
      </c>
      <c r="J160" t="s">
        <v>711</v>
      </c>
      <c r="K160" t="s">
        <v>725</v>
      </c>
      <c r="L160" t="s">
        <v>727</v>
      </c>
      <c r="M160" t="s">
        <v>956</v>
      </c>
      <c r="N160" s="23">
        <v>241.14</v>
      </c>
      <c r="O160" s="23">
        <v>496.52</v>
      </c>
      <c r="P160" s="8">
        <v>9.2999999999999999E-2</v>
      </c>
      <c r="Q160">
        <v>10</v>
      </c>
      <c r="R160" s="23">
        <f t="shared" si="24"/>
        <v>4503.4363999999996</v>
      </c>
      <c r="S160" s="23">
        <f t="shared" si="25"/>
        <v>2411.3999999999996</v>
      </c>
      <c r="T160" s="23">
        <f t="shared" si="26"/>
        <v>2092.0364</v>
      </c>
      <c r="U160" s="14">
        <f t="shared" si="27"/>
        <v>0.46454223268257994</v>
      </c>
      <c r="V160" s="7" t="str">
        <f t="shared" si="28"/>
        <v>Aug-2023</v>
      </c>
      <c r="W160" s="22">
        <f t="shared" si="29"/>
        <v>45139</v>
      </c>
      <c r="X160" s="7" t="str">
        <f t="shared" si="30"/>
        <v>Q3-2023</v>
      </c>
      <c r="Y160" t="str">
        <f t="shared" si="31"/>
        <v>Africa → South Africa → Cape Town</v>
      </c>
      <c r="Z160" t="str">
        <f t="shared" si="32"/>
        <v>Components</v>
      </c>
      <c r="AA160" t="str" cm="1">
        <f t="array" ref="AA160">_xlfn.IFS(O160&lt;=$AF$2,"Low",AND(O160&gt;$AF$2,O160&lt;$AF$3),"Medium",O160&gt;=$AF$3,"High")</f>
        <v>Low</v>
      </c>
      <c r="AB160" s="22">
        <f t="shared" si="33"/>
        <v>44927</v>
      </c>
      <c r="AC160">
        <v>7</v>
      </c>
    </row>
    <row r="161" spans="1:29" x14ac:dyDescent="0.35">
      <c r="A161" s="4" t="s">
        <v>191</v>
      </c>
      <c r="B161" s="5" t="str">
        <f>IF(COUNTIF($A$2:A161,A161)=1,"Original","Duplicate")</f>
        <v>Original</v>
      </c>
      <c r="C161" s="7">
        <v>45165</v>
      </c>
      <c r="D161" s="7">
        <v>45180</v>
      </c>
      <c r="E161">
        <f t="shared" si="23"/>
        <v>15</v>
      </c>
      <c r="F161" t="s">
        <v>649</v>
      </c>
      <c r="G161" t="s">
        <v>658</v>
      </c>
      <c r="H161" t="s">
        <v>683</v>
      </c>
      <c r="I161" t="s">
        <v>704</v>
      </c>
      <c r="J161" t="s">
        <v>709</v>
      </c>
      <c r="K161" t="s">
        <v>725</v>
      </c>
      <c r="L161" t="s">
        <v>728</v>
      </c>
      <c r="M161" t="s">
        <v>910</v>
      </c>
      <c r="N161" s="23">
        <v>943.79</v>
      </c>
      <c r="O161" s="23">
        <v>1913.76</v>
      </c>
      <c r="P161" s="8">
        <v>9.0999999999999998E-2</v>
      </c>
      <c r="Q161">
        <v>9</v>
      </c>
      <c r="R161" s="23">
        <f t="shared" si="24"/>
        <v>15656.47056</v>
      </c>
      <c r="S161" s="23">
        <f t="shared" si="25"/>
        <v>8494.11</v>
      </c>
      <c r="T161" s="23">
        <f t="shared" si="26"/>
        <v>7162.3605599999992</v>
      </c>
      <c r="U161" s="14">
        <f t="shared" si="27"/>
        <v>0.45746967891338081</v>
      </c>
      <c r="V161" s="7" t="str">
        <f t="shared" si="28"/>
        <v>Aug-2023</v>
      </c>
      <c r="W161" s="22">
        <f t="shared" si="29"/>
        <v>45139</v>
      </c>
      <c r="X161" s="7" t="str">
        <f t="shared" si="30"/>
        <v>Q3-2023</v>
      </c>
      <c r="Y161" t="str">
        <f t="shared" si="31"/>
        <v>Europe → United Kingdom → London</v>
      </c>
      <c r="Z161" t="str">
        <f t="shared" si="32"/>
        <v>Printers</v>
      </c>
      <c r="AA161" t="str" cm="1">
        <f t="array" ref="AA161">_xlfn.IFS(O161&lt;=$AF$2,"Low",AND(O161&gt;$AF$2,O161&lt;$AF$3),"Medium",O161&gt;=$AF$3,"High")</f>
        <v>High</v>
      </c>
      <c r="AB161" s="22">
        <f t="shared" si="33"/>
        <v>44927</v>
      </c>
      <c r="AC161">
        <v>7</v>
      </c>
    </row>
    <row r="162" spans="1:29" x14ac:dyDescent="0.35">
      <c r="A162" s="4" t="s">
        <v>429</v>
      </c>
      <c r="B162" s="5" t="str">
        <f>IF(COUNTIF($A$2:A162,A162)=1,"Original","Duplicate")</f>
        <v>Original</v>
      </c>
      <c r="C162" s="7">
        <v>45167</v>
      </c>
      <c r="D162" s="7">
        <v>45182</v>
      </c>
      <c r="E162">
        <f t="shared" si="23"/>
        <v>15</v>
      </c>
      <c r="F162" t="s">
        <v>648</v>
      </c>
      <c r="G162" t="s">
        <v>653</v>
      </c>
      <c r="H162" t="s">
        <v>688</v>
      </c>
      <c r="I162" t="s">
        <v>705</v>
      </c>
      <c r="J162" t="s">
        <v>709</v>
      </c>
      <c r="K162" t="s">
        <v>719</v>
      </c>
      <c r="L162" t="s">
        <v>728</v>
      </c>
      <c r="M162" t="s">
        <v>1148</v>
      </c>
      <c r="N162" s="23">
        <v>1287.6400000000001</v>
      </c>
      <c r="O162" s="23">
        <v>2717.15</v>
      </c>
      <c r="P162" s="8">
        <v>3.2000000000000001E-2</v>
      </c>
      <c r="Q162">
        <v>7</v>
      </c>
      <c r="R162" s="23">
        <f t="shared" si="24"/>
        <v>18411.4084</v>
      </c>
      <c r="S162" s="23">
        <f t="shared" si="25"/>
        <v>9013.4800000000014</v>
      </c>
      <c r="T162" s="23">
        <f t="shared" si="26"/>
        <v>9397.9283999999989</v>
      </c>
      <c r="U162" s="14">
        <f t="shared" si="27"/>
        <v>0.51044049405802105</v>
      </c>
      <c r="V162" s="7" t="str">
        <f t="shared" si="28"/>
        <v>Aug-2023</v>
      </c>
      <c r="W162" s="22">
        <f t="shared" si="29"/>
        <v>45139</v>
      </c>
      <c r="X162" s="7" t="str">
        <f t="shared" si="30"/>
        <v>Q3-2023</v>
      </c>
      <c r="Y162" t="str">
        <f t="shared" si="31"/>
        <v>Americas → Canada → Vancouver</v>
      </c>
      <c r="Z162" t="str">
        <f t="shared" si="32"/>
        <v>Printers</v>
      </c>
      <c r="AA162" t="str" cm="1">
        <f t="array" ref="AA162">_xlfn.IFS(O162&lt;=$AF$2,"Low",AND(O162&gt;$AF$2,O162&lt;$AF$3),"Medium",O162&gt;=$AF$3,"High")</f>
        <v>High</v>
      </c>
      <c r="AB162" s="22">
        <f t="shared" si="33"/>
        <v>44927</v>
      </c>
      <c r="AC162">
        <v>7</v>
      </c>
    </row>
    <row r="163" spans="1:29" x14ac:dyDescent="0.35">
      <c r="A163" s="4" t="s">
        <v>485</v>
      </c>
      <c r="B163" s="5" t="str">
        <f>IF(COUNTIF($A$2:A163,A163)=1,"Original","Duplicate")</f>
        <v>Original</v>
      </c>
      <c r="C163" s="7">
        <v>45167</v>
      </c>
      <c r="D163" s="7">
        <v>45188</v>
      </c>
      <c r="E163">
        <f t="shared" si="23"/>
        <v>21</v>
      </c>
      <c r="F163" t="s">
        <v>649</v>
      </c>
      <c r="G163" t="s">
        <v>657</v>
      </c>
      <c r="H163" t="s">
        <v>679</v>
      </c>
      <c r="I163" t="s">
        <v>705</v>
      </c>
      <c r="J163" t="s">
        <v>711</v>
      </c>
      <c r="K163" t="s">
        <v>717</v>
      </c>
      <c r="L163" t="s">
        <v>728</v>
      </c>
      <c r="M163" t="s">
        <v>1204</v>
      </c>
      <c r="N163" s="23">
        <v>784.46</v>
      </c>
      <c r="O163" s="23">
        <v>1843.51</v>
      </c>
      <c r="P163" s="8">
        <v>0.13800000000000001</v>
      </c>
      <c r="Q163">
        <v>23</v>
      </c>
      <c r="R163" s="23">
        <f t="shared" si="24"/>
        <v>36549.429260000004</v>
      </c>
      <c r="S163" s="23">
        <f t="shared" si="25"/>
        <v>18042.580000000002</v>
      </c>
      <c r="T163" s="23">
        <f t="shared" si="26"/>
        <v>18506.849260000003</v>
      </c>
      <c r="U163" s="14">
        <f t="shared" si="27"/>
        <v>0.50635125184441798</v>
      </c>
      <c r="V163" s="7" t="str">
        <f t="shared" si="28"/>
        <v>Aug-2023</v>
      </c>
      <c r="W163" s="22">
        <f t="shared" si="29"/>
        <v>45139</v>
      </c>
      <c r="X163" s="7" t="str">
        <f t="shared" si="30"/>
        <v>Q3-2023</v>
      </c>
      <c r="Y163" t="str">
        <f t="shared" si="31"/>
        <v>Europe → France → Lyon</v>
      </c>
      <c r="Z163" t="str">
        <f t="shared" si="32"/>
        <v>Printers</v>
      </c>
      <c r="AA163" t="str" cm="1">
        <f t="array" ref="AA163">_xlfn.IFS(O163&lt;=$AF$2,"Low",AND(O163&gt;$AF$2,O163&lt;$AF$3),"Medium",O163&gt;=$AF$3,"High")</f>
        <v>High</v>
      </c>
      <c r="AB163" s="22">
        <f t="shared" si="33"/>
        <v>44927</v>
      </c>
      <c r="AC163">
        <v>7</v>
      </c>
    </row>
    <row r="164" spans="1:29" x14ac:dyDescent="0.35">
      <c r="A164" s="4" t="s">
        <v>69</v>
      </c>
      <c r="B164" s="5" t="str">
        <f>IF(COUNTIF($A$2:A164,A164)=1,"Original","Duplicate")</f>
        <v>Original</v>
      </c>
      <c r="C164" s="7">
        <v>45168</v>
      </c>
      <c r="D164" s="7">
        <v>45170</v>
      </c>
      <c r="E164">
        <f t="shared" si="23"/>
        <v>2</v>
      </c>
      <c r="F164" t="s">
        <v>649</v>
      </c>
      <c r="G164" t="s">
        <v>656</v>
      </c>
      <c r="H164" t="s">
        <v>684</v>
      </c>
      <c r="I164" t="s">
        <v>701</v>
      </c>
      <c r="J164" t="s">
        <v>711</v>
      </c>
      <c r="K164" t="s">
        <v>725</v>
      </c>
      <c r="L164" t="s">
        <v>729</v>
      </c>
      <c r="M164" t="s">
        <v>788</v>
      </c>
      <c r="N164" s="23">
        <v>44.42</v>
      </c>
      <c r="O164" s="23">
        <v>41.9</v>
      </c>
      <c r="P164" s="8">
        <v>0.14399999999999999</v>
      </c>
      <c r="Q164">
        <v>6</v>
      </c>
      <c r="R164" s="23">
        <f t="shared" si="24"/>
        <v>215.19839999999996</v>
      </c>
      <c r="S164" s="23">
        <f t="shared" si="25"/>
        <v>266.52</v>
      </c>
      <c r="T164" s="23">
        <f t="shared" si="26"/>
        <v>-51.321600000000018</v>
      </c>
      <c r="U164" s="14">
        <f t="shared" si="27"/>
        <v>-0.23848504449847224</v>
      </c>
      <c r="V164" s="7" t="str">
        <f t="shared" si="28"/>
        <v>Aug-2023</v>
      </c>
      <c r="W164" s="22">
        <f t="shared" si="29"/>
        <v>45139</v>
      </c>
      <c r="X164" s="7" t="str">
        <f t="shared" si="30"/>
        <v>Q3-2023</v>
      </c>
      <c r="Y164" t="str">
        <f t="shared" si="31"/>
        <v>Europe → Germany → Munich</v>
      </c>
      <c r="Z164" t="str">
        <f t="shared" si="32"/>
        <v>Networking</v>
      </c>
      <c r="AA164" t="str" cm="1">
        <f t="array" ref="AA164">_xlfn.IFS(O164&lt;=$AF$2,"Low",AND(O164&gt;$AF$2,O164&lt;$AF$3),"Medium",O164&gt;=$AF$3,"High")</f>
        <v>Low</v>
      </c>
      <c r="AB164" s="22">
        <f t="shared" si="33"/>
        <v>44927</v>
      </c>
      <c r="AC164">
        <v>7</v>
      </c>
    </row>
    <row r="165" spans="1:29" x14ac:dyDescent="0.35">
      <c r="A165" s="4" t="s">
        <v>346</v>
      </c>
      <c r="B165" s="5" t="str">
        <f>IF(COUNTIF($A$2:A165,A165)=1,"Original","Duplicate")</f>
        <v>Original</v>
      </c>
      <c r="C165" s="7">
        <v>45168</v>
      </c>
      <c r="D165" s="7">
        <v>45172</v>
      </c>
      <c r="E165">
        <f t="shared" si="23"/>
        <v>4</v>
      </c>
      <c r="F165" t="s">
        <v>647</v>
      </c>
      <c r="G165" t="s">
        <v>654</v>
      </c>
      <c r="H165" t="s">
        <v>680</v>
      </c>
      <c r="I165" t="s">
        <v>705</v>
      </c>
      <c r="J165" t="s">
        <v>709</v>
      </c>
      <c r="K165" t="s">
        <v>716</v>
      </c>
      <c r="L165" t="s">
        <v>733</v>
      </c>
      <c r="M165" t="s">
        <v>1066</v>
      </c>
      <c r="N165" s="23">
        <v>1082.25</v>
      </c>
      <c r="O165" s="23">
        <v>2433.34</v>
      </c>
      <c r="P165" s="8">
        <v>0.27</v>
      </c>
      <c r="Q165">
        <v>4</v>
      </c>
      <c r="R165" s="23">
        <f t="shared" si="24"/>
        <v>7105.3528000000006</v>
      </c>
      <c r="S165" s="23">
        <f t="shared" si="25"/>
        <v>4329</v>
      </c>
      <c r="T165" s="23">
        <f t="shared" si="26"/>
        <v>2776.3528000000006</v>
      </c>
      <c r="U165" s="14">
        <f t="shared" si="27"/>
        <v>0.3907410199251472</v>
      </c>
      <c r="V165" s="7" t="str">
        <f t="shared" si="28"/>
        <v>Aug-2023</v>
      </c>
      <c r="W165" s="22">
        <f t="shared" si="29"/>
        <v>45139</v>
      </c>
      <c r="X165" s="7" t="str">
        <f t="shared" si="30"/>
        <v>Q3-2023</v>
      </c>
      <c r="Y165" t="str">
        <f t="shared" si="31"/>
        <v>Asia → India → Delhi</v>
      </c>
      <c r="Z165" t="str">
        <f t="shared" si="32"/>
        <v>Accessories</v>
      </c>
      <c r="AA165" t="str" cm="1">
        <f t="array" ref="AA165">_xlfn.IFS(O165&lt;=$AF$2,"Low",AND(O165&gt;$AF$2,O165&lt;$AF$3),"Medium",O165&gt;=$AF$3,"High")</f>
        <v>High</v>
      </c>
      <c r="AB165" s="22">
        <f t="shared" si="33"/>
        <v>44958</v>
      </c>
      <c r="AC165">
        <v>6</v>
      </c>
    </row>
    <row r="166" spans="1:29" x14ac:dyDescent="0.35">
      <c r="A166" s="4" t="s">
        <v>561</v>
      </c>
      <c r="B166" s="5" t="str">
        <f>IF(COUNTIF($A$2:A166,A166)=1,"Original","Duplicate")</f>
        <v>Original</v>
      </c>
      <c r="C166" s="7">
        <v>45177</v>
      </c>
      <c r="D166" s="7">
        <v>45201</v>
      </c>
      <c r="E166">
        <f t="shared" si="23"/>
        <v>24</v>
      </c>
      <c r="F166" t="s">
        <v>648</v>
      </c>
      <c r="G166" t="s">
        <v>653</v>
      </c>
      <c r="H166" t="s">
        <v>667</v>
      </c>
      <c r="I166" t="s">
        <v>702</v>
      </c>
      <c r="J166" t="s">
        <v>711</v>
      </c>
      <c r="K166" t="s">
        <v>720</v>
      </c>
      <c r="L166" t="s">
        <v>733</v>
      </c>
      <c r="M166" t="s">
        <v>1279</v>
      </c>
      <c r="N166" s="23">
        <v>1299.03</v>
      </c>
      <c r="O166" s="23">
        <v>2451.2199999999998</v>
      </c>
      <c r="P166" s="8">
        <v>0.20799999999999999</v>
      </c>
      <c r="Q166">
        <v>8</v>
      </c>
      <c r="R166" s="23">
        <f t="shared" si="24"/>
        <v>15530.929919999999</v>
      </c>
      <c r="S166" s="23">
        <f t="shared" si="25"/>
        <v>10392.24</v>
      </c>
      <c r="T166" s="23">
        <f t="shared" si="26"/>
        <v>5138.6899199999989</v>
      </c>
      <c r="U166" s="14">
        <f t="shared" si="27"/>
        <v>0.3308681416032041</v>
      </c>
      <c r="V166" s="7" t="str">
        <f t="shared" si="28"/>
        <v>Sept-2023</v>
      </c>
      <c r="W166" s="22">
        <f t="shared" si="29"/>
        <v>45170</v>
      </c>
      <c r="X166" s="7" t="str">
        <f t="shared" si="30"/>
        <v>Q3-2023</v>
      </c>
      <c r="Y166" t="str">
        <f t="shared" si="31"/>
        <v>Americas → Canada → Toronto</v>
      </c>
      <c r="Z166" t="str">
        <f t="shared" si="32"/>
        <v>Accessories</v>
      </c>
      <c r="AA166" t="str" cm="1">
        <f t="array" ref="AA166">_xlfn.IFS(O166&lt;=$AF$2,"Low",AND(O166&gt;$AF$2,O166&lt;$AF$3),"Medium",O166&gt;=$AF$3,"High")</f>
        <v>High</v>
      </c>
      <c r="AB166" s="22">
        <f t="shared" si="33"/>
        <v>44927</v>
      </c>
      <c r="AC166">
        <v>8</v>
      </c>
    </row>
    <row r="167" spans="1:29" x14ac:dyDescent="0.35">
      <c r="A167" s="4" t="s">
        <v>634</v>
      </c>
      <c r="B167" s="5" t="str">
        <f>IF(COUNTIF($A$2:A167,A167)=1,"Original","Duplicate")</f>
        <v>Original</v>
      </c>
      <c r="C167" s="7">
        <v>45177</v>
      </c>
      <c r="D167" s="7">
        <v>45183</v>
      </c>
      <c r="E167">
        <f t="shared" si="23"/>
        <v>6</v>
      </c>
      <c r="F167" t="s">
        <v>646</v>
      </c>
      <c r="G167" t="s">
        <v>650</v>
      </c>
      <c r="H167" t="s">
        <v>678</v>
      </c>
      <c r="I167" t="s">
        <v>702</v>
      </c>
      <c r="J167" t="s">
        <v>711</v>
      </c>
      <c r="K167" t="s">
        <v>714</v>
      </c>
      <c r="L167" t="s">
        <v>733</v>
      </c>
      <c r="M167" t="s">
        <v>1352</v>
      </c>
      <c r="N167" s="23">
        <v>251.03</v>
      </c>
      <c r="O167" s="23">
        <v>411.48</v>
      </c>
      <c r="P167" s="8">
        <v>0.16500000000000001</v>
      </c>
      <c r="Q167">
        <v>3</v>
      </c>
      <c r="R167" s="23">
        <f t="shared" si="24"/>
        <v>1030.7574</v>
      </c>
      <c r="S167" s="23">
        <f t="shared" si="25"/>
        <v>753.09</v>
      </c>
      <c r="T167" s="23">
        <f t="shared" si="26"/>
        <v>277.66739999999993</v>
      </c>
      <c r="U167" s="14">
        <f t="shared" si="27"/>
        <v>0.26938191275658069</v>
      </c>
      <c r="V167" s="7" t="str">
        <f t="shared" si="28"/>
        <v>Sept-2023</v>
      </c>
      <c r="W167" s="22">
        <f t="shared" si="29"/>
        <v>45170</v>
      </c>
      <c r="X167" s="7" t="str">
        <f t="shared" si="30"/>
        <v>Q3-2023</v>
      </c>
      <c r="Y167" t="str">
        <f t="shared" si="31"/>
        <v>Africa → Kenya → Nakuru</v>
      </c>
      <c r="Z167" t="str">
        <f t="shared" si="32"/>
        <v>Accessories</v>
      </c>
      <c r="AA167" t="str" cm="1">
        <f t="array" ref="AA167">_xlfn.IFS(O167&lt;=$AF$2,"Low",AND(O167&gt;$AF$2,O167&lt;$AF$3),"Medium",O167&gt;=$AF$3,"High")</f>
        <v>Low</v>
      </c>
      <c r="AB167" s="22">
        <f t="shared" si="33"/>
        <v>44927</v>
      </c>
      <c r="AC167">
        <v>8</v>
      </c>
    </row>
    <row r="168" spans="1:29" x14ac:dyDescent="0.35">
      <c r="A168" s="4" t="s">
        <v>163</v>
      </c>
      <c r="B168" s="5" t="str">
        <f>IF(COUNTIF($A$2:A168,A168)=1,"Original","Duplicate")</f>
        <v>Original</v>
      </c>
      <c r="C168" s="7">
        <v>45183</v>
      </c>
      <c r="D168" s="7">
        <v>45185</v>
      </c>
      <c r="E168">
        <f t="shared" si="23"/>
        <v>2</v>
      </c>
      <c r="F168" t="s">
        <v>649</v>
      </c>
      <c r="G168" t="s">
        <v>657</v>
      </c>
      <c r="H168" t="s">
        <v>679</v>
      </c>
      <c r="I168" t="s">
        <v>703</v>
      </c>
      <c r="J168" t="s">
        <v>711</v>
      </c>
      <c r="K168" t="s">
        <v>717</v>
      </c>
      <c r="L168" t="s">
        <v>728</v>
      </c>
      <c r="M168" t="s">
        <v>882</v>
      </c>
      <c r="N168" s="23">
        <v>376.83</v>
      </c>
      <c r="O168" s="23">
        <v>732.88</v>
      </c>
      <c r="P168" s="8">
        <v>0.188</v>
      </c>
      <c r="Q168">
        <v>25</v>
      </c>
      <c r="R168" s="23">
        <f t="shared" si="24"/>
        <v>14877.464000000002</v>
      </c>
      <c r="S168" s="23">
        <f t="shared" si="25"/>
        <v>9420.75</v>
      </c>
      <c r="T168" s="23">
        <f t="shared" si="26"/>
        <v>5456.7140000000018</v>
      </c>
      <c r="U168" s="14">
        <f t="shared" si="27"/>
        <v>0.36677716040852132</v>
      </c>
      <c r="V168" s="7" t="str">
        <f t="shared" si="28"/>
        <v>Sept-2023</v>
      </c>
      <c r="W168" s="22">
        <f t="shared" si="29"/>
        <v>45170</v>
      </c>
      <c r="X168" s="7" t="str">
        <f t="shared" si="30"/>
        <v>Q3-2023</v>
      </c>
      <c r="Y168" t="str">
        <f t="shared" si="31"/>
        <v>Europe → France → Lyon</v>
      </c>
      <c r="Z168" t="str">
        <f t="shared" si="32"/>
        <v>Printers</v>
      </c>
      <c r="AA168" t="str" cm="1">
        <f t="array" ref="AA168">_xlfn.IFS(O168&lt;=$AF$2,"Low",AND(O168&gt;$AF$2,O168&lt;$AF$3),"Medium",O168&gt;=$AF$3,"High")</f>
        <v>Low</v>
      </c>
      <c r="AB168" s="22">
        <f t="shared" si="33"/>
        <v>44927</v>
      </c>
      <c r="AC168">
        <v>8</v>
      </c>
    </row>
    <row r="169" spans="1:29" x14ac:dyDescent="0.35">
      <c r="A169" s="4" t="s">
        <v>619</v>
      </c>
      <c r="B169" s="5" t="str">
        <f>IF(COUNTIF($A$2:A169,A169)=1,"Original","Duplicate")</f>
        <v>Original</v>
      </c>
      <c r="C169" s="7">
        <v>45186</v>
      </c>
      <c r="D169" s="7">
        <v>45201</v>
      </c>
      <c r="E169">
        <f t="shared" si="23"/>
        <v>15</v>
      </c>
      <c r="F169" t="s">
        <v>648</v>
      </c>
      <c r="G169" t="s">
        <v>655</v>
      </c>
      <c r="H169" t="s">
        <v>692</v>
      </c>
      <c r="I169" t="s">
        <v>705</v>
      </c>
      <c r="J169" t="s">
        <v>707</v>
      </c>
      <c r="K169" t="s">
        <v>717</v>
      </c>
      <c r="L169" t="s">
        <v>731</v>
      </c>
      <c r="M169" t="s">
        <v>1337</v>
      </c>
      <c r="N169" s="23">
        <v>689.33</v>
      </c>
      <c r="O169" s="23">
        <v>668.27</v>
      </c>
      <c r="P169" s="8">
        <v>0.186</v>
      </c>
      <c r="Q169">
        <v>13</v>
      </c>
      <c r="R169" s="23">
        <f t="shared" si="24"/>
        <v>7071.6331400000008</v>
      </c>
      <c r="S169" s="23">
        <f t="shared" si="25"/>
        <v>8961.2900000000009</v>
      </c>
      <c r="T169" s="23">
        <f t="shared" si="26"/>
        <v>-1889.6568600000001</v>
      </c>
      <c r="U169" s="14">
        <f t="shared" si="27"/>
        <v>-0.26721647214861033</v>
      </c>
      <c r="V169" s="7" t="str">
        <f t="shared" si="28"/>
        <v>Sept-2023</v>
      </c>
      <c r="W169" s="22">
        <f t="shared" si="29"/>
        <v>45170</v>
      </c>
      <c r="X169" s="7" t="str">
        <f t="shared" si="30"/>
        <v>Q3-2023</v>
      </c>
      <c r="Y169" t="str">
        <f t="shared" si="31"/>
        <v>Americas → Brazil → Rio de Janeiro</v>
      </c>
      <c r="Z169" t="str">
        <f t="shared" si="32"/>
        <v>Laptops</v>
      </c>
      <c r="AA169" t="str" cm="1">
        <f t="array" ref="AA169">_xlfn.IFS(O169&lt;=$AF$2,"Low",AND(O169&gt;$AF$2,O169&lt;$AF$3),"Medium",O169&gt;=$AF$3,"High")</f>
        <v>Low</v>
      </c>
      <c r="AB169" s="22">
        <f t="shared" si="33"/>
        <v>44927</v>
      </c>
      <c r="AC169">
        <v>8</v>
      </c>
    </row>
    <row r="170" spans="1:29" x14ac:dyDescent="0.35">
      <c r="A170" s="4" t="s">
        <v>90</v>
      </c>
      <c r="B170" s="5" t="str">
        <f>IF(COUNTIF($A$2:A170,A170)=1,"Original","Duplicate")</f>
        <v>Original</v>
      </c>
      <c r="C170" s="7">
        <v>45187</v>
      </c>
      <c r="D170" s="7">
        <v>45207</v>
      </c>
      <c r="E170">
        <f t="shared" si="23"/>
        <v>20</v>
      </c>
      <c r="F170" t="s">
        <v>647</v>
      </c>
      <c r="G170" t="s">
        <v>654</v>
      </c>
      <c r="H170" t="s">
        <v>680</v>
      </c>
      <c r="I170" t="s">
        <v>705</v>
      </c>
      <c r="J170" t="s">
        <v>711</v>
      </c>
      <c r="K170" t="s">
        <v>717</v>
      </c>
      <c r="L170" t="s">
        <v>727</v>
      </c>
      <c r="M170" t="s">
        <v>809</v>
      </c>
      <c r="N170" s="23">
        <v>825.64</v>
      </c>
      <c r="O170" s="23">
        <v>1108.43</v>
      </c>
      <c r="P170" s="8">
        <v>0.114</v>
      </c>
      <c r="Q170">
        <v>7</v>
      </c>
      <c r="R170" s="23">
        <f t="shared" si="24"/>
        <v>6874.4828600000001</v>
      </c>
      <c r="S170" s="23">
        <f t="shared" si="25"/>
        <v>5779.48</v>
      </c>
      <c r="T170" s="23">
        <f t="shared" si="26"/>
        <v>1095.0028600000005</v>
      </c>
      <c r="U170" s="14">
        <f t="shared" si="27"/>
        <v>0.15928512475773349</v>
      </c>
      <c r="V170" s="7" t="str">
        <f t="shared" si="28"/>
        <v>Sept-2023</v>
      </c>
      <c r="W170" s="22">
        <f t="shared" si="29"/>
        <v>45170</v>
      </c>
      <c r="X170" s="7" t="str">
        <f t="shared" si="30"/>
        <v>Q3-2023</v>
      </c>
      <c r="Y170" t="str">
        <f t="shared" si="31"/>
        <v>Asia → India → Delhi</v>
      </c>
      <c r="Z170" t="str">
        <f t="shared" si="32"/>
        <v>Components</v>
      </c>
      <c r="AA170" t="str" cm="1">
        <f t="array" ref="AA170">_xlfn.IFS(O170&lt;=$AF$2,"Low",AND(O170&gt;$AF$2,O170&lt;$AF$3),"Medium",O170&gt;=$AF$3,"High")</f>
        <v>Medium</v>
      </c>
      <c r="AB170" s="22">
        <f t="shared" si="33"/>
        <v>44958</v>
      </c>
      <c r="AC170">
        <v>7</v>
      </c>
    </row>
    <row r="171" spans="1:29" x14ac:dyDescent="0.35">
      <c r="A171" s="4" t="s">
        <v>254</v>
      </c>
      <c r="B171" s="5" t="str">
        <f>IF(COUNTIF($A$2:A171,A171)=1,"Original","Duplicate")</f>
        <v>Original</v>
      </c>
      <c r="C171" s="7">
        <v>45188</v>
      </c>
      <c r="D171" s="7">
        <v>45207</v>
      </c>
      <c r="E171">
        <f t="shared" si="23"/>
        <v>19</v>
      </c>
      <c r="F171" t="s">
        <v>647</v>
      </c>
      <c r="G171" t="s">
        <v>654</v>
      </c>
      <c r="H171" t="s">
        <v>668</v>
      </c>
      <c r="I171" t="s">
        <v>702</v>
      </c>
      <c r="J171" t="s">
        <v>711</v>
      </c>
      <c r="K171" t="s">
        <v>713</v>
      </c>
      <c r="L171" t="s">
        <v>728</v>
      </c>
      <c r="M171" t="s">
        <v>974</v>
      </c>
      <c r="N171" s="23">
        <v>385.32</v>
      </c>
      <c r="O171" s="23">
        <v>606.76</v>
      </c>
      <c r="P171" s="8">
        <v>8.5999999999999993E-2</v>
      </c>
      <c r="Q171">
        <v>8</v>
      </c>
      <c r="R171" s="23">
        <f t="shared" si="24"/>
        <v>4436.6291200000005</v>
      </c>
      <c r="S171" s="23">
        <f t="shared" si="25"/>
        <v>3082.56</v>
      </c>
      <c r="T171" s="23">
        <f t="shared" si="26"/>
        <v>1354.0691200000006</v>
      </c>
      <c r="U171" s="14">
        <f t="shared" si="27"/>
        <v>0.30520223425842735</v>
      </c>
      <c r="V171" s="7" t="str">
        <f t="shared" si="28"/>
        <v>Sept-2023</v>
      </c>
      <c r="W171" s="22">
        <f t="shared" si="29"/>
        <v>45170</v>
      </c>
      <c r="X171" s="7" t="str">
        <f t="shared" si="30"/>
        <v>Q3-2023</v>
      </c>
      <c r="Y171" t="str">
        <f t="shared" si="31"/>
        <v>Asia → India → Bengaluru</v>
      </c>
      <c r="Z171" t="str">
        <f t="shared" si="32"/>
        <v>Printers</v>
      </c>
      <c r="AA171" t="str" cm="1">
        <f t="array" ref="AA171">_xlfn.IFS(O171&lt;=$AF$2,"Low",AND(O171&gt;$AF$2,O171&lt;$AF$3),"Medium",O171&gt;=$AF$3,"High")</f>
        <v>Low</v>
      </c>
      <c r="AB171" s="22">
        <f t="shared" si="33"/>
        <v>44958</v>
      </c>
      <c r="AC171">
        <v>7</v>
      </c>
    </row>
    <row r="172" spans="1:29" x14ac:dyDescent="0.35">
      <c r="A172" s="4" t="s">
        <v>456</v>
      </c>
      <c r="B172" s="5" t="str">
        <f>IF(COUNTIF($A$2:A172,A172)=1,"Original","Duplicate")</f>
        <v>Original</v>
      </c>
      <c r="C172" s="7">
        <v>45189</v>
      </c>
      <c r="D172" s="7">
        <v>45197</v>
      </c>
      <c r="E172">
        <f t="shared" si="23"/>
        <v>8</v>
      </c>
      <c r="F172" t="s">
        <v>647</v>
      </c>
      <c r="G172" t="s">
        <v>654</v>
      </c>
      <c r="H172" t="s">
        <v>1431</v>
      </c>
      <c r="I172" t="s">
        <v>701</v>
      </c>
      <c r="J172" t="s">
        <v>1431</v>
      </c>
      <c r="K172" t="s">
        <v>717</v>
      </c>
      <c r="L172" t="s">
        <v>733</v>
      </c>
      <c r="M172" t="s">
        <v>1175</v>
      </c>
      <c r="N172" s="23">
        <v>1362.06</v>
      </c>
      <c r="O172" s="23">
        <v>3398.37</v>
      </c>
      <c r="P172" s="8">
        <v>0.157</v>
      </c>
      <c r="Q172">
        <v>11</v>
      </c>
      <c r="R172" s="23">
        <f t="shared" si="24"/>
        <v>31513.085009999999</v>
      </c>
      <c r="S172" s="23">
        <f t="shared" si="25"/>
        <v>14982.66</v>
      </c>
      <c r="T172" s="23">
        <f t="shared" si="26"/>
        <v>16530.425009999999</v>
      </c>
      <c r="U172" s="14">
        <f t="shared" si="27"/>
        <v>0.52455749745714919</v>
      </c>
      <c r="V172" s="7" t="str">
        <f t="shared" si="28"/>
        <v>Sept-2023</v>
      </c>
      <c r="W172" s="22">
        <f t="shared" si="29"/>
        <v>45170</v>
      </c>
      <c r="X172" s="7" t="str">
        <f t="shared" si="30"/>
        <v>Q3-2023</v>
      </c>
      <c r="Y172" t="str">
        <f t="shared" si="31"/>
        <v>Asia → India → Unknown</v>
      </c>
      <c r="Z172" t="str">
        <f t="shared" si="32"/>
        <v>Accessories</v>
      </c>
      <c r="AA172" t="str" cm="1">
        <f t="array" ref="AA172">_xlfn.IFS(O172&lt;=$AF$2,"Low",AND(O172&gt;$AF$2,O172&lt;$AF$3),"Medium",O172&gt;=$AF$3,"High")</f>
        <v>High</v>
      </c>
      <c r="AB172" s="22">
        <f t="shared" si="33"/>
        <v>44958</v>
      </c>
      <c r="AC172">
        <v>7</v>
      </c>
    </row>
    <row r="173" spans="1:29" x14ac:dyDescent="0.35">
      <c r="A173" s="4" t="s">
        <v>186</v>
      </c>
      <c r="B173" s="5" t="str">
        <f>IF(COUNTIF($A$2:A173,A173)=1,"Original","Duplicate")</f>
        <v>Original</v>
      </c>
      <c r="C173" s="7">
        <v>45190</v>
      </c>
      <c r="D173" s="7">
        <v>45209</v>
      </c>
      <c r="E173">
        <f t="shared" si="23"/>
        <v>19</v>
      </c>
      <c r="F173" t="s">
        <v>647</v>
      </c>
      <c r="G173" t="s">
        <v>652</v>
      </c>
      <c r="H173" t="s">
        <v>689</v>
      </c>
      <c r="I173" t="s">
        <v>702</v>
      </c>
      <c r="J173" t="s">
        <v>708</v>
      </c>
      <c r="K173" t="s">
        <v>726</v>
      </c>
      <c r="L173" t="s">
        <v>727</v>
      </c>
      <c r="M173" t="s">
        <v>905</v>
      </c>
      <c r="N173" s="23">
        <v>845.63</v>
      </c>
      <c r="O173" s="23">
        <v>2062.12</v>
      </c>
      <c r="P173" s="8">
        <v>0.13400000000000001</v>
      </c>
      <c r="Q173">
        <v>5</v>
      </c>
      <c r="R173" s="23">
        <f t="shared" si="24"/>
        <v>8928.9795999999988</v>
      </c>
      <c r="S173" s="23">
        <f t="shared" si="25"/>
        <v>4228.1499999999996</v>
      </c>
      <c r="T173" s="23">
        <f t="shared" si="26"/>
        <v>4700.8295999999991</v>
      </c>
      <c r="U173" s="14">
        <f t="shared" si="27"/>
        <v>0.52646884757133949</v>
      </c>
      <c r="V173" s="7" t="str">
        <f t="shared" si="28"/>
        <v>Sept-2023</v>
      </c>
      <c r="W173" s="22">
        <f t="shared" si="29"/>
        <v>45170</v>
      </c>
      <c r="X173" s="7" t="str">
        <f t="shared" si="30"/>
        <v>Q3-2023</v>
      </c>
      <c r="Y173" t="str">
        <f t="shared" si="31"/>
        <v>Asia → Japan → Tokyo</v>
      </c>
      <c r="Z173" t="str">
        <f t="shared" si="32"/>
        <v>Components</v>
      </c>
      <c r="AA173" t="str" cm="1">
        <f t="array" ref="AA173">_xlfn.IFS(O173&lt;=$AF$2,"Low",AND(O173&gt;$AF$2,O173&lt;$AF$3),"Medium",O173&gt;=$AF$3,"High")</f>
        <v>High</v>
      </c>
      <c r="AB173" s="22">
        <f t="shared" si="33"/>
        <v>44986</v>
      </c>
      <c r="AC173">
        <v>6</v>
      </c>
    </row>
    <row r="174" spans="1:29" x14ac:dyDescent="0.35">
      <c r="A174" s="4" t="s">
        <v>235</v>
      </c>
      <c r="B174" s="5" t="str">
        <f>IF(COUNTIF($A$2:A174,A174)=1,"Original","Duplicate")</f>
        <v>Original</v>
      </c>
      <c r="C174" s="7">
        <v>45194</v>
      </c>
      <c r="D174" s="7">
        <v>45201</v>
      </c>
      <c r="E174">
        <f t="shared" si="23"/>
        <v>7</v>
      </c>
      <c r="F174" t="s">
        <v>648</v>
      </c>
      <c r="G174" t="s">
        <v>660</v>
      </c>
      <c r="H174" t="s">
        <v>700</v>
      </c>
      <c r="I174" t="s">
        <v>702</v>
      </c>
      <c r="J174" t="s">
        <v>709</v>
      </c>
      <c r="K174" t="s">
        <v>714</v>
      </c>
      <c r="L174" t="s">
        <v>733</v>
      </c>
      <c r="M174" t="s">
        <v>955</v>
      </c>
      <c r="N174" s="23">
        <v>145.58000000000001</v>
      </c>
      <c r="O174" s="23">
        <v>228.15</v>
      </c>
      <c r="P174" s="8">
        <v>0.20399999999999999</v>
      </c>
      <c r="Q174">
        <v>5</v>
      </c>
      <c r="R174" s="23">
        <f t="shared" si="24"/>
        <v>908.03700000000003</v>
      </c>
      <c r="S174" s="23">
        <f t="shared" si="25"/>
        <v>727.90000000000009</v>
      </c>
      <c r="T174" s="23">
        <f t="shared" si="26"/>
        <v>180.13699999999994</v>
      </c>
      <c r="U174" s="14">
        <f t="shared" si="27"/>
        <v>0.19838068272548359</v>
      </c>
      <c r="V174" s="7" t="str">
        <f t="shared" si="28"/>
        <v>Sept-2023</v>
      </c>
      <c r="W174" s="22">
        <f t="shared" si="29"/>
        <v>45170</v>
      </c>
      <c r="X174" s="7" t="str">
        <f t="shared" si="30"/>
        <v>Q3-2023</v>
      </c>
      <c r="Y174" t="str">
        <f t="shared" si="31"/>
        <v>Americas → USA → New York</v>
      </c>
      <c r="Z174" t="str">
        <f t="shared" si="32"/>
        <v>Accessories</v>
      </c>
      <c r="AA174" t="str" cm="1">
        <f t="array" ref="AA174">_xlfn.IFS(O174&lt;=$AF$2,"Low",AND(O174&gt;$AF$2,O174&lt;$AF$3),"Medium",O174&gt;=$AF$3,"High")</f>
        <v>Low</v>
      </c>
      <c r="AB174" s="22">
        <f t="shared" si="33"/>
        <v>44927</v>
      </c>
      <c r="AC174">
        <v>8</v>
      </c>
    </row>
    <row r="175" spans="1:29" x14ac:dyDescent="0.35">
      <c r="A175" s="4" t="s">
        <v>382</v>
      </c>
      <c r="B175" s="5" t="str">
        <f>IF(COUNTIF($A$2:A175,A175)=1,"Original","Duplicate")</f>
        <v>Original</v>
      </c>
      <c r="C175" s="7">
        <v>45194</v>
      </c>
      <c r="D175" s="7">
        <v>45208</v>
      </c>
      <c r="E175">
        <f t="shared" si="23"/>
        <v>14</v>
      </c>
      <c r="F175" t="s">
        <v>648</v>
      </c>
      <c r="G175" t="s">
        <v>660</v>
      </c>
      <c r="H175" t="s">
        <v>700</v>
      </c>
      <c r="I175" t="s">
        <v>705</v>
      </c>
      <c r="J175" t="s">
        <v>709</v>
      </c>
      <c r="K175" t="s">
        <v>713</v>
      </c>
      <c r="L175" t="s">
        <v>731</v>
      </c>
      <c r="M175" t="s">
        <v>1102</v>
      </c>
      <c r="N175" s="23">
        <v>1279.56</v>
      </c>
      <c r="O175" s="23">
        <v>3083.8</v>
      </c>
      <c r="P175" s="8">
        <v>0.106</v>
      </c>
      <c r="Q175">
        <v>5</v>
      </c>
      <c r="R175" s="23">
        <f t="shared" si="24"/>
        <v>13784.586000000001</v>
      </c>
      <c r="S175" s="23">
        <f t="shared" si="25"/>
        <v>6397.7999999999993</v>
      </c>
      <c r="T175" s="23">
        <f t="shared" si="26"/>
        <v>7386.7860000000019</v>
      </c>
      <c r="U175" s="14">
        <f t="shared" si="27"/>
        <v>0.53587289455047848</v>
      </c>
      <c r="V175" s="7" t="str">
        <f t="shared" si="28"/>
        <v>Sept-2023</v>
      </c>
      <c r="W175" s="22">
        <f t="shared" si="29"/>
        <v>45170</v>
      </c>
      <c r="X175" s="7" t="str">
        <f t="shared" si="30"/>
        <v>Q3-2023</v>
      </c>
      <c r="Y175" t="str">
        <f t="shared" si="31"/>
        <v>Americas → USA → New York</v>
      </c>
      <c r="Z175" t="str">
        <f t="shared" si="32"/>
        <v>Laptops</v>
      </c>
      <c r="AA175" t="str" cm="1">
        <f t="array" ref="AA175">_xlfn.IFS(O175&lt;=$AF$2,"Low",AND(O175&gt;$AF$2,O175&lt;$AF$3),"Medium",O175&gt;=$AF$3,"High")</f>
        <v>High</v>
      </c>
      <c r="AB175" s="22">
        <f t="shared" si="33"/>
        <v>44927</v>
      </c>
      <c r="AC175">
        <v>8</v>
      </c>
    </row>
    <row r="176" spans="1:29" x14ac:dyDescent="0.35">
      <c r="A176" s="4" t="s">
        <v>402</v>
      </c>
      <c r="B176" s="5" t="str">
        <f>IF(COUNTIF($A$2:A176,A176)=1,"Original","Duplicate")</f>
        <v>Original</v>
      </c>
      <c r="C176" s="7">
        <v>45199</v>
      </c>
      <c r="D176" s="7">
        <v>45202</v>
      </c>
      <c r="E176">
        <f t="shared" si="23"/>
        <v>3</v>
      </c>
      <c r="F176" t="s">
        <v>647</v>
      </c>
      <c r="G176" t="s">
        <v>659</v>
      </c>
      <c r="H176" t="s">
        <v>699</v>
      </c>
      <c r="I176" t="s">
        <v>703</v>
      </c>
      <c r="J176" t="s">
        <v>707</v>
      </c>
      <c r="K176" t="s">
        <v>713</v>
      </c>
      <c r="L176" t="s">
        <v>731</v>
      </c>
      <c r="M176" t="s">
        <v>1121</v>
      </c>
      <c r="N176" s="23">
        <v>1019.36</v>
      </c>
      <c r="O176" s="23">
        <v>972.91</v>
      </c>
      <c r="P176" s="8">
        <v>0.14699999999999999</v>
      </c>
      <c r="Q176">
        <v>17</v>
      </c>
      <c r="R176" s="23">
        <f t="shared" si="24"/>
        <v>14108.16791</v>
      </c>
      <c r="S176" s="23">
        <f t="shared" si="25"/>
        <v>17329.12</v>
      </c>
      <c r="T176" s="23">
        <f t="shared" si="26"/>
        <v>-3220.9520899999989</v>
      </c>
      <c r="U176" s="14">
        <f t="shared" si="27"/>
        <v>-0.22830406545678819</v>
      </c>
      <c r="V176" s="7" t="str">
        <f t="shared" si="28"/>
        <v>Sept-2023</v>
      </c>
      <c r="W176" s="22">
        <f t="shared" si="29"/>
        <v>45170</v>
      </c>
      <c r="X176" s="7" t="str">
        <f t="shared" si="30"/>
        <v>Q3-2023</v>
      </c>
      <c r="Y176" t="str">
        <f t="shared" si="31"/>
        <v>Asia → China → Beijing</v>
      </c>
      <c r="Z176" t="str">
        <f t="shared" si="32"/>
        <v>Laptops</v>
      </c>
      <c r="AA176" t="str" cm="1">
        <f t="array" ref="AA176">_xlfn.IFS(O176&lt;=$AF$2,"Low",AND(O176&gt;$AF$2,O176&lt;$AF$3),"Medium",O176&gt;=$AF$3,"High")</f>
        <v>Medium</v>
      </c>
      <c r="AB176" s="22">
        <f t="shared" si="33"/>
        <v>44927</v>
      </c>
      <c r="AC176">
        <v>8</v>
      </c>
    </row>
    <row r="177" spans="1:29" x14ac:dyDescent="0.35">
      <c r="A177" s="4" t="s">
        <v>530</v>
      </c>
      <c r="B177" s="5" t="str">
        <f>IF(COUNTIF($A$2:A177,A177)=1,"Original","Duplicate")</f>
        <v>Original</v>
      </c>
      <c r="C177" s="7">
        <v>45199</v>
      </c>
      <c r="D177" s="7">
        <v>45229</v>
      </c>
      <c r="E177">
        <f t="shared" si="23"/>
        <v>30</v>
      </c>
      <c r="F177" t="s">
        <v>647</v>
      </c>
      <c r="G177" t="s">
        <v>652</v>
      </c>
      <c r="H177" t="s">
        <v>689</v>
      </c>
      <c r="I177" t="s">
        <v>706</v>
      </c>
      <c r="J177" t="s">
        <v>708</v>
      </c>
      <c r="K177" t="s">
        <v>726</v>
      </c>
      <c r="L177" t="s">
        <v>728</v>
      </c>
      <c r="M177" t="s">
        <v>1249</v>
      </c>
      <c r="N177" s="23">
        <v>649.13</v>
      </c>
      <c r="O177" s="23">
        <v>975.43</v>
      </c>
      <c r="P177" s="8">
        <v>0.157</v>
      </c>
      <c r="Q177">
        <v>27</v>
      </c>
      <c r="R177" s="23">
        <f t="shared" si="24"/>
        <v>22201.762229999997</v>
      </c>
      <c r="S177" s="23">
        <f t="shared" si="25"/>
        <v>17526.509999999998</v>
      </c>
      <c r="T177" s="23">
        <f t="shared" si="26"/>
        <v>4675.2522299999982</v>
      </c>
      <c r="U177" s="14">
        <f t="shared" si="27"/>
        <v>0.21058023149543473</v>
      </c>
      <c r="V177" s="7" t="str">
        <f t="shared" si="28"/>
        <v>Sept-2023</v>
      </c>
      <c r="W177" s="22">
        <f t="shared" si="29"/>
        <v>45170</v>
      </c>
      <c r="X177" s="7" t="str">
        <f t="shared" si="30"/>
        <v>Q3-2023</v>
      </c>
      <c r="Y177" t="str">
        <f t="shared" si="31"/>
        <v>Asia → Japan → Tokyo</v>
      </c>
      <c r="Z177" t="str">
        <f t="shared" si="32"/>
        <v>Printers</v>
      </c>
      <c r="AA177" t="str" cm="1">
        <f t="array" ref="AA177">_xlfn.IFS(O177&lt;=$AF$2,"Low",AND(O177&gt;$AF$2,O177&lt;$AF$3),"Medium",O177&gt;=$AF$3,"High")</f>
        <v>Medium</v>
      </c>
      <c r="AB177" s="22">
        <f t="shared" si="33"/>
        <v>44986</v>
      </c>
      <c r="AC177">
        <v>6</v>
      </c>
    </row>
    <row r="178" spans="1:29" x14ac:dyDescent="0.35">
      <c r="A178" s="4" t="s">
        <v>241</v>
      </c>
      <c r="B178" s="5" t="str">
        <f>IF(COUNTIF($A$2:A178,A178)=1,"Original","Duplicate")</f>
        <v>Original</v>
      </c>
      <c r="C178" s="7">
        <v>45203</v>
      </c>
      <c r="D178" s="7">
        <v>45228</v>
      </c>
      <c r="E178">
        <f t="shared" si="23"/>
        <v>25</v>
      </c>
      <c r="F178" t="s">
        <v>648</v>
      </c>
      <c r="G178" t="s">
        <v>660</v>
      </c>
      <c r="H178" t="s">
        <v>686</v>
      </c>
      <c r="I178" t="s">
        <v>705</v>
      </c>
      <c r="J178" t="s">
        <v>710</v>
      </c>
      <c r="K178" t="s">
        <v>719</v>
      </c>
      <c r="L178" t="s">
        <v>733</v>
      </c>
      <c r="M178" t="s">
        <v>961</v>
      </c>
      <c r="N178" s="23">
        <v>1239.8399999999999</v>
      </c>
      <c r="O178" s="23">
        <v>1482.75</v>
      </c>
      <c r="P178" s="8">
        <v>6.7000000000000004E-2</v>
      </c>
      <c r="Q178">
        <v>4</v>
      </c>
      <c r="R178" s="23">
        <f t="shared" si="24"/>
        <v>5533.6230000000005</v>
      </c>
      <c r="S178" s="23">
        <f t="shared" si="25"/>
        <v>4959.3599999999997</v>
      </c>
      <c r="T178" s="23">
        <f t="shared" si="26"/>
        <v>574.26300000000083</v>
      </c>
      <c r="U178" s="14">
        <f t="shared" si="27"/>
        <v>0.10377703721413634</v>
      </c>
      <c r="V178" s="7" t="str">
        <f t="shared" si="28"/>
        <v>Oct-2023</v>
      </c>
      <c r="W178" s="22">
        <f t="shared" si="29"/>
        <v>45200</v>
      </c>
      <c r="X178" s="7" t="str">
        <f t="shared" si="30"/>
        <v>Q4-2023</v>
      </c>
      <c r="Y178" t="str">
        <f t="shared" si="31"/>
        <v>Americas → USA → San Francisco</v>
      </c>
      <c r="Z178" t="str">
        <f t="shared" si="32"/>
        <v>Accessories</v>
      </c>
      <c r="AA178" t="str" cm="1">
        <f t="array" ref="AA178">_xlfn.IFS(O178&lt;=$AF$2,"Low",AND(O178&gt;$AF$2,O178&lt;$AF$3),"Medium",O178&gt;=$AF$3,"High")</f>
        <v>Medium</v>
      </c>
      <c r="AB178" s="22">
        <f t="shared" si="33"/>
        <v>44927</v>
      </c>
      <c r="AC178">
        <v>9</v>
      </c>
    </row>
    <row r="179" spans="1:29" x14ac:dyDescent="0.35">
      <c r="A179" s="4" t="s">
        <v>270</v>
      </c>
      <c r="B179" s="5" t="str">
        <f>IF(COUNTIF($A$2:A179,A179)=1,"Original","Duplicate")</f>
        <v>Original</v>
      </c>
      <c r="C179" s="7">
        <v>45204</v>
      </c>
      <c r="D179" s="7">
        <v>45205</v>
      </c>
      <c r="E179">
        <f t="shared" si="23"/>
        <v>1</v>
      </c>
      <c r="F179" t="s">
        <v>647</v>
      </c>
      <c r="G179" t="s">
        <v>654</v>
      </c>
      <c r="H179" t="s">
        <v>668</v>
      </c>
      <c r="I179" t="s">
        <v>703</v>
      </c>
      <c r="J179" t="s">
        <v>708</v>
      </c>
      <c r="K179" t="s">
        <v>714</v>
      </c>
      <c r="L179" t="s">
        <v>727</v>
      </c>
      <c r="M179" t="s">
        <v>990</v>
      </c>
      <c r="N179" s="23">
        <v>1470.26</v>
      </c>
      <c r="O179" s="23">
        <v>2562.5500000000002</v>
      </c>
      <c r="P179" s="8">
        <v>0.17299999999999999</v>
      </c>
      <c r="Q179">
        <v>9</v>
      </c>
      <c r="R179" s="23">
        <f t="shared" si="24"/>
        <v>19073.059649999999</v>
      </c>
      <c r="S179" s="23">
        <f t="shared" si="25"/>
        <v>13232.34</v>
      </c>
      <c r="T179" s="23">
        <f t="shared" si="26"/>
        <v>5840.7196499999991</v>
      </c>
      <c r="U179" s="14">
        <f t="shared" si="27"/>
        <v>0.30622877279157462</v>
      </c>
      <c r="V179" s="7" t="str">
        <f t="shared" si="28"/>
        <v>Oct-2023</v>
      </c>
      <c r="W179" s="22">
        <f t="shared" si="29"/>
        <v>45200</v>
      </c>
      <c r="X179" s="7" t="str">
        <f t="shared" si="30"/>
        <v>Q4-2023</v>
      </c>
      <c r="Y179" t="str">
        <f t="shared" si="31"/>
        <v>Asia → India → Bengaluru</v>
      </c>
      <c r="Z179" t="str">
        <f t="shared" si="32"/>
        <v>Components</v>
      </c>
      <c r="AA179" t="str" cm="1">
        <f t="array" ref="AA179">_xlfn.IFS(O179&lt;=$AF$2,"Low",AND(O179&gt;$AF$2,O179&lt;$AF$3),"Medium",O179&gt;=$AF$3,"High")</f>
        <v>High</v>
      </c>
      <c r="AB179" s="22">
        <f t="shared" si="33"/>
        <v>44958</v>
      </c>
      <c r="AC179">
        <v>8</v>
      </c>
    </row>
    <row r="180" spans="1:29" x14ac:dyDescent="0.35">
      <c r="A180" s="4" t="s">
        <v>315</v>
      </c>
      <c r="B180" s="5" t="str">
        <f>IF(COUNTIF($A$2:A180,A180)=1,"Original","Duplicate")</f>
        <v>Original</v>
      </c>
      <c r="C180" s="7">
        <v>45204</v>
      </c>
      <c r="D180" s="7">
        <v>45230</v>
      </c>
      <c r="E180">
        <f t="shared" si="23"/>
        <v>26</v>
      </c>
      <c r="F180" t="s">
        <v>647</v>
      </c>
      <c r="G180" t="s">
        <v>659</v>
      </c>
      <c r="H180" t="s">
        <v>685</v>
      </c>
      <c r="I180" t="s">
        <v>704</v>
      </c>
      <c r="J180" t="s">
        <v>1431</v>
      </c>
      <c r="K180" t="s">
        <v>713</v>
      </c>
      <c r="L180" t="s">
        <v>728</v>
      </c>
      <c r="M180" t="s">
        <v>1035</v>
      </c>
      <c r="N180" s="23">
        <v>649.91</v>
      </c>
      <c r="O180" s="23">
        <v>1360.12</v>
      </c>
      <c r="P180" s="8">
        <v>0.19400000000000001</v>
      </c>
      <c r="Q180">
        <v>9</v>
      </c>
      <c r="R180" s="23">
        <f t="shared" si="24"/>
        <v>9866.3104799999983</v>
      </c>
      <c r="S180" s="23">
        <f t="shared" si="25"/>
        <v>5849.19</v>
      </c>
      <c r="T180" s="23">
        <f t="shared" si="26"/>
        <v>4017.1204799999987</v>
      </c>
      <c r="U180" s="14">
        <f t="shared" si="27"/>
        <v>0.40715528749506769</v>
      </c>
      <c r="V180" s="7" t="str">
        <f t="shared" si="28"/>
        <v>Oct-2023</v>
      </c>
      <c r="W180" s="22">
        <f t="shared" si="29"/>
        <v>45200</v>
      </c>
      <c r="X180" s="7" t="str">
        <f t="shared" si="30"/>
        <v>Q4-2023</v>
      </c>
      <c r="Y180" t="str">
        <f t="shared" si="31"/>
        <v>Asia → China → Shanghai</v>
      </c>
      <c r="Z180" t="str">
        <f t="shared" si="32"/>
        <v>Printers</v>
      </c>
      <c r="AA180" t="str" cm="1">
        <f t="array" ref="AA180">_xlfn.IFS(O180&lt;=$AF$2,"Low",AND(O180&gt;$AF$2,O180&lt;$AF$3),"Medium",O180&gt;=$AF$3,"High")</f>
        <v>Medium</v>
      </c>
      <c r="AB180" s="22">
        <f t="shared" si="33"/>
        <v>44927</v>
      </c>
      <c r="AC180">
        <v>9</v>
      </c>
    </row>
    <row r="181" spans="1:29" x14ac:dyDescent="0.35">
      <c r="A181" s="4" t="s">
        <v>183</v>
      </c>
      <c r="B181" s="5" t="str">
        <f>IF(COUNTIF($A$2:A181,A181)=1,"Original","Duplicate")</f>
        <v>Original</v>
      </c>
      <c r="C181" s="7">
        <v>45206</v>
      </c>
      <c r="D181" s="7">
        <v>45222</v>
      </c>
      <c r="E181">
        <f t="shared" si="23"/>
        <v>16</v>
      </c>
      <c r="F181" t="s">
        <v>647</v>
      </c>
      <c r="G181" t="s">
        <v>654</v>
      </c>
      <c r="H181" t="s">
        <v>696</v>
      </c>
      <c r="I181" t="s">
        <v>704</v>
      </c>
      <c r="J181" t="s">
        <v>707</v>
      </c>
      <c r="K181" t="s">
        <v>715</v>
      </c>
      <c r="L181" t="s">
        <v>732</v>
      </c>
      <c r="M181" t="s">
        <v>902</v>
      </c>
      <c r="N181" s="23">
        <v>906.81</v>
      </c>
      <c r="O181" s="23">
        <v>1395.56</v>
      </c>
      <c r="P181" s="8">
        <v>0.185</v>
      </c>
      <c r="Q181">
        <v>6</v>
      </c>
      <c r="R181" s="23">
        <f t="shared" si="24"/>
        <v>6824.2884000000004</v>
      </c>
      <c r="S181" s="23">
        <f t="shared" si="25"/>
        <v>5440.86</v>
      </c>
      <c r="T181" s="23">
        <f t="shared" si="26"/>
        <v>1383.4284000000007</v>
      </c>
      <c r="U181" s="14">
        <f t="shared" si="27"/>
        <v>0.20272126834498974</v>
      </c>
      <c r="V181" s="7" t="str">
        <f t="shared" si="28"/>
        <v>Oct-2023</v>
      </c>
      <c r="W181" s="22">
        <f t="shared" si="29"/>
        <v>45200</v>
      </c>
      <c r="X181" s="7" t="str">
        <f t="shared" si="30"/>
        <v>Q4-2023</v>
      </c>
      <c r="Y181" t="str">
        <f t="shared" si="31"/>
        <v>Asia → India → Hyderabad</v>
      </c>
      <c r="Z181" t="str">
        <f t="shared" si="32"/>
        <v>Monitors</v>
      </c>
      <c r="AA181" t="str" cm="1">
        <f t="array" ref="AA181">_xlfn.IFS(O181&lt;=$AF$2,"Low",AND(O181&gt;$AF$2,O181&lt;$AF$3),"Medium",O181&gt;=$AF$3,"High")</f>
        <v>Medium</v>
      </c>
      <c r="AB181" s="22">
        <f t="shared" si="33"/>
        <v>44958</v>
      </c>
      <c r="AC181">
        <v>8</v>
      </c>
    </row>
    <row r="182" spans="1:29" x14ac:dyDescent="0.35">
      <c r="A182" s="4" t="s">
        <v>406</v>
      </c>
      <c r="B182" s="5" t="str">
        <f>IF(COUNTIF($A$2:A182,A182)=1,"Original","Duplicate")</f>
        <v>Original</v>
      </c>
      <c r="C182" s="7">
        <v>45208</v>
      </c>
      <c r="D182" s="7">
        <v>45225</v>
      </c>
      <c r="E182">
        <f t="shared" si="23"/>
        <v>17</v>
      </c>
      <c r="F182" t="s">
        <v>647</v>
      </c>
      <c r="G182" t="s">
        <v>659</v>
      </c>
      <c r="H182" t="s">
        <v>685</v>
      </c>
      <c r="I182" t="s">
        <v>704</v>
      </c>
      <c r="J182" t="s">
        <v>709</v>
      </c>
      <c r="K182" t="s">
        <v>712</v>
      </c>
      <c r="L182" t="s">
        <v>727</v>
      </c>
      <c r="M182" t="s">
        <v>1125</v>
      </c>
      <c r="N182" s="23">
        <v>1132.03</v>
      </c>
      <c r="O182" s="23">
        <v>2137.21</v>
      </c>
      <c r="P182" s="8">
        <v>0.3</v>
      </c>
      <c r="Q182">
        <v>35</v>
      </c>
      <c r="R182" s="23">
        <f t="shared" si="24"/>
        <v>52361.645000000004</v>
      </c>
      <c r="S182" s="23">
        <f t="shared" si="25"/>
        <v>39621.049999999996</v>
      </c>
      <c r="T182" s="23">
        <f t="shared" si="26"/>
        <v>12740.595000000008</v>
      </c>
      <c r="U182" s="14">
        <f t="shared" si="27"/>
        <v>0.24331922727026639</v>
      </c>
      <c r="V182" s="7" t="str">
        <f t="shared" si="28"/>
        <v>Oct-2023</v>
      </c>
      <c r="W182" s="22">
        <f t="shared" si="29"/>
        <v>45200</v>
      </c>
      <c r="X182" s="7" t="str">
        <f t="shared" si="30"/>
        <v>Q4-2023</v>
      </c>
      <c r="Y182" t="str">
        <f t="shared" si="31"/>
        <v>Asia → China → Shanghai</v>
      </c>
      <c r="Z182" t="str">
        <f t="shared" si="32"/>
        <v>Components</v>
      </c>
      <c r="AA182" t="str" cm="1">
        <f t="array" ref="AA182">_xlfn.IFS(O182&lt;=$AF$2,"Low",AND(O182&gt;$AF$2,O182&lt;$AF$3),"Medium",O182&gt;=$AF$3,"High")</f>
        <v>High</v>
      </c>
      <c r="AB182" s="22">
        <f t="shared" si="33"/>
        <v>44927</v>
      </c>
      <c r="AC182">
        <v>9</v>
      </c>
    </row>
    <row r="183" spans="1:29" x14ac:dyDescent="0.35">
      <c r="A183" s="4" t="s">
        <v>630</v>
      </c>
      <c r="B183" s="5" t="str">
        <f>IF(COUNTIF($A$2:A183,A183)=1,"Original","Duplicate")</f>
        <v>Original</v>
      </c>
      <c r="C183" s="7">
        <v>45208</v>
      </c>
      <c r="D183" s="7">
        <v>45210</v>
      </c>
      <c r="E183">
        <f t="shared" si="23"/>
        <v>2</v>
      </c>
      <c r="F183" t="s">
        <v>646</v>
      </c>
      <c r="G183" t="s">
        <v>651</v>
      </c>
      <c r="H183" t="s">
        <v>663</v>
      </c>
      <c r="I183" t="s">
        <v>702</v>
      </c>
      <c r="J183" t="s">
        <v>709</v>
      </c>
      <c r="K183" t="s">
        <v>723</v>
      </c>
      <c r="L183" t="s">
        <v>729</v>
      </c>
      <c r="M183" t="s">
        <v>1348</v>
      </c>
      <c r="N183" s="23">
        <v>391.16</v>
      </c>
      <c r="O183" s="23">
        <v>902.47</v>
      </c>
      <c r="P183" s="8">
        <v>4.0000000000000001E-3</v>
      </c>
      <c r="Q183">
        <v>12</v>
      </c>
      <c r="R183" s="23">
        <f t="shared" si="24"/>
        <v>10786.32144</v>
      </c>
      <c r="S183" s="23">
        <f t="shared" si="25"/>
        <v>4693.92</v>
      </c>
      <c r="T183" s="23">
        <f t="shared" si="26"/>
        <v>6092.4014399999996</v>
      </c>
      <c r="U183" s="14">
        <f t="shared" si="27"/>
        <v>0.56482661618139207</v>
      </c>
      <c r="V183" s="7" t="str">
        <f t="shared" si="28"/>
        <v>Oct-2023</v>
      </c>
      <c r="W183" s="22">
        <f t="shared" si="29"/>
        <v>45200</v>
      </c>
      <c r="X183" s="7" t="str">
        <f t="shared" si="30"/>
        <v>Q4-2023</v>
      </c>
      <c r="Y183" t="str">
        <f t="shared" si="31"/>
        <v>Africa → Nigeria → Port Harcourt</v>
      </c>
      <c r="Z183" t="str">
        <f t="shared" si="32"/>
        <v>Networking</v>
      </c>
      <c r="AA183" t="str" cm="1">
        <f t="array" ref="AA183">_xlfn.IFS(O183&lt;=$AF$2,"Low",AND(O183&gt;$AF$2,O183&lt;$AF$3),"Medium",O183&gt;=$AF$3,"High")</f>
        <v>Medium</v>
      </c>
      <c r="AB183" s="22">
        <f t="shared" si="33"/>
        <v>44927</v>
      </c>
      <c r="AC183">
        <v>9</v>
      </c>
    </row>
    <row r="184" spans="1:29" x14ac:dyDescent="0.35">
      <c r="A184" s="4" t="s">
        <v>273</v>
      </c>
      <c r="B184" s="5" t="str">
        <f>IF(COUNTIF($A$2:A184,A184)=1,"Original","Duplicate")</f>
        <v>Original</v>
      </c>
      <c r="C184" s="7">
        <v>45210</v>
      </c>
      <c r="D184" s="7">
        <v>45212</v>
      </c>
      <c r="E184">
        <f t="shared" si="23"/>
        <v>2</v>
      </c>
      <c r="F184" t="s">
        <v>648</v>
      </c>
      <c r="G184" t="s">
        <v>655</v>
      </c>
      <c r="H184" t="s">
        <v>672</v>
      </c>
      <c r="I184" t="s">
        <v>704</v>
      </c>
      <c r="J184" t="s">
        <v>710</v>
      </c>
      <c r="K184" t="s">
        <v>1432</v>
      </c>
      <c r="L184" t="s">
        <v>733</v>
      </c>
      <c r="M184" t="s">
        <v>993</v>
      </c>
      <c r="N184" s="23">
        <v>715.94</v>
      </c>
      <c r="O184" s="23">
        <v>550.07000000000005</v>
      </c>
      <c r="P184" s="8">
        <v>0.14000000000000001</v>
      </c>
      <c r="Q184">
        <v>16</v>
      </c>
      <c r="R184" s="23">
        <f t="shared" si="24"/>
        <v>7568.9632000000001</v>
      </c>
      <c r="S184" s="23">
        <f t="shared" si="25"/>
        <v>11455.04</v>
      </c>
      <c r="T184" s="23">
        <f t="shared" si="26"/>
        <v>-3886.0768000000007</v>
      </c>
      <c r="U184" s="14">
        <f t="shared" si="27"/>
        <v>-0.51342260456491595</v>
      </c>
      <c r="V184" s="7" t="str">
        <f t="shared" si="28"/>
        <v>Oct-2023</v>
      </c>
      <c r="W184" s="22">
        <f t="shared" si="29"/>
        <v>45200</v>
      </c>
      <c r="X184" s="7" t="str">
        <f t="shared" si="30"/>
        <v>Q4-2023</v>
      </c>
      <c r="Y184" t="str">
        <f t="shared" si="31"/>
        <v>Americas → Brazil → Brasília</v>
      </c>
      <c r="Z184" t="str">
        <f t="shared" si="32"/>
        <v>Accessories</v>
      </c>
      <c r="AA184" t="str" cm="1">
        <f t="array" ref="AA184">_xlfn.IFS(O184&lt;=$AF$2,"Low",AND(O184&gt;$AF$2,O184&lt;$AF$3),"Medium",O184&gt;=$AF$3,"High")</f>
        <v>Low</v>
      </c>
      <c r="AB184" s="22">
        <f t="shared" si="33"/>
        <v>44927</v>
      </c>
      <c r="AC184">
        <v>9</v>
      </c>
    </row>
    <row r="185" spans="1:29" x14ac:dyDescent="0.35">
      <c r="A185" s="4" t="s">
        <v>434</v>
      </c>
      <c r="B185" s="5" t="str">
        <f>IF(COUNTIF($A$2:A185,A185)=1,"Original","Duplicate")</f>
        <v>Original</v>
      </c>
      <c r="C185" s="7">
        <v>45211</v>
      </c>
      <c r="D185" s="7">
        <v>45228</v>
      </c>
      <c r="E185">
        <f t="shared" si="23"/>
        <v>17</v>
      </c>
      <c r="F185" t="s">
        <v>647</v>
      </c>
      <c r="G185" t="s">
        <v>652</v>
      </c>
      <c r="H185" t="s">
        <v>694</v>
      </c>
      <c r="I185" t="s">
        <v>703</v>
      </c>
      <c r="J185" t="s">
        <v>711</v>
      </c>
      <c r="K185" t="s">
        <v>722</v>
      </c>
      <c r="L185" t="s">
        <v>730</v>
      </c>
      <c r="M185" t="s">
        <v>1153</v>
      </c>
      <c r="N185" s="23">
        <v>1102.19</v>
      </c>
      <c r="O185" s="23">
        <v>1711.16</v>
      </c>
      <c r="P185" s="8">
        <v>0.151</v>
      </c>
      <c r="Q185">
        <v>10</v>
      </c>
      <c r="R185" s="23">
        <f t="shared" si="24"/>
        <v>14527.748400000002</v>
      </c>
      <c r="S185" s="23">
        <f t="shared" si="25"/>
        <v>11021.900000000001</v>
      </c>
      <c r="T185" s="23">
        <f t="shared" si="26"/>
        <v>3505.8484000000008</v>
      </c>
      <c r="U185" s="14">
        <f t="shared" si="27"/>
        <v>0.24132083675127525</v>
      </c>
      <c r="V185" s="7" t="str">
        <f t="shared" si="28"/>
        <v>Oct-2023</v>
      </c>
      <c r="W185" s="22">
        <f t="shared" si="29"/>
        <v>45200</v>
      </c>
      <c r="X185" s="7" t="str">
        <f t="shared" si="30"/>
        <v>Q4-2023</v>
      </c>
      <c r="Y185" t="str">
        <f t="shared" si="31"/>
        <v>Asia → Japan → Nagoya</v>
      </c>
      <c r="Z185" t="str">
        <f t="shared" si="32"/>
        <v>Phones</v>
      </c>
      <c r="AA185" t="str" cm="1">
        <f t="array" ref="AA185">_xlfn.IFS(O185&lt;=$AF$2,"Low",AND(O185&gt;$AF$2,O185&lt;$AF$3),"Medium",O185&gt;=$AF$3,"High")</f>
        <v>High</v>
      </c>
      <c r="AB185" s="22">
        <f t="shared" si="33"/>
        <v>44986</v>
      </c>
      <c r="AC185">
        <v>7</v>
      </c>
    </row>
    <row r="186" spans="1:29" x14ac:dyDescent="0.35">
      <c r="A186" s="4" t="s">
        <v>207</v>
      </c>
      <c r="B186" s="5" t="str">
        <f>IF(COUNTIF($A$2:A186,A186)=1,"Original","Duplicate")</f>
        <v>Original</v>
      </c>
      <c r="C186" s="7">
        <v>45214</v>
      </c>
      <c r="D186" s="7">
        <v>45243</v>
      </c>
      <c r="E186">
        <f t="shared" si="23"/>
        <v>29</v>
      </c>
      <c r="F186" t="s">
        <v>647</v>
      </c>
      <c r="G186" t="s">
        <v>659</v>
      </c>
      <c r="H186" t="s">
        <v>676</v>
      </c>
      <c r="I186" t="s">
        <v>703</v>
      </c>
      <c r="J186" t="s">
        <v>710</v>
      </c>
      <c r="K186" t="s">
        <v>713</v>
      </c>
      <c r="L186" t="s">
        <v>728</v>
      </c>
      <c r="M186" t="s">
        <v>927</v>
      </c>
      <c r="N186" s="23">
        <v>986.44</v>
      </c>
      <c r="O186" s="23">
        <v>790.61</v>
      </c>
      <c r="P186" s="8">
        <v>7.1999999999999995E-2</v>
      </c>
      <c r="Q186">
        <v>6</v>
      </c>
      <c r="R186" s="23">
        <f t="shared" si="24"/>
        <v>4402.1164799999997</v>
      </c>
      <c r="S186" s="23">
        <f t="shared" si="25"/>
        <v>5918.64</v>
      </c>
      <c r="T186" s="23">
        <f t="shared" si="26"/>
        <v>-1516.5235200000006</v>
      </c>
      <c r="U186" s="14">
        <f t="shared" si="27"/>
        <v>-0.34449872621271499</v>
      </c>
      <c r="V186" s="7" t="str">
        <f t="shared" si="28"/>
        <v>Oct-2023</v>
      </c>
      <c r="W186" s="22">
        <f t="shared" si="29"/>
        <v>45200</v>
      </c>
      <c r="X186" s="7" t="str">
        <f t="shared" si="30"/>
        <v>Q4-2023</v>
      </c>
      <c r="Y186" t="str">
        <f t="shared" si="31"/>
        <v>Asia → China → Shenzhen</v>
      </c>
      <c r="Z186" t="str">
        <f t="shared" si="32"/>
        <v>Printers</v>
      </c>
      <c r="AA186" t="str" cm="1">
        <f t="array" ref="AA186">_xlfn.IFS(O186&lt;=$AF$2,"Low",AND(O186&gt;$AF$2,O186&lt;$AF$3),"Medium",O186&gt;=$AF$3,"High")</f>
        <v>Low</v>
      </c>
      <c r="AB186" s="22">
        <f t="shared" si="33"/>
        <v>44927</v>
      </c>
      <c r="AC186">
        <v>9</v>
      </c>
    </row>
    <row r="187" spans="1:29" x14ac:dyDescent="0.35">
      <c r="A187" s="4" t="s">
        <v>449</v>
      </c>
      <c r="B187" s="5" t="str">
        <f>IF(COUNTIF($A$2:A187,A187)=1,"Original","Duplicate")</f>
        <v>Original</v>
      </c>
      <c r="C187" s="7">
        <v>45217</v>
      </c>
      <c r="D187" s="7">
        <v>45219</v>
      </c>
      <c r="E187">
        <f t="shared" si="23"/>
        <v>2</v>
      </c>
      <c r="F187" t="s">
        <v>646</v>
      </c>
      <c r="G187" t="s">
        <v>650</v>
      </c>
      <c r="H187" t="s">
        <v>662</v>
      </c>
      <c r="I187" t="s">
        <v>704</v>
      </c>
      <c r="J187" t="s">
        <v>707</v>
      </c>
      <c r="K187" t="s">
        <v>713</v>
      </c>
      <c r="L187" t="s">
        <v>730</v>
      </c>
      <c r="M187" t="s">
        <v>1168</v>
      </c>
      <c r="N187" s="23">
        <v>774.12</v>
      </c>
      <c r="O187" s="23">
        <v>908.3</v>
      </c>
      <c r="P187" s="8">
        <v>0</v>
      </c>
      <c r="Q187">
        <v>30</v>
      </c>
      <c r="R187" s="23">
        <f t="shared" si="24"/>
        <v>27249</v>
      </c>
      <c r="S187" s="23">
        <f t="shared" si="25"/>
        <v>23223.599999999999</v>
      </c>
      <c r="T187" s="23">
        <f t="shared" si="26"/>
        <v>4025.4000000000015</v>
      </c>
      <c r="U187" s="14">
        <f t="shared" si="27"/>
        <v>0.14772652207420461</v>
      </c>
      <c r="V187" s="7" t="str">
        <f t="shared" si="28"/>
        <v>Oct-2023</v>
      </c>
      <c r="W187" s="22">
        <f t="shared" si="29"/>
        <v>45200</v>
      </c>
      <c r="X187" s="7" t="str">
        <f t="shared" si="30"/>
        <v>Q4-2023</v>
      </c>
      <c r="Y187" t="str">
        <f t="shared" si="31"/>
        <v>Africa → Kenya → Kisumu</v>
      </c>
      <c r="Z187" t="str">
        <f t="shared" si="32"/>
        <v>Phones</v>
      </c>
      <c r="AA187" t="str" cm="1">
        <f t="array" ref="AA187">_xlfn.IFS(O187&lt;=$AF$2,"Low",AND(O187&gt;$AF$2,O187&lt;$AF$3),"Medium",O187&gt;=$AF$3,"High")</f>
        <v>Medium</v>
      </c>
      <c r="AB187" s="22">
        <f t="shared" si="33"/>
        <v>44927</v>
      </c>
      <c r="AC187">
        <v>9</v>
      </c>
    </row>
    <row r="188" spans="1:29" x14ac:dyDescent="0.35">
      <c r="A188" s="4" t="s">
        <v>306</v>
      </c>
      <c r="B188" s="5" t="str">
        <f>IF(COUNTIF($A$2:A188,A188)=1,"Original","Duplicate")</f>
        <v>Original</v>
      </c>
      <c r="C188" s="7">
        <v>45220</v>
      </c>
      <c r="D188" s="7">
        <v>45239</v>
      </c>
      <c r="E188">
        <f t="shared" si="23"/>
        <v>19</v>
      </c>
      <c r="F188" t="s">
        <v>649</v>
      </c>
      <c r="G188" t="s">
        <v>658</v>
      </c>
      <c r="H188" t="s">
        <v>683</v>
      </c>
      <c r="I188" t="s">
        <v>703</v>
      </c>
      <c r="J188" t="s">
        <v>711</v>
      </c>
      <c r="K188" t="s">
        <v>720</v>
      </c>
      <c r="L188" t="s">
        <v>733</v>
      </c>
      <c r="M188" t="s">
        <v>1026</v>
      </c>
      <c r="N188" s="23">
        <v>1142.48</v>
      </c>
      <c r="O188" s="23">
        <v>2105.5300000000002</v>
      </c>
      <c r="P188" s="8">
        <v>0.20699999999999999</v>
      </c>
      <c r="Q188">
        <v>14</v>
      </c>
      <c r="R188" s="23">
        <f t="shared" si="24"/>
        <v>23375.594060000003</v>
      </c>
      <c r="S188" s="23">
        <f t="shared" si="25"/>
        <v>15994.720000000001</v>
      </c>
      <c r="T188" s="23">
        <f t="shared" si="26"/>
        <v>7380.8740600000019</v>
      </c>
      <c r="U188" s="14">
        <f t="shared" si="27"/>
        <v>0.31575129346680658</v>
      </c>
      <c r="V188" s="7" t="str">
        <f t="shared" si="28"/>
        <v>Oct-2023</v>
      </c>
      <c r="W188" s="22">
        <f t="shared" si="29"/>
        <v>45200</v>
      </c>
      <c r="X188" s="7" t="str">
        <f t="shared" si="30"/>
        <v>Q4-2023</v>
      </c>
      <c r="Y188" t="str">
        <f t="shared" si="31"/>
        <v>Europe → United Kingdom → London</v>
      </c>
      <c r="Z188" t="str">
        <f t="shared" si="32"/>
        <v>Accessories</v>
      </c>
      <c r="AA188" t="str" cm="1">
        <f t="array" ref="AA188">_xlfn.IFS(O188&lt;=$AF$2,"Low",AND(O188&gt;$AF$2,O188&lt;$AF$3),"Medium",O188&gt;=$AF$3,"High")</f>
        <v>High</v>
      </c>
      <c r="AB188" s="22">
        <f t="shared" si="33"/>
        <v>44927</v>
      </c>
      <c r="AC188">
        <v>9</v>
      </c>
    </row>
    <row r="189" spans="1:29" x14ac:dyDescent="0.35">
      <c r="A189" s="4" t="s">
        <v>446</v>
      </c>
      <c r="B189" s="5" t="str">
        <f>IF(COUNTIF($A$2:A189,A189)=1,"Original","Duplicate")</f>
        <v>Original</v>
      </c>
      <c r="C189" s="7">
        <v>45220</v>
      </c>
      <c r="D189" s="7">
        <v>45226</v>
      </c>
      <c r="E189">
        <f t="shared" si="23"/>
        <v>6</v>
      </c>
      <c r="F189" t="s">
        <v>649</v>
      </c>
      <c r="G189" t="s">
        <v>658</v>
      </c>
      <c r="H189" t="s">
        <v>693</v>
      </c>
      <c r="I189" t="s">
        <v>706</v>
      </c>
      <c r="J189" t="s">
        <v>710</v>
      </c>
      <c r="K189" t="s">
        <v>713</v>
      </c>
      <c r="L189" t="s">
        <v>732</v>
      </c>
      <c r="M189" t="s">
        <v>1165</v>
      </c>
      <c r="N189" s="23">
        <v>384.19</v>
      </c>
      <c r="O189" s="23">
        <v>278.35000000000002</v>
      </c>
      <c r="P189" s="8">
        <v>5.6000000000000001E-2</v>
      </c>
      <c r="Q189">
        <v>10</v>
      </c>
      <c r="R189" s="23">
        <f t="shared" si="24"/>
        <v>2627.6239999999998</v>
      </c>
      <c r="S189" s="23">
        <f t="shared" si="25"/>
        <v>3841.9</v>
      </c>
      <c r="T189" s="23">
        <f t="shared" si="26"/>
        <v>-1214.2760000000003</v>
      </c>
      <c r="U189" s="14">
        <f t="shared" si="27"/>
        <v>-0.46211938998882657</v>
      </c>
      <c r="V189" s="7" t="str">
        <f t="shared" si="28"/>
        <v>Oct-2023</v>
      </c>
      <c r="W189" s="22">
        <f t="shared" si="29"/>
        <v>45200</v>
      </c>
      <c r="X189" s="7" t="str">
        <f t="shared" si="30"/>
        <v>Q4-2023</v>
      </c>
      <c r="Y189" t="str">
        <f t="shared" si="31"/>
        <v>Europe → United Kingdom → Manchester</v>
      </c>
      <c r="Z189" t="str">
        <f t="shared" si="32"/>
        <v>Monitors</v>
      </c>
      <c r="AA189" t="str" cm="1">
        <f t="array" ref="AA189">_xlfn.IFS(O189&lt;=$AF$2,"Low",AND(O189&gt;$AF$2,O189&lt;$AF$3),"Medium",O189&gt;=$AF$3,"High")</f>
        <v>Low</v>
      </c>
      <c r="AB189" s="22">
        <f t="shared" si="33"/>
        <v>44927</v>
      </c>
      <c r="AC189">
        <v>9</v>
      </c>
    </row>
    <row r="190" spans="1:29" x14ac:dyDescent="0.35">
      <c r="A190" s="4" t="s">
        <v>343</v>
      </c>
      <c r="B190" s="5" t="str">
        <f>IF(COUNTIF($A$2:A190,A190)=1,"Original","Duplicate")</f>
        <v>Original</v>
      </c>
      <c r="C190" s="7">
        <v>45221</v>
      </c>
      <c r="D190" s="7">
        <v>45246</v>
      </c>
      <c r="E190">
        <f t="shared" si="23"/>
        <v>25</v>
      </c>
      <c r="F190" t="s">
        <v>648</v>
      </c>
      <c r="G190" t="s">
        <v>653</v>
      </c>
      <c r="H190" t="s">
        <v>667</v>
      </c>
      <c r="I190" t="s">
        <v>705</v>
      </c>
      <c r="J190" t="s">
        <v>709</v>
      </c>
      <c r="K190" t="s">
        <v>714</v>
      </c>
      <c r="L190" t="s">
        <v>731</v>
      </c>
      <c r="M190" t="s">
        <v>1063</v>
      </c>
      <c r="N190" s="23">
        <v>1373.31</v>
      </c>
      <c r="O190" s="23">
        <v>3154.14</v>
      </c>
      <c r="P190" s="8">
        <v>0.2</v>
      </c>
      <c r="Q190">
        <v>11</v>
      </c>
      <c r="R190" s="23">
        <f t="shared" si="24"/>
        <v>27756.432000000001</v>
      </c>
      <c r="S190" s="23">
        <f t="shared" si="25"/>
        <v>15106.41</v>
      </c>
      <c r="T190" s="23">
        <f t="shared" si="26"/>
        <v>12650.022000000001</v>
      </c>
      <c r="U190" s="14">
        <f t="shared" si="27"/>
        <v>0.45575101295440279</v>
      </c>
      <c r="V190" s="7" t="str">
        <f t="shared" si="28"/>
        <v>Oct-2023</v>
      </c>
      <c r="W190" s="22">
        <f t="shared" si="29"/>
        <v>45200</v>
      </c>
      <c r="X190" s="7" t="str">
        <f t="shared" si="30"/>
        <v>Q4-2023</v>
      </c>
      <c r="Y190" t="str">
        <f t="shared" si="31"/>
        <v>Americas → Canada → Toronto</v>
      </c>
      <c r="Z190" t="str">
        <f t="shared" si="32"/>
        <v>Laptops</v>
      </c>
      <c r="AA190" t="str" cm="1">
        <f t="array" ref="AA190">_xlfn.IFS(O190&lt;=$AF$2,"Low",AND(O190&gt;$AF$2,O190&lt;$AF$3),"Medium",O190&gt;=$AF$3,"High")</f>
        <v>High</v>
      </c>
      <c r="AB190" s="22">
        <f t="shared" si="33"/>
        <v>44927</v>
      </c>
      <c r="AC190">
        <v>9</v>
      </c>
    </row>
    <row r="191" spans="1:29" x14ac:dyDescent="0.35">
      <c r="A191" s="4" t="s">
        <v>500</v>
      </c>
      <c r="B191" s="5" t="str">
        <f>IF(COUNTIF($A$2:A191,A191)=1,"Original","Duplicate")</f>
        <v>Original</v>
      </c>
      <c r="C191" s="7">
        <v>45224</v>
      </c>
      <c r="D191" s="7">
        <v>45254</v>
      </c>
      <c r="E191">
        <f t="shared" si="23"/>
        <v>30</v>
      </c>
      <c r="F191" t="s">
        <v>649</v>
      </c>
      <c r="G191" t="s">
        <v>657</v>
      </c>
      <c r="H191" t="s">
        <v>690</v>
      </c>
      <c r="I191" t="s">
        <v>706</v>
      </c>
      <c r="J191" t="s">
        <v>710</v>
      </c>
      <c r="K191" t="s">
        <v>712</v>
      </c>
      <c r="L191" t="s">
        <v>730</v>
      </c>
      <c r="M191" t="s">
        <v>1219</v>
      </c>
      <c r="N191" s="23">
        <v>287.85000000000002</v>
      </c>
      <c r="O191" s="23">
        <v>602.91999999999996</v>
      </c>
      <c r="P191" s="8">
        <v>0.222</v>
      </c>
      <c r="Q191">
        <v>11</v>
      </c>
      <c r="R191" s="23">
        <f t="shared" si="24"/>
        <v>5159.7893599999998</v>
      </c>
      <c r="S191" s="23">
        <f t="shared" si="25"/>
        <v>3166.3500000000004</v>
      </c>
      <c r="T191" s="23">
        <f t="shared" si="26"/>
        <v>1993.4393599999994</v>
      </c>
      <c r="U191" s="14">
        <f t="shared" si="27"/>
        <v>0.38634122847216373</v>
      </c>
      <c r="V191" s="7" t="str">
        <f t="shared" si="28"/>
        <v>Oct-2023</v>
      </c>
      <c r="W191" s="22">
        <f t="shared" si="29"/>
        <v>45200</v>
      </c>
      <c r="X191" s="7" t="str">
        <f t="shared" si="30"/>
        <v>Q4-2023</v>
      </c>
      <c r="Y191" t="str">
        <f t="shared" si="31"/>
        <v>Europe → France → Paris</v>
      </c>
      <c r="Z191" t="str">
        <f t="shared" si="32"/>
        <v>Phones</v>
      </c>
      <c r="AA191" t="str" cm="1">
        <f t="array" ref="AA191">_xlfn.IFS(O191&lt;=$AF$2,"Low",AND(O191&gt;$AF$2,O191&lt;$AF$3),"Medium",O191&gt;=$AF$3,"High")</f>
        <v>Low</v>
      </c>
      <c r="AB191" s="22">
        <f t="shared" si="33"/>
        <v>44927</v>
      </c>
      <c r="AC191">
        <v>9</v>
      </c>
    </row>
    <row r="192" spans="1:29" x14ac:dyDescent="0.35">
      <c r="A192" s="4" t="s">
        <v>512</v>
      </c>
      <c r="B192" s="5" t="str">
        <f>IF(COUNTIF($A$2:A192,A192)=1,"Original","Duplicate")</f>
        <v>Original</v>
      </c>
      <c r="C192" s="7">
        <v>45224</v>
      </c>
      <c r="D192" s="7">
        <v>45227</v>
      </c>
      <c r="E192">
        <f t="shared" si="23"/>
        <v>3</v>
      </c>
      <c r="F192" t="s">
        <v>648</v>
      </c>
      <c r="G192" t="s">
        <v>655</v>
      </c>
      <c r="H192" t="s">
        <v>672</v>
      </c>
      <c r="I192" t="s">
        <v>701</v>
      </c>
      <c r="J192" t="s">
        <v>710</v>
      </c>
      <c r="K192" t="s">
        <v>716</v>
      </c>
      <c r="L192" t="s">
        <v>733</v>
      </c>
      <c r="M192" t="s">
        <v>1231</v>
      </c>
      <c r="N192" s="23">
        <v>509.31</v>
      </c>
      <c r="O192" s="23">
        <v>1145.9000000000001</v>
      </c>
      <c r="P192" s="8">
        <v>5.7000000000000002E-2</v>
      </c>
      <c r="Q192">
        <v>8</v>
      </c>
      <c r="R192" s="23">
        <f t="shared" si="24"/>
        <v>8644.6696000000011</v>
      </c>
      <c r="S192" s="23">
        <f t="shared" si="25"/>
        <v>4074.48</v>
      </c>
      <c r="T192" s="23">
        <f t="shared" si="26"/>
        <v>4570.1896000000015</v>
      </c>
      <c r="U192" s="14">
        <f t="shared" si="27"/>
        <v>0.52867140231709964</v>
      </c>
      <c r="V192" s="7" t="str">
        <f t="shared" si="28"/>
        <v>Oct-2023</v>
      </c>
      <c r="W192" s="22">
        <f t="shared" si="29"/>
        <v>45200</v>
      </c>
      <c r="X192" s="7" t="str">
        <f t="shared" si="30"/>
        <v>Q4-2023</v>
      </c>
      <c r="Y192" t="str">
        <f t="shared" si="31"/>
        <v>Americas → Brazil → Brasília</v>
      </c>
      <c r="Z192" t="str">
        <f t="shared" si="32"/>
        <v>Accessories</v>
      </c>
      <c r="AA192" t="str" cm="1">
        <f t="array" ref="AA192">_xlfn.IFS(O192&lt;=$AF$2,"Low",AND(O192&gt;$AF$2,O192&lt;$AF$3),"Medium",O192&gt;=$AF$3,"High")</f>
        <v>Medium</v>
      </c>
      <c r="AB192" s="22">
        <f t="shared" si="33"/>
        <v>44927</v>
      </c>
      <c r="AC192">
        <v>9</v>
      </c>
    </row>
    <row r="193" spans="1:29" x14ac:dyDescent="0.35">
      <c r="A193" s="4" t="s">
        <v>403</v>
      </c>
      <c r="B193" s="5" t="str">
        <f>IF(COUNTIF($A$2:A193,A193)=1,"Original","Duplicate")</f>
        <v>Original</v>
      </c>
      <c r="C193" s="7">
        <v>45225</v>
      </c>
      <c r="D193" s="7">
        <v>45235</v>
      </c>
      <c r="E193">
        <f t="shared" si="23"/>
        <v>10</v>
      </c>
      <c r="F193" t="s">
        <v>646</v>
      </c>
      <c r="G193" t="s">
        <v>661</v>
      </c>
      <c r="H193" t="s">
        <v>695</v>
      </c>
      <c r="I193" t="s">
        <v>703</v>
      </c>
      <c r="J193" t="s">
        <v>708</v>
      </c>
      <c r="K193" t="s">
        <v>714</v>
      </c>
      <c r="L193" t="s">
        <v>731</v>
      </c>
      <c r="M193" t="s">
        <v>1122</v>
      </c>
      <c r="N193" s="23">
        <v>20.38</v>
      </c>
      <c r="O193" s="23">
        <v>42.56</v>
      </c>
      <c r="P193" s="8">
        <v>7.1999999999999995E-2</v>
      </c>
      <c r="Q193">
        <v>11</v>
      </c>
      <c r="R193" s="23">
        <f t="shared" si="24"/>
        <v>434.45248000000004</v>
      </c>
      <c r="S193" s="23">
        <f t="shared" si="25"/>
        <v>224.17999999999998</v>
      </c>
      <c r="T193" s="23">
        <f t="shared" si="26"/>
        <v>210.27248000000006</v>
      </c>
      <c r="U193" s="14">
        <f t="shared" si="27"/>
        <v>0.48399419885921713</v>
      </c>
      <c r="V193" s="7" t="str">
        <f t="shared" si="28"/>
        <v>Oct-2023</v>
      </c>
      <c r="W193" s="22">
        <f t="shared" si="29"/>
        <v>45200</v>
      </c>
      <c r="X193" s="7" t="str">
        <f t="shared" si="30"/>
        <v>Q4-2023</v>
      </c>
      <c r="Y193" t="str">
        <f t="shared" si="31"/>
        <v>Africa → South Africa → Cape Town</v>
      </c>
      <c r="Z193" t="str">
        <f t="shared" si="32"/>
        <v>Laptops</v>
      </c>
      <c r="AA193" t="str" cm="1">
        <f t="array" ref="AA193">_xlfn.IFS(O193&lt;=$AF$2,"Low",AND(O193&gt;$AF$2,O193&lt;$AF$3),"Medium",O193&gt;=$AF$3,"High")</f>
        <v>Low</v>
      </c>
      <c r="AB193" s="22">
        <f t="shared" si="33"/>
        <v>44927</v>
      </c>
      <c r="AC193">
        <v>9</v>
      </c>
    </row>
    <row r="194" spans="1:29" x14ac:dyDescent="0.35">
      <c r="A194" s="4" t="s">
        <v>293</v>
      </c>
      <c r="B194" s="5" t="str">
        <f>IF(COUNTIF($A$2:A194,A194)=1,"Original","Duplicate")</f>
        <v>Original</v>
      </c>
      <c r="C194" s="7">
        <v>45229</v>
      </c>
      <c r="D194" s="7">
        <v>45244</v>
      </c>
      <c r="E194">
        <f t="shared" ref="E194:E257" si="34">D194-C194</f>
        <v>15</v>
      </c>
      <c r="F194" t="s">
        <v>647</v>
      </c>
      <c r="G194" t="s">
        <v>654</v>
      </c>
      <c r="H194" t="s">
        <v>668</v>
      </c>
      <c r="I194" t="s">
        <v>701</v>
      </c>
      <c r="J194" t="s">
        <v>708</v>
      </c>
      <c r="K194" t="s">
        <v>721</v>
      </c>
      <c r="L194" t="s">
        <v>731</v>
      </c>
      <c r="M194" t="s">
        <v>1013</v>
      </c>
      <c r="N194" s="23">
        <v>953.46</v>
      </c>
      <c r="O194" s="23">
        <v>2066.75</v>
      </c>
      <c r="P194" s="8">
        <v>0.13800000000000001</v>
      </c>
      <c r="Q194">
        <v>5</v>
      </c>
      <c r="R194" s="23">
        <f t="shared" si="24"/>
        <v>8907.6924999999992</v>
      </c>
      <c r="S194" s="23">
        <f t="shared" si="25"/>
        <v>4767.3</v>
      </c>
      <c r="T194" s="23">
        <f t="shared" si="26"/>
        <v>4140.392499999999</v>
      </c>
      <c r="U194" s="14">
        <f t="shared" si="27"/>
        <v>0.46481089238318446</v>
      </c>
      <c r="V194" s="7" t="str">
        <f t="shared" si="28"/>
        <v>Oct-2023</v>
      </c>
      <c r="W194" s="22">
        <f t="shared" si="29"/>
        <v>45200</v>
      </c>
      <c r="X194" s="7" t="str">
        <f t="shared" si="30"/>
        <v>Q4-2023</v>
      </c>
      <c r="Y194" t="str">
        <f t="shared" si="31"/>
        <v>Asia → India → Bengaluru</v>
      </c>
      <c r="Z194" t="str">
        <f t="shared" si="32"/>
        <v>Laptops</v>
      </c>
      <c r="AA194" t="str" cm="1">
        <f t="array" ref="AA194">_xlfn.IFS(O194&lt;=$AF$2,"Low",AND(O194&gt;$AF$2,O194&lt;$AF$3),"Medium",O194&gt;=$AF$3,"High")</f>
        <v>High</v>
      </c>
      <c r="AB194" s="22">
        <f t="shared" si="33"/>
        <v>44958</v>
      </c>
      <c r="AC194">
        <v>8</v>
      </c>
    </row>
    <row r="195" spans="1:29" x14ac:dyDescent="0.35">
      <c r="A195" s="4" t="s">
        <v>169</v>
      </c>
      <c r="B195" s="5" t="str">
        <f>IF(COUNTIF($A$2:A195,A195)=1,"Original","Duplicate")</f>
        <v>Original</v>
      </c>
      <c r="C195" s="7">
        <v>45230</v>
      </c>
      <c r="D195" s="7">
        <v>45232</v>
      </c>
      <c r="E195">
        <f t="shared" si="34"/>
        <v>2</v>
      </c>
      <c r="F195" t="s">
        <v>646</v>
      </c>
      <c r="G195" t="s">
        <v>650</v>
      </c>
      <c r="H195" t="s">
        <v>662</v>
      </c>
      <c r="I195" t="s">
        <v>702</v>
      </c>
      <c r="J195" t="s">
        <v>707</v>
      </c>
      <c r="K195" t="s">
        <v>719</v>
      </c>
      <c r="L195" t="s">
        <v>733</v>
      </c>
      <c r="M195" t="s">
        <v>888</v>
      </c>
      <c r="N195" s="23">
        <v>867.89</v>
      </c>
      <c r="O195" s="23">
        <v>1349.94</v>
      </c>
      <c r="P195" s="8">
        <v>0.184</v>
      </c>
      <c r="Q195">
        <v>10</v>
      </c>
      <c r="R195" s="23">
        <f t="shared" ref="R195:R258" si="35">(O195*Q195)*(1-P195)</f>
        <v>11015.510400000003</v>
      </c>
      <c r="S195" s="23">
        <f t="shared" ref="S195:S258" si="36">N195*Q195</f>
        <v>8678.9</v>
      </c>
      <c r="T195" s="23">
        <f t="shared" ref="T195:T258" si="37">R195-S195</f>
        <v>2336.6104000000032</v>
      </c>
      <c r="U195" s="14">
        <f t="shared" ref="U195:U258" si="38">IF(R195=0,0,T195/R195)</f>
        <v>0.21212003031652557</v>
      </c>
      <c r="V195" s="7" t="str">
        <f t="shared" ref="V195:V258" si="39">TEXT(C195,"MMM-YYYY")</f>
        <v>Oct-2023</v>
      </c>
      <c r="W195" s="22">
        <f t="shared" ref="W195:W258" si="40">DATEVALUE(V195)</f>
        <v>45200</v>
      </c>
      <c r="X195" s="7" t="str">
        <f t="shared" ref="X195:X258" si="41">"Q"&amp;ROUNDUP(MONTH(C195)/3,0)&amp;"-"&amp;YEAR(C195)</f>
        <v>Q4-2023</v>
      </c>
      <c r="Y195" t="str">
        <f t="shared" ref="Y195:Y258" si="42">_xlfn.CONCAT(F195," ","→"," ",G195," ","→"," ",H195)</f>
        <v>Africa → Kenya → Kisumu</v>
      </c>
      <c r="Z195" t="str">
        <f t="shared" ref="Z195:Z258" si="43">TRIM(L195)</f>
        <v>Accessories</v>
      </c>
      <c r="AA195" t="str" cm="1">
        <f t="array" ref="AA195">_xlfn.IFS(O195&lt;=$AF$2,"Low",AND(O195&gt;$AF$2,O195&lt;$AF$3),"Medium",O195&gt;=$AF$3,"High")</f>
        <v>Medium</v>
      </c>
      <c r="AB195" s="22">
        <f t="shared" ref="AB195:AB258" si="44">_xlfn.MINIFS($W$2:$W$632,$G$2:$G$632,G195)</f>
        <v>44927</v>
      </c>
      <c r="AC195">
        <v>9</v>
      </c>
    </row>
    <row r="196" spans="1:29" x14ac:dyDescent="0.35">
      <c r="A196" s="4" t="s">
        <v>228</v>
      </c>
      <c r="B196" s="5" t="str">
        <f>IF(COUNTIF($A$2:A196,A196)=1,"Original","Duplicate")</f>
        <v>Original</v>
      </c>
      <c r="C196" s="7">
        <v>45240</v>
      </c>
      <c r="D196" s="7">
        <v>45258</v>
      </c>
      <c r="E196">
        <f t="shared" si="34"/>
        <v>18</v>
      </c>
      <c r="F196" t="s">
        <v>648</v>
      </c>
      <c r="G196" t="s">
        <v>655</v>
      </c>
      <c r="H196" t="s">
        <v>672</v>
      </c>
      <c r="I196" t="s">
        <v>702</v>
      </c>
      <c r="J196" t="s">
        <v>709</v>
      </c>
      <c r="K196" t="s">
        <v>716</v>
      </c>
      <c r="L196" t="s">
        <v>733</v>
      </c>
      <c r="M196" t="s">
        <v>948</v>
      </c>
      <c r="N196" s="23">
        <v>388.51</v>
      </c>
      <c r="O196" s="23">
        <v>776.46</v>
      </c>
      <c r="P196" s="8">
        <v>0.157</v>
      </c>
      <c r="Q196">
        <v>12</v>
      </c>
      <c r="R196" s="23">
        <f t="shared" si="35"/>
        <v>7854.6693599999999</v>
      </c>
      <c r="S196" s="23">
        <f t="shared" si="36"/>
        <v>4662.12</v>
      </c>
      <c r="T196" s="23">
        <f t="shared" si="37"/>
        <v>3192.54936</v>
      </c>
      <c r="U196" s="14">
        <f t="shared" si="38"/>
        <v>0.40645241876864946</v>
      </c>
      <c r="V196" s="7" t="str">
        <f t="shared" si="39"/>
        <v>Nov-2023</v>
      </c>
      <c r="W196" s="22">
        <f t="shared" si="40"/>
        <v>45231</v>
      </c>
      <c r="X196" s="7" t="str">
        <f t="shared" si="41"/>
        <v>Q4-2023</v>
      </c>
      <c r="Y196" t="str">
        <f t="shared" si="42"/>
        <v>Americas → Brazil → Brasília</v>
      </c>
      <c r="Z196" t="str">
        <f t="shared" si="43"/>
        <v>Accessories</v>
      </c>
      <c r="AA196" t="str" cm="1">
        <f t="array" ref="AA196">_xlfn.IFS(O196&lt;=$AF$2,"Low",AND(O196&gt;$AF$2,O196&lt;$AF$3),"Medium",O196&gt;=$AF$3,"High")</f>
        <v>Low</v>
      </c>
      <c r="AB196" s="22">
        <f t="shared" si="44"/>
        <v>44927</v>
      </c>
      <c r="AC196">
        <v>10</v>
      </c>
    </row>
    <row r="197" spans="1:29" x14ac:dyDescent="0.35">
      <c r="A197" s="4" t="s">
        <v>331</v>
      </c>
      <c r="B197" s="5" t="str">
        <f>IF(COUNTIF($A$2:A197,A197)=1,"Original","Duplicate")</f>
        <v>Original</v>
      </c>
      <c r="C197" s="7">
        <v>45244</v>
      </c>
      <c r="D197" s="7">
        <v>45260</v>
      </c>
      <c r="E197">
        <f t="shared" si="34"/>
        <v>16</v>
      </c>
      <c r="F197" t="s">
        <v>648</v>
      </c>
      <c r="G197" t="s">
        <v>655</v>
      </c>
      <c r="H197" t="s">
        <v>670</v>
      </c>
      <c r="I197" t="s">
        <v>706</v>
      </c>
      <c r="J197" t="s">
        <v>711</v>
      </c>
      <c r="K197" t="s">
        <v>723</v>
      </c>
      <c r="L197" t="s">
        <v>729</v>
      </c>
      <c r="M197" t="s">
        <v>1051</v>
      </c>
      <c r="N197" s="23">
        <v>1017.92</v>
      </c>
      <c r="O197" s="23">
        <v>1175.25</v>
      </c>
      <c r="P197" s="8">
        <v>7.4999999999999997E-2</v>
      </c>
      <c r="Q197">
        <v>15</v>
      </c>
      <c r="R197" s="23">
        <f t="shared" si="35"/>
        <v>16306.59375</v>
      </c>
      <c r="S197" s="23">
        <f t="shared" si="36"/>
        <v>15268.8</v>
      </c>
      <c r="T197" s="23">
        <f t="shared" si="37"/>
        <v>1037.7937500000007</v>
      </c>
      <c r="U197" s="14">
        <f t="shared" si="38"/>
        <v>6.3642583234159542E-2</v>
      </c>
      <c r="V197" s="7" t="str">
        <f t="shared" si="39"/>
        <v>Nov-2023</v>
      </c>
      <c r="W197" s="22">
        <f t="shared" si="40"/>
        <v>45231</v>
      </c>
      <c r="X197" s="7" t="str">
        <f t="shared" si="41"/>
        <v>Q4-2023</v>
      </c>
      <c r="Y197" t="str">
        <f t="shared" si="42"/>
        <v>Americas → Brazil → São Paulo</v>
      </c>
      <c r="Z197" t="str">
        <f t="shared" si="43"/>
        <v>Networking</v>
      </c>
      <c r="AA197" t="str" cm="1">
        <f t="array" ref="AA197">_xlfn.IFS(O197&lt;=$AF$2,"Low",AND(O197&gt;$AF$2,O197&lt;$AF$3),"Medium",O197&gt;=$AF$3,"High")</f>
        <v>Medium</v>
      </c>
      <c r="AB197" s="22">
        <f t="shared" si="44"/>
        <v>44927</v>
      </c>
      <c r="AC197">
        <v>10</v>
      </c>
    </row>
    <row r="198" spans="1:29" x14ac:dyDescent="0.35">
      <c r="A198" s="4" t="s">
        <v>347</v>
      </c>
      <c r="B198" s="5" t="str">
        <f>IF(COUNTIF($A$2:A198,A198)=1,"Original","Duplicate")</f>
        <v>Original</v>
      </c>
      <c r="C198" s="7">
        <v>45245</v>
      </c>
      <c r="D198" s="7">
        <v>45266</v>
      </c>
      <c r="E198">
        <f t="shared" si="34"/>
        <v>21</v>
      </c>
      <c r="F198" t="s">
        <v>649</v>
      </c>
      <c r="G198" t="s">
        <v>658</v>
      </c>
      <c r="H198" t="s">
        <v>693</v>
      </c>
      <c r="I198" t="s">
        <v>702</v>
      </c>
      <c r="J198" t="s">
        <v>711</v>
      </c>
      <c r="K198" t="s">
        <v>722</v>
      </c>
      <c r="L198" t="s">
        <v>733</v>
      </c>
      <c r="M198" t="s">
        <v>1067</v>
      </c>
      <c r="N198" s="23">
        <v>1184.99</v>
      </c>
      <c r="O198" s="23">
        <v>1154.3399999999999</v>
      </c>
      <c r="P198" s="8">
        <v>2.8000000000000001E-2</v>
      </c>
      <c r="Q198">
        <v>5</v>
      </c>
      <c r="R198" s="23">
        <f t="shared" si="35"/>
        <v>5610.0923999999995</v>
      </c>
      <c r="S198" s="23">
        <f t="shared" si="36"/>
        <v>5924.95</v>
      </c>
      <c r="T198" s="23">
        <f t="shared" si="37"/>
        <v>-314.85760000000028</v>
      </c>
      <c r="U198" s="14">
        <f t="shared" si="38"/>
        <v>-5.6123424990290764E-2</v>
      </c>
      <c r="V198" s="7" t="str">
        <f t="shared" si="39"/>
        <v>Nov-2023</v>
      </c>
      <c r="W198" s="22">
        <f t="shared" si="40"/>
        <v>45231</v>
      </c>
      <c r="X198" s="7" t="str">
        <f t="shared" si="41"/>
        <v>Q4-2023</v>
      </c>
      <c r="Y198" t="str">
        <f t="shared" si="42"/>
        <v>Europe → United Kingdom → Manchester</v>
      </c>
      <c r="Z198" t="str">
        <f t="shared" si="43"/>
        <v>Accessories</v>
      </c>
      <c r="AA198" t="str" cm="1">
        <f t="array" ref="AA198">_xlfn.IFS(O198&lt;=$AF$2,"Low",AND(O198&gt;$AF$2,O198&lt;$AF$3),"Medium",O198&gt;=$AF$3,"High")</f>
        <v>Medium</v>
      </c>
      <c r="AB198" s="22">
        <f t="shared" si="44"/>
        <v>44927</v>
      </c>
      <c r="AC198">
        <v>10</v>
      </c>
    </row>
    <row r="199" spans="1:29" x14ac:dyDescent="0.35">
      <c r="A199" s="4" t="s">
        <v>136</v>
      </c>
      <c r="B199" s="5" t="str">
        <f>IF(COUNTIF($A$2:A199,A199)=1,"Original","Duplicate")</f>
        <v>Original</v>
      </c>
      <c r="C199" s="7">
        <v>45249</v>
      </c>
      <c r="D199" s="7">
        <v>45273</v>
      </c>
      <c r="E199">
        <f t="shared" si="34"/>
        <v>24</v>
      </c>
      <c r="F199" t="s">
        <v>649</v>
      </c>
      <c r="G199" t="s">
        <v>657</v>
      </c>
      <c r="H199" t="s">
        <v>679</v>
      </c>
      <c r="I199" t="s">
        <v>703</v>
      </c>
      <c r="J199" t="s">
        <v>711</v>
      </c>
      <c r="K199" t="s">
        <v>722</v>
      </c>
      <c r="L199" t="s">
        <v>732</v>
      </c>
      <c r="M199" t="s">
        <v>855</v>
      </c>
      <c r="N199" s="23">
        <v>1297.42</v>
      </c>
      <c r="O199" s="23">
        <v>2742.97</v>
      </c>
      <c r="P199" s="8">
        <v>6.9000000000000006E-2</v>
      </c>
      <c r="Q199">
        <v>9</v>
      </c>
      <c r="R199" s="23">
        <f t="shared" si="35"/>
        <v>22983.34563</v>
      </c>
      <c r="S199" s="23">
        <f t="shared" si="36"/>
        <v>11676.78</v>
      </c>
      <c r="T199" s="23">
        <f t="shared" si="37"/>
        <v>11306.565629999999</v>
      </c>
      <c r="U199" s="14">
        <f t="shared" si="38"/>
        <v>0.49194602961727291</v>
      </c>
      <c r="V199" s="7" t="str">
        <f t="shared" si="39"/>
        <v>Nov-2023</v>
      </c>
      <c r="W199" s="22">
        <f t="shared" si="40"/>
        <v>45231</v>
      </c>
      <c r="X199" s="7" t="str">
        <f t="shared" si="41"/>
        <v>Q4-2023</v>
      </c>
      <c r="Y199" t="str">
        <f t="shared" si="42"/>
        <v>Europe → France → Lyon</v>
      </c>
      <c r="Z199" t="str">
        <f t="shared" si="43"/>
        <v>Monitors</v>
      </c>
      <c r="AA199" t="str" cm="1">
        <f t="array" ref="AA199">_xlfn.IFS(O199&lt;=$AF$2,"Low",AND(O199&gt;$AF$2,O199&lt;$AF$3),"Medium",O199&gt;=$AF$3,"High")</f>
        <v>High</v>
      </c>
      <c r="AB199" s="22">
        <f t="shared" si="44"/>
        <v>44927</v>
      </c>
      <c r="AC199">
        <v>10</v>
      </c>
    </row>
    <row r="200" spans="1:29" x14ac:dyDescent="0.35">
      <c r="A200" s="4" t="s">
        <v>639</v>
      </c>
      <c r="B200" s="5" t="str">
        <f>IF(COUNTIF($A$2:A200,A200)=1,"Original","Duplicate")</f>
        <v>Original</v>
      </c>
      <c r="C200" s="7">
        <v>45249</v>
      </c>
      <c r="D200" s="7">
        <v>45272</v>
      </c>
      <c r="E200">
        <f t="shared" si="34"/>
        <v>23</v>
      </c>
      <c r="F200" t="s">
        <v>647</v>
      </c>
      <c r="G200" t="s">
        <v>654</v>
      </c>
      <c r="H200" t="s">
        <v>680</v>
      </c>
      <c r="I200" t="s">
        <v>705</v>
      </c>
      <c r="J200" t="s">
        <v>711</v>
      </c>
      <c r="K200" t="s">
        <v>712</v>
      </c>
      <c r="L200" t="s">
        <v>729</v>
      </c>
      <c r="M200" t="s">
        <v>1357</v>
      </c>
      <c r="N200" s="23">
        <v>1349.04</v>
      </c>
      <c r="O200" s="23">
        <v>2636.6</v>
      </c>
      <c r="P200" s="8">
        <v>0.114</v>
      </c>
      <c r="Q200">
        <v>14</v>
      </c>
      <c r="R200" s="23">
        <f t="shared" si="35"/>
        <v>32704.386400000003</v>
      </c>
      <c r="S200" s="23">
        <f t="shared" si="36"/>
        <v>18886.559999999998</v>
      </c>
      <c r="T200" s="23">
        <f t="shared" si="37"/>
        <v>13817.826400000005</v>
      </c>
      <c r="U200" s="14">
        <f t="shared" si="38"/>
        <v>0.42250682312143928</v>
      </c>
      <c r="V200" s="7" t="str">
        <f t="shared" si="39"/>
        <v>Nov-2023</v>
      </c>
      <c r="W200" s="22">
        <f t="shared" si="40"/>
        <v>45231</v>
      </c>
      <c r="X200" s="7" t="str">
        <f t="shared" si="41"/>
        <v>Q4-2023</v>
      </c>
      <c r="Y200" t="str">
        <f t="shared" si="42"/>
        <v>Asia → India → Delhi</v>
      </c>
      <c r="Z200" t="str">
        <f t="shared" si="43"/>
        <v>Networking</v>
      </c>
      <c r="AA200" t="str" cm="1">
        <f t="array" ref="AA200">_xlfn.IFS(O200&lt;=$AF$2,"Low",AND(O200&gt;$AF$2,O200&lt;$AF$3),"Medium",O200&gt;=$AF$3,"High")</f>
        <v>High</v>
      </c>
      <c r="AB200" s="22">
        <f t="shared" si="44"/>
        <v>44958</v>
      </c>
      <c r="AC200">
        <v>9</v>
      </c>
    </row>
    <row r="201" spans="1:29" x14ac:dyDescent="0.35">
      <c r="A201" s="4" t="s">
        <v>644</v>
      </c>
      <c r="B201" s="5" t="str">
        <f>IF(COUNTIF($A$2:A201,A201)=1,"Original","Duplicate")</f>
        <v>Original</v>
      </c>
      <c r="C201" s="7">
        <v>45249</v>
      </c>
      <c r="D201" s="7">
        <v>45279</v>
      </c>
      <c r="E201">
        <f t="shared" si="34"/>
        <v>30</v>
      </c>
      <c r="F201" t="s">
        <v>647</v>
      </c>
      <c r="G201" t="s">
        <v>652</v>
      </c>
      <c r="H201" t="s">
        <v>694</v>
      </c>
      <c r="I201" t="s">
        <v>704</v>
      </c>
      <c r="J201" t="s">
        <v>707</v>
      </c>
      <c r="K201" t="s">
        <v>1432</v>
      </c>
      <c r="L201" t="s">
        <v>730</v>
      </c>
      <c r="M201" t="s">
        <v>1362</v>
      </c>
      <c r="N201" s="23">
        <v>807.11</v>
      </c>
      <c r="O201" s="23">
        <v>1853.86</v>
      </c>
      <c r="P201" s="8">
        <v>0.13900000000000001</v>
      </c>
      <c r="Q201">
        <v>8</v>
      </c>
      <c r="R201" s="23">
        <f t="shared" si="35"/>
        <v>12769.38768</v>
      </c>
      <c r="S201" s="23">
        <f t="shared" si="36"/>
        <v>6456.88</v>
      </c>
      <c r="T201" s="23">
        <f t="shared" si="37"/>
        <v>6312.5076799999997</v>
      </c>
      <c r="U201" s="14">
        <f t="shared" si="38"/>
        <v>0.49434693645388639</v>
      </c>
      <c r="V201" s="7" t="str">
        <f t="shared" si="39"/>
        <v>Nov-2023</v>
      </c>
      <c r="W201" s="22">
        <f t="shared" si="40"/>
        <v>45231</v>
      </c>
      <c r="X201" s="7" t="str">
        <f t="shared" si="41"/>
        <v>Q4-2023</v>
      </c>
      <c r="Y201" t="str">
        <f t="shared" si="42"/>
        <v>Asia → Japan → Nagoya</v>
      </c>
      <c r="Z201" t="str">
        <f t="shared" si="43"/>
        <v>Phones</v>
      </c>
      <c r="AA201" t="str" cm="1">
        <f t="array" ref="AA201">_xlfn.IFS(O201&lt;=$AF$2,"Low",AND(O201&gt;$AF$2,O201&lt;$AF$3),"Medium",O201&gt;=$AF$3,"High")</f>
        <v>High</v>
      </c>
      <c r="AB201" s="22">
        <f t="shared" si="44"/>
        <v>44986</v>
      </c>
      <c r="AC201">
        <v>8</v>
      </c>
    </row>
    <row r="202" spans="1:29" x14ac:dyDescent="0.35">
      <c r="A202" s="4" t="s">
        <v>129</v>
      </c>
      <c r="B202" s="5" t="str">
        <f>IF(COUNTIF($A$2:A202,A202)=1,"Original","Duplicate")</f>
        <v>Original</v>
      </c>
      <c r="C202" s="7">
        <v>45250</v>
      </c>
      <c r="D202" s="7">
        <v>45265</v>
      </c>
      <c r="E202">
        <f t="shared" si="34"/>
        <v>15</v>
      </c>
      <c r="F202" t="s">
        <v>647</v>
      </c>
      <c r="G202" t="s">
        <v>652</v>
      </c>
      <c r="H202" t="s">
        <v>689</v>
      </c>
      <c r="I202" t="s">
        <v>706</v>
      </c>
      <c r="J202" t="s">
        <v>707</v>
      </c>
      <c r="K202" t="s">
        <v>716</v>
      </c>
      <c r="L202" t="s">
        <v>729</v>
      </c>
      <c r="M202" t="s">
        <v>848</v>
      </c>
      <c r="N202" s="23">
        <v>354.24</v>
      </c>
      <c r="O202" s="23">
        <v>249.87</v>
      </c>
      <c r="P202" s="8">
        <v>0</v>
      </c>
      <c r="Q202">
        <v>6</v>
      </c>
      <c r="R202" s="23">
        <f t="shared" si="35"/>
        <v>1499.22</v>
      </c>
      <c r="S202" s="23">
        <f t="shared" si="36"/>
        <v>2125.44</v>
      </c>
      <c r="T202" s="23">
        <f t="shared" si="37"/>
        <v>-626.22</v>
      </c>
      <c r="U202" s="14">
        <f t="shared" si="38"/>
        <v>-0.41769720254532355</v>
      </c>
      <c r="V202" s="7" t="str">
        <f t="shared" si="39"/>
        <v>Nov-2023</v>
      </c>
      <c r="W202" s="22">
        <f t="shared" si="40"/>
        <v>45231</v>
      </c>
      <c r="X202" s="7" t="str">
        <f t="shared" si="41"/>
        <v>Q4-2023</v>
      </c>
      <c r="Y202" t="str">
        <f t="shared" si="42"/>
        <v>Asia → Japan → Tokyo</v>
      </c>
      <c r="Z202" t="str">
        <f t="shared" si="43"/>
        <v>Networking</v>
      </c>
      <c r="AA202" t="str" cm="1">
        <f t="array" ref="AA202">_xlfn.IFS(O202&lt;=$AF$2,"Low",AND(O202&gt;$AF$2,O202&lt;$AF$3),"Medium",O202&gt;=$AF$3,"High")</f>
        <v>Low</v>
      </c>
      <c r="AB202" s="22">
        <f t="shared" si="44"/>
        <v>44986</v>
      </c>
      <c r="AC202">
        <v>8</v>
      </c>
    </row>
    <row r="203" spans="1:29" x14ac:dyDescent="0.35">
      <c r="A203" s="4" t="s">
        <v>252</v>
      </c>
      <c r="B203" s="5" t="str">
        <f>IF(COUNTIF($A$2:A203,A203)=1,"Original","Duplicate")</f>
        <v>Original</v>
      </c>
      <c r="C203" s="7">
        <v>45258</v>
      </c>
      <c r="D203" s="7">
        <v>45267</v>
      </c>
      <c r="E203">
        <f t="shared" si="34"/>
        <v>9</v>
      </c>
      <c r="F203" t="s">
        <v>647</v>
      </c>
      <c r="G203" t="s">
        <v>654</v>
      </c>
      <c r="H203" t="s">
        <v>680</v>
      </c>
      <c r="I203" t="s">
        <v>706</v>
      </c>
      <c r="J203" t="s">
        <v>709</v>
      </c>
      <c r="K203" t="s">
        <v>716</v>
      </c>
      <c r="L203" t="s">
        <v>730</v>
      </c>
      <c r="M203" t="s">
        <v>972</v>
      </c>
      <c r="N203" s="23">
        <v>699.33</v>
      </c>
      <c r="O203" s="23">
        <v>873.75</v>
      </c>
      <c r="P203" s="8">
        <v>0.23499999999999999</v>
      </c>
      <c r="Q203">
        <v>10</v>
      </c>
      <c r="R203" s="23">
        <f t="shared" si="35"/>
        <v>6684.1875</v>
      </c>
      <c r="S203" s="23">
        <f t="shared" si="36"/>
        <v>6993.3</v>
      </c>
      <c r="T203" s="23">
        <f t="shared" si="37"/>
        <v>-309.11250000000018</v>
      </c>
      <c r="U203" s="14">
        <f t="shared" si="38"/>
        <v>-4.6245336475076469E-2</v>
      </c>
      <c r="V203" s="7" t="str">
        <f t="shared" si="39"/>
        <v>Nov-2023</v>
      </c>
      <c r="W203" s="22">
        <f t="shared" si="40"/>
        <v>45231</v>
      </c>
      <c r="X203" s="7" t="str">
        <f t="shared" si="41"/>
        <v>Q4-2023</v>
      </c>
      <c r="Y203" t="str">
        <f t="shared" si="42"/>
        <v>Asia → India → Delhi</v>
      </c>
      <c r="Z203" t="str">
        <f t="shared" si="43"/>
        <v>Phones</v>
      </c>
      <c r="AA203" t="str" cm="1">
        <f t="array" ref="AA203">_xlfn.IFS(O203&lt;=$AF$2,"Low",AND(O203&gt;$AF$2,O203&lt;$AF$3),"Medium",O203&gt;=$AF$3,"High")</f>
        <v>Medium</v>
      </c>
      <c r="AB203" s="22">
        <f t="shared" si="44"/>
        <v>44958</v>
      </c>
      <c r="AC203">
        <v>9</v>
      </c>
    </row>
    <row r="204" spans="1:29" x14ac:dyDescent="0.35">
      <c r="A204" s="4" t="s">
        <v>160</v>
      </c>
      <c r="B204" s="5" t="str">
        <f>IF(COUNTIF($A$2:A204,A204)=1,"Original","Duplicate")</f>
        <v>Original</v>
      </c>
      <c r="C204" s="7">
        <v>45260</v>
      </c>
      <c r="D204" s="7">
        <v>45267</v>
      </c>
      <c r="E204">
        <f t="shared" si="34"/>
        <v>7</v>
      </c>
      <c r="F204" t="s">
        <v>646</v>
      </c>
      <c r="G204" t="s">
        <v>661</v>
      </c>
      <c r="H204" t="s">
        <v>687</v>
      </c>
      <c r="I204" t="s">
        <v>705</v>
      </c>
      <c r="J204" t="s">
        <v>709</v>
      </c>
      <c r="K204" t="s">
        <v>718</v>
      </c>
      <c r="L204" t="s">
        <v>731</v>
      </c>
      <c r="M204" t="s">
        <v>879</v>
      </c>
      <c r="N204" s="23">
        <v>275.56</v>
      </c>
      <c r="O204" s="23">
        <v>630.72</v>
      </c>
      <c r="P204" s="8">
        <v>0.107</v>
      </c>
      <c r="Q204">
        <v>23</v>
      </c>
      <c r="R204" s="23">
        <f t="shared" si="35"/>
        <v>12954.358080000002</v>
      </c>
      <c r="S204" s="23">
        <f t="shared" si="36"/>
        <v>6337.88</v>
      </c>
      <c r="T204" s="23">
        <f t="shared" si="37"/>
        <v>6616.4780800000017</v>
      </c>
      <c r="U204" s="14">
        <f t="shared" si="38"/>
        <v>0.5107530638831933</v>
      </c>
      <c r="V204" s="7" t="str">
        <f t="shared" si="39"/>
        <v>Nov-2023</v>
      </c>
      <c r="W204" s="22">
        <f t="shared" si="40"/>
        <v>45231</v>
      </c>
      <c r="X204" s="7" t="str">
        <f t="shared" si="41"/>
        <v>Q4-2023</v>
      </c>
      <c r="Y204" t="str">
        <f t="shared" si="42"/>
        <v>Africa → South Africa → Durban</v>
      </c>
      <c r="Z204" t="str">
        <f t="shared" si="43"/>
        <v>Laptops</v>
      </c>
      <c r="AA204" t="str" cm="1">
        <f t="array" ref="AA204">_xlfn.IFS(O204&lt;=$AF$2,"Low",AND(O204&gt;$AF$2,O204&lt;$AF$3),"Medium",O204&gt;=$AF$3,"High")</f>
        <v>Low</v>
      </c>
      <c r="AB204" s="22">
        <f t="shared" si="44"/>
        <v>44927</v>
      </c>
      <c r="AC204">
        <v>10</v>
      </c>
    </row>
    <row r="205" spans="1:29" x14ac:dyDescent="0.35">
      <c r="A205" s="4" t="s">
        <v>472</v>
      </c>
      <c r="B205" s="5" t="str">
        <f>IF(COUNTIF($A$2:A205,A205)=1,"Original","Duplicate")</f>
        <v>Original</v>
      </c>
      <c r="C205" s="7">
        <v>45260</v>
      </c>
      <c r="D205" s="7">
        <v>45270</v>
      </c>
      <c r="E205">
        <f t="shared" si="34"/>
        <v>10</v>
      </c>
      <c r="F205" t="s">
        <v>649</v>
      </c>
      <c r="G205" t="s">
        <v>656</v>
      </c>
      <c r="H205" t="s">
        <v>684</v>
      </c>
      <c r="I205" t="s">
        <v>705</v>
      </c>
      <c r="J205" t="s">
        <v>711</v>
      </c>
      <c r="K205" t="s">
        <v>721</v>
      </c>
      <c r="L205" t="s">
        <v>731</v>
      </c>
      <c r="M205" t="s">
        <v>1191</v>
      </c>
      <c r="N205" s="23">
        <v>174.74</v>
      </c>
      <c r="O205" s="23">
        <v>415.96</v>
      </c>
      <c r="P205" s="8">
        <v>0.125</v>
      </c>
      <c r="Q205">
        <v>21</v>
      </c>
      <c r="R205" s="23">
        <f t="shared" si="35"/>
        <v>7643.2649999999994</v>
      </c>
      <c r="S205" s="23">
        <f t="shared" si="36"/>
        <v>3669.54</v>
      </c>
      <c r="T205" s="23">
        <f t="shared" si="37"/>
        <v>3973.7249999999995</v>
      </c>
      <c r="U205" s="14">
        <f t="shared" si="38"/>
        <v>0.51989889137691803</v>
      </c>
      <c r="V205" s="7" t="str">
        <f t="shared" si="39"/>
        <v>Nov-2023</v>
      </c>
      <c r="W205" s="22">
        <f t="shared" si="40"/>
        <v>45231</v>
      </c>
      <c r="X205" s="7" t="str">
        <f t="shared" si="41"/>
        <v>Q4-2023</v>
      </c>
      <c r="Y205" t="str">
        <f t="shared" si="42"/>
        <v>Europe → Germany → Munich</v>
      </c>
      <c r="Z205" t="str">
        <f t="shared" si="43"/>
        <v>Laptops</v>
      </c>
      <c r="AA205" t="str" cm="1">
        <f t="array" ref="AA205">_xlfn.IFS(O205&lt;=$AF$2,"Low",AND(O205&gt;$AF$2,O205&lt;$AF$3),"Medium",O205&gt;=$AF$3,"High")</f>
        <v>Low</v>
      </c>
      <c r="AB205" s="22">
        <f t="shared" si="44"/>
        <v>44927</v>
      </c>
      <c r="AC205">
        <v>10</v>
      </c>
    </row>
    <row r="206" spans="1:29" x14ac:dyDescent="0.35">
      <c r="A206" s="4" t="s">
        <v>359</v>
      </c>
      <c r="B206" s="5" t="str">
        <f>IF(COUNTIF($A$2:A206,A206)=1,"Original","Duplicate")</f>
        <v>Original</v>
      </c>
      <c r="C206" s="7">
        <v>45261</v>
      </c>
      <c r="D206" s="7">
        <v>45278</v>
      </c>
      <c r="E206">
        <f t="shared" si="34"/>
        <v>17</v>
      </c>
      <c r="F206" t="s">
        <v>647</v>
      </c>
      <c r="G206" t="s">
        <v>652</v>
      </c>
      <c r="H206" t="s">
        <v>694</v>
      </c>
      <c r="I206" t="s">
        <v>705</v>
      </c>
      <c r="J206" t="s">
        <v>711</v>
      </c>
      <c r="K206" t="s">
        <v>725</v>
      </c>
      <c r="L206" t="s">
        <v>731</v>
      </c>
      <c r="M206" t="s">
        <v>1079</v>
      </c>
      <c r="N206" s="23">
        <v>1495.79</v>
      </c>
      <c r="O206" s="23">
        <v>2783.12</v>
      </c>
      <c r="P206" s="8">
        <v>0.02</v>
      </c>
      <c r="Q206">
        <v>5</v>
      </c>
      <c r="R206" s="23">
        <f t="shared" si="35"/>
        <v>13637.287999999999</v>
      </c>
      <c r="S206" s="23">
        <f t="shared" si="36"/>
        <v>7478.95</v>
      </c>
      <c r="T206" s="23">
        <f t="shared" si="37"/>
        <v>6158.3379999999988</v>
      </c>
      <c r="U206" s="14">
        <f t="shared" si="38"/>
        <v>0.45158084217331185</v>
      </c>
      <c r="V206" s="7" t="str">
        <f t="shared" si="39"/>
        <v>Dec-2023</v>
      </c>
      <c r="W206" s="22">
        <f t="shared" si="40"/>
        <v>45261</v>
      </c>
      <c r="X206" s="7" t="str">
        <f t="shared" si="41"/>
        <v>Q4-2023</v>
      </c>
      <c r="Y206" t="str">
        <f t="shared" si="42"/>
        <v>Asia → Japan → Nagoya</v>
      </c>
      <c r="Z206" t="str">
        <f t="shared" si="43"/>
        <v>Laptops</v>
      </c>
      <c r="AA206" t="str" cm="1">
        <f t="array" ref="AA206">_xlfn.IFS(O206&lt;=$AF$2,"Low",AND(O206&gt;$AF$2,O206&lt;$AF$3),"Medium",O206&gt;=$AF$3,"High")</f>
        <v>High</v>
      </c>
      <c r="AB206" s="22">
        <f t="shared" si="44"/>
        <v>44986</v>
      </c>
      <c r="AC206">
        <v>9</v>
      </c>
    </row>
    <row r="207" spans="1:29" x14ac:dyDescent="0.35">
      <c r="A207" s="4" t="s">
        <v>365</v>
      </c>
      <c r="B207" s="5" t="str">
        <f>IF(COUNTIF($A$2:A207,A207)=1,"Original","Duplicate")</f>
        <v>Original</v>
      </c>
      <c r="C207" s="7">
        <v>45262</v>
      </c>
      <c r="D207" s="7">
        <v>45276</v>
      </c>
      <c r="E207">
        <f t="shared" si="34"/>
        <v>14</v>
      </c>
      <c r="F207" t="s">
        <v>649</v>
      </c>
      <c r="G207" t="s">
        <v>656</v>
      </c>
      <c r="H207" t="s">
        <v>698</v>
      </c>
      <c r="I207" t="s">
        <v>702</v>
      </c>
      <c r="J207" t="s">
        <v>711</v>
      </c>
      <c r="K207" t="s">
        <v>725</v>
      </c>
      <c r="L207" t="s">
        <v>732</v>
      </c>
      <c r="M207" t="s">
        <v>1085</v>
      </c>
      <c r="N207" s="23">
        <v>879.08</v>
      </c>
      <c r="O207" s="23">
        <v>1093.3900000000001</v>
      </c>
      <c r="P207" s="8">
        <v>0.113</v>
      </c>
      <c r="Q207">
        <v>17</v>
      </c>
      <c r="R207" s="23">
        <f t="shared" si="35"/>
        <v>16487.22781</v>
      </c>
      <c r="S207" s="23">
        <f t="shared" si="36"/>
        <v>14944.36</v>
      </c>
      <c r="T207" s="23">
        <f t="shared" si="37"/>
        <v>1542.8678099999997</v>
      </c>
      <c r="U207" s="14">
        <f t="shared" si="38"/>
        <v>9.3579577341935186E-2</v>
      </c>
      <c r="V207" s="7" t="str">
        <f t="shared" si="39"/>
        <v>Dec-2023</v>
      </c>
      <c r="W207" s="22">
        <f t="shared" si="40"/>
        <v>45261</v>
      </c>
      <c r="X207" s="7" t="str">
        <f t="shared" si="41"/>
        <v>Q4-2023</v>
      </c>
      <c r="Y207" t="str">
        <f t="shared" si="42"/>
        <v>Europe → Germany → Frankfurt</v>
      </c>
      <c r="Z207" t="str">
        <f t="shared" si="43"/>
        <v>Monitors</v>
      </c>
      <c r="AA207" t="str" cm="1">
        <f t="array" ref="AA207">_xlfn.IFS(O207&lt;=$AF$2,"Low",AND(O207&gt;$AF$2,O207&lt;$AF$3),"Medium",O207&gt;=$AF$3,"High")</f>
        <v>Medium</v>
      </c>
      <c r="AB207" s="22">
        <f t="shared" si="44"/>
        <v>44927</v>
      </c>
      <c r="AC207">
        <v>11</v>
      </c>
    </row>
    <row r="208" spans="1:29" x14ac:dyDescent="0.35">
      <c r="A208" s="4" t="s">
        <v>80</v>
      </c>
      <c r="B208" s="5" t="str">
        <f>IF(COUNTIF($A$2:A208,A208)=1,"Original","Duplicate")</f>
        <v>Original</v>
      </c>
      <c r="C208" s="7">
        <v>45263</v>
      </c>
      <c r="D208" s="7">
        <v>45286</v>
      </c>
      <c r="E208">
        <f t="shared" si="34"/>
        <v>23</v>
      </c>
      <c r="F208" t="s">
        <v>648</v>
      </c>
      <c r="G208" t="s">
        <v>655</v>
      </c>
      <c r="H208" t="s">
        <v>692</v>
      </c>
      <c r="I208" t="s">
        <v>702</v>
      </c>
      <c r="J208" t="s">
        <v>707</v>
      </c>
      <c r="K208" t="s">
        <v>719</v>
      </c>
      <c r="L208" t="s">
        <v>730</v>
      </c>
      <c r="M208" t="s">
        <v>799</v>
      </c>
      <c r="N208" s="23">
        <v>1303.1099999999999</v>
      </c>
      <c r="O208" s="23">
        <v>1145.67</v>
      </c>
      <c r="P208" s="8">
        <v>0.184</v>
      </c>
      <c r="Q208">
        <v>13</v>
      </c>
      <c r="R208" s="23">
        <f t="shared" si="35"/>
        <v>12153.267360000002</v>
      </c>
      <c r="S208" s="23">
        <f t="shared" si="36"/>
        <v>16940.43</v>
      </c>
      <c r="T208" s="23">
        <f t="shared" si="37"/>
        <v>-4787.1626399999986</v>
      </c>
      <c r="U208" s="14">
        <f t="shared" si="38"/>
        <v>-0.39389922875851208</v>
      </c>
      <c r="V208" s="7" t="str">
        <f t="shared" si="39"/>
        <v>Dec-2023</v>
      </c>
      <c r="W208" s="22">
        <f t="shared" si="40"/>
        <v>45261</v>
      </c>
      <c r="X208" s="7" t="str">
        <f t="shared" si="41"/>
        <v>Q4-2023</v>
      </c>
      <c r="Y208" t="str">
        <f t="shared" si="42"/>
        <v>Americas → Brazil → Rio de Janeiro</v>
      </c>
      <c r="Z208" t="str">
        <f t="shared" si="43"/>
        <v>Phones</v>
      </c>
      <c r="AA208" t="str" cm="1">
        <f t="array" ref="AA208">_xlfn.IFS(O208&lt;=$AF$2,"Low",AND(O208&gt;$AF$2,O208&lt;$AF$3),"Medium",O208&gt;=$AF$3,"High")</f>
        <v>Medium</v>
      </c>
      <c r="AB208" s="22">
        <f t="shared" si="44"/>
        <v>44927</v>
      </c>
      <c r="AC208">
        <v>11</v>
      </c>
    </row>
    <row r="209" spans="1:29" x14ac:dyDescent="0.35">
      <c r="A209" s="4" t="s">
        <v>470</v>
      </c>
      <c r="B209" s="5" t="str">
        <f>IF(COUNTIF($A$2:A209,A209)=1,"Original","Duplicate")</f>
        <v>Original</v>
      </c>
      <c r="C209" s="7">
        <v>45265</v>
      </c>
      <c r="D209" s="7">
        <v>45272</v>
      </c>
      <c r="E209">
        <f t="shared" si="34"/>
        <v>7</v>
      </c>
      <c r="F209" t="s">
        <v>648</v>
      </c>
      <c r="G209" t="s">
        <v>655</v>
      </c>
      <c r="H209" t="s">
        <v>672</v>
      </c>
      <c r="I209" t="s">
        <v>701</v>
      </c>
      <c r="J209" t="s">
        <v>711</v>
      </c>
      <c r="K209" t="s">
        <v>721</v>
      </c>
      <c r="L209" t="s">
        <v>730</v>
      </c>
      <c r="M209" t="s">
        <v>1189</v>
      </c>
      <c r="N209" s="23">
        <v>307.43</v>
      </c>
      <c r="O209" s="23">
        <v>495.19</v>
      </c>
      <c r="P209" s="8">
        <v>0</v>
      </c>
      <c r="Q209">
        <v>42</v>
      </c>
      <c r="R209" s="23">
        <f t="shared" si="35"/>
        <v>20797.98</v>
      </c>
      <c r="S209" s="23">
        <f t="shared" si="36"/>
        <v>12912.06</v>
      </c>
      <c r="T209" s="23">
        <f t="shared" si="37"/>
        <v>7885.92</v>
      </c>
      <c r="U209" s="14">
        <f t="shared" si="38"/>
        <v>0.37916759223732305</v>
      </c>
      <c r="V209" s="7" t="str">
        <f t="shared" si="39"/>
        <v>Dec-2023</v>
      </c>
      <c r="W209" s="22">
        <f t="shared" si="40"/>
        <v>45261</v>
      </c>
      <c r="X209" s="7" t="str">
        <f t="shared" si="41"/>
        <v>Q4-2023</v>
      </c>
      <c r="Y209" t="str">
        <f t="shared" si="42"/>
        <v>Americas → Brazil → Brasília</v>
      </c>
      <c r="Z209" t="str">
        <f t="shared" si="43"/>
        <v>Phones</v>
      </c>
      <c r="AA209" t="str" cm="1">
        <f t="array" ref="AA209">_xlfn.IFS(O209&lt;=$AF$2,"Low",AND(O209&gt;$AF$2,O209&lt;$AF$3),"Medium",O209&gt;=$AF$3,"High")</f>
        <v>Low</v>
      </c>
      <c r="AB209" s="22">
        <f t="shared" si="44"/>
        <v>44927</v>
      </c>
      <c r="AC209">
        <v>11</v>
      </c>
    </row>
    <row r="210" spans="1:29" x14ac:dyDescent="0.35">
      <c r="A210" s="4" t="s">
        <v>19</v>
      </c>
      <c r="B210" s="5" t="str">
        <f>IF(COUNTIF($A$2:A210,A210)=1,"Original","Duplicate")</f>
        <v>Original</v>
      </c>
      <c r="C210" s="7">
        <v>45266</v>
      </c>
      <c r="D210" s="7">
        <v>45291</v>
      </c>
      <c r="E210">
        <f t="shared" si="34"/>
        <v>25</v>
      </c>
      <c r="F210" t="s">
        <v>647</v>
      </c>
      <c r="G210" t="s">
        <v>652</v>
      </c>
      <c r="H210" t="s">
        <v>666</v>
      </c>
      <c r="I210" t="s">
        <v>704</v>
      </c>
      <c r="J210" t="s">
        <v>707</v>
      </c>
      <c r="K210" t="s">
        <v>716</v>
      </c>
      <c r="L210" t="s">
        <v>728</v>
      </c>
      <c r="M210" t="s">
        <v>738</v>
      </c>
      <c r="N210" s="23">
        <v>663.03</v>
      </c>
      <c r="O210" s="23">
        <v>813.51</v>
      </c>
      <c r="P210" s="8">
        <v>0.10199999999999999</v>
      </c>
      <c r="Q210">
        <v>15</v>
      </c>
      <c r="R210" s="23">
        <f t="shared" si="35"/>
        <v>10957.9797</v>
      </c>
      <c r="S210" s="23">
        <f t="shared" si="36"/>
        <v>9945.4499999999989</v>
      </c>
      <c r="T210" s="23">
        <f t="shared" si="37"/>
        <v>1012.529700000001</v>
      </c>
      <c r="U210" s="14">
        <f t="shared" si="38"/>
        <v>9.2401129379715952E-2</v>
      </c>
      <c r="V210" s="7" t="str">
        <f t="shared" si="39"/>
        <v>Dec-2023</v>
      </c>
      <c r="W210" s="22">
        <f t="shared" si="40"/>
        <v>45261</v>
      </c>
      <c r="X210" s="7" t="str">
        <f t="shared" si="41"/>
        <v>Q4-2023</v>
      </c>
      <c r="Y210" t="str">
        <f t="shared" si="42"/>
        <v>Asia → Japan → Osaka</v>
      </c>
      <c r="Z210" t="str">
        <f t="shared" si="43"/>
        <v>Printers</v>
      </c>
      <c r="AA210" t="str" cm="1">
        <f t="array" ref="AA210">_xlfn.IFS(O210&lt;=$AF$2,"Low",AND(O210&gt;$AF$2,O210&lt;$AF$3),"Medium",O210&gt;=$AF$3,"High")</f>
        <v>Low</v>
      </c>
      <c r="AB210" s="22">
        <f t="shared" si="44"/>
        <v>44986</v>
      </c>
      <c r="AC210">
        <v>9</v>
      </c>
    </row>
    <row r="211" spans="1:29" x14ac:dyDescent="0.35">
      <c r="A211" s="4" t="s">
        <v>167</v>
      </c>
      <c r="B211" s="5" t="str">
        <f>IF(COUNTIF($A$2:A211,A211)=1,"Original","Duplicate")</f>
        <v>Original</v>
      </c>
      <c r="C211" s="7">
        <v>45267</v>
      </c>
      <c r="D211" s="7">
        <v>45274</v>
      </c>
      <c r="E211">
        <f t="shared" si="34"/>
        <v>7</v>
      </c>
      <c r="F211" t="s">
        <v>647</v>
      </c>
      <c r="G211" t="s">
        <v>652</v>
      </c>
      <c r="H211" t="s">
        <v>689</v>
      </c>
      <c r="I211" t="s">
        <v>703</v>
      </c>
      <c r="J211" t="s">
        <v>709</v>
      </c>
      <c r="K211" t="s">
        <v>722</v>
      </c>
      <c r="L211" t="s">
        <v>728</v>
      </c>
      <c r="M211" t="s">
        <v>886</v>
      </c>
      <c r="N211" s="23">
        <v>1097.5899999999999</v>
      </c>
      <c r="O211" s="23">
        <v>845.55</v>
      </c>
      <c r="P211" s="8">
        <v>0.184</v>
      </c>
      <c r="Q211">
        <v>6</v>
      </c>
      <c r="R211" s="23">
        <f t="shared" si="35"/>
        <v>4139.8127999999997</v>
      </c>
      <c r="S211" s="23">
        <f t="shared" si="36"/>
        <v>6585.5399999999991</v>
      </c>
      <c r="T211" s="23">
        <f t="shared" si="37"/>
        <v>-2445.7271999999994</v>
      </c>
      <c r="U211" s="14">
        <f t="shared" si="38"/>
        <v>-0.59078207594314402</v>
      </c>
      <c r="V211" s="7" t="str">
        <f t="shared" si="39"/>
        <v>Dec-2023</v>
      </c>
      <c r="W211" s="22">
        <f t="shared" si="40"/>
        <v>45261</v>
      </c>
      <c r="X211" s="7" t="str">
        <f t="shared" si="41"/>
        <v>Q4-2023</v>
      </c>
      <c r="Y211" t="str">
        <f t="shared" si="42"/>
        <v>Asia → Japan → Tokyo</v>
      </c>
      <c r="Z211" t="str">
        <f t="shared" si="43"/>
        <v>Printers</v>
      </c>
      <c r="AA211" t="str" cm="1">
        <f t="array" ref="AA211">_xlfn.IFS(O211&lt;=$AF$2,"Low",AND(O211&gt;$AF$2,O211&lt;$AF$3),"Medium",O211&gt;=$AF$3,"High")</f>
        <v>Medium</v>
      </c>
      <c r="AB211" s="22">
        <f t="shared" si="44"/>
        <v>44986</v>
      </c>
      <c r="AC211">
        <v>9</v>
      </c>
    </row>
    <row r="212" spans="1:29" x14ac:dyDescent="0.35">
      <c r="A212" s="4" t="s">
        <v>643</v>
      </c>
      <c r="B212" s="5" t="str">
        <f>IF(COUNTIF($A$2:A212,A212)=1,"Original","Duplicate")</f>
        <v>Original</v>
      </c>
      <c r="C212" s="7">
        <v>45267</v>
      </c>
      <c r="D212" s="7">
        <v>45293</v>
      </c>
      <c r="E212">
        <f t="shared" si="34"/>
        <v>26</v>
      </c>
      <c r="F212" t="s">
        <v>649</v>
      </c>
      <c r="G212" t="s">
        <v>656</v>
      </c>
      <c r="H212" t="s">
        <v>698</v>
      </c>
      <c r="I212" t="s">
        <v>706</v>
      </c>
      <c r="J212" t="s">
        <v>710</v>
      </c>
      <c r="K212" t="s">
        <v>718</v>
      </c>
      <c r="L212" t="s">
        <v>727</v>
      </c>
      <c r="M212" t="s">
        <v>1361</v>
      </c>
      <c r="N212" s="23">
        <v>1071.99</v>
      </c>
      <c r="O212" s="23">
        <v>2397.3000000000002</v>
      </c>
      <c r="P212" s="8">
        <v>6.2E-2</v>
      </c>
      <c r="Q212">
        <v>18</v>
      </c>
      <c r="R212" s="23">
        <f t="shared" si="35"/>
        <v>40476.013200000001</v>
      </c>
      <c r="S212" s="23">
        <f t="shared" si="36"/>
        <v>19295.82</v>
      </c>
      <c r="T212" s="23">
        <f t="shared" si="37"/>
        <v>21180.193200000002</v>
      </c>
      <c r="U212" s="14">
        <f t="shared" si="38"/>
        <v>0.52327765324476183</v>
      </c>
      <c r="V212" s="7" t="str">
        <f t="shared" si="39"/>
        <v>Dec-2023</v>
      </c>
      <c r="W212" s="22">
        <f t="shared" si="40"/>
        <v>45261</v>
      </c>
      <c r="X212" s="7" t="str">
        <f t="shared" si="41"/>
        <v>Q4-2023</v>
      </c>
      <c r="Y212" t="str">
        <f t="shared" si="42"/>
        <v>Europe → Germany → Frankfurt</v>
      </c>
      <c r="Z212" t="str">
        <f t="shared" si="43"/>
        <v>Components</v>
      </c>
      <c r="AA212" t="str" cm="1">
        <f t="array" ref="AA212">_xlfn.IFS(O212&lt;=$AF$2,"Low",AND(O212&gt;$AF$2,O212&lt;$AF$3),"Medium",O212&gt;=$AF$3,"High")</f>
        <v>High</v>
      </c>
      <c r="AB212" s="22">
        <f t="shared" si="44"/>
        <v>44927</v>
      </c>
      <c r="AC212">
        <v>11</v>
      </c>
    </row>
    <row r="213" spans="1:29" x14ac:dyDescent="0.35">
      <c r="A213" s="4" t="s">
        <v>423</v>
      </c>
      <c r="B213" s="5" t="str">
        <f>IF(COUNTIF($A$2:A213,A213)=1,"Original","Duplicate")</f>
        <v>Original</v>
      </c>
      <c r="C213" s="7">
        <v>45276</v>
      </c>
      <c r="D213" s="7">
        <v>45279</v>
      </c>
      <c r="E213">
        <f t="shared" si="34"/>
        <v>3</v>
      </c>
      <c r="F213" t="s">
        <v>647</v>
      </c>
      <c r="G213" t="s">
        <v>659</v>
      </c>
      <c r="H213" t="s">
        <v>699</v>
      </c>
      <c r="I213" t="s">
        <v>702</v>
      </c>
      <c r="J213" t="s">
        <v>707</v>
      </c>
      <c r="K213" t="s">
        <v>720</v>
      </c>
      <c r="L213" t="s">
        <v>733</v>
      </c>
      <c r="M213" t="s">
        <v>1142</v>
      </c>
      <c r="N213" s="23">
        <v>1415.05</v>
      </c>
      <c r="O213" s="23">
        <v>1972.38</v>
      </c>
      <c r="P213" s="8">
        <v>0</v>
      </c>
      <c r="Q213">
        <v>12</v>
      </c>
      <c r="R213" s="23">
        <f t="shared" si="35"/>
        <v>23668.560000000001</v>
      </c>
      <c r="S213" s="23">
        <f t="shared" si="36"/>
        <v>16980.599999999999</v>
      </c>
      <c r="T213" s="23">
        <f t="shared" si="37"/>
        <v>6687.9600000000028</v>
      </c>
      <c r="U213" s="14">
        <f t="shared" si="38"/>
        <v>0.28256725377462771</v>
      </c>
      <c r="V213" s="7" t="str">
        <f t="shared" si="39"/>
        <v>Dec-2023</v>
      </c>
      <c r="W213" s="22">
        <f t="shared" si="40"/>
        <v>45261</v>
      </c>
      <c r="X213" s="7" t="str">
        <f t="shared" si="41"/>
        <v>Q4-2023</v>
      </c>
      <c r="Y213" t="str">
        <f t="shared" si="42"/>
        <v>Asia → China → Beijing</v>
      </c>
      <c r="Z213" t="str">
        <f t="shared" si="43"/>
        <v>Accessories</v>
      </c>
      <c r="AA213" t="str" cm="1">
        <f t="array" ref="AA213">_xlfn.IFS(O213&lt;=$AF$2,"Low",AND(O213&gt;$AF$2,O213&lt;$AF$3),"Medium",O213&gt;=$AF$3,"High")</f>
        <v>High</v>
      </c>
      <c r="AB213" s="22">
        <f t="shared" si="44"/>
        <v>44927</v>
      </c>
      <c r="AC213">
        <v>11</v>
      </c>
    </row>
    <row r="214" spans="1:29" x14ac:dyDescent="0.35">
      <c r="A214" s="4" t="s">
        <v>481</v>
      </c>
      <c r="B214" s="5" t="str">
        <f>IF(COUNTIF($A$2:A214,A214)=1,"Original","Duplicate")</f>
        <v>Original</v>
      </c>
      <c r="C214" s="7">
        <v>45278</v>
      </c>
      <c r="D214" s="7">
        <v>45305</v>
      </c>
      <c r="E214">
        <f t="shared" si="34"/>
        <v>27</v>
      </c>
      <c r="F214" t="s">
        <v>647</v>
      </c>
      <c r="G214" t="s">
        <v>654</v>
      </c>
      <c r="H214" t="s">
        <v>691</v>
      </c>
      <c r="I214" t="s">
        <v>704</v>
      </c>
      <c r="J214" t="s">
        <v>710</v>
      </c>
      <c r="K214" t="s">
        <v>726</v>
      </c>
      <c r="L214" t="s">
        <v>729</v>
      </c>
      <c r="M214" t="s">
        <v>1200</v>
      </c>
      <c r="N214" s="23">
        <v>1408.3</v>
      </c>
      <c r="O214" s="23">
        <v>2193.13</v>
      </c>
      <c r="P214" s="8">
        <v>7.0999999999999994E-2</v>
      </c>
      <c r="Q214">
        <v>7</v>
      </c>
      <c r="R214" s="23">
        <f t="shared" si="35"/>
        <v>14261.92439</v>
      </c>
      <c r="S214" s="23">
        <f t="shared" si="36"/>
        <v>9858.1</v>
      </c>
      <c r="T214" s="23">
        <f t="shared" si="37"/>
        <v>4403.8243899999998</v>
      </c>
      <c r="U214" s="14">
        <f t="shared" si="38"/>
        <v>0.30878191957656281</v>
      </c>
      <c r="V214" s="7" t="str">
        <f t="shared" si="39"/>
        <v>Dec-2023</v>
      </c>
      <c r="W214" s="22">
        <f t="shared" si="40"/>
        <v>45261</v>
      </c>
      <c r="X214" s="7" t="str">
        <f t="shared" si="41"/>
        <v>Q4-2023</v>
      </c>
      <c r="Y214" t="str">
        <f t="shared" si="42"/>
        <v>Asia → India → Mumbai</v>
      </c>
      <c r="Z214" t="str">
        <f t="shared" si="43"/>
        <v>Networking</v>
      </c>
      <c r="AA214" t="str" cm="1">
        <f t="array" ref="AA214">_xlfn.IFS(O214&lt;=$AF$2,"Low",AND(O214&gt;$AF$2,O214&lt;$AF$3),"Medium",O214&gt;=$AF$3,"High")</f>
        <v>High</v>
      </c>
      <c r="AB214" s="22">
        <f t="shared" si="44"/>
        <v>44958</v>
      </c>
      <c r="AC214">
        <v>10</v>
      </c>
    </row>
    <row r="215" spans="1:29" x14ac:dyDescent="0.35">
      <c r="A215" s="4" t="s">
        <v>239</v>
      </c>
      <c r="B215" s="5" t="str">
        <f>IF(COUNTIF($A$2:A215,A215)=1,"Original","Duplicate")</f>
        <v>Original</v>
      </c>
      <c r="C215" s="7">
        <v>45279</v>
      </c>
      <c r="D215" s="7">
        <v>45280</v>
      </c>
      <c r="E215">
        <f t="shared" si="34"/>
        <v>1</v>
      </c>
      <c r="F215" t="s">
        <v>648</v>
      </c>
      <c r="G215" t="s">
        <v>655</v>
      </c>
      <c r="H215" t="s">
        <v>692</v>
      </c>
      <c r="I215" t="s">
        <v>704</v>
      </c>
      <c r="J215" t="s">
        <v>710</v>
      </c>
      <c r="K215" t="s">
        <v>713</v>
      </c>
      <c r="L215" t="s">
        <v>730</v>
      </c>
      <c r="M215" t="s">
        <v>959</v>
      </c>
      <c r="N215" s="23">
        <v>1080.43</v>
      </c>
      <c r="O215" s="23">
        <v>2529.15</v>
      </c>
      <c r="P215" s="8">
        <v>0.14699999999999999</v>
      </c>
      <c r="Q215">
        <v>10</v>
      </c>
      <c r="R215" s="23">
        <f t="shared" si="35"/>
        <v>21573.6495</v>
      </c>
      <c r="S215" s="23">
        <f t="shared" si="36"/>
        <v>10804.300000000001</v>
      </c>
      <c r="T215" s="23">
        <f t="shared" si="37"/>
        <v>10769.349499999998</v>
      </c>
      <c r="U215" s="14">
        <f t="shared" si="38"/>
        <v>0.49918997247081437</v>
      </c>
      <c r="V215" s="7" t="str">
        <f t="shared" si="39"/>
        <v>Dec-2023</v>
      </c>
      <c r="W215" s="22">
        <f t="shared" si="40"/>
        <v>45261</v>
      </c>
      <c r="X215" s="7" t="str">
        <f t="shared" si="41"/>
        <v>Q4-2023</v>
      </c>
      <c r="Y215" t="str">
        <f t="shared" si="42"/>
        <v>Americas → Brazil → Rio de Janeiro</v>
      </c>
      <c r="Z215" t="str">
        <f t="shared" si="43"/>
        <v>Phones</v>
      </c>
      <c r="AA215" t="str" cm="1">
        <f t="array" ref="AA215">_xlfn.IFS(O215&lt;=$AF$2,"Low",AND(O215&gt;$AF$2,O215&lt;$AF$3),"Medium",O215&gt;=$AF$3,"High")</f>
        <v>High</v>
      </c>
      <c r="AB215" s="22">
        <f t="shared" si="44"/>
        <v>44927</v>
      </c>
      <c r="AC215">
        <v>11</v>
      </c>
    </row>
    <row r="216" spans="1:29" x14ac:dyDescent="0.35">
      <c r="A216" s="4" t="s">
        <v>588</v>
      </c>
      <c r="B216" s="5" t="str">
        <f>IF(COUNTIF($A$2:A216,A216)=1,"Original","Duplicate")</f>
        <v>Original</v>
      </c>
      <c r="C216" s="7">
        <v>45279</v>
      </c>
      <c r="D216" s="7">
        <v>45292</v>
      </c>
      <c r="E216">
        <f t="shared" si="34"/>
        <v>13</v>
      </c>
      <c r="F216" t="s">
        <v>648</v>
      </c>
      <c r="G216" t="s">
        <v>653</v>
      </c>
      <c r="H216" t="s">
        <v>667</v>
      </c>
      <c r="I216" t="s">
        <v>706</v>
      </c>
      <c r="J216" t="s">
        <v>707</v>
      </c>
      <c r="K216" t="s">
        <v>723</v>
      </c>
      <c r="L216" t="s">
        <v>732</v>
      </c>
      <c r="M216" t="s">
        <v>1306</v>
      </c>
      <c r="N216" s="23">
        <v>856.1</v>
      </c>
      <c r="O216" s="23">
        <v>901.48</v>
      </c>
      <c r="P216" s="8">
        <v>5.6000000000000001E-2</v>
      </c>
      <c r="Q216">
        <v>17</v>
      </c>
      <c r="R216" s="23">
        <f t="shared" si="35"/>
        <v>14466.95104</v>
      </c>
      <c r="S216" s="23">
        <f t="shared" si="36"/>
        <v>14553.7</v>
      </c>
      <c r="T216" s="23">
        <f t="shared" si="37"/>
        <v>-86.748960000000807</v>
      </c>
      <c r="U216" s="14">
        <f t="shared" si="38"/>
        <v>-5.9963540182134192E-3</v>
      </c>
      <c r="V216" s="7" t="str">
        <f t="shared" si="39"/>
        <v>Dec-2023</v>
      </c>
      <c r="W216" s="22">
        <f t="shared" si="40"/>
        <v>45261</v>
      </c>
      <c r="X216" s="7" t="str">
        <f t="shared" si="41"/>
        <v>Q4-2023</v>
      </c>
      <c r="Y216" t="str">
        <f t="shared" si="42"/>
        <v>Americas → Canada → Toronto</v>
      </c>
      <c r="Z216" t="str">
        <f t="shared" si="43"/>
        <v>Monitors</v>
      </c>
      <c r="AA216" t="str" cm="1">
        <f t="array" ref="AA216">_xlfn.IFS(O216&lt;=$AF$2,"Low",AND(O216&gt;$AF$2,O216&lt;$AF$3),"Medium",O216&gt;=$AF$3,"High")</f>
        <v>Medium</v>
      </c>
      <c r="AB216" s="22">
        <f t="shared" si="44"/>
        <v>44927</v>
      </c>
      <c r="AC216">
        <v>11</v>
      </c>
    </row>
    <row r="217" spans="1:29" x14ac:dyDescent="0.35">
      <c r="A217" s="4" t="s">
        <v>230</v>
      </c>
      <c r="B217" s="5" t="str">
        <f>IF(COUNTIF($A$2:A217,A217)=1,"Original","Duplicate")</f>
        <v>Original</v>
      </c>
      <c r="C217" s="7">
        <v>45280</v>
      </c>
      <c r="D217" s="7">
        <v>45305</v>
      </c>
      <c r="E217">
        <f t="shared" si="34"/>
        <v>25</v>
      </c>
      <c r="F217" t="s">
        <v>647</v>
      </c>
      <c r="G217" t="s">
        <v>654</v>
      </c>
      <c r="H217" t="s">
        <v>691</v>
      </c>
      <c r="I217" t="s">
        <v>703</v>
      </c>
      <c r="J217" t="s">
        <v>709</v>
      </c>
      <c r="K217" t="s">
        <v>716</v>
      </c>
      <c r="L217" t="s">
        <v>732</v>
      </c>
      <c r="M217" t="s">
        <v>950</v>
      </c>
      <c r="N217" s="23">
        <v>1085.6099999999999</v>
      </c>
      <c r="O217" s="23">
        <v>1246.4100000000001</v>
      </c>
      <c r="P217" s="8">
        <v>0.113</v>
      </c>
      <c r="Q217">
        <v>7</v>
      </c>
      <c r="R217" s="23">
        <f t="shared" si="35"/>
        <v>7738.9596900000006</v>
      </c>
      <c r="S217" s="23">
        <f t="shared" si="36"/>
        <v>7599.2699999999995</v>
      </c>
      <c r="T217" s="23">
        <f t="shared" si="37"/>
        <v>139.68969000000106</v>
      </c>
      <c r="U217" s="14">
        <f t="shared" si="38"/>
        <v>1.8050189637310417E-2</v>
      </c>
      <c r="V217" s="7" t="str">
        <f t="shared" si="39"/>
        <v>Dec-2023</v>
      </c>
      <c r="W217" s="22">
        <f t="shared" si="40"/>
        <v>45261</v>
      </c>
      <c r="X217" s="7" t="str">
        <f t="shared" si="41"/>
        <v>Q4-2023</v>
      </c>
      <c r="Y217" t="str">
        <f t="shared" si="42"/>
        <v>Asia → India → Mumbai</v>
      </c>
      <c r="Z217" t="str">
        <f t="shared" si="43"/>
        <v>Monitors</v>
      </c>
      <c r="AA217" t="str" cm="1">
        <f t="array" ref="AA217">_xlfn.IFS(O217&lt;=$AF$2,"Low",AND(O217&gt;$AF$2,O217&lt;$AF$3),"Medium",O217&gt;=$AF$3,"High")</f>
        <v>Medium</v>
      </c>
      <c r="AB217" s="22">
        <f t="shared" si="44"/>
        <v>44958</v>
      </c>
      <c r="AC217">
        <v>10</v>
      </c>
    </row>
    <row r="218" spans="1:29" x14ac:dyDescent="0.35">
      <c r="A218" s="4" t="s">
        <v>362</v>
      </c>
      <c r="B218" s="5" t="str">
        <f>IF(COUNTIF($A$2:A218,A218)=1,"Original","Duplicate")</f>
        <v>Original</v>
      </c>
      <c r="C218" s="7">
        <v>45281</v>
      </c>
      <c r="D218" s="7">
        <v>45297</v>
      </c>
      <c r="E218">
        <f t="shared" si="34"/>
        <v>16</v>
      </c>
      <c r="F218" t="s">
        <v>646</v>
      </c>
      <c r="G218" t="s">
        <v>651</v>
      </c>
      <c r="H218" t="s">
        <v>1431</v>
      </c>
      <c r="I218" t="s">
        <v>701</v>
      </c>
      <c r="J218" t="s">
        <v>709</v>
      </c>
      <c r="K218" t="s">
        <v>723</v>
      </c>
      <c r="L218" t="s">
        <v>727</v>
      </c>
      <c r="M218" t="s">
        <v>1082</v>
      </c>
      <c r="N218" s="23">
        <v>932.61</v>
      </c>
      <c r="O218" s="23">
        <v>1982.98</v>
      </c>
      <c r="P218" s="8">
        <v>0.14399999999999999</v>
      </c>
      <c r="Q218">
        <v>16</v>
      </c>
      <c r="R218" s="23">
        <f t="shared" si="35"/>
        <v>27158.894079999998</v>
      </c>
      <c r="S218" s="23">
        <f t="shared" si="36"/>
        <v>14921.76</v>
      </c>
      <c r="T218" s="23">
        <f t="shared" si="37"/>
        <v>12237.134079999998</v>
      </c>
      <c r="U218" s="14">
        <f t="shared" si="38"/>
        <v>0.45057556629345635</v>
      </c>
      <c r="V218" s="7" t="str">
        <f t="shared" si="39"/>
        <v>Dec-2023</v>
      </c>
      <c r="W218" s="22">
        <f t="shared" si="40"/>
        <v>45261</v>
      </c>
      <c r="X218" s="7" t="str">
        <f t="shared" si="41"/>
        <v>Q4-2023</v>
      </c>
      <c r="Y218" t="str">
        <f t="shared" si="42"/>
        <v>Africa → Nigeria → Unknown</v>
      </c>
      <c r="Z218" t="str">
        <f t="shared" si="43"/>
        <v>Components</v>
      </c>
      <c r="AA218" t="str" cm="1">
        <f t="array" ref="AA218">_xlfn.IFS(O218&lt;=$AF$2,"Low",AND(O218&gt;$AF$2,O218&lt;$AF$3),"Medium",O218&gt;=$AF$3,"High")</f>
        <v>High</v>
      </c>
      <c r="AB218" s="22">
        <f t="shared" si="44"/>
        <v>44927</v>
      </c>
      <c r="AC218">
        <v>11</v>
      </c>
    </row>
    <row r="219" spans="1:29" x14ac:dyDescent="0.35">
      <c r="A219" s="4" t="s">
        <v>100</v>
      </c>
      <c r="B219" s="5" t="str">
        <f>IF(COUNTIF($A$2:A219,A219)=1,"Original","Duplicate")</f>
        <v>Original</v>
      </c>
      <c r="C219" s="7">
        <v>45282</v>
      </c>
      <c r="D219" s="7">
        <v>45283</v>
      </c>
      <c r="E219">
        <f t="shared" si="34"/>
        <v>1</v>
      </c>
      <c r="F219" t="s">
        <v>646</v>
      </c>
      <c r="G219" t="s">
        <v>661</v>
      </c>
      <c r="H219" t="s">
        <v>695</v>
      </c>
      <c r="I219" t="s">
        <v>703</v>
      </c>
      <c r="J219" t="s">
        <v>709</v>
      </c>
      <c r="K219" t="s">
        <v>726</v>
      </c>
      <c r="L219" t="s">
        <v>727</v>
      </c>
      <c r="M219" t="s">
        <v>819</v>
      </c>
      <c r="N219" s="23">
        <v>1186.18</v>
      </c>
      <c r="O219" s="23">
        <v>1285.0899999999999</v>
      </c>
      <c r="P219" s="8">
        <v>7.0000000000000007E-2</v>
      </c>
      <c r="Q219">
        <v>11</v>
      </c>
      <c r="R219" s="23">
        <f t="shared" si="35"/>
        <v>13146.470699999998</v>
      </c>
      <c r="S219" s="23">
        <f t="shared" si="36"/>
        <v>13047.980000000001</v>
      </c>
      <c r="T219" s="23">
        <f t="shared" si="37"/>
        <v>98.49069999999665</v>
      </c>
      <c r="U219" s="14">
        <f t="shared" si="38"/>
        <v>7.4917977796121861E-3</v>
      </c>
      <c r="V219" s="7" t="str">
        <f t="shared" si="39"/>
        <v>Dec-2023</v>
      </c>
      <c r="W219" s="22">
        <f t="shared" si="40"/>
        <v>45261</v>
      </c>
      <c r="X219" s="7" t="str">
        <f t="shared" si="41"/>
        <v>Q4-2023</v>
      </c>
      <c r="Y219" t="str">
        <f t="shared" si="42"/>
        <v>Africa → South Africa → Cape Town</v>
      </c>
      <c r="Z219" t="str">
        <f t="shared" si="43"/>
        <v>Components</v>
      </c>
      <c r="AA219" t="str" cm="1">
        <f t="array" ref="AA219">_xlfn.IFS(O219&lt;=$AF$2,"Low",AND(O219&gt;$AF$2,O219&lt;$AF$3),"Medium",O219&gt;=$AF$3,"High")</f>
        <v>Medium</v>
      </c>
      <c r="AB219" s="22">
        <f t="shared" si="44"/>
        <v>44927</v>
      </c>
      <c r="AC219">
        <v>11</v>
      </c>
    </row>
    <row r="220" spans="1:29" x14ac:dyDescent="0.35">
      <c r="A220" s="4" t="s">
        <v>640</v>
      </c>
      <c r="B220" s="5" t="str">
        <f>IF(COUNTIF($A$2:A220,A220)=1,"Original","Duplicate")</f>
        <v>Original</v>
      </c>
      <c r="C220" s="7">
        <v>45282</v>
      </c>
      <c r="D220" s="7">
        <v>45307</v>
      </c>
      <c r="E220">
        <f t="shared" si="34"/>
        <v>25</v>
      </c>
      <c r="F220" t="s">
        <v>647</v>
      </c>
      <c r="G220" t="s">
        <v>654</v>
      </c>
      <c r="H220" t="s">
        <v>696</v>
      </c>
      <c r="I220" t="s">
        <v>705</v>
      </c>
      <c r="J220" t="s">
        <v>707</v>
      </c>
      <c r="K220" t="s">
        <v>720</v>
      </c>
      <c r="L220" t="s">
        <v>727</v>
      </c>
      <c r="M220" t="s">
        <v>1358</v>
      </c>
      <c r="N220" s="23">
        <v>1346.81</v>
      </c>
      <c r="O220" s="23">
        <v>978.09</v>
      </c>
      <c r="P220" s="8">
        <v>0.159</v>
      </c>
      <c r="Q220">
        <v>17</v>
      </c>
      <c r="R220" s="23">
        <f t="shared" si="35"/>
        <v>13983.752729999998</v>
      </c>
      <c r="S220" s="23">
        <f t="shared" si="36"/>
        <v>22895.77</v>
      </c>
      <c r="T220" s="23">
        <f t="shared" si="37"/>
        <v>-8912.0172700000021</v>
      </c>
      <c r="U220" s="14">
        <f t="shared" si="38"/>
        <v>-0.6373122753293996</v>
      </c>
      <c r="V220" s="7" t="str">
        <f t="shared" si="39"/>
        <v>Dec-2023</v>
      </c>
      <c r="W220" s="22">
        <f t="shared" si="40"/>
        <v>45261</v>
      </c>
      <c r="X220" s="7" t="str">
        <f t="shared" si="41"/>
        <v>Q4-2023</v>
      </c>
      <c r="Y220" t="str">
        <f t="shared" si="42"/>
        <v>Asia → India → Hyderabad</v>
      </c>
      <c r="Z220" t="str">
        <f t="shared" si="43"/>
        <v>Components</v>
      </c>
      <c r="AA220" t="str" cm="1">
        <f t="array" ref="AA220">_xlfn.IFS(O220&lt;=$AF$2,"Low",AND(O220&gt;$AF$2,O220&lt;$AF$3),"Medium",O220&gt;=$AF$3,"High")</f>
        <v>Medium</v>
      </c>
      <c r="AB220" s="22">
        <f t="shared" si="44"/>
        <v>44958</v>
      </c>
      <c r="AC220">
        <v>10</v>
      </c>
    </row>
    <row r="221" spans="1:29" x14ac:dyDescent="0.35">
      <c r="A221" s="4" t="s">
        <v>282</v>
      </c>
      <c r="B221" s="5" t="str">
        <f>IF(COUNTIF($A$2:A221,A221)=1,"Original","Duplicate")</f>
        <v>Original</v>
      </c>
      <c r="C221" s="7">
        <v>45284</v>
      </c>
      <c r="D221" s="7">
        <v>45292</v>
      </c>
      <c r="E221">
        <f t="shared" si="34"/>
        <v>8</v>
      </c>
      <c r="F221" t="s">
        <v>648</v>
      </c>
      <c r="G221" t="s">
        <v>655</v>
      </c>
      <c r="H221" t="s">
        <v>670</v>
      </c>
      <c r="I221" t="s">
        <v>702</v>
      </c>
      <c r="J221" t="s">
        <v>711</v>
      </c>
      <c r="K221" t="s">
        <v>712</v>
      </c>
      <c r="L221" t="s">
        <v>730</v>
      </c>
      <c r="M221" t="s">
        <v>1002</v>
      </c>
      <c r="N221" s="23">
        <v>526.49</v>
      </c>
      <c r="O221" s="23">
        <v>496.2</v>
      </c>
      <c r="P221" s="8">
        <v>0</v>
      </c>
      <c r="Q221">
        <v>14</v>
      </c>
      <c r="R221" s="23">
        <f t="shared" si="35"/>
        <v>6946.8</v>
      </c>
      <c r="S221" s="23">
        <f t="shared" si="36"/>
        <v>7370.8600000000006</v>
      </c>
      <c r="T221" s="23">
        <f t="shared" si="37"/>
        <v>-424.0600000000004</v>
      </c>
      <c r="U221" s="14">
        <f t="shared" si="38"/>
        <v>-6.1043933897621985E-2</v>
      </c>
      <c r="V221" s="7" t="str">
        <f t="shared" si="39"/>
        <v>Dec-2023</v>
      </c>
      <c r="W221" s="22">
        <f t="shared" si="40"/>
        <v>45261</v>
      </c>
      <c r="X221" s="7" t="str">
        <f t="shared" si="41"/>
        <v>Q4-2023</v>
      </c>
      <c r="Y221" t="str">
        <f t="shared" si="42"/>
        <v>Americas → Brazil → São Paulo</v>
      </c>
      <c r="Z221" t="str">
        <f t="shared" si="43"/>
        <v>Phones</v>
      </c>
      <c r="AA221" t="str" cm="1">
        <f t="array" ref="AA221">_xlfn.IFS(O221&lt;=$AF$2,"Low",AND(O221&gt;$AF$2,O221&lt;$AF$3),"Medium",O221&gt;=$AF$3,"High")</f>
        <v>Low</v>
      </c>
      <c r="AB221" s="22">
        <f t="shared" si="44"/>
        <v>44927</v>
      </c>
      <c r="AC221">
        <v>11</v>
      </c>
    </row>
    <row r="222" spans="1:29" x14ac:dyDescent="0.35">
      <c r="A222" s="4" t="s">
        <v>460</v>
      </c>
      <c r="B222" s="5" t="str">
        <f>IF(COUNTIF($A$2:A222,A222)=1,"Original","Duplicate")</f>
        <v>Original</v>
      </c>
      <c r="C222" s="7">
        <v>45284</v>
      </c>
      <c r="D222" s="7">
        <v>45304</v>
      </c>
      <c r="E222">
        <f t="shared" si="34"/>
        <v>20</v>
      </c>
      <c r="F222" t="s">
        <v>647</v>
      </c>
      <c r="G222" t="s">
        <v>652</v>
      </c>
      <c r="H222" t="s">
        <v>694</v>
      </c>
      <c r="I222" t="s">
        <v>702</v>
      </c>
      <c r="J222" t="s">
        <v>711</v>
      </c>
      <c r="K222" t="s">
        <v>717</v>
      </c>
      <c r="L222" t="s">
        <v>731</v>
      </c>
      <c r="M222" t="s">
        <v>1179</v>
      </c>
      <c r="N222" s="23">
        <v>625.37</v>
      </c>
      <c r="O222" s="23">
        <v>1319.04</v>
      </c>
      <c r="P222" s="8">
        <v>7.3999999999999996E-2</v>
      </c>
      <c r="Q222">
        <v>8</v>
      </c>
      <c r="R222" s="23">
        <f t="shared" si="35"/>
        <v>9771.4483199999995</v>
      </c>
      <c r="S222" s="23">
        <f t="shared" si="36"/>
        <v>5002.96</v>
      </c>
      <c r="T222" s="23">
        <f t="shared" si="37"/>
        <v>4768.4883199999995</v>
      </c>
      <c r="U222" s="14">
        <f t="shared" si="38"/>
        <v>0.48800220436513547</v>
      </c>
      <c r="V222" s="7" t="str">
        <f t="shared" si="39"/>
        <v>Dec-2023</v>
      </c>
      <c r="W222" s="22">
        <f t="shared" si="40"/>
        <v>45261</v>
      </c>
      <c r="X222" s="7" t="str">
        <f t="shared" si="41"/>
        <v>Q4-2023</v>
      </c>
      <c r="Y222" t="str">
        <f t="shared" si="42"/>
        <v>Asia → Japan → Nagoya</v>
      </c>
      <c r="Z222" t="str">
        <f t="shared" si="43"/>
        <v>Laptops</v>
      </c>
      <c r="AA222" t="str" cm="1">
        <f t="array" ref="AA222">_xlfn.IFS(O222&lt;=$AF$2,"Low",AND(O222&gt;$AF$2,O222&lt;$AF$3),"Medium",O222&gt;=$AF$3,"High")</f>
        <v>Medium</v>
      </c>
      <c r="AB222" s="22">
        <f t="shared" si="44"/>
        <v>44986</v>
      </c>
      <c r="AC222">
        <v>9</v>
      </c>
    </row>
    <row r="223" spans="1:29" x14ac:dyDescent="0.35">
      <c r="A223" s="4" t="s">
        <v>384</v>
      </c>
      <c r="B223" s="5" t="str">
        <f>IF(COUNTIF($A$2:A223,A223)=1,"Original","Duplicate")</f>
        <v>Original</v>
      </c>
      <c r="C223" s="7">
        <v>45286</v>
      </c>
      <c r="D223" s="7">
        <v>45294</v>
      </c>
      <c r="E223">
        <f t="shared" si="34"/>
        <v>8</v>
      </c>
      <c r="F223" t="s">
        <v>649</v>
      </c>
      <c r="G223" t="s">
        <v>657</v>
      </c>
      <c r="H223" t="s">
        <v>679</v>
      </c>
      <c r="I223" t="s">
        <v>705</v>
      </c>
      <c r="J223" t="s">
        <v>707</v>
      </c>
      <c r="K223" t="s">
        <v>724</v>
      </c>
      <c r="L223" t="s">
        <v>731</v>
      </c>
      <c r="M223" t="s">
        <v>1104</v>
      </c>
      <c r="N223" s="23">
        <v>492.75</v>
      </c>
      <c r="O223" s="23">
        <v>731.29</v>
      </c>
      <c r="P223" s="8">
        <v>5.8000000000000003E-2</v>
      </c>
      <c r="Q223">
        <v>6</v>
      </c>
      <c r="R223" s="23">
        <f t="shared" si="35"/>
        <v>4133.25108</v>
      </c>
      <c r="S223" s="23">
        <f t="shared" si="36"/>
        <v>2956.5</v>
      </c>
      <c r="T223" s="23">
        <f t="shared" si="37"/>
        <v>1176.75108</v>
      </c>
      <c r="U223" s="14">
        <f t="shared" si="38"/>
        <v>0.28470350753528384</v>
      </c>
      <c r="V223" s="7" t="str">
        <f t="shared" si="39"/>
        <v>Dec-2023</v>
      </c>
      <c r="W223" s="22">
        <f t="shared" si="40"/>
        <v>45261</v>
      </c>
      <c r="X223" s="7" t="str">
        <f t="shared" si="41"/>
        <v>Q4-2023</v>
      </c>
      <c r="Y223" t="str">
        <f t="shared" si="42"/>
        <v>Europe → France → Lyon</v>
      </c>
      <c r="Z223" t="str">
        <f t="shared" si="43"/>
        <v>Laptops</v>
      </c>
      <c r="AA223" t="str" cm="1">
        <f t="array" ref="AA223">_xlfn.IFS(O223&lt;=$AF$2,"Low",AND(O223&gt;$AF$2,O223&lt;$AF$3),"Medium",O223&gt;=$AF$3,"High")</f>
        <v>Low</v>
      </c>
      <c r="AB223" s="22">
        <f t="shared" si="44"/>
        <v>44927</v>
      </c>
      <c r="AC223">
        <v>11</v>
      </c>
    </row>
    <row r="224" spans="1:29" x14ac:dyDescent="0.35">
      <c r="A224" s="4" t="s">
        <v>553</v>
      </c>
      <c r="B224" s="5" t="str">
        <f>IF(COUNTIF($A$2:A224,A224)=1,"Original","Duplicate")</f>
        <v>Original</v>
      </c>
      <c r="C224" s="7">
        <v>45288</v>
      </c>
      <c r="D224" s="7">
        <v>45292</v>
      </c>
      <c r="E224">
        <f t="shared" si="34"/>
        <v>4</v>
      </c>
      <c r="F224" t="s">
        <v>646</v>
      </c>
      <c r="G224" t="s">
        <v>661</v>
      </c>
      <c r="H224" t="s">
        <v>695</v>
      </c>
      <c r="I224" t="s">
        <v>702</v>
      </c>
      <c r="J224" t="s">
        <v>710</v>
      </c>
      <c r="K224" t="s">
        <v>720</v>
      </c>
      <c r="L224" t="s">
        <v>728</v>
      </c>
      <c r="M224" t="s">
        <v>1271</v>
      </c>
      <c r="N224" s="23">
        <v>1141.8</v>
      </c>
      <c r="O224" s="23">
        <v>2318.7399999999998</v>
      </c>
      <c r="P224" s="8">
        <v>0.107</v>
      </c>
      <c r="Q224">
        <v>32</v>
      </c>
      <c r="R224" s="23">
        <f t="shared" si="35"/>
        <v>66260.314239999992</v>
      </c>
      <c r="S224" s="23">
        <f t="shared" si="36"/>
        <v>36537.599999999999</v>
      </c>
      <c r="T224" s="23">
        <f t="shared" si="37"/>
        <v>29722.714239999994</v>
      </c>
      <c r="U224" s="14">
        <f t="shared" si="38"/>
        <v>0.44857490612468304</v>
      </c>
      <c r="V224" s="7" t="str">
        <f t="shared" si="39"/>
        <v>Dec-2023</v>
      </c>
      <c r="W224" s="22">
        <f t="shared" si="40"/>
        <v>45261</v>
      </c>
      <c r="X224" s="7" t="str">
        <f t="shared" si="41"/>
        <v>Q4-2023</v>
      </c>
      <c r="Y224" t="str">
        <f t="shared" si="42"/>
        <v>Africa → South Africa → Cape Town</v>
      </c>
      <c r="Z224" t="str">
        <f t="shared" si="43"/>
        <v>Printers</v>
      </c>
      <c r="AA224" t="str" cm="1">
        <f t="array" ref="AA224">_xlfn.IFS(O224&lt;=$AF$2,"Low",AND(O224&gt;$AF$2,O224&lt;$AF$3),"Medium",O224&gt;=$AF$3,"High")</f>
        <v>High</v>
      </c>
      <c r="AB224" s="22">
        <f t="shared" si="44"/>
        <v>44927</v>
      </c>
      <c r="AC224">
        <v>11</v>
      </c>
    </row>
    <row r="225" spans="1:29" x14ac:dyDescent="0.35">
      <c r="A225" s="4" t="s">
        <v>137</v>
      </c>
      <c r="B225" s="5" t="str">
        <f>IF(COUNTIF($A$2:A225,A225)=1,"Original","Duplicate")</f>
        <v>Original</v>
      </c>
      <c r="C225" s="7">
        <v>45289</v>
      </c>
      <c r="D225" s="7">
        <v>45311</v>
      </c>
      <c r="E225">
        <f t="shared" si="34"/>
        <v>22</v>
      </c>
      <c r="F225" t="s">
        <v>646</v>
      </c>
      <c r="G225" t="s">
        <v>650</v>
      </c>
      <c r="H225" t="s">
        <v>662</v>
      </c>
      <c r="I225" t="s">
        <v>701</v>
      </c>
      <c r="J225" t="s">
        <v>711</v>
      </c>
      <c r="K225" t="s">
        <v>716</v>
      </c>
      <c r="L225" t="s">
        <v>730</v>
      </c>
      <c r="M225" t="s">
        <v>856</v>
      </c>
      <c r="N225" s="23">
        <v>1395.49</v>
      </c>
      <c r="O225" s="23">
        <v>1679.42</v>
      </c>
      <c r="P225" s="8">
        <v>0.20300000000000001</v>
      </c>
      <c r="Q225">
        <v>12</v>
      </c>
      <c r="R225" s="23">
        <f t="shared" si="35"/>
        <v>16061.972879999999</v>
      </c>
      <c r="S225" s="23">
        <f t="shared" si="36"/>
        <v>16745.88</v>
      </c>
      <c r="T225" s="23">
        <f t="shared" si="37"/>
        <v>-683.90712000000167</v>
      </c>
      <c r="U225" s="14">
        <f t="shared" si="38"/>
        <v>-4.2579272490964493E-2</v>
      </c>
      <c r="V225" s="7" t="str">
        <f t="shared" si="39"/>
        <v>Dec-2023</v>
      </c>
      <c r="W225" s="22">
        <f t="shared" si="40"/>
        <v>45261</v>
      </c>
      <c r="X225" s="7" t="str">
        <f t="shared" si="41"/>
        <v>Q4-2023</v>
      </c>
      <c r="Y225" t="str">
        <f t="shared" si="42"/>
        <v>Africa → Kenya → Kisumu</v>
      </c>
      <c r="Z225" t="str">
        <f t="shared" si="43"/>
        <v>Phones</v>
      </c>
      <c r="AA225" t="str" cm="1">
        <f t="array" ref="AA225">_xlfn.IFS(O225&lt;=$AF$2,"Low",AND(O225&gt;$AF$2,O225&lt;$AF$3),"Medium",O225&gt;=$AF$3,"High")</f>
        <v>High</v>
      </c>
      <c r="AB225" s="22">
        <f t="shared" si="44"/>
        <v>44927</v>
      </c>
      <c r="AC225">
        <v>11</v>
      </c>
    </row>
    <row r="226" spans="1:29" x14ac:dyDescent="0.35">
      <c r="A226" s="4" t="s">
        <v>452</v>
      </c>
      <c r="B226" s="5" t="str">
        <f>IF(COUNTIF($A$2:A226,A226)=1,"Original","Duplicate")</f>
        <v>Original</v>
      </c>
      <c r="C226" s="7">
        <v>45290</v>
      </c>
      <c r="D226" s="7">
        <v>45299</v>
      </c>
      <c r="E226">
        <f t="shared" si="34"/>
        <v>9</v>
      </c>
      <c r="F226" t="s">
        <v>649</v>
      </c>
      <c r="G226" t="s">
        <v>657</v>
      </c>
      <c r="H226" t="s">
        <v>673</v>
      </c>
      <c r="I226" t="s">
        <v>704</v>
      </c>
      <c r="J226" t="s">
        <v>709</v>
      </c>
      <c r="K226" t="s">
        <v>716</v>
      </c>
      <c r="L226" t="s">
        <v>733</v>
      </c>
      <c r="M226" t="s">
        <v>1171</v>
      </c>
      <c r="N226" s="23">
        <v>861.1</v>
      </c>
      <c r="O226" s="23">
        <v>1224.72</v>
      </c>
      <c r="P226" s="8">
        <v>0.17399999999999999</v>
      </c>
      <c r="Q226">
        <v>24</v>
      </c>
      <c r="R226" s="23">
        <f t="shared" si="35"/>
        <v>24278.849280000002</v>
      </c>
      <c r="S226" s="23">
        <f t="shared" si="36"/>
        <v>20666.400000000001</v>
      </c>
      <c r="T226" s="23">
        <f t="shared" si="37"/>
        <v>3612.4492800000007</v>
      </c>
      <c r="U226" s="14">
        <f t="shared" si="38"/>
        <v>0.14878997098827909</v>
      </c>
      <c r="V226" s="7" t="str">
        <f t="shared" si="39"/>
        <v>Dec-2023</v>
      </c>
      <c r="W226" s="22">
        <f t="shared" si="40"/>
        <v>45261</v>
      </c>
      <c r="X226" s="7" t="str">
        <f t="shared" si="41"/>
        <v>Q4-2023</v>
      </c>
      <c r="Y226" t="str">
        <f t="shared" si="42"/>
        <v>Europe → France → Marseille</v>
      </c>
      <c r="Z226" t="str">
        <f t="shared" si="43"/>
        <v>Accessories</v>
      </c>
      <c r="AA226" t="str" cm="1">
        <f t="array" ref="AA226">_xlfn.IFS(O226&lt;=$AF$2,"Low",AND(O226&gt;$AF$2,O226&lt;$AF$3),"Medium",O226&gt;=$AF$3,"High")</f>
        <v>Medium</v>
      </c>
      <c r="AB226" s="22">
        <f t="shared" si="44"/>
        <v>44927</v>
      </c>
      <c r="AC226">
        <v>11</v>
      </c>
    </row>
    <row r="227" spans="1:29" x14ac:dyDescent="0.35">
      <c r="A227" s="4" t="s">
        <v>369</v>
      </c>
      <c r="B227" s="5" t="str">
        <f>IF(COUNTIF($A$2:A227,A227)=1,"Original","Duplicate")</f>
        <v>Original</v>
      </c>
      <c r="C227" s="7">
        <v>45292</v>
      </c>
      <c r="D227" s="7">
        <v>45318</v>
      </c>
      <c r="E227">
        <f t="shared" si="34"/>
        <v>26</v>
      </c>
      <c r="F227" t="s">
        <v>649</v>
      </c>
      <c r="G227" t="s">
        <v>658</v>
      </c>
      <c r="H227" t="s">
        <v>693</v>
      </c>
      <c r="I227" t="s">
        <v>702</v>
      </c>
      <c r="J227" t="s">
        <v>710</v>
      </c>
      <c r="K227" t="s">
        <v>726</v>
      </c>
      <c r="L227" t="s">
        <v>733</v>
      </c>
      <c r="M227" t="s">
        <v>1089</v>
      </c>
      <c r="N227" s="23">
        <v>657.45</v>
      </c>
      <c r="O227" s="23">
        <v>1325.96</v>
      </c>
      <c r="P227" s="8">
        <v>0.16700000000000001</v>
      </c>
      <c r="Q227">
        <v>21</v>
      </c>
      <c r="R227" s="23">
        <f t="shared" si="35"/>
        <v>23195.01828</v>
      </c>
      <c r="S227" s="23">
        <f t="shared" si="36"/>
        <v>13806.45</v>
      </c>
      <c r="T227" s="23">
        <f t="shared" si="37"/>
        <v>9388.5682799999995</v>
      </c>
      <c r="U227" s="14">
        <f t="shared" si="38"/>
        <v>0.40476658249048808</v>
      </c>
      <c r="V227" s="7" t="str">
        <f t="shared" si="39"/>
        <v>Jan-2024</v>
      </c>
      <c r="W227" s="22">
        <f t="shared" si="40"/>
        <v>45292</v>
      </c>
      <c r="X227" s="7" t="str">
        <f t="shared" si="41"/>
        <v>Q1-2024</v>
      </c>
      <c r="Y227" t="str">
        <f t="shared" si="42"/>
        <v>Europe → United Kingdom → Manchester</v>
      </c>
      <c r="Z227" t="str">
        <f t="shared" si="43"/>
        <v>Accessories</v>
      </c>
      <c r="AA227" t="str" cm="1">
        <f t="array" ref="AA227">_xlfn.IFS(O227&lt;=$AF$2,"Low",AND(O227&gt;$AF$2,O227&lt;$AF$3),"Medium",O227&gt;=$AF$3,"High")</f>
        <v>Medium</v>
      </c>
      <c r="AB227" s="22">
        <f t="shared" si="44"/>
        <v>44927</v>
      </c>
      <c r="AC227">
        <v>12</v>
      </c>
    </row>
    <row r="228" spans="1:29" x14ac:dyDescent="0.35">
      <c r="A228" s="4" t="s">
        <v>335</v>
      </c>
      <c r="B228" s="5" t="str">
        <f>IF(COUNTIF($A$2:A228,A228)=1,"Original","Duplicate")</f>
        <v>Original</v>
      </c>
      <c r="C228" s="7">
        <v>45293</v>
      </c>
      <c r="D228" s="7">
        <v>45300</v>
      </c>
      <c r="E228">
        <f t="shared" si="34"/>
        <v>7</v>
      </c>
      <c r="F228" t="s">
        <v>648</v>
      </c>
      <c r="G228" t="s">
        <v>660</v>
      </c>
      <c r="H228" t="s">
        <v>677</v>
      </c>
      <c r="I228" t="s">
        <v>702</v>
      </c>
      <c r="J228" t="s">
        <v>709</v>
      </c>
      <c r="K228" t="s">
        <v>717</v>
      </c>
      <c r="L228" t="s">
        <v>729</v>
      </c>
      <c r="M228" t="s">
        <v>1055</v>
      </c>
      <c r="N228" s="23">
        <v>404.77</v>
      </c>
      <c r="O228" s="23">
        <v>433.88</v>
      </c>
      <c r="P228" s="8">
        <v>0.215</v>
      </c>
      <c r="Q228">
        <v>22</v>
      </c>
      <c r="R228" s="23">
        <f t="shared" si="35"/>
        <v>7493.1076000000012</v>
      </c>
      <c r="S228" s="23">
        <f t="shared" si="36"/>
        <v>8904.9399999999987</v>
      </c>
      <c r="T228" s="23">
        <f t="shared" si="37"/>
        <v>-1411.8323999999975</v>
      </c>
      <c r="U228" s="14">
        <f t="shared" si="38"/>
        <v>-0.18841747314558746</v>
      </c>
      <c r="V228" s="7" t="str">
        <f t="shared" si="39"/>
        <v>Jan-2024</v>
      </c>
      <c r="W228" s="22">
        <f t="shared" si="40"/>
        <v>45292</v>
      </c>
      <c r="X228" s="7" t="str">
        <f t="shared" si="41"/>
        <v>Q1-2024</v>
      </c>
      <c r="Y228" t="str">
        <f t="shared" si="42"/>
        <v>Americas → USA → Chicago</v>
      </c>
      <c r="Z228" t="str">
        <f t="shared" si="43"/>
        <v>Networking</v>
      </c>
      <c r="AA228" t="str" cm="1">
        <f t="array" ref="AA228">_xlfn.IFS(O228&lt;=$AF$2,"Low",AND(O228&gt;$AF$2,O228&lt;$AF$3),"Medium",O228&gt;=$AF$3,"High")</f>
        <v>Low</v>
      </c>
      <c r="AB228" s="22">
        <f t="shared" si="44"/>
        <v>44927</v>
      </c>
      <c r="AC228">
        <v>12</v>
      </c>
    </row>
    <row r="229" spans="1:29" x14ac:dyDescent="0.35">
      <c r="A229" s="4" t="s">
        <v>494</v>
      </c>
      <c r="B229" s="5" t="str">
        <f>IF(COUNTIF($A$2:A229,A229)=1,"Original","Duplicate")</f>
        <v>Original</v>
      </c>
      <c r="C229" s="7">
        <v>45293</v>
      </c>
      <c r="D229" s="7">
        <v>45306</v>
      </c>
      <c r="E229">
        <f t="shared" si="34"/>
        <v>13</v>
      </c>
      <c r="F229" t="s">
        <v>647</v>
      </c>
      <c r="G229" t="s">
        <v>652</v>
      </c>
      <c r="H229" t="s">
        <v>694</v>
      </c>
      <c r="I229" t="s">
        <v>705</v>
      </c>
      <c r="J229" t="s">
        <v>709</v>
      </c>
      <c r="K229" t="s">
        <v>715</v>
      </c>
      <c r="L229" t="s">
        <v>729</v>
      </c>
      <c r="M229" t="s">
        <v>1213</v>
      </c>
      <c r="N229" s="23">
        <v>1219.06</v>
      </c>
      <c r="O229" s="23">
        <v>2738.69</v>
      </c>
      <c r="P229" s="8">
        <v>7.5999999999999998E-2</v>
      </c>
      <c r="Q229">
        <v>16</v>
      </c>
      <c r="R229" s="23">
        <f t="shared" si="35"/>
        <v>40488.792960000006</v>
      </c>
      <c r="S229" s="23">
        <f t="shared" si="36"/>
        <v>19504.96</v>
      </c>
      <c r="T229" s="23">
        <f t="shared" si="37"/>
        <v>20983.832960000007</v>
      </c>
      <c r="U229" s="14">
        <f t="shared" si="38"/>
        <v>0.51826274447673737</v>
      </c>
      <c r="V229" s="7" t="str">
        <f t="shared" si="39"/>
        <v>Jan-2024</v>
      </c>
      <c r="W229" s="22">
        <f t="shared" si="40"/>
        <v>45292</v>
      </c>
      <c r="X229" s="7" t="str">
        <f t="shared" si="41"/>
        <v>Q1-2024</v>
      </c>
      <c r="Y229" t="str">
        <f t="shared" si="42"/>
        <v>Asia → Japan → Nagoya</v>
      </c>
      <c r="Z229" t="str">
        <f t="shared" si="43"/>
        <v>Networking</v>
      </c>
      <c r="AA229" t="str" cm="1">
        <f t="array" ref="AA229">_xlfn.IFS(O229&lt;=$AF$2,"Low",AND(O229&gt;$AF$2,O229&lt;$AF$3),"Medium",O229&gt;=$AF$3,"High")</f>
        <v>High</v>
      </c>
      <c r="AB229" s="22">
        <f t="shared" si="44"/>
        <v>44986</v>
      </c>
      <c r="AC229">
        <v>10</v>
      </c>
    </row>
    <row r="230" spans="1:29" x14ac:dyDescent="0.35">
      <c r="A230" s="4" t="s">
        <v>587</v>
      </c>
      <c r="B230" s="5" t="str">
        <f>IF(COUNTIF($A$2:A230,A230)=1,"Original","Duplicate")</f>
        <v>Original</v>
      </c>
      <c r="C230" s="7">
        <v>45293</v>
      </c>
      <c r="D230" s="7">
        <v>45300</v>
      </c>
      <c r="E230">
        <f t="shared" si="34"/>
        <v>7</v>
      </c>
      <c r="F230" t="s">
        <v>648</v>
      </c>
      <c r="G230" t="s">
        <v>653</v>
      </c>
      <c r="H230" t="s">
        <v>688</v>
      </c>
      <c r="I230" t="s">
        <v>702</v>
      </c>
      <c r="J230" t="s">
        <v>711</v>
      </c>
      <c r="K230" t="s">
        <v>720</v>
      </c>
      <c r="L230" t="s">
        <v>731</v>
      </c>
      <c r="M230" t="s">
        <v>1305</v>
      </c>
      <c r="N230" s="23">
        <v>444.41</v>
      </c>
      <c r="O230" s="23">
        <v>754.24</v>
      </c>
      <c r="P230" s="8">
        <v>0.20699999999999999</v>
      </c>
      <c r="Q230">
        <v>32</v>
      </c>
      <c r="R230" s="23">
        <f t="shared" si="35"/>
        <v>19139.594240000002</v>
      </c>
      <c r="S230" s="23">
        <f t="shared" si="36"/>
        <v>14221.12</v>
      </c>
      <c r="T230" s="23">
        <f t="shared" si="37"/>
        <v>4918.4742400000014</v>
      </c>
      <c r="U230" s="14">
        <f t="shared" si="38"/>
        <v>0.25697902360546598</v>
      </c>
      <c r="V230" s="7" t="str">
        <f t="shared" si="39"/>
        <v>Jan-2024</v>
      </c>
      <c r="W230" s="22">
        <f t="shared" si="40"/>
        <v>45292</v>
      </c>
      <c r="X230" s="7" t="str">
        <f t="shared" si="41"/>
        <v>Q1-2024</v>
      </c>
      <c r="Y230" t="str">
        <f t="shared" si="42"/>
        <v>Americas → Canada → Vancouver</v>
      </c>
      <c r="Z230" t="str">
        <f t="shared" si="43"/>
        <v>Laptops</v>
      </c>
      <c r="AA230" t="str" cm="1">
        <f t="array" ref="AA230">_xlfn.IFS(O230&lt;=$AF$2,"Low",AND(O230&gt;$AF$2,O230&lt;$AF$3),"Medium",O230&gt;=$AF$3,"High")</f>
        <v>Low</v>
      </c>
      <c r="AB230" s="22">
        <f t="shared" si="44"/>
        <v>44927</v>
      </c>
      <c r="AC230">
        <v>12</v>
      </c>
    </row>
    <row r="231" spans="1:29" x14ac:dyDescent="0.35">
      <c r="A231" s="4" t="s">
        <v>574</v>
      </c>
      <c r="B231" s="5" t="str">
        <f>IF(COUNTIF($A$2:A231,A231)=1,"Original","Duplicate")</f>
        <v>Original</v>
      </c>
      <c r="C231" s="7">
        <v>45299</v>
      </c>
      <c r="D231" s="7">
        <v>45303</v>
      </c>
      <c r="E231">
        <f t="shared" si="34"/>
        <v>4</v>
      </c>
      <c r="F231" t="s">
        <v>647</v>
      </c>
      <c r="G231" t="s">
        <v>654</v>
      </c>
      <c r="H231" t="s">
        <v>668</v>
      </c>
      <c r="I231" t="s">
        <v>701</v>
      </c>
      <c r="J231" t="s">
        <v>711</v>
      </c>
      <c r="K231" t="s">
        <v>718</v>
      </c>
      <c r="L231" t="s">
        <v>728</v>
      </c>
      <c r="M231" t="s">
        <v>1292</v>
      </c>
      <c r="N231" s="23">
        <v>802.32</v>
      </c>
      <c r="O231" s="23">
        <v>602.34</v>
      </c>
      <c r="P231" s="8">
        <v>0.12</v>
      </c>
      <c r="Q231">
        <v>25</v>
      </c>
      <c r="R231" s="23">
        <f t="shared" si="35"/>
        <v>13251.48</v>
      </c>
      <c r="S231" s="23">
        <f t="shared" si="36"/>
        <v>20058</v>
      </c>
      <c r="T231" s="23">
        <f t="shared" si="37"/>
        <v>-6806.52</v>
      </c>
      <c r="U231" s="14">
        <f t="shared" si="38"/>
        <v>-0.51364224977134632</v>
      </c>
      <c r="V231" s="7" t="str">
        <f t="shared" si="39"/>
        <v>Jan-2024</v>
      </c>
      <c r="W231" s="22">
        <f t="shared" si="40"/>
        <v>45292</v>
      </c>
      <c r="X231" s="7" t="str">
        <f t="shared" si="41"/>
        <v>Q1-2024</v>
      </c>
      <c r="Y231" t="str">
        <f t="shared" si="42"/>
        <v>Asia → India → Bengaluru</v>
      </c>
      <c r="Z231" t="str">
        <f t="shared" si="43"/>
        <v>Printers</v>
      </c>
      <c r="AA231" t="str" cm="1">
        <f t="array" ref="AA231">_xlfn.IFS(O231&lt;=$AF$2,"Low",AND(O231&gt;$AF$2,O231&lt;$AF$3),"Medium",O231&gt;=$AF$3,"High")</f>
        <v>Low</v>
      </c>
      <c r="AB231" s="22">
        <f t="shared" si="44"/>
        <v>44958</v>
      </c>
      <c r="AC231">
        <v>11</v>
      </c>
    </row>
    <row r="232" spans="1:29" x14ac:dyDescent="0.35">
      <c r="A232" s="4" t="s">
        <v>283</v>
      </c>
      <c r="B232" s="5" t="str">
        <f>IF(COUNTIF($A$2:A232,A232)=1,"Original","Duplicate")</f>
        <v>Original</v>
      </c>
      <c r="C232" s="7">
        <v>45301</v>
      </c>
      <c r="D232" s="7">
        <v>45314</v>
      </c>
      <c r="E232">
        <f t="shared" si="34"/>
        <v>13</v>
      </c>
      <c r="F232" t="s">
        <v>649</v>
      </c>
      <c r="G232" t="s">
        <v>657</v>
      </c>
      <c r="H232" t="s">
        <v>673</v>
      </c>
      <c r="I232" t="s">
        <v>701</v>
      </c>
      <c r="J232" t="s">
        <v>711</v>
      </c>
      <c r="K232" t="s">
        <v>720</v>
      </c>
      <c r="L232" t="s">
        <v>728</v>
      </c>
      <c r="M232" t="s">
        <v>1003</v>
      </c>
      <c r="N232" s="23">
        <v>720</v>
      </c>
      <c r="O232" s="23">
        <v>907.59</v>
      </c>
      <c r="P232" s="8">
        <v>0.154</v>
      </c>
      <c r="Q232">
        <v>10</v>
      </c>
      <c r="R232" s="23">
        <f t="shared" si="35"/>
        <v>7678.2113999999992</v>
      </c>
      <c r="S232" s="23">
        <f t="shared" si="36"/>
        <v>7200</v>
      </c>
      <c r="T232" s="23">
        <f t="shared" si="37"/>
        <v>478.21139999999923</v>
      </c>
      <c r="U232" s="14">
        <f t="shared" si="38"/>
        <v>6.2281614179052078E-2</v>
      </c>
      <c r="V232" s="7" t="str">
        <f t="shared" si="39"/>
        <v>Jan-2024</v>
      </c>
      <c r="W232" s="22">
        <f t="shared" si="40"/>
        <v>45292</v>
      </c>
      <c r="X232" s="7" t="str">
        <f t="shared" si="41"/>
        <v>Q1-2024</v>
      </c>
      <c r="Y232" t="str">
        <f t="shared" si="42"/>
        <v>Europe → France → Marseille</v>
      </c>
      <c r="Z232" t="str">
        <f t="shared" si="43"/>
        <v>Printers</v>
      </c>
      <c r="AA232" t="str" cm="1">
        <f t="array" ref="AA232">_xlfn.IFS(O232&lt;=$AF$2,"Low",AND(O232&gt;$AF$2,O232&lt;$AF$3),"Medium",O232&gt;=$AF$3,"High")</f>
        <v>Medium</v>
      </c>
      <c r="AB232" s="22">
        <f t="shared" si="44"/>
        <v>44927</v>
      </c>
      <c r="AC232">
        <v>12</v>
      </c>
    </row>
    <row r="233" spans="1:29" x14ac:dyDescent="0.35">
      <c r="A233" s="4" t="s">
        <v>56</v>
      </c>
      <c r="B233" s="5" t="str">
        <f>IF(COUNTIF($A$2:A233,A233)=1,"Original","Duplicate")</f>
        <v>Original</v>
      </c>
      <c r="C233" s="7">
        <v>45302</v>
      </c>
      <c r="D233" s="7">
        <v>45324</v>
      </c>
      <c r="E233">
        <f t="shared" si="34"/>
        <v>22</v>
      </c>
      <c r="F233" t="s">
        <v>646</v>
      </c>
      <c r="G233" t="s">
        <v>661</v>
      </c>
      <c r="H233" t="s">
        <v>687</v>
      </c>
      <c r="I233" t="s">
        <v>704</v>
      </c>
      <c r="J233" t="s">
        <v>708</v>
      </c>
      <c r="K233" t="s">
        <v>723</v>
      </c>
      <c r="L233" t="s">
        <v>729</v>
      </c>
      <c r="M233" t="s">
        <v>775</v>
      </c>
      <c r="N233" s="23">
        <v>1206.2</v>
      </c>
      <c r="O233" s="23">
        <v>1759.79</v>
      </c>
      <c r="P233" s="8">
        <v>0</v>
      </c>
      <c r="Q233">
        <v>6</v>
      </c>
      <c r="R233" s="23">
        <f t="shared" si="35"/>
        <v>10558.74</v>
      </c>
      <c r="S233" s="23">
        <f t="shared" si="36"/>
        <v>7237.2000000000007</v>
      </c>
      <c r="T233" s="23">
        <f t="shared" si="37"/>
        <v>3321.5399999999991</v>
      </c>
      <c r="U233" s="14">
        <f t="shared" si="38"/>
        <v>0.31457730751964713</v>
      </c>
      <c r="V233" s="7" t="str">
        <f t="shared" si="39"/>
        <v>Jan-2024</v>
      </c>
      <c r="W233" s="22">
        <f t="shared" si="40"/>
        <v>45292</v>
      </c>
      <c r="X233" s="7" t="str">
        <f t="shared" si="41"/>
        <v>Q1-2024</v>
      </c>
      <c r="Y233" t="str">
        <f t="shared" si="42"/>
        <v>Africa → South Africa → Durban</v>
      </c>
      <c r="Z233" t="str">
        <f t="shared" si="43"/>
        <v>Networking</v>
      </c>
      <c r="AA233" t="str" cm="1">
        <f t="array" ref="AA233">_xlfn.IFS(O233&lt;=$AF$2,"Low",AND(O233&gt;$AF$2,O233&lt;$AF$3),"Medium",O233&gt;=$AF$3,"High")</f>
        <v>High</v>
      </c>
      <c r="AB233" s="22">
        <f t="shared" si="44"/>
        <v>44927</v>
      </c>
      <c r="AC233">
        <v>12</v>
      </c>
    </row>
    <row r="234" spans="1:29" x14ac:dyDescent="0.35">
      <c r="A234" s="4" t="s">
        <v>249</v>
      </c>
      <c r="B234" s="5" t="str">
        <f>IF(COUNTIF($A$2:A234,A234)=1,"Original","Duplicate")</f>
        <v>Original</v>
      </c>
      <c r="C234" s="7">
        <v>45302</v>
      </c>
      <c r="D234" s="7">
        <v>45324</v>
      </c>
      <c r="E234">
        <f t="shared" si="34"/>
        <v>22</v>
      </c>
      <c r="F234" t="s">
        <v>647</v>
      </c>
      <c r="G234" t="s">
        <v>652</v>
      </c>
      <c r="H234" t="s">
        <v>694</v>
      </c>
      <c r="I234" t="s">
        <v>705</v>
      </c>
      <c r="J234" t="s">
        <v>708</v>
      </c>
      <c r="K234" t="s">
        <v>1432</v>
      </c>
      <c r="L234" t="s">
        <v>728</v>
      </c>
      <c r="M234" t="s">
        <v>969</v>
      </c>
      <c r="N234" s="23">
        <v>1237.68</v>
      </c>
      <c r="O234" s="23">
        <v>1432.8</v>
      </c>
      <c r="P234" s="8">
        <v>6.8000000000000005E-2</v>
      </c>
      <c r="Q234">
        <v>13</v>
      </c>
      <c r="R234" s="23">
        <f t="shared" si="35"/>
        <v>17359.804799999998</v>
      </c>
      <c r="S234" s="23">
        <f t="shared" si="36"/>
        <v>16089.84</v>
      </c>
      <c r="T234" s="23">
        <f t="shared" si="37"/>
        <v>1269.9647999999979</v>
      </c>
      <c r="U234" s="14">
        <f t="shared" si="38"/>
        <v>7.315547695559331E-2</v>
      </c>
      <c r="V234" s="7" t="str">
        <f t="shared" si="39"/>
        <v>Jan-2024</v>
      </c>
      <c r="W234" s="22">
        <f t="shared" si="40"/>
        <v>45292</v>
      </c>
      <c r="X234" s="7" t="str">
        <f t="shared" si="41"/>
        <v>Q1-2024</v>
      </c>
      <c r="Y234" t="str">
        <f t="shared" si="42"/>
        <v>Asia → Japan → Nagoya</v>
      </c>
      <c r="Z234" t="str">
        <f t="shared" si="43"/>
        <v>Printers</v>
      </c>
      <c r="AA234" t="str" cm="1">
        <f t="array" ref="AA234">_xlfn.IFS(O234&lt;=$AF$2,"Low",AND(O234&gt;$AF$2,O234&lt;$AF$3),"Medium",O234&gt;=$AF$3,"High")</f>
        <v>Medium</v>
      </c>
      <c r="AB234" s="22">
        <f t="shared" si="44"/>
        <v>44986</v>
      </c>
      <c r="AC234">
        <v>10</v>
      </c>
    </row>
    <row r="235" spans="1:29" x14ac:dyDescent="0.35">
      <c r="A235" s="4" t="s">
        <v>215</v>
      </c>
      <c r="B235" s="5" t="str">
        <f>IF(COUNTIF($A$2:A235,A235)=1,"Original","Duplicate")</f>
        <v>Original</v>
      </c>
      <c r="C235" s="7">
        <v>45303</v>
      </c>
      <c r="D235" s="7">
        <v>45320</v>
      </c>
      <c r="E235">
        <f t="shared" si="34"/>
        <v>17</v>
      </c>
      <c r="F235" t="s">
        <v>648</v>
      </c>
      <c r="G235" t="s">
        <v>660</v>
      </c>
      <c r="H235" t="s">
        <v>677</v>
      </c>
      <c r="I235" t="s">
        <v>702</v>
      </c>
      <c r="J235" t="s">
        <v>710</v>
      </c>
      <c r="K235" t="s">
        <v>720</v>
      </c>
      <c r="L235" t="s">
        <v>728</v>
      </c>
      <c r="M235" t="s">
        <v>935</v>
      </c>
      <c r="N235" s="23">
        <v>493.76</v>
      </c>
      <c r="O235" s="23">
        <v>625.04</v>
      </c>
      <c r="P235" s="8">
        <v>0.25800000000000001</v>
      </c>
      <c r="Q235">
        <v>10</v>
      </c>
      <c r="R235" s="23">
        <f t="shared" si="35"/>
        <v>4637.7968000000001</v>
      </c>
      <c r="S235" s="23">
        <f t="shared" si="36"/>
        <v>4937.6000000000004</v>
      </c>
      <c r="T235" s="23">
        <f t="shared" si="37"/>
        <v>-299.80320000000029</v>
      </c>
      <c r="U235" s="14">
        <f t="shared" si="38"/>
        <v>-6.464345311549663E-2</v>
      </c>
      <c r="V235" s="7" t="str">
        <f t="shared" si="39"/>
        <v>Jan-2024</v>
      </c>
      <c r="W235" s="22">
        <f t="shared" si="40"/>
        <v>45292</v>
      </c>
      <c r="X235" s="7" t="str">
        <f t="shared" si="41"/>
        <v>Q1-2024</v>
      </c>
      <c r="Y235" t="str">
        <f t="shared" si="42"/>
        <v>Americas → USA → Chicago</v>
      </c>
      <c r="Z235" t="str">
        <f t="shared" si="43"/>
        <v>Printers</v>
      </c>
      <c r="AA235" t="str" cm="1">
        <f t="array" ref="AA235">_xlfn.IFS(O235&lt;=$AF$2,"Low",AND(O235&gt;$AF$2,O235&lt;$AF$3),"Medium",O235&gt;=$AF$3,"High")</f>
        <v>Low</v>
      </c>
      <c r="AB235" s="22">
        <f t="shared" si="44"/>
        <v>44927</v>
      </c>
      <c r="AC235">
        <v>12</v>
      </c>
    </row>
    <row r="236" spans="1:29" x14ac:dyDescent="0.35">
      <c r="A236" s="4" t="s">
        <v>340</v>
      </c>
      <c r="B236" s="5" t="str">
        <f>IF(COUNTIF($A$2:A236,A236)=1,"Original","Duplicate")</f>
        <v>Original</v>
      </c>
      <c r="C236" s="7">
        <v>45303</v>
      </c>
      <c r="D236" s="7">
        <v>45320</v>
      </c>
      <c r="E236">
        <f t="shared" si="34"/>
        <v>17</v>
      </c>
      <c r="F236" t="s">
        <v>647</v>
      </c>
      <c r="G236" t="s">
        <v>654</v>
      </c>
      <c r="H236" t="s">
        <v>696</v>
      </c>
      <c r="I236" t="s">
        <v>705</v>
      </c>
      <c r="J236" t="s">
        <v>711</v>
      </c>
      <c r="K236" t="s">
        <v>717</v>
      </c>
      <c r="L236" t="s">
        <v>727</v>
      </c>
      <c r="M236" t="s">
        <v>1060</v>
      </c>
      <c r="N236" s="23">
        <v>310.02</v>
      </c>
      <c r="O236" s="23">
        <v>619.51</v>
      </c>
      <c r="P236" s="8">
        <v>4.2000000000000003E-2</v>
      </c>
      <c r="Q236">
        <v>4</v>
      </c>
      <c r="R236" s="23">
        <f t="shared" si="35"/>
        <v>2373.9623200000001</v>
      </c>
      <c r="S236" s="23">
        <f t="shared" si="36"/>
        <v>1240.08</v>
      </c>
      <c r="T236" s="23">
        <f t="shared" si="37"/>
        <v>1133.8823200000002</v>
      </c>
      <c r="U236" s="14">
        <f t="shared" si="38"/>
        <v>0.47763282106347843</v>
      </c>
      <c r="V236" s="7" t="str">
        <f t="shared" si="39"/>
        <v>Jan-2024</v>
      </c>
      <c r="W236" s="22">
        <f t="shared" si="40"/>
        <v>45292</v>
      </c>
      <c r="X236" s="7" t="str">
        <f t="shared" si="41"/>
        <v>Q1-2024</v>
      </c>
      <c r="Y236" t="str">
        <f t="shared" si="42"/>
        <v>Asia → India → Hyderabad</v>
      </c>
      <c r="Z236" t="str">
        <f t="shared" si="43"/>
        <v>Components</v>
      </c>
      <c r="AA236" t="str" cm="1">
        <f t="array" ref="AA236">_xlfn.IFS(O236&lt;=$AF$2,"Low",AND(O236&gt;$AF$2,O236&lt;$AF$3),"Medium",O236&gt;=$AF$3,"High")</f>
        <v>Low</v>
      </c>
      <c r="AB236" s="22">
        <f t="shared" si="44"/>
        <v>44958</v>
      </c>
      <c r="AC236">
        <v>11</v>
      </c>
    </row>
    <row r="237" spans="1:29" x14ac:dyDescent="0.35">
      <c r="A237" s="4" t="s">
        <v>116</v>
      </c>
      <c r="B237" s="5" t="str">
        <f>IF(COUNTIF($A$2:A237,A237)=1,"Original","Duplicate")</f>
        <v>Original</v>
      </c>
      <c r="C237" s="7">
        <v>45304</v>
      </c>
      <c r="D237" s="7">
        <v>45313</v>
      </c>
      <c r="E237">
        <f t="shared" si="34"/>
        <v>9</v>
      </c>
      <c r="F237" t="s">
        <v>647</v>
      </c>
      <c r="G237" t="s">
        <v>654</v>
      </c>
      <c r="H237" t="s">
        <v>691</v>
      </c>
      <c r="I237" t="s">
        <v>706</v>
      </c>
      <c r="J237" t="s">
        <v>709</v>
      </c>
      <c r="K237" t="s">
        <v>713</v>
      </c>
      <c r="L237" t="s">
        <v>727</v>
      </c>
      <c r="M237" t="s">
        <v>835</v>
      </c>
      <c r="N237" s="23">
        <v>313.60000000000002</v>
      </c>
      <c r="O237" s="23">
        <v>334.28</v>
      </c>
      <c r="P237" s="8">
        <v>0.14000000000000001</v>
      </c>
      <c r="Q237">
        <v>22</v>
      </c>
      <c r="R237" s="23">
        <f t="shared" si="35"/>
        <v>6324.5775999999996</v>
      </c>
      <c r="S237" s="23">
        <f t="shared" si="36"/>
        <v>6899.2000000000007</v>
      </c>
      <c r="T237" s="23">
        <f t="shared" si="37"/>
        <v>-574.62240000000111</v>
      </c>
      <c r="U237" s="14">
        <f t="shared" si="38"/>
        <v>-9.0855458868905517E-2</v>
      </c>
      <c r="V237" s="7" t="str">
        <f t="shared" si="39"/>
        <v>Jan-2024</v>
      </c>
      <c r="W237" s="22">
        <f t="shared" si="40"/>
        <v>45292</v>
      </c>
      <c r="X237" s="7" t="str">
        <f t="shared" si="41"/>
        <v>Q1-2024</v>
      </c>
      <c r="Y237" t="str">
        <f t="shared" si="42"/>
        <v>Asia → India → Mumbai</v>
      </c>
      <c r="Z237" t="str">
        <f t="shared" si="43"/>
        <v>Components</v>
      </c>
      <c r="AA237" t="str" cm="1">
        <f t="array" ref="AA237">_xlfn.IFS(O237&lt;=$AF$2,"Low",AND(O237&gt;$AF$2,O237&lt;$AF$3),"Medium",O237&gt;=$AF$3,"High")</f>
        <v>Low</v>
      </c>
      <c r="AB237" s="22">
        <f t="shared" si="44"/>
        <v>44958</v>
      </c>
      <c r="AC237">
        <v>11</v>
      </c>
    </row>
    <row r="238" spans="1:29" x14ac:dyDescent="0.35">
      <c r="A238" s="4" t="s">
        <v>298</v>
      </c>
      <c r="B238" s="5" t="str">
        <f>IF(COUNTIF($A$2:A238,A238)=1,"Original","Duplicate")</f>
        <v>Original</v>
      </c>
      <c r="C238" s="7">
        <v>45304</v>
      </c>
      <c r="D238" s="7">
        <v>45327</v>
      </c>
      <c r="E238">
        <f t="shared" si="34"/>
        <v>23</v>
      </c>
      <c r="F238" t="s">
        <v>649</v>
      </c>
      <c r="G238" t="s">
        <v>656</v>
      </c>
      <c r="H238" t="s">
        <v>698</v>
      </c>
      <c r="I238" t="s">
        <v>702</v>
      </c>
      <c r="J238" t="s">
        <v>711</v>
      </c>
      <c r="K238" t="s">
        <v>717</v>
      </c>
      <c r="L238" t="s">
        <v>731</v>
      </c>
      <c r="M238" t="s">
        <v>1018</v>
      </c>
      <c r="N238" s="23">
        <v>1017.93</v>
      </c>
      <c r="O238" s="23">
        <v>1529.14</v>
      </c>
      <c r="P238" s="8">
        <v>0.155</v>
      </c>
      <c r="Q238">
        <v>12</v>
      </c>
      <c r="R238" s="23">
        <f t="shared" si="35"/>
        <v>15505.479600000001</v>
      </c>
      <c r="S238" s="23">
        <f t="shared" si="36"/>
        <v>12215.16</v>
      </c>
      <c r="T238" s="23">
        <f t="shared" si="37"/>
        <v>3290.3196000000007</v>
      </c>
      <c r="U238" s="14">
        <f t="shared" si="38"/>
        <v>0.21220366508366503</v>
      </c>
      <c r="V238" s="7" t="str">
        <f t="shared" si="39"/>
        <v>Jan-2024</v>
      </c>
      <c r="W238" s="22">
        <f t="shared" si="40"/>
        <v>45292</v>
      </c>
      <c r="X238" s="7" t="str">
        <f t="shared" si="41"/>
        <v>Q1-2024</v>
      </c>
      <c r="Y238" t="str">
        <f t="shared" si="42"/>
        <v>Europe → Germany → Frankfurt</v>
      </c>
      <c r="Z238" t="str">
        <f t="shared" si="43"/>
        <v>Laptops</v>
      </c>
      <c r="AA238" t="str" cm="1">
        <f t="array" ref="AA238">_xlfn.IFS(O238&lt;=$AF$2,"Low",AND(O238&gt;$AF$2,O238&lt;$AF$3),"Medium",O238&gt;=$AF$3,"High")</f>
        <v>Medium</v>
      </c>
      <c r="AB238" s="22">
        <f t="shared" si="44"/>
        <v>44927</v>
      </c>
      <c r="AC238">
        <v>12</v>
      </c>
    </row>
    <row r="239" spans="1:29" x14ac:dyDescent="0.35">
      <c r="A239" s="4" t="s">
        <v>538</v>
      </c>
      <c r="B239" s="5" t="str">
        <f>IF(COUNTIF($A$2:A239,A239)=1,"Original","Duplicate")</f>
        <v>Original</v>
      </c>
      <c r="C239" s="7">
        <v>45304</v>
      </c>
      <c r="D239" s="7">
        <v>45306</v>
      </c>
      <c r="E239">
        <f t="shared" si="34"/>
        <v>2</v>
      </c>
      <c r="F239" t="s">
        <v>648</v>
      </c>
      <c r="G239" t="s">
        <v>660</v>
      </c>
      <c r="H239" t="s">
        <v>686</v>
      </c>
      <c r="I239" t="s">
        <v>703</v>
      </c>
      <c r="J239" t="s">
        <v>711</v>
      </c>
      <c r="K239" t="s">
        <v>718</v>
      </c>
      <c r="L239" t="s">
        <v>727</v>
      </c>
      <c r="M239" t="s">
        <v>1257</v>
      </c>
      <c r="N239" s="23">
        <v>1061.3699999999999</v>
      </c>
      <c r="O239" s="23">
        <v>1938.33</v>
      </c>
      <c r="P239" s="8">
        <v>0.17</v>
      </c>
      <c r="Q239">
        <v>4</v>
      </c>
      <c r="R239" s="23">
        <f t="shared" si="35"/>
        <v>6435.2555999999995</v>
      </c>
      <c r="S239" s="23">
        <f t="shared" si="36"/>
        <v>4245.4799999999996</v>
      </c>
      <c r="T239" s="23">
        <f t="shared" si="37"/>
        <v>2189.7755999999999</v>
      </c>
      <c r="U239" s="14">
        <f t="shared" si="38"/>
        <v>0.34027795259600879</v>
      </c>
      <c r="V239" s="7" t="str">
        <f t="shared" si="39"/>
        <v>Jan-2024</v>
      </c>
      <c r="W239" s="22">
        <f t="shared" si="40"/>
        <v>45292</v>
      </c>
      <c r="X239" s="7" t="str">
        <f t="shared" si="41"/>
        <v>Q1-2024</v>
      </c>
      <c r="Y239" t="str">
        <f t="shared" si="42"/>
        <v>Americas → USA → San Francisco</v>
      </c>
      <c r="Z239" t="str">
        <f t="shared" si="43"/>
        <v>Components</v>
      </c>
      <c r="AA239" t="str" cm="1">
        <f t="array" ref="AA239">_xlfn.IFS(O239&lt;=$AF$2,"Low",AND(O239&gt;$AF$2,O239&lt;$AF$3),"Medium",O239&gt;=$AF$3,"High")</f>
        <v>High</v>
      </c>
      <c r="AB239" s="22">
        <f t="shared" si="44"/>
        <v>44927</v>
      </c>
      <c r="AC239">
        <v>12</v>
      </c>
    </row>
    <row r="240" spans="1:29" x14ac:dyDescent="0.35">
      <c r="A240" s="4" t="s">
        <v>433</v>
      </c>
      <c r="B240" s="5" t="str">
        <f>IF(COUNTIF($A$2:A240,A240)=1,"Original","Duplicate")</f>
        <v>Original</v>
      </c>
      <c r="C240" s="7">
        <v>45307</v>
      </c>
      <c r="D240" s="7">
        <v>45333</v>
      </c>
      <c r="E240">
        <f t="shared" si="34"/>
        <v>26</v>
      </c>
      <c r="F240" t="s">
        <v>649</v>
      </c>
      <c r="G240" t="s">
        <v>656</v>
      </c>
      <c r="H240" t="s">
        <v>698</v>
      </c>
      <c r="I240" t="s">
        <v>703</v>
      </c>
      <c r="J240" t="s">
        <v>710</v>
      </c>
      <c r="K240" t="s">
        <v>718</v>
      </c>
      <c r="L240" t="s">
        <v>732</v>
      </c>
      <c r="M240" t="s">
        <v>1152</v>
      </c>
      <c r="N240" s="23">
        <v>504.93</v>
      </c>
      <c r="O240" s="23">
        <v>819.06</v>
      </c>
      <c r="P240" s="8">
        <v>0.22600000000000001</v>
      </c>
      <c r="Q240">
        <v>15</v>
      </c>
      <c r="R240" s="23">
        <f t="shared" si="35"/>
        <v>9509.2865999999995</v>
      </c>
      <c r="S240" s="23">
        <f t="shared" si="36"/>
        <v>7573.95</v>
      </c>
      <c r="T240" s="23">
        <f t="shared" si="37"/>
        <v>1935.3365999999996</v>
      </c>
      <c r="U240" s="14">
        <f t="shared" si="38"/>
        <v>0.20352069312959814</v>
      </c>
      <c r="V240" s="7" t="str">
        <f t="shared" si="39"/>
        <v>Jan-2024</v>
      </c>
      <c r="W240" s="22">
        <f t="shared" si="40"/>
        <v>45292</v>
      </c>
      <c r="X240" s="7" t="str">
        <f t="shared" si="41"/>
        <v>Q1-2024</v>
      </c>
      <c r="Y240" t="str">
        <f t="shared" si="42"/>
        <v>Europe → Germany → Frankfurt</v>
      </c>
      <c r="Z240" t="str">
        <f t="shared" si="43"/>
        <v>Monitors</v>
      </c>
      <c r="AA240" t="str" cm="1">
        <f t="array" ref="AA240">_xlfn.IFS(O240&lt;=$AF$2,"Low",AND(O240&gt;$AF$2,O240&lt;$AF$3),"Medium",O240&gt;=$AF$3,"High")</f>
        <v>Low</v>
      </c>
      <c r="AB240" s="22">
        <f t="shared" si="44"/>
        <v>44927</v>
      </c>
      <c r="AC240">
        <v>12</v>
      </c>
    </row>
    <row r="241" spans="1:29" x14ac:dyDescent="0.35">
      <c r="A241" s="4" t="s">
        <v>373</v>
      </c>
      <c r="B241" s="5" t="str">
        <f>IF(COUNTIF($A$2:A241,A241)=1,"Original","Duplicate")</f>
        <v>Original</v>
      </c>
      <c r="C241" s="7">
        <v>45309</v>
      </c>
      <c r="D241" s="7">
        <v>45325</v>
      </c>
      <c r="E241">
        <f t="shared" si="34"/>
        <v>16</v>
      </c>
      <c r="F241" t="s">
        <v>646</v>
      </c>
      <c r="G241" t="s">
        <v>661</v>
      </c>
      <c r="H241" t="s">
        <v>695</v>
      </c>
      <c r="I241" t="s">
        <v>703</v>
      </c>
      <c r="J241" t="s">
        <v>710</v>
      </c>
      <c r="K241" t="s">
        <v>716</v>
      </c>
      <c r="L241" t="s">
        <v>728</v>
      </c>
      <c r="M241" t="s">
        <v>1093</v>
      </c>
      <c r="N241" s="23">
        <v>666.23</v>
      </c>
      <c r="O241" s="23">
        <v>1382.91</v>
      </c>
      <c r="P241" s="8">
        <v>0.17599999999999999</v>
      </c>
      <c r="Q241">
        <v>13</v>
      </c>
      <c r="R241" s="23">
        <f t="shared" si="35"/>
        <v>14813.731920000002</v>
      </c>
      <c r="S241" s="23">
        <f t="shared" si="36"/>
        <v>8660.99</v>
      </c>
      <c r="T241" s="23">
        <f t="shared" si="37"/>
        <v>6152.7419200000022</v>
      </c>
      <c r="U241" s="14">
        <f t="shared" si="38"/>
        <v>0.41534043907553048</v>
      </c>
      <c r="V241" s="7" t="str">
        <f t="shared" si="39"/>
        <v>Jan-2024</v>
      </c>
      <c r="W241" s="22">
        <f t="shared" si="40"/>
        <v>45292</v>
      </c>
      <c r="X241" s="7" t="str">
        <f t="shared" si="41"/>
        <v>Q1-2024</v>
      </c>
      <c r="Y241" t="str">
        <f t="shared" si="42"/>
        <v>Africa → South Africa → Cape Town</v>
      </c>
      <c r="Z241" t="str">
        <f t="shared" si="43"/>
        <v>Printers</v>
      </c>
      <c r="AA241" t="str" cm="1">
        <f t="array" ref="AA241">_xlfn.IFS(O241&lt;=$AF$2,"Low",AND(O241&gt;$AF$2,O241&lt;$AF$3),"Medium",O241&gt;=$AF$3,"High")</f>
        <v>Medium</v>
      </c>
      <c r="AB241" s="22">
        <f t="shared" si="44"/>
        <v>44927</v>
      </c>
      <c r="AC241">
        <v>12</v>
      </c>
    </row>
    <row r="242" spans="1:29" x14ac:dyDescent="0.35">
      <c r="A242" s="4" t="s">
        <v>28</v>
      </c>
      <c r="B242" s="5" t="str">
        <f>IF(COUNTIF($A$2:A242,A242)=1,"Original","Duplicate")</f>
        <v>Original</v>
      </c>
      <c r="C242" s="7">
        <v>45311</v>
      </c>
      <c r="D242" s="7">
        <v>45335</v>
      </c>
      <c r="E242">
        <f t="shared" si="34"/>
        <v>24</v>
      </c>
      <c r="F242" t="s">
        <v>649</v>
      </c>
      <c r="G242" t="s">
        <v>657</v>
      </c>
      <c r="H242" t="s">
        <v>673</v>
      </c>
      <c r="I242" t="s">
        <v>701</v>
      </c>
      <c r="J242" t="s">
        <v>707</v>
      </c>
      <c r="K242" t="s">
        <v>722</v>
      </c>
      <c r="L242" t="s">
        <v>728</v>
      </c>
      <c r="M242" t="s">
        <v>747</v>
      </c>
      <c r="N242" s="23">
        <v>643.53</v>
      </c>
      <c r="O242" s="23">
        <v>1439.01</v>
      </c>
      <c r="P242" s="8">
        <v>0</v>
      </c>
      <c r="Q242">
        <v>15</v>
      </c>
      <c r="R242" s="23">
        <f t="shared" si="35"/>
        <v>21585.15</v>
      </c>
      <c r="S242" s="23">
        <f t="shared" si="36"/>
        <v>9652.9499999999989</v>
      </c>
      <c r="T242" s="23">
        <f t="shared" si="37"/>
        <v>11932.200000000003</v>
      </c>
      <c r="U242" s="14">
        <f t="shared" si="38"/>
        <v>0.55279671440782208</v>
      </c>
      <c r="V242" s="7" t="str">
        <f t="shared" si="39"/>
        <v>Jan-2024</v>
      </c>
      <c r="W242" s="22">
        <f t="shared" si="40"/>
        <v>45292</v>
      </c>
      <c r="X242" s="7" t="str">
        <f t="shared" si="41"/>
        <v>Q1-2024</v>
      </c>
      <c r="Y242" t="str">
        <f t="shared" si="42"/>
        <v>Europe → France → Marseille</v>
      </c>
      <c r="Z242" t="str">
        <f t="shared" si="43"/>
        <v>Printers</v>
      </c>
      <c r="AA242" t="str" cm="1">
        <f t="array" ref="AA242">_xlfn.IFS(O242&lt;=$AF$2,"Low",AND(O242&gt;$AF$2,O242&lt;$AF$3),"Medium",O242&gt;=$AF$3,"High")</f>
        <v>Medium</v>
      </c>
      <c r="AB242" s="22">
        <f t="shared" si="44"/>
        <v>44927</v>
      </c>
      <c r="AC242">
        <v>12</v>
      </c>
    </row>
    <row r="243" spans="1:29" x14ac:dyDescent="0.35">
      <c r="A243" s="4" t="s">
        <v>103</v>
      </c>
      <c r="B243" s="5" t="str">
        <f>IF(COUNTIF($A$2:A243,A243)=1,"Original","Duplicate")</f>
        <v>Original</v>
      </c>
      <c r="C243" s="7">
        <v>45312</v>
      </c>
      <c r="D243" s="7">
        <v>45316</v>
      </c>
      <c r="E243">
        <f t="shared" si="34"/>
        <v>4</v>
      </c>
      <c r="F243" t="s">
        <v>647</v>
      </c>
      <c r="G243" t="s">
        <v>654</v>
      </c>
      <c r="H243" t="s">
        <v>680</v>
      </c>
      <c r="I243" t="s">
        <v>704</v>
      </c>
      <c r="J243" t="s">
        <v>711</v>
      </c>
      <c r="K243" t="s">
        <v>712</v>
      </c>
      <c r="L243" t="s">
        <v>732</v>
      </c>
      <c r="M243" t="s">
        <v>822</v>
      </c>
      <c r="N243" s="23">
        <v>523.70000000000005</v>
      </c>
      <c r="O243" s="23">
        <v>1109.92</v>
      </c>
      <c r="P243" s="8">
        <v>0.03</v>
      </c>
      <c r="Q243">
        <v>11</v>
      </c>
      <c r="R243" s="23">
        <f t="shared" si="35"/>
        <v>11842.8464</v>
      </c>
      <c r="S243" s="23">
        <f t="shared" si="36"/>
        <v>5760.7000000000007</v>
      </c>
      <c r="T243" s="23">
        <f t="shared" si="37"/>
        <v>6082.1463999999996</v>
      </c>
      <c r="U243" s="14">
        <f t="shared" si="38"/>
        <v>0.51357133197302973</v>
      </c>
      <c r="V243" s="7" t="str">
        <f t="shared" si="39"/>
        <v>Jan-2024</v>
      </c>
      <c r="W243" s="22">
        <f t="shared" si="40"/>
        <v>45292</v>
      </c>
      <c r="X243" s="7" t="str">
        <f t="shared" si="41"/>
        <v>Q1-2024</v>
      </c>
      <c r="Y243" t="str">
        <f t="shared" si="42"/>
        <v>Asia → India → Delhi</v>
      </c>
      <c r="Z243" t="str">
        <f t="shared" si="43"/>
        <v>Monitors</v>
      </c>
      <c r="AA243" t="str" cm="1">
        <f t="array" ref="AA243">_xlfn.IFS(O243&lt;=$AF$2,"Low",AND(O243&gt;$AF$2,O243&lt;$AF$3),"Medium",O243&gt;=$AF$3,"High")</f>
        <v>Medium</v>
      </c>
      <c r="AB243" s="22">
        <f t="shared" si="44"/>
        <v>44958</v>
      </c>
      <c r="AC243">
        <v>11</v>
      </c>
    </row>
    <row r="244" spans="1:29" x14ac:dyDescent="0.35">
      <c r="A244" s="4" t="s">
        <v>579</v>
      </c>
      <c r="B244" s="5" t="str">
        <f>IF(COUNTIF($A$2:A244,A244)=1,"Original","Duplicate")</f>
        <v>Original</v>
      </c>
      <c r="C244" s="7">
        <v>45315</v>
      </c>
      <c r="D244" s="7">
        <v>45326</v>
      </c>
      <c r="E244">
        <f t="shared" si="34"/>
        <v>11</v>
      </c>
      <c r="F244" t="s">
        <v>649</v>
      </c>
      <c r="G244" t="s">
        <v>658</v>
      </c>
      <c r="H244" t="s">
        <v>693</v>
      </c>
      <c r="I244" t="s">
        <v>704</v>
      </c>
      <c r="J244" t="s">
        <v>707</v>
      </c>
      <c r="K244" t="s">
        <v>717</v>
      </c>
      <c r="L244" t="s">
        <v>731</v>
      </c>
      <c r="M244" t="s">
        <v>1297</v>
      </c>
      <c r="N244" s="23">
        <v>525.34</v>
      </c>
      <c r="O244" s="23">
        <v>1233.79</v>
      </c>
      <c r="P244" s="8">
        <v>0.14299999999999999</v>
      </c>
      <c r="Q244">
        <v>4</v>
      </c>
      <c r="R244" s="23">
        <f t="shared" si="35"/>
        <v>4229.4321199999995</v>
      </c>
      <c r="S244" s="23">
        <f t="shared" si="36"/>
        <v>2101.36</v>
      </c>
      <c r="T244" s="23">
        <f t="shared" si="37"/>
        <v>2128.0721199999994</v>
      </c>
      <c r="U244" s="14">
        <f t="shared" si="38"/>
        <v>0.50315788494082736</v>
      </c>
      <c r="V244" s="7" t="str">
        <f t="shared" si="39"/>
        <v>Jan-2024</v>
      </c>
      <c r="W244" s="22">
        <f t="shared" si="40"/>
        <v>45292</v>
      </c>
      <c r="X244" s="7" t="str">
        <f t="shared" si="41"/>
        <v>Q1-2024</v>
      </c>
      <c r="Y244" t="str">
        <f t="shared" si="42"/>
        <v>Europe → United Kingdom → Manchester</v>
      </c>
      <c r="Z244" t="str">
        <f t="shared" si="43"/>
        <v>Laptops</v>
      </c>
      <c r="AA244" t="str" cm="1">
        <f t="array" ref="AA244">_xlfn.IFS(O244&lt;=$AF$2,"Low",AND(O244&gt;$AF$2,O244&lt;$AF$3),"Medium",O244&gt;=$AF$3,"High")</f>
        <v>Medium</v>
      </c>
      <c r="AB244" s="22">
        <f t="shared" si="44"/>
        <v>44927</v>
      </c>
      <c r="AC244">
        <v>12</v>
      </c>
    </row>
    <row r="245" spans="1:29" x14ac:dyDescent="0.35">
      <c r="A245" s="4" t="s">
        <v>289</v>
      </c>
      <c r="B245" s="5" t="str">
        <f>IF(COUNTIF($A$2:A245,A245)=1,"Original","Duplicate")</f>
        <v>Original</v>
      </c>
      <c r="C245" s="7">
        <v>45316</v>
      </c>
      <c r="D245" s="7">
        <v>45318</v>
      </c>
      <c r="E245">
        <f t="shared" si="34"/>
        <v>2</v>
      </c>
      <c r="F245" t="s">
        <v>648</v>
      </c>
      <c r="G245" t="s">
        <v>655</v>
      </c>
      <c r="H245" t="s">
        <v>670</v>
      </c>
      <c r="I245" t="s">
        <v>703</v>
      </c>
      <c r="J245" t="s">
        <v>709</v>
      </c>
      <c r="K245" t="s">
        <v>725</v>
      </c>
      <c r="L245" t="s">
        <v>731</v>
      </c>
      <c r="M245" t="s">
        <v>1009</v>
      </c>
      <c r="N245" s="23">
        <v>1410.97</v>
      </c>
      <c r="O245" s="23">
        <v>1650.75</v>
      </c>
      <c r="P245" s="8">
        <v>0.13500000000000001</v>
      </c>
      <c r="Q245">
        <v>6</v>
      </c>
      <c r="R245" s="23">
        <f t="shared" si="35"/>
        <v>8567.3924999999999</v>
      </c>
      <c r="S245" s="23">
        <f t="shared" si="36"/>
        <v>8465.82</v>
      </c>
      <c r="T245" s="23">
        <f t="shared" si="37"/>
        <v>101.57250000000022</v>
      </c>
      <c r="U245" s="14">
        <f t="shared" si="38"/>
        <v>1.1855707556295596E-2</v>
      </c>
      <c r="V245" s="7" t="str">
        <f t="shared" si="39"/>
        <v>Jan-2024</v>
      </c>
      <c r="W245" s="22">
        <f t="shared" si="40"/>
        <v>45292</v>
      </c>
      <c r="X245" s="7" t="str">
        <f t="shared" si="41"/>
        <v>Q1-2024</v>
      </c>
      <c r="Y245" t="str">
        <f t="shared" si="42"/>
        <v>Americas → Brazil → São Paulo</v>
      </c>
      <c r="Z245" t="str">
        <f t="shared" si="43"/>
        <v>Laptops</v>
      </c>
      <c r="AA245" t="str" cm="1">
        <f t="array" ref="AA245">_xlfn.IFS(O245&lt;=$AF$2,"Low",AND(O245&gt;$AF$2,O245&lt;$AF$3),"Medium",O245&gt;=$AF$3,"High")</f>
        <v>High</v>
      </c>
      <c r="AB245" s="22">
        <f t="shared" si="44"/>
        <v>44927</v>
      </c>
      <c r="AC245">
        <v>12</v>
      </c>
    </row>
    <row r="246" spans="1:29" x14ac:dyDescent="0.35">
      <c r="A246" s="4" t="s">
        <v>544</v>
      </c>
      <c r="B246" s="5" t="str">
        <f>IF(COUNTIF($A$2:A246,A246)=1,"Original","Duplicate")</f>
        <v>Original</v>
      </c>
      <c r="C246" s="7">
        <v>45316</v>
      </c>
      <c r="D246" s="7">
        <v>45330</v>
      </c>
      <c r="E246">
        <f t="shared" si="34"/>
        <v>14</v>
      </c>
      <c r="F246" t="s">
        <v>647</v>
      </c>
      <c r="G246" t="s">
        <v>652</v>
      </c>
      <c r="H246" t="s">
        <v>666</v>
      </c>
      <c r="I246" t="s">
        <v>704</v>
      </c>
      <c r="J246" t="s">
        <v>709</v>
      </c>
      <c r="K246" t="s">
        <v>714</v>
      </c>
      <c r="L246" t="s">
        <v>729</v>
      </c>
      <c r="M246" t="s">
        <v>1263</v>
      </c>
      <c r="N246" s="23">
        <v>937.16</v>
      </c>
      <c r="O246" s="23">
        <v>1069.77</v>
      </c>
      <c r="P246" s="8">
        <v>3.7999999999999999E-2</v>
      </c>
      <c r="Q246">
        <v>9</v>
      </c>
      <c r="R246" s="23">
        <f t="shared" si="35"/>
        <v>9262.0686600000008</v>
      </c>
      <c r="S246" s="23">
        <f t="shared" si="36"/>
        <v>8434.44</v>
      </c>
      <c r="T246" s="23">
        <f t="shared" si="37"/>
        <v>827.62866000000031</v>
      </c>
      <c r="U246" s="14">
        <f t="shared" si="38"/>
        <v>8.9356783066645962E-2</v>
      </c>
      <c r="V246" s="7" t="str">
        <f t="shared" si="39"/>
        <v>Jan-2024</v>
      </c>
      <c r="W246" s="22">
        <f t="shared" si="40"/>
        <v>45292</v>
      </c>
      <c r="X246" s="7" t="str">
        <f t="shared" si="41"/>
        <v>Q1-2024</v>
      </c>
      <c r="Y246" t="str">
        <f t="shared" si="42"/>
        <v>Asia → Japan → Osaka</v>
      </c>
      <c r="Z246" t="str">
        <f t="shared" si="43"/>
        <v>Networking</v>
      </c>
      <c r="AA246" t="str" cm="1">
        <f t="array" ref="AA246">_xlfn.IFS(O246&lt;=$AF$2,"Low",AND(O246&gt;$AF$2,O246&lt;$AF$3),"Medium",O246&gt;=$AF$3,"High")</f>
        <v>Medium</v>
      </c>
      <c r="AB246" s="22">
        <f t="shared" si="44"/>
        <v>44986</v>
      </c>
      <c r="AC246">
        <v>10</v>
      </c>
    </row>
    <row r="247" spans="1:29" x14ac:dyDescent="0.35">
      <c r="A247" s="4" t="s">
        <v>25</v>
      </c>
      <c r="B247" s="5" t="str">
        <f>IF(COUNTIF($A$2:A247,A247)=1,"Original","Duplicate")</f>
        <v>Original</v>
      </c>
      <c r="C247" s="7">
        <v>45319</v>
      </c>
      <c r="D247" s="7">
        <v>45331</v>
      </c>
      <c r="E247">
        <f t="shared" si="34"/>
        <v>12</v>
      </c>
      <c r="F247" t="s">
        <v>649</v>
      </c>
      <c r="G247" t="s">
        <v>656</v>
      </c>
      <c r="H247" t="s">
        <v>671</v>
      </c>
      <c r="I247" t="s">
        <v>701</v>
      </c>
      <c r="J247" t="s">
        <v>708</v>
      </c>
      <c r="K247" t="s">
        <v>715</v>
      </c>
      <c r="L247" t="s">
        <v>733</v>
      </c>
      <c r="M247" t="s">
        <v>744</v>
      </c>
      <c r="N247" s="23">
        <v>644.16999999999996</v>
      </c>
      <c r="O247" s="23">
        <v>700.12</v>
      </c>
      <c r="P247" s="8">
        <v>6.0000000000000001E-3</v>
      </c>
      <c r="Q247">
        <v>23</v>
      </c>
      <c r="R247" s="23">
        <f t="shared" si="35"/>
        <v>16006.14344</v>
      </c>
      <c r="S247" s="23">
        <f t="shared" si="36"/>
        <v>14815.91</v>
      </c>
      <c r="T247" s="23">
        <f t="shared" si="37"/>
        <v>1190.23344</v>
      </c>
      <c r="U247" s="14">
        <f t="shared" si="38"/>
        <v>7.436103796405813E-2</v>
      </c>
      <c r="V247" s="7" t="str">
        <f t="shared" si="39"/>
        <v>Jan-2024</v>
      </c>
      <c r="W247" s="22">
        <f t="shared" si="40"/>
        <v>45292</v>
      </c>
      <c r="X247" s="7" t="str">
        <f t="shared" si="41"/>
        <v>Q1-2024</v>
      </c>
      <c r="Y247" t="str">
        <f t="shared" si="42"/>
        <v>Europe → Germany → Berlin</v>
      </c>
      <c r="Z247" t="str">
        <f t="shared" si="43"/>
        <v>Accessories</v>
      </c>
      <c r="AA247" t="str" cm="1">
        <f t="array" ref="AA247">_xlfn.IFS(O247&lt;=$AF$2,"Low",AND(O247&gt;$AF$2,O247&lt;$AF$3),"Medium",O247&gt;=$AF$3,"High")</f>
        <v>Low</v>
      </c>
      <c r="AB247" s="22">
        <f t="shared" si="44"/>
        <v>44927</v>
      </c>
      <c r="AC247">
        <v>12</v>
      </c>
    </row>
    <row r="248" spans="1:29" x14ac:dyDescent="0.35">
      <c r="A248" s="4" t="s">
        <v>302</v>
      </c>
      <c r="B248" s="5" t="str">
        <f>IF(COUNTIF($A$2:A248,A248)=1,"Original","Duplicate")</f>
        <v>Original</v>
      </c>
      <c r="C248" s="7">
        <v>45319</v>
      </c>
      <c r="D248" s="7">
        <v>45321</v>
      </c>
      <c r="E248">
        <f t="shared" si="34"/>
        <v>2</v>
      </c>
      <c r="F248" t="s">
        <v>646</v>
      </c>
      <c r="G248" t="s">
        <v>661</v>
      </c>
      <c r="H248" t="s">
        <v>695</v>
      </c>
      <c r="I248" t="s">
        <v>704</v>
      </c>
      <c r="J248" t="s">
        <v>711</v>
      </c>
      <c r="K248" t="s">
        <v>721</v>
      </c>
      <c r="L248" t="s">
        <v>733</v>
      </c>
      <c r="M248" t="s">
        <v>1022</v>
      </c>
      <c r="N248" s="23">
        <v>798.45</v>
      </c>
      <c r="O248" s="23">
        <v>1592.02</v>
      </c>
      <c r="P248" s="8">
        <v>6.6000000000000003E-2</v>
      </c>
      <c r="Q248">
        <v>18</v>
      </c>
      <c r="R248" s="23">
        <f t="shared" si="35"/>
        <v>26765.040239999998</v>
      </c>
      <c r="S248" s="23">
        <f t="shared" si="36"/>
        <v>14372.1</v>
      </c>
      <c r="T248" s="23">
        <f t="shared" si="37"/>
        <v>12392.940239999998</v>
      </c>
      <c r="U248" s="14">
        <f t="shared" si="38"/>
        <v>0.46302714768494585</v>
      </c>
      <c r="V248" s="7" t="str">
        <f t="shared" si="39"/>
        <v>Jan-2024</v>
      </c>
      <c r="W248" s="22">
        <f t="shared" si="40"/>
        <v>45292</v>
      </c>
      <c r="X248" s="7" t="str">
        <f t="shared" si="41"/>
        <v>Q1-2024</v>
      </c>
      <c r="Y248" t="str">
        <f t="shared" si="42"/>
        <v>Africa → South Africa → Cape Town</v>
      </c>
      <c r="Z248" t="str">
        <f t="shared" si="43"/>
        <v>Accessories</v>
      </c>
      <c r="AA248" t="str" cm="1">
        <f t="array" ref="AA248">_xlfn.IFS(O248&lt;=$AF$2,"Low",AND(O248&gt;$AF$2,O248&lt;$AF$3),"Medium",O248&gt;=$AF$3,"High")</f>
        <v>Medium</v>
      </c>
      <c r="AB248" s="22">
        <f t="shared" si="44"/>
        <v>44927</v>
      </c>
      <c r="AC248">
        <v>12</v>
      </c>
    </row>
    <row r="249" spans="1:29" x14ac:dyDescent="0.35">
      <c r="A249" s="4" t="s">
        <v>623</v>
      </c>
      <c r="B249" s="5" t="str">
        <f>IF(COUNTIF($A$2:A249,A249)=1,"Original","Duplicate")</f>
        <v>Original</v>
      </c>
      <c r="C249" s="7">
        <v>45319</v>
      </c>
      <c r="D249" s="7">
        <v>45324</v>
      </c>
      <c r="E249">
        <f t="shared" si="34"/>
        <v>5</v>
      </c>
      <c r="F249" t="s">
        <v>646</v>
      </c>
      <c r="G249" t="s">
        <v>661</v>
      </c>
      <c r="H249" t="s">
        <v>695</v>
      </c>
      <c r="I249" t="s">
        <v>706</v>
      </c>
      <c r="J249" t="s">
        <v>711</v>
      </c>
      <c r="K249" t="s">
        <v>719</v>
      </c>
      <c r="L249" t="s">
        <v>727</v>
      </c>
      <c r="M249" t="s">
        <v>1341</v>
      </c>
      <c r="N249" s="23">
        <v>109.75</v>
      </c>
      <c r="O249" s="23">
        <v>124.25</v>
      </c>
      <c r="P249" s="8">
        <v>0.12</v>
      </c>
      <c r="Q249">
        <v>19</v>
      </c>
      <c r="R249" s="23">
        <f t="shared" si="35"/>
        <v>2077.46</v>
      </c>
      <c r="S249" s="23">
        <f t="shared" si="36"/>
        <v>2085.25</v>
      </c>
      <c r="T249" s="23">
        <f t="shared" si="37"/>
        <v>-7.7899999999999636</v>
      </c>
      <c r="U249" s="14">
        <f t="shared" si="38"/>
        <v>-3.7497713554051405E-3</v>
      </c>
      <c r="V249" s="7" t="str">
        <f t="shared" si="39"/>
        <v>Jan-2024</v>
      </c>
      <c r="W249" s="22">
        <f t="shared" si="40"/>
        <v>45292</v>
      </c>
      <c r="X249" s="7" t="str">
        <f t="shared" si="41"/>
        <v>Q1-2024</v>
      </c>
      <c r="Y249" t="str">
        <f t="shared" si="42"/>
        <v>Africa → South Africa → Cape Town</v>
      </c>
      <c r="Z249" t="str">
        <f t="shared" si="43"/>
        <v>Components</v>
      </c>
      <c r="AA249" t="str" cm="1">
        <f t="array" ref="AA249">_xlfn.IFS(O249&lt;=$AF$2,"Low",AND(O249&gt;$AF$2,O249&lt;$AF$3),"Medium",O249&gt;=$AF$3,"High")</f>
        <v>Low</v>
      </c>
      <c r="AB249" s="22">
        <f t="shared" si="44"/>
        <v>44927</v>
      </c>
      <c r="AC249">
        <v>12</v>
      </c>
    </row>
    <row r="250" spans="1:29" x14ac:dyDescent="0.35">
      <c r="A250" s="4" t="s">
        <v>171</v>
      </c>
      <c r="B250" s="5" t="str">
        <f>IF(COUNTIF($A$2:A250,A250)=1,"Original","Duplicate")</f>
        <v>Original</v>
      </c>
      <c r="C250" s="7">
        <v>45323</v>
      </c>
      <c r="D250" s="7">
        <v>45343</v>
      </c>
      <c r="E250">
        <f t="shared" si="34"/>
        <v>20</v>
      </c>
      <c r="F250" t="s">
        <v>649</v>
      </c>
      <c r="G250" t="s">
        <v>657</v>
      </c>
      <c r="H250" t="s">
        <v>690</v>
      </c>
      <c r="I250" t="s">
        <v>705</v>
      </c>
      <c r="J250" t="s">
        <v>709</v>
      </c>
      <c r="K250" t="s">
        <v>720</v>
      </c>
      <c r="L250" t="s">
        <v>729</v>
      </c>
      <c r="M250" t="s">
        <v>890</v>
      </c>
      <c r="N250" s="23">
        <v>656.2</v>
      </c>
      <c r="O250" s="23">
        <v>1467.17</v>
      </c>
      <c r="P250" s="8">
        <v>1.7999999999999999E-2</v>
      </c>
      <c r="Q250">
        <v>5</v>
      </c>
      <c r="R250" s="23">
        <f t="shared" si="35"/>
        <v>7203.8047000000006</v>
      </c>
      <c r="S250" s="23">
        <f t="shared" si="36"/>
        <v>3281</v>
      </c>
      <c r="T250" s="23">
        <f t="shared" si="37"/>
        <v>3922.8047000000006</v>
      </c>
      <c r="U250" s="14">
        <f t="shared" si="38"/>
        <v>0.54454623124360946</v>
      </c>
      <c r="V250" s="7" t="str">
        <f t="shared" si="39"/>
        <v>Feb-2024</v>
      </c>
      <c r="W250" s="22">
        <f t="shared" si="40"/>
        <v>45323</v>
      </c>
      <c r="X250" s="7" t="str">
        <f t="shared" si="41"/>
        <v>Q1-2024</v>
      </c>
      <c r="Y250" t="str">
        <f t="shared" si="42"/>
        <v>Europe → France → Paris</v>
      </c>
      <c r="Z250" t="str">
        <f t="shared" si="43"/>
        <v>Networking</v>
      </c>
      <c r="AA250" t="str" cm="1">
        <f t="array" ref="AA250">_xlfn.IFS(O250&lt;=$AF$2,"Low",AND(O250&gt;$AF$2,O250&lt;$AF$3),"Medium",O250&gt;=$AF$3,"High")</f>
        <v>Medium</v>
      </c>
      <c r="AB250" s="22">
        <f t="shared" si="44"/>
        <v>44927</v>
      </c>
      <c r="AC250">
        <v>13</v>
      </c>
    </row>
    <row r="251" spans="1:29" x14ac:dyDescent="0.35">
      <c r="A251" s="4" t="s">
        <v>625</v>
      </c>
      <c r="B251" s="5" t="str">
        <f>IF(COUNTIF($A$2:A251,A251)=1,"Original","Duplicate")</f>
        <v>Original</v>
      </c>
      <c r="C251" s="7">
        <v>45323</v>
      </c>
      <c r="D251" s="7">
        <v>45330</v>
      </c>
      <c r="E251">
        <f t="shared" si="34"/>
        <v>7</v>
      </c>
      <c r="F251" t="s">
        <v>648</v>
      </c>
      <c r="G251" t="s">
        <v>660</v>
      </c>
      <c r="H251" t="s">
        <v>697</v>
      </c>
      <c r="I251" t="s">
        <v>704</v>
      </c>
      <c r="J251" t="s">
        <v>710</v>
      </c>
      <c r="K251" t="s">
        <v>722</v>
      </c>
      <c r="L251" t="s">
        <v>728</v>
      </c>
      <c r="M251" t="s">
        <v>1343</v>
      </c>
      <c r="N251" s="23">
        <v>714.43</v>
      </c>
      <c r="O251" s="23">
        <v>1595.52</v>
      </c>
      <c r="P251" s="8">
        <v>0.19400000000000001</v>
      </c>
      <c r="Q251">
        <v>14</v>
      </c>
      <c r="R251" s="23">
        <f t="shared" si="35"/>
        <v>18003.847679999999</v>
      </c>
      <c r="S251" s="23">
        <f t="shared" si="36"/>
        <v>10002.019999999999</v>
      </c>
      <c r="T251" s="23">
        <f t="shared" si="37"/>
        <v>8001.8276800000003</v>
      </c>
      <c r="U251" s="14">
        <f t="shared" si="38"/>
        <v>0.44445097638151093</v>
      </c>
      <c r="V251" s="7" t="str">
        <f t="shared" si="39"/>
        <v>Feb-2024</v>
      </c>
      <c r="W251" s="22">
        <f t="shared" si="40"/>
        <v>45323</v>
      </c>
      <c r="X251" s="7" t="str">
        <f t="shared" si="41"/>
        <v>Q1-2024</v>
      </c>
      <c r="Y251" t="str">
        <f t="shared" si="42"/>
        <v>Americas → USA → Austin</v>
      </c>
      <c r="Z251" t="str">
        <f t="shared" si="43"/>
        <v>Printers</v>
      </c>
      <c r="AA251" t="str" cm="1">
        <f t="array" ref="AA251">_xlfn.IFS(O251&lt;=$AF$2,"Low",AND(O251&gt;$AF$2,O251&lt;$AF$3),"Medium",O251&gt;=$AF$3,"High")</f>
        <v>Medium</v>
      </c>
      <c r="AB251" s="22">
        <f t="shared" si="44"/>
        <v>44927</v>
      </c>
      <c r="AC251">
        <v>13</v>
      </c>
    </row>
    <row r="252" spans="1:29" x14ac:dyDescent="0.35">
      <c r="A252" s="4" t="s">
        <v>192</v>
      </c>
      <c r="B252" s="5" t="str">
        <f>IF(COUNTIF($A$2:A252,A252)=1,"Original","Duplicate")</f>
        <v>Original</v>
      </c>
      <c r="C252" s="7">
        <v>45325</v>
      </c>
      <c r="D252" s="7">
        <v>45343</v>
      </c>
      <c r="E252">
        <f t="shared" si="34"/>
        <v>18</v>
      </c>
      <c r="F252" t="s">
        <v>649</v>
      </c>
      <c r="G252" t="s">
        <v>656</v>
      </c>
      <c r="H252" t="s">
        <v>698</v>
      </c>
      <c r="I252" t="s">
        <v>701</v>
      </c>
      <c r="J252" t="s">
        <v>707</v>
      </c>
      <c r="K252" t="s">
        <v>722</v>
      </c>
      <c r="L252" t="s">
        <v>727</v>
      </c>
      <c r="M252" t="s">
        <v>911</v>
      </c>
      <c r="N252" s="23">
        <v>39.229999999999997</v>
      </c>
      <c r="O252" s="23">
        <v>30.09</v>
      </c>
      <c r="P252" s="8">
        <v>0.17699999999999999</v>
      </c>
      <c r="Q252">
        <v>13</v>
      </c>
      <c r="R252" s="23">
        <f t="shared" si="35"/>
        <v>321.93290999999999</v>
      </c>
      <c r="S252" s="23">
        <f t="shared" si="36"/>
        <v>509.98999999999995</v>
      </c>
      <c r="T252" s="23">
        <f t="shared" si="37"/>
        <v>-188.05708999999996</v>
      </c>
      <c r="U252" s="14">
        <f t="shared" si="38"/>
        <v>-0.58414993981199359</v>
      </c>
      <c r="V252" s="7" t="str">
        <f t="shared" si="39"/>
        <v>Feb-2024</v>
      </c>
      <c r="W252" s="22">
        <f t="shared" si="40"/>
        <v>45323</v>
      </c>
      <c r="X252" s="7" t="str">
        <f t="shared" si="41"/>
        <v>Q1-2024</v>
      </c>
      <c r="Y252" t="str">
        <f t="shared" si="42"/>
        <v>Europe → Germany → Frankfurt</v>
      </c>
      <c r="Z252" t="str">
        <f t="shared" si="43"/>
        <v>Components</v>
      </c>
      <c r="AA252" t="str" cm="1">
        <f t="array" ref="AA252">_xlfn.IFS(O252&lt;=$AF$2,"Low",AND(O252&gt;$AF$2,O252&lt;$AF$3),"Medium",O252&gt;=$AF$3,"High")</f>
        <v>Low</v>
      </c>
      <c r="AB252" s="22">
        <f t="shared" si="44"/>
        <v>44927</v>
      </c>
      <c r="AC252">
        <v>13</v>
      </c>
    </row>
    <row r="253" spans="1:29" x14ac:dyDescent="0.35">
      <c r="A253" s="4" t="s">
        <v>204</v>
      </c>
      <c r="B253" s="5" t="str">
        <f>IF(COUNTIF($A$2:A253,A253)=1,"Original","Duplicate")</f>
        <v>Original</v>
      </c>
      <c r="C253" s="7">
        <v>45325</v>
      </c>
      <c r="D253" s="7">
        <v>45341</v>
      </c>
      <c r="E253">
        <f t="shared" si="34"/>
        <v>16</v>
      </c>
      <c r="F253" t="s">
        <v>647</v>
      </c>
      <c r="G253" t="s">
        <v>659</v>
      </c>
      <c r="H253" t="s">
        <v>676</v>
      </c>
      <c r="I253" t="s">
        <v>705</v>
      </c>
      <c r="J253" t="s">
        <v>708</v>
      </c>
      <c r="K253" t="s">
        <v>722</v>
      </c>
      <c r="L253" t="s">
        <v>731</v>
      </c>
      <c r="M253" t="s">
        <v>924</v>
      </c>
      <c r="N253" s="23">
        <v>993.75</v>
      </c>
      <c r="O253" s="23">
        <v>1310.29</v>
      </c>
      <c r="P253" s="8">
        <v>0.215</v>
      </c>
      <c r="Q253">
        <v>19</v>
      </c>
      <c r="R253" s="23">
        <f t="shared" si="35"/>
        <v>19542.975350000001</v>
      </c>
      <c r="S253" s="23">
        <f t="shared" si="36"/>
        <v>18881.25</v>
      </c>
      <c r="T253" s="23">
        <f t="shared" si="37"/>
        <v>661.72535000000062</v>
      </c>
      <c r="U253" s="14">
        <f t="shared" si="38"/>
        <v>3.3860010471742245E-2</v>
      </c>
      <c r="V253" s="7" t="str">
        <f t="shared" si="39"/>
        <v>Feb-2024</v>
      </c>
      <c r="W253" s="22">
        <f t="shared" si="40"/>
        <v>45323</v>
      </c>
      <c r="X253" s="7" t="str">
        <f t="shared" si="41"/>
        <v>Q1-2024</v>
      </c>
      <c r="Y253" t="str">
        <f t="shared" si="42"/>
        <v>Asia → China → Shenzhen</v>
      </c>
      <c r="Z253" t="str">
        <f t="shared" si="43"/>
        <v>Laptops</v>
      </c>
      <c r="AA253" t="str" cm="1">
        <f t="array" ref="AA253">_xlfn.IFS(O253&lt;=$AF$2,"Low",AND(O253&gt;$AF$2,O253&lt;$AF$3),"Medium",O253&gt;=$AF$3,"High")</f>
        <v>Medium</v>
      </c>
      <c r="AB253" s="22">
        <f t="shared" si="44"/>
        <v>44927</v>
      </c>
      <c r="AC253">
        <v>13</v>
      </c>
    </row>
    <row r="254" spans="1:29" x14ac:dyDescent="0.35">
      <c r="A254" s="4" t="s">
        <v>487</v>
      </c>
      <c r="B254" s="5" t="str">
        <f>IF(COUNTIF($A$2:A254,A254)=1,"Original","Duplicate")</f>
        <v>Original</v>
      </c>
      <c r="C254" s="7">
        <v>45328</v>
      </c>
      <c r="D254" s="7">
        <v>45350</v>
      </c>
      <c r="E254">
        <f t="shared" si="34"/>
        <v>22</v>
      </c>
      <c r="F254" t="s">
        <v>646</v>
      </c>
      <c r="G254" t="s">
        <v>650</v>
      </c>
      <c r="H254" t="s">
        <v>662</v>
      </c>
      <c r="I254" t="s">
        <v>703</v>
      </c>
      <c r="J254" t="s">
        <v>708</v>
      </c>
      <c r="K254" t="s">
        <v>723</v>
      </c>
      <c r="L254" t="s">
        <v>732</v>
      </c>
      <c r="M254" t="s">
        <v>1206</v>
      </c>
      <c r="N254" s="23">
        <v>834.93</v>
      </c>
      <c r="O254" s="23">
        <v>1588.53</v>
      </c>
      <c r="P254" s="8">
        <v>0.126</v>
      </c>
      <c r="Q254">
        <v>6</v>
      </c>
      <c r="R254" s="23">
        <f t="shared" si="35"/>
        <v>8330.2513199999994</v>
      </c>
      <c r="S254" s="23">
        <f t="shared" si="36"/>
        <v>5009.58</v>
      </c>
      <c r="T254" s="23">
        <f t="shared" si="37"/>
        <v>3320.6713199999995</v>
      </c>
      <c r="U254" s="14">
        <f t="shared" si="38"/>
        <v>0.39862798761274343</v>
      </c>
      <c r="V254" s="7" t="str">
        <f t="shared" si="39"/>
        <v>Feb-2024</v>
      </c>
      <c r="W254" s="22">
        <f t="shared" si="40"/>
        <v>45323</v>
      </c>
      <c r="X254" s="7" t="str">
        <f t="shared" si="41"/>
        <v>Q1-2024</v>
      </c>
      <c r="Y254" t="str">
        <f t="shared" si="42"/>
        <v>Africa → Kenya → Kisumu</v>
      </c>
      <c r="Z254" t="str">
        <f t="shared" si="43"/>
        <v>Monitors</v>
      </c>
      <c r="AA254" t="str" cm="1">
        <f t="array" ref="AA254">_xlfn.IFS(O254&lt;=$AF$2,"Low",AND(O254&gt;$AF$2,O254&lt;$AF$3),"Medium",O254&gt;=$AF$3,"High")</f>
        <v>Medium</v>
      </c>
      <c r="AB254" s="22">
        <f t="shared" si="44"/>
        <v>44927</v>
      </c>
      <c r="AC254">
        <v>13</v>
      </c>
    </row>
    <row r="255" spans="1:29" x14ac:dyDescent="0.35">
      <c r="A255" s="4" t="s">
        <v>580</v>
      </c>
      <c r="B255" s="5" t="str">
        <f>IF(COUNTIF($A$2:A255,A255)=1,"Original","Duplicate")</f>
        <v>Original</v>
      </c>
      <c r="C255" s="7">
        <v>45330</v>
      </c>
      <c r="D255" s="7">
        <v>45331</v>
      </c>
      <c r="E255">
        <f t="shared" si="34"/>
        <v>1</v>
      </c>
      <c r="F255" t="s">
        <v>646</v>
      </c>
      <c r="G255" t="s">
        <v>650</v>
      </c>
      <c r="H255" t="s">
        <v>675</v>
      </c>
      <c r="I255" t="s">
        <v>701</v>
      </c>
      <c r="J255" t="s">
        <v>711</v>
      </c>
      <c r="K255" t="s">
        <v>721</v>
      </c>
      <c r="L255" t="s">
        <v>727</v>
      </c>
      <c r="M255" t="s">
        <v>1298</v>
      </c>
      <c r="N255" s="23">
        <v>1233.52</v>
      </c>
      <c r="O255" s="23">
        <v>1543.76</v>
      </c>
      <c r="P255" s="8">
        <v>0.126</v>
      </c>
      <c r="Q255">
        <v>13</v>
      </c>
      <c r="R255" s="23">
        <f t="shared" si="35"/>
        <v>17540.201120000002</v>
      </c>
      <c r="S255" s="23">
        <f t="shared" si="36"/>
        <v>16035.76</v>
      </c>
      <c r="T255" s="23">
        <f t="shared" si="37"/>
        <v>1504.4411200000013</v>
      </c>
      <c r="U255" s="14">
        <f t="shared" si="38"/>
        <v>8.5771030201277493E-2</v>
      </c>
      <c r="V255" s="7" t="str">
        <f t="shared" si="39"/>
        <v>Feb-2024</v>
      </c>
      <c r="W255" s="22">
        <f t="shared" si="40"/>
        <v>45323</v>
      </c>
      <c r="X255" s="7" t="str">
        <f t="shared" si="41"/>
        <v>Q1-2024</v>
      </c>
      <c r="Y255" t="str">
        <f t="shared" si="42"/>
        <v>Africa → Kenya → Mombasa</v>
      </c>
      <c r="Z255" t="str">
        <f t="shared" si="43"/>
        <v>Components</v>
      </c>
      <c r="AA255" t="str" cm="1">
        <f t="array" ref="AA255">_xlfn.IFS(O255&lt;=$AF$2,"Low",AND(O255&gt;$AF$2,O255&lt;$AF$3),"Medium",O255&gt;=$AF$3,"High")</f>
        <v>Medium</v>
      </c>
      <c r="AB255" s="22">
        <f t="shared" si="44"/>
        <v>44927</v>
      </c>
      <c r="AC255">
        <v>13</v>
      </c>
    </row>
    <row r="256" spans="1:29" x14ac:dyDescent="0.35">
      <c r="A256" s="4" t="s">
        <v>211</v>
      </c>
      <c r="B256" s="5" t="str">
        <f>IF(COUNTIF($A$2:A256,A256)=1,"Original","Duplicate")</f>
        <v>Original</v>
      </c>
      <c r="C256" s="7">
        <v>45333</v>
      </c>
      <c r="D256" s="7">
        <v>45354</v>
      </c>
      <c r="E256">
        <f t="shared" si="34"/>
        <v>21</v>
      </c>
      <c r="F256" t="s">
        <v>646</v>
      </c>
      <c r="G256" t="s">
        <v>650</v>
      </c>
      <c r="H256" t="s">
        <v>662</v>
      </c>
      <c r="I256" t="s">
        <v>706</v>
      </c>
      <c r="J256" t="s">
        <v>708</v>
      </c>
      <c r="K256" t="s">
        <v>717</v>
      </c>
      <c r="L256" t="s">
        <v>730</v>
      </c>
      <c r="M256" t="s">
        <v>931</v>
      </c>
      <c r="N256" s="23">
        <v>516.86</v>
      </c>
      <c r="O256" s="23">
        <v>852.54</v>
      </c>
      <c r="P256" s="8">
        <v>5.0999999999999997E-2</v>
      </c>
      <c r="Q256">
        <v>14</v>
      </c>
      <c r="R256" s="23">
        <f t="shared" si="35"/>
        <v>11326.846439999999</v>
      </c>
      <c r="S256" s="23">
        <f t="shared" si="36"/>
        <v>7236.04</v>
      </c>
      <c r="T256" s="23">
        <f t="shared" si="37"/>
        <v>4090.8064399999994</v>
      </c>
      <c r="U256" s="14">
        <f t="shared" si="38"/>
        <v>0.36116022775355994</v>
      </c>
      <c r="V256" s="7" t="str">
        <f t="shared" si="39"/>
        <v>Feb-2024</v>
      </c>
      <c r="W256" s="22">
        <f t="shared" si="40"/>
        <v>45323</v>
      </c>
      <c r="X256" s="7" t="str">
        <f t="shared" si="41"/>
        <v>Q1-2024</v>
      </c>
      <c r="Y256" t="str">
        <f t="shared" si="42"/>
        <v>Africa → Kenya → Kisumu</v>
      </c>
      <c r="Z256" t="str">
        <f t="shared" si="43"/>
        <v>Phones</v>
      </c>
      <c r="AA256" t="str" cm="1">
        <f t="array" ref="AA256">_xlfn.IFS(O256&lt;=$AF$2,"Low",AND(O256&gt;$AF$2,O256&lt;$AF$3),"Medium",O256&gt;=$AF$3,"High")</f>
        <v>Medium</v>
      </c>
      <c r="AB256" s="22">
        <f t="shared" si="44"/>
        <v>44927</v>
      </c>
      <c r="AC256">
        <v>13</v>
      </c>
    </row>
    <row r="257" spans="1:29" x14ac:dyDescent="0.35">
      <c r="A257" s="4" t="s">
        <v>154</v>
      </c>
      <c r="B257" s="5" t="str">
        <f>IF(COUNTIF($A$2:A257,A257)=1,"Original","Duplicate")</f>
        <v>Original</v>
      </c>
      <c r="C257" s="7">
        <v>45336</v>
      </c>
      <c r="D257" s="7">
        <v>45343</v>
      </c>
      <c r="E257">
        <f t="shared" si="34"/>
        <v>7</v>
      </c>
      <c r="F257" t="s">
        <v>647</v>
      </c>
      <c r="G257" t="s">
        <v>659</v>
      </c>
      <c r="H257" t="s">
        <v>699</v>
      </c>
      <c r="I257" t="s">
        <v>701</v>
      </c>
      <c r="J257" t="s">
        <v>710</v>
      </c>
      <c r="K257" t="s">
        <v>716</v>
      </c>
      <c r="L257" t="s">
        <v>733</v>
      </c>
      <c r="M257" t="s">
        <v>873</v>
      </c>
      <c r="N257" s="23">
        <v>65.930000000000007</v>
      </c>
      <c r="O257" s="23">
        <v>84.9</v>
      </c>
      <c r="P257" s="8">
        <v>0.25900000000000001</v>
      </c>
      <c r="Q257">
        <v>23</v>
      </c>
      <c r="R257" s="23">
        <f t="shared" si="35"/>
        <v>1446.9507000000001</v>
      </c>
      <c r="S257" s="23">
        <f t="shared" si="36"/>
        <v>1516.39</v>
      </c>
      <c r="T257" s="23">
        <f t="shared" si="37"/>
        <v>-69.439300000000003</v>
      </c>
      <c r="U257" s="14">
        <f t="shared" si="38"/>
        <v>-4.7990093926489688E-2</v>
      </c>
      <c r="V257" s="7" t="str">
        <f t="shared" si="39"/>
        <v>Feb-2024</v>
      </c>
      <c r="W257" s="22">
        <f t="shared" si="40"/>
        <v>45323</v>
      </c>
      <c r="X257" s="7" t="str">
        <f t="shared" si="41"/>
        <v>Q1-2024</v>
      </c>
      <c r="Y257" t="str">
        <f t="shared" si="42"/>
        <v>Asia → China → Beijing</v>
      </c>
      <c r="Z257" t="str">
        <f t="shared" si="43"/>
        <v>Accessories</v>
      </c>
      <c r="AA257" t="str" cm="1">
        <f t="array" ref="AA257">_xlfn.IFS(O257&lt;=$AF$2,"Low",AND(O257&gt;$AF$2,O257&lt;$AF$3),"Medium",O257&gt;=$AF$3,"High")</f>
        <v>Low</v>
      </c>
      <c r="AB257" s="22">
        <f t="shared" si="44"/>
        <v>44927</v>
      </c>
      <c r="AC257">
        <v>13</v>
      </c>
    </row>
    <row r="258" spans="1:29" x14ac:dyDescent="0.35">
      <c r="A258" s="4" t="s">
        <v>260</v>
      </c>
      <c r="B258" s="5" t="str">
        <f>IF(COUNTIF($A$2:A258,A258)=1,"Original","Duplicate")</f>
        <v>Original</v>
      </c>
      <c r="C258" s="7">
        <v>45338</v>
      </c>
      <c r="D258" s="7">
        <v>45355</v>
      </c>
      <c r="E258">
        <f t="shared" ref="E258:E321" si="45">D258-C258</f>
        <v>17</v>
      </c>
      <c r="F258" t="s">
        <v>648</v>
      </c>
      <c r="G258" t="s">
        <v>653</v>
      </c>
      <c r="H258" t="s">
        <v>681</v>
      </c>
      <c r="I258" t="s">
        <v>703</v>
      </c>
      <c r="J258" t="s">
        <v>707</v>
      </c>
      <c r="K258" t="s">
        <v>726</v>
      </c>
      <c r="L258" t="s">
        <v>731</v>
      </c>
      <c r="M258" t="s">
        <v>980</v>
      </c>
      <c r="N258" s="23">
        <v>1350.98</v>
      </c>
      <c r="O258" s="23">
        <v>2210.4</v>
      </c>
      <c r="P258" s="8">
        <v>0.26300000000000001</v>
      </c>
      <c r="Q258">
        <v>6</v>
      </c>
      <c r="R258" s="23">
        <f t="shared" si="35"/>
        <v>9774.3888000000006</v>
      </c>
      <c r="S258" s="23">
        <f t="shared" si="36"/>
        <v>8105.88</v>
      </c>
      <c r="T258" s="23">
        <f t="shared" si="37"/>
        <v>1668.5088000000005</v>
      </c>
      <c r="U258" s="14">
        <f t="shared" si="38"/>
        <v>0.17070211080615091</v>
      </c>
      <c r="V258" s="7" t="str">
        <f t="shared" si="39"/>
        <v>Feb-2024</v>
      </c>
      <c r="W258" s="22">
        <f t="shared" si="40"/>
        <v>45323</v>
      </c>
      <c r="X258" s="7" t="str">
        <f t="shared" si="41"/>
        <v>Q1-2024</v>
      </c>
      <c r="Y258" t="str">
        <f t="shared" si="42"/>
        <v>Americas → Canada → Montreal</v>
      </c>
      <c r="Z258" t="str">
        <f t="shared" si="43"/>
        <v>Laptops</v>
      </c>
      <c r="AA258" t="str" cm="1">
        <f t="array" ref="AA258">_xlfn.IFS(O258&lt;=$AF$2,"Low",AND(O258&gt;$AF$2,O258&lt;$AF$3),"Medium",O258&gt;=$AF$3,"High")</f>
        <v>High</v>
      </c>
      <c r="AB258" s="22">
        <f t="shared" si="44"/>
        <v>44927</v>
      </c>
      <c r="AC258">
        <v>13</v>
      </c>
    </row>
    <row r="259" spans="1:29" x14ac:dyDescent="0.35">
      <c r="A259" s="4" t="s">
        <v>357</v>
      </c>
      <c r="B259" s="5" t="str">
        <f>IF(COUNTIF($A$2:A259,A259)=1,"Original","Duplicate")</f>
        <v>Original</v>
      </c>
      <c r="C259" s="7">
        <v>45339</v>
      </c>
      <c r="D259" s="7">
        <v>45355</v>
      </c>
      <c r="E259">
        <f t="shared" si="45"/>
        <v>16</v>
      </c>
      <c r="F259" t="s">
        <v>647</v>
      </c>
      <c r="G259" t="s">
        <v>654</v>
      </c>
      <c r="H259" t="s">
        <v>680</v>
      </c>
      <c r="I259" t="s">
        <v>705</v>
      </c>
      <c r="J259" t="s">
        <v>709</v>
      </c>
      <c r="K259" t="s">
        <v>721</v>
      </c>
      <c r="L259" t="s">
        <v>730</v>
      </c>
      <c r="M259" t="s">
        <v>1077</v>
      </c>
      <c r="N259" s="23">
        <v>1231.8</v>
      </c>
      <c r="O259" s="23">
        <v>2015.99</v>
      </c>
      <c r="P259" s="8">
        <v>0.26100000000000001</v>
      </c>
      <c r="Q259">
        <v>6</v>
      </c>
      <c r="R259" s="23">
        <f t="shared" ref="R259:R322" si="46">(O259*Q259)*(1-P259)</f>
        <v>8938.8996600000009</v>
      </c>
      <c r="S259" s="23">
        <f t="shared" ref="S259:S322" si="47">N259*Q259</f>
        <v>7390.7999999999993</v>
      </c>
      <c r="T259" s="23">
        <f t="shared" ref="T259:T322" si="48">R259-S259</f>
        <v>1548.0996600000017</v>
      </c>
      <c r="U259" s="14">
        <f t="shared" ref="U259:U322" si="49">IF(R259=0,0,T259/R259)</f>
        <v>0.17318682599464391</v>
      </c>
      <c r="V259" s="7" t="str">
        <f t="shared" ref="V259:V322" si="50">TEXT(C259,"MMM-YYYY")</f>
        <v>Feb-2024</v>
      </c>
      <c r="W259" s="22">
        <f t="shared" ref="W259:W322" si="51">DATEVALUE(V259)</f>
        <v>45323</v>
      </c>
      <c r="X259" s="7" t="str">
        <f t="shared" ref="X259:X322" si="52">"Q"&amp;ROUNDUP(MONTH(C259)/3,0)&amp;"-"&amp;YEAR(C259)</f>
        <v>Q1-2024</v>
      </c>
      <c r="Y259" t="str">
        <f t="shared" ref="Y259:Y322" si="53">_xlfn.CONCAT(F259," ","→"," ",G259," ","→"," ",H259)</f>
        <v>Asia → India → Delhi</v>
      </c>
      <c r="Z259" t="str">
        <f t="shared" ref="Z259:Z322" si="54">TRIM(L259)</f>
        <v>Phones</v>
      </c>
      <c r="AA259" t="str" cm="1">
        <f t="array" ref="AA259">_xlfn.IFS(O259&lt;=$AF$2,"Low",AND(O259&gt;$AF$2,O259&lt;$AF$3),"Medium",O259&gt;=$AF$3,"High")</f>
        <v>High</v>
      </c>
      <c r="AB259" s="22">
        <f t="shared" ref="AB259:AB322" si="55">_xlfn.MINIFS($W$2:$W$632,$G$2:$G$632,G259)</f>
        <v>44958</v>
      </c>
      <c r="AC259">
        <v>12</v>
      </c>
    </row>
    <row r="260" spans="1:29" x14ac:dyDescent="0.35">
      <c r="A260" s="4" t="s">
        <v>168</v>
      </c>
      <c r="B260" s="5" t="str">
        <f>IF(COUNTIF($A$2:A260,A260)=1,"Original","Duplicate")</f>
        <v>Original</v>
      </c>
      <c r="C260" s="7">
        <v>45340</v>
      </c>
      <c r="D260" s="7">
        <v>45355</v>
      </c>
      <c r="E260">
        <f t="shared" si="45"/>
        <v>15</v>
      </c>
      <c r="F260" t="s">
        <v>646</v>
      </c>
      <c r="G260" t="s">
        <v>650</v>
      </c>
      <c r="H260" t="s">
        <v>662</v>
      </c>
      <c r="I260" t="s">
        <v>702</v>
      </c>
      <c r="J260" t="s">
        <v>711</v>
      </c>
      <c r="K260" t="s">
        <v>723</v>
      </c>
      <c r="L260" t="s">
        <v>728</v>
      </c>
      <c r="M260" t="s">
        <v>887</v>
      </c>
      <c r="N260" s="23">
        <v>928.68</v>
      </c>
      <c r="O260" s="23">
        <v>2145.17</v>
      </c>
      <c r="P260" s="8">
        <v>0.13600000000000001</v>
      </c>
      <c r="Q260">
        <v>16</v>
      </c>
      <c r="R260" s="23">
        <f t="shared" si="46"/>
        <v>29654.83008</v>
      </c>
      <c r="S260" s="23">
        <f t="shared" si="47"/>
        <v>14858.88</v>
      </c>
      <c r="T260" s="23">
        <f t="shared" si="48"/>
        <v>14795.950080000001</v>
      </c>
      <c r="U260" s="14">
        <f t="shared" si="49"/>
        <v>0.49893896003062177</v>
      </c>
      <c r="V260" s="7" t="str">
        <f t="shared" si="50"/>
        <v>Feb-2024</v>
      </c>
      <c r="W260" s="22">
        <f t="shared" si="51"/>
        <v>45323</v>
      </c>
      <c r="X260" s="7" t="str">
        <f t="shared" si="52"/>
        <v>Q1-2024</v>
      </c>
      <c r="Y260" t="str">
        <f t="shared" si="53"/>
        <v>Africa → Kenya → Kisumu</v>
      </c>
      <c r="Z260" t="str">
        <f t="shared" si="54"/>
        <v>Printers</v>
      </c>
      <c r="AA260" t="str" cm="1">
        <f t="array" ref="AA260">_xlfn.IFS(O260&lt;=$AF$2,"Low",AND(O260&gt;$AF$2,O260&lt;$AF$3),"Medium",O260&gt;=$AF$3,"High")</f>
        <v>High</v>
      </c>
      <c r="AB260" s="22">
        <f t="shared" si="55"/>
        <v>44927</v>
      </c>
      <c r="AC260">
        <v>13</v>
      </c>
    </row>
    <row r="261" spans="1:29" x14ac:dyDescent="0.35">
      <c r="A261" s="4" t="s">
        <v>337</v>
      </c>
      <c r="B261" s="5" t="str">
        <f>IF(COUNTIF($A$2:A261,A261)=1,"Original","Duplicate")</f>
        <v>Original</v>
      </c>
      <c r="C261" s="7">
        <v>45340</v>
      </c>
      <c r="D261" s="7">
        <v>45362</v>
      </c>
      <c r="E261">
        <f t="shared" si="45"/>
        <v>22</v>
      </c>
      <c r="F261" t="s">
        <v>648</v>
      </c>
      <c r="G261" t="s">
        <v>655</v>
      </c>
      <c r="H261" t="s">
        <v>670</v>
      </c>
      <c r="I261" t="s">
        <v>704</v>
      </c>
      <c r="J261" t="s">
        <v>708</v>
      </c>
      <c r="K261" t="s">
        <v>720</v>
      </c>
      <c r="L261" t="s">
        <v>727</v>
      </c>
      <c r="M261" t="s">
        <v>1057</v>
      </c>
      <c r="N261" s="23">
        <v>80.48</v>
      </c>
      <c r="O261" s="23">
        <v>65.650000000000006</v>
      </c>
      <c r="P261" s="8">
        <v>0.17599999999999999</v>
      </c>
      <c r="Q261">
        <v>13</v>
      </c>
      <c r="R261" s="23">
        <f t="shared" si="46"/>
        <v>703.2428000000001</v>
      </c>
      <c r="S261" s="23">
        <f t="shared" si="47"/>
        <v>1046.24</v>
      </c>
      <c r="T261" s="23">
        <f t="shared" si="48"/>
        <v>-342.99719999999991</v>
      </c>
      <c r="U261" s="14">
        <f t="shared" si="49"/>
        <v>-0.48773652570634191</v>
      </c>
      <c r="V261" s="7" t="str">
        <f t="shared" si="50"/>
        <v>Feb-2024</v>
      </c>
      <c r="W261" s="22">
        <f t="shared" si="51"/>
        <v>45323</v>
      </c>
      <c r="X261" s="7" t="str">
        <f t="shared" si="52"/>
        <v>Q1-2024</v>
      </c>
      <c r="Y261" t="str">
        <f t="shared" si="53"/>
        <v>Americas → Brazil → São Paulo</v>
      </c>
      <c r="Z261" t="str">
        <f t="shared" si="54"/>
        <v>Components</v>
      </c>
      <c r="AA261" t="str" cm="1">
        <f t="array" ref="AA261">_xlfn.IFS(O261&lt;=$AF$2,"Low",AND(O261&gt;$AF$2,O261&lt;$AF$3),"Medium",O261&gt;=$AF$3,"High")</f>
        <v>Low</v>
      </c>
      <c r="AB261" s="22">
        <f t="shared" si="55"/>
        <v>44927</v>
      </c>
      <c r="AC261">
        <v>13</v>
      </c>
    </row>
    <row r="262" spans="1:29" x14ac:dyDescent="0.35">
      <c r="A262" s="4" t="s">
        <v>351</v>
      </c>
      <c r="B262" s="5" t="str">
        <f>IF(COUNTIF($A$2:A262,A262)=1,"Original","Duplicate")</f>
        <v>Original</v>
      </c>
      <c r="C262" s="7">
        <v>45340</v>
      </c>
      <c r="D262" s="7">
        <v>45354</v>
      </c>
      <c r="E262">
        <f t="shared" si="45"/>
        <v>14</v>
      </c>
      <c r="F262" t="s">
        <v>648</v>
      </c>
      <c r="G262" t="s">
        <v>655</v>
      </c>
      <c r="H262" t="s">
        <v>1431</v>
      </c>
      <c r="I262" t="s">
        <v>706</v>
      </c>
      <c r="J262" t="s">
        <v>710</v>
      </c>
      <c r="K262" t="s">
        <v>720</v>
      </c>
      <c r="L262" t="s">
        <v>728</v>
      </c>
      <c r="M262" t="s">
        <v>1071</v>
      </c>
      <c r="N262" s="23">
        <v>624.23</v>
      </c>
      <c r="O262" s="23">
        <v>1318.37</v>
      </c>
      <c r="P262" s="8">
        <v>0.21</v>
      </c>
      <c r="Q262">
        <v>37</v>
      </c>
      <c r="R262" s="23">
        <f t="shared" si="46"/>
        <v>38535.955099999999</v>
      </c>
      <c r="S262" s="23">
        <f t="shared" si="47"/>
        <v>23096.510000000002</v>
      </c>
      <c r="T262" s="23">
        <f t="shared" si="48"/>
        <v>15439.445099999997</v>
      </c>
      <c r="U262" s="14">
        <f t="shared" si="49"/>
        <v>0.40065038118128793</v>
      </c>
      <c r="V262" s="7" t="str">
        <f t="shared" si="50"/>
        <v>Feb-2024</v>
      </c>
      <c r="W262" s="22">
        <f t="shared" si="51"/>
        <v>45323</v>
      </c>
      <c r="X262" s="7" t="str">
        <f t="shared" si="52"/>
        <v>Q1-2024</v>
      </c>
      <c r="Y262" t="str">
        <f t="shared" si="53"/>
        <v>Americas → Brazil → Unknown</v>
      </c>
      <c r="Z262" t="str">
        <f t="shared" si="54"/>
        <v>Printers</v>
      </c>
      <c r="AA262" t="str" cm="1">
        <f t="array" ref="AA262">_xlfn.IFS(O262&lt;=$AF$2,"Low",AND(O262&gt;$AF$2,O262&lt;$AF$3),"Medium",O262&gt;=$AF$3,"High")</f>
        <v>Medium</v>
      </c>
      <c r="AB262" s="22">
        <f t="shared" si="55"/>
        <v>44927</v>
      </c>
      <c r="AC262">
        <v>13</v>
      </c>
    </row>
    <row r="263" spans="1:29" x14ac:dyDescent="0.35">
      <c r="A263" s="4" t="s">
        <v>438</v>
      </c>
      <c r="B263" s="5" t="str">
        <f>IF(COUNTIF($A$2:A263,A263)=1,"Original","Duplicate")</f>
        <v>Original</v>
      </c>
      <c r="C263" s="7">
        <v>45341</v>
      </c>
      <c r="D263" s="7">
        <v>45357</v>
      </c>
      <c r="E263">
        <f t="shared" si="45"/>
        <v>16</v>
      </c>
      <c r="F263" t="s">
        <v>647</v>
      </c>
      <c r="G263" t="s">
        <v>659</v>
      </c>
      <c r="H263" t="s">
        <v>699</v>
      </c>
      <c r="I263" t="s">
        <v>702</v>
      </c>
      <c r="J263" t="s">
        <v>709</v>
      </c>
      <c r="K263" t="s">
        <v>719</v>
      </c>
      <c r="L263" t="s">
        <v>728</v>
      </c>
      <c r="M263" t="s">
        <v>1157</v>
      </c>
      <c r="N263" s="23">
        <v>1477.84</v>
      </c>
      <c r="O263" s="23">
        <v>3197.47</v>
      </c>
      <c r="P263" s="8">
        <v>0.24299999999999999</v>
      </c>
      <c r="Q263">
        <v>24</v>
      </c>
      <c r="R263" s="23">
        <f t="shared" si="46"/>
        <v>58091.634960000003</v>
      </c>
      <c r="S263" s="23">
        <f t="shared" si="47"/>
        <v>35468.159999999996</v>
      </c>
      <c r="T263" s="23">
        <f t="shared" si="48"/>
        <v>22623.474960000007</v>
      </c>
      <c r="U263" s="14">
        <f t="shared" si="49"/>
        <v>0.38944462443823091</v>
      </c>
      <c r="V263" s="7" t="str">
        <f t="shared" si="50"/>
        <v>Feb-2024</v>
      </c>
      <c r="W263" s="22">
        <f t="shared" si="51"/>
        <v>45323</v>
      </c>
      <c r="X263" s="7" t="str">
        <f t="shared" si="52"/>
        <v>Q1-2024</v>
      </c>
      <c r="Y263" t="str">
        <f t="shared" si="53"/>
        <v>Asia → China → Beijing</v>
      </c>
      <c r="Z263" t="str">
        <f t="shared" si="54"/>
        <v>Printers</v>
      </c>
      <c r="AA263" t="str" cm="1">
        <f t="array" ref="AA263">_xlfn.IFS(O263&lt;=$AF$2,"Low",AND(O263&gt;$AF$2,O263&lt;$AF$3),"Medium",O263&gt;=$AF$3,"High")</f>
        <v>High</v>
      </c>
      <c r="AB263" s="22">
        <f t="shared" si="55"/>
        <v>44927</v>
      </c>
      <c r="AC263">
        <v>13</v>
      </c>
    </row>
    <row r="264" spans="1:29" x14ac:dyDescent="0.35">
      <c r="A264" s="4" t="s">
        <v>583</v>
      </c>
      <c r="B264" s="5" t="str">
        <f>IF(COUNTIF($A$2:A264,A264)=1,"Original","Duplicate")</f>
        <v>Original</v>
      </c>
      <c r="C264" s="7">
        <v>45342</v>
      </c>
      <c r="D264" s="7">
        <v>45349</v>
      </c>
      <c r="E264">
        <f t="shared" si="45"/>
        <v>7</v>
      </c>
      <c r="F264" t="s">
        <v>648</v>
      </c>
      <c r="G264" t="s">
        <v>660</v>
      </c>
      <c r="H264" t="s">
        <v>700</v>
      </c>
      <c r="I264" t="s">
        <v>706</v>
      </c>
      <c r="J264" t="s">
        <v>708</v>
      </c>
      <c r="K264" t="s">
        <v>712</v>
      </c>
      <c r="L264" t="s">
        <v>729</v>
      </c>
      <c r="M264" t="s">
        <v>1301</v>
      </c>
      <c r="N264" s="23">
        <v>1407.05</v>
      </c>
      <c r="O264" s="23">
        <v>2858.93</v>
      </c>
      <c r="P264" s="8">
        <v>0</v>
      </c>
      <c r="Q264">
        <v>12</v>
      </c>
      <c r="R264" s="23">
        <f t="shared" si="46"/>
        <v>34307.159999999996</v>
      </c>
      <c r="S264" s="23">
        <f t="shared" si="47"/>
        <v>16884.599999999999</v>
      </c>
      <c r="T264" s="23">
        <f t="shared" si="48"/>
        <v>17422.559999999998</v>
      </c>
      <c r="U264" s="14">
        <f t="shared" si="49"/>
        <v>0.50784034586366222</v>
      </c>
      <c r="V264" s="7" t="str">
        <f t="shared" si="50"/>
        <v>Feb-2024</v>
      </c>
      <c r="W264" s="22">
        <f t="shared" si="51"/>
        <v>45323</v>
      </c>
      <c r="X264" s="7" t="str">
        <f t="shared" si="52"/>
        <v>Q1-2024</v>
      </c>
      <c r="Y264" t="str">
        <f t="shared" si="53"/>
        <v>Americas → USA → New York</v>
      </c>
      <c r="Z264" t="str">
        <f t="shared" si="54"/>
        <v>Networking</v>
      </c>
      <c r="AA264" t="str" cm="1">
        <f t="array" ref="AA264">_xlfn.IFS(O264&lt;=$AF$2,"Low",AND(O264&gt;$AF$2,O264&lt;$AF$3),"Medium",O264&gt;=$AF$3,"High")</f>
        <v>High</v>
      </c>
      <c r="AB264" s="22">
        <f t="shared" si="55"/>
        <v>44927</v>
      </c>
      <c r="AC264">
        <v>13</v>
      </c>
    </row>
    <row r="265" spans="1:29" x14ac:dyDescent="0.35">
      <c r="A265" s="4" t="s">
        <v>442</v>
      </c>
      <c r="B265" s="5" t="str">
        <f>IF(COUNTIF($A$2:A265,A265)=1,"Original","Duplicate")</f>
        <v>Original</v>
      </c>
      <c r="C265" s="7">
        <v>45347</v>
      </c>
      <c r="D265" s="7">
        <v>45360</v>
      </c>
      <c r="E265">
        <f t="shared" si="45"/>
        <v>13</v>
      </c>
      <c r="F265" t="s">
        <v>649</v>
      </c>
      <c r="G265" t="s">
        <v>657</v>
      </c>
      <c r="H265" t="s">
        <v>673</v>
      </c>
      <c r="I265" t="s">
        <v>705</v>
      </c>
      <c r="J265" t="s">
        <v>710</v>
      </c>
      <c r="K265" t="s">
        <v>718</v>
      </c>
      <c r="L265" t="s">
        <v>732</v>
      </c>
      <c r="M265" t="s">
        <v>1161</v>
      </c>
      <c r="N265" s="23">
        <v>322.44</v>
      </c>
      <c r="O265" s="23">
        <v>395.61</v>
      </c>
      <c r="P265" s="8">
        <v>0</v>
      </c>
      <c r="Q265">
        <v>34</v>
      </c>
      <c r="R265" s="23">
        <f t="shared" si="46"/>
        <v>13450.74</v>
      </c>
      <c r="S265" s="23">
        <f t="shared" si="47"/>
        <v>10962.96</v>
      </c>
      <c r="T265" s="23">
        <f t="shared" si="48"/>
        <v>2487.7800000000007</v>
      </c>
      <c r="U265" s="14">
        <f t="shared" si="49"/>
        <v>0.18495487980586947</v>
      </c>
      <c r="V265" s="7" t="str">
        <f t="shared" si="50"/>
        <v>Feb-2024</v>
      </c>
      <c r="W265" s="22">
        <f t="shared" si="51"/>
        <v>45323</v>
      </c>
      <c r="X265" s="7" t="str">
        <f t="shared" si="52"/>
        <v>Q1-2024</v>
      </c>
      <c r="Y265" t="str">
        <f t="shared" si="53"/>
        <v>Europe → France → Marseille</v>
      </c>
      <c r="Z265" t="str">
        <f t="shared" si="54"/>
        <v>Monitors</v>
      </c>
      <c r="AA265" t="str" cm="1">
        <f t="array" ref="AA265">_xlfn.IFS(O265&lt;=$AF$2,"Low",AND(O265&gt;$AF$2,O265&lt;$AF$3),"Medium",O265&gt;=$AF$3,"High")</f>
        <v>Low</v>
      </c>
      <c r="AB265" s="22">
        <f t="shared" si="55"/>
        <v>44927</v>
      </c>
      <c r="AC265">
        <v>13</v>
      </c>
    </row>
    <row r="266" spans="1:29" x14ac:dyDescent="0.35">
      <c r="A266" s="4" t="s">
        <v>439</v>
      </c>
      <c r="B266" s="5" t="str">
        <f>IF(COUNTIF($A$2:A266,A266)=1,"Original","Duplicate")</f>
        <v>Original</v>
      </c>
      <c r="C266" s="7">
        <v>45349</v>
      </c>
      <c r="D266" s="7">
        <v>45377</v>
      </c>
      <c r="E266">
        <f t="shared" si="45"/>
        <v>28</v>
      </c>
      <c r="F266" t="s">
        <v>647</v>
      </c>
      <c r="G266" t="s">
        <v>654</v>
      </c>
      <c r="H266" t="s">
        <v>691</v>
      </c>
      <c r="I266" t="s">
        <v>702</v>
      </c>
      <c r="J266" t="s">
        <v>709</v>
      </c>
      <c r="K266" t="s">
        <v>715</v>
      </c>
      <c r="L266" t="s">
        <v>731</v>
      </c>
      <c r="M266" t="s">
        <v>1158</v>
      </c>
      <c r="N266" s="23">
        <v>1035.19</v>
      </c>
      <c r="O266" s="23">
        <v>2322.6999999999998</v>
      </c>
      <c r="P266" s="8">
        <v>0.17299999999999999</v>
      </c>
      <c r="Q266">
        <v>8</v>
      </c>
      <c r="R266" s="23">
        <f t="shared" si="46"/>
        <v>15366.983199999999</v>
      </c>
      <c r="S266" s="23">
        <f t="shared" si="47"/>
        <v>8281.52</v>
      </c>
      <c r="T266" s="23">
        <f t="shared" si="48"/>
        <v>7085.4631999999983</v>
      </c>
      <c r="U266" s="14">
        <f t="shared" si="49"/>
        <v>0.46108355217047409</v>
      </c>
      <c r="V266" s="7" t="str">
        <f t="shared" si="50"/>
        <v>Feb-2024</v>
      </c>
      <c r="W266" s="22">
        <f t="shared" si="51"/>
        <v>45323</v>
      </c>
      <c r="X266" s="7" t="str">
        <f t="shared" si="52"/>
        <v>Q1-2024</v>
      </c>
      <c r="Y266" t="str">
        <f t="shared" si="53"/>
        <v>Asia → India → Mumbai</v>
      </c>
      <c r="Z266" t="str">
        <f t="shared" si="54"/>
        <v>Laptops</v>
      </c>
      <c r="AA266" t="str" cm="1">
        <f t="array" ref="AA266">_xlfn.IFS(O266&lt;=$AF$2,"Low",AND(O266&gt;$AF$2,O266&lt;$AF$3),"Medium",O266&gt;=$AF$3,"High")</f>
        <v>High</v>
      </c>
      <c r="AB266" s="22">
        <f t="shared" si="55"/>
        <v>44958</v>
      </c>
      <c r="AC266">
        <v>12</v>
      </c>
    </row>
    <row r="267" spans="1:29" x14ac:dyDescent="0.35">
      <c r="A267" s="4" t="s">
        <v>229</v>
      </c>
      <c r="B267" s="5" t="str">
        <f>IF(COUNTIF($A$2:A267,A267)=1,"Original","Duplicate")</f>
        <v>Original</v>
      </c>
      <c r="C267" s="7">
        <v>45351</v>
      </c>
      <c r="D267" s="7">
        <v>45381</v>
      </c>
      <c r="E267">
        <f t="shared" si="45"/>
        <v>30</v>
      </c>
      <c r="F267" t="s">
        <v>647</v>
      </c>
      <c r="G267" t="s">
        <v>652</v>
      </c>
      <c r="H267" t="s">
        <v>694</v>
      </c>
      <c r="I267" t="s">
        <v>705</v>
      </c>
      <c r="J267" t="s">
        <v>711</v>
      </c>
      <c r="K267" t="s">
        <v>714</v>
      </c>
      <c r="L267" t="s">
        <v>729</v>
      </c>
      <c r="M267" t="s">
        <v>949</v>
      </c>
      <c r="N267" s="23">
        <v>231.11</v>
      </c>
      <c r="O267" s="23">
        <v>318.17</v>
      </c>
      <c r="P267" s="8">
        <v>0.20100000000000001</v>
      </c>
      <c r="Q267">
        <v>60</v>
      </c>
      <c r="R267" s="23">
        <f t="shared" si="46"/>
        <v>15253.069799999999</v>
      </c>
      <c r="S267" s="23">
        <f t="shared" si="47"/>
        <v>13866.6</v>
      </c>
      <c r="T267" s="23">
        <f t="shared" si="48"/>
        <v>1386.4697999999989</v>
      </c>
      <c r="U267" s="14">
        <f t="shared" si="49"/>
        <v>9.0897754889969692E-2</v>
      </c>
      <c r="V267" s="7" t="str">
        <f t="shared" si="50"/>
        <v>Feb-2024</v>
      </c>
      <c r="W267" s="22">
        <f t="shared" si="51"/>
        <v>45323</v>
      </c>
      <c r="X267" s="7" t="str">
        <f t="shared" si="52"/>
        <v>Q1-2024</v>
      </c>
      <c r="Y267" t="str">
        <f t="shared" si="53"/>
        <v>Asia → Japan → Nagoya</v>
      </c>
      <c r="Z267" t="str">
        <f t="shared" si="54"/>
        <v>Networking</v>
      </c>
      <c r="AA267" t="str" cm="1">
        <f t="array" ref="AA267">_xlfn.IFS(O267&lt;=$AF$2,"Low",AND(O267&gt;$AF$2,O267&lt;$AF$3),"Medium",O267&gt;=$AF$3,"High")</f>
        <v>Low</v>
      </c>
      <c r="AB267" s="22">
        <f t="shared" si="55"/>
        <v>44986</v>
      </c>
      <c r="AC267">
        <v>11</v>
      </c>
    </row>
    <row r="268" spans="1:29" x14ac:dyDescent="0.35">
      <c r="A268" s="4" t="s">
        <v>507</v>
      </c>
      <c r="B268" s="5" t="str">
        <f>IF(COUNTIF($A$2:A268,A268)=1,"Original","Duplicate")</f>
        <v>Original</v>
      </c>
      <c r="C268" s="7">
        <v>45352</v>
      </c>
      <c r="D268" s="7">
        <v>45359</v>
      </c>
      <c r="E268">
        <f t="shared" si="45"/>
        <v>7</v>
      </c>
      <c r="F268" t="s">
        <v>648</v>
      </c>
      <c r="G268" t="s">
        <v>655</v>
      </c>
      <c r="H268" t="s">
        <v>670</v>
      </c>
      <c r="I268" t="s">
        <v>703</v>
      </c>
      <c r="J268" t="s">
        <v>711</v>
      </c>
      <c r="K268" t="s">
        <v>714</v>
      </c>
      <c r="L268" t="s">
        <v>730</v>
      </c>
      <c r="M268" t="s">
        <v>1226</v>
      </c>
      <c r="N268" s="23">
        <v>5.34</v>
      </c>
      <c r="O268" s="23">
        <v>12.69</v>
      </c>
      <c r="P268" s="8">
        <v>0.13200000000000001</v>
      </c>
      <c r="Q268">
        <v>10</v>
      </c>
      <c r="R268" s="23">
        <f t="shared" si="46"/>
        <v>110.14919999999999</v>
      </c>
      <c r="S268" s="23">
        <f t="shared" si="47"/>
        <v>53.4</v>
      </c>
      <c r="T268" s="23">
        <f t="shared" si="48"/>
        <v>56.749199999999995</v>
      </c>
      <c r="U268" s="14">
        <f t="shared" si="49"/>
        <v>0.51520301554618642</v>
      </c>
      <c r="V268" s="7" t="str">
        <f t="shared" si="50"/>
        <v>Mar-2024</v>
      </c>
      <c r="W268" s="22">
        <f t="shared" si="51"/>
        <v>45352</v>
      </c>
      <c r="X268" s="7" t="str">
        <f t="shared" si="52"/>
        <v>Q1-2024</v>
      </c>
      <c r="Y268" t="str">
        <f t="shared" si="53"/>
        <v>Americas → Brazil → São Paulo</v>
      </c>
      <c r="Z268" t="str">
        <f t="shared" si="54"/>
        <v>Phones</v>
      </c>
      <c r="AA268" t="str" cm="1">
        <f t="array" ref="AA268">_xlfn.IFS(O268&lt;=$AF$2,"Low",AND(O268&gt;$AF$2,O268&lt;$AF$3),"Medium",O268&gt;=$AF$3,"High")</f>
        <v>Low</v>
      </c>
      <c r="AB268" s="22">
        <f t="shared" si="55"/>
        <v>44927</v>
      </c>
      <c r="AC268">
        <v>14</v>
      </c>
    </row>
    <row r="269" spans="1:29" x14ac:dyDescent="0.35">
      <c r="A269" s="4" t="s">
        <v>310</v>
      </c>
      <c r="B269" s="5" t="str">
        <f>IF(COUNTIF($A$2:A269,A269)=1,"Original","Duplicate")</f>
        <v>Original</v>
      </c>
      <c r="C269" s="7">
        <v>45353</v>
      </c>
      <c r="D269" s="7">
        <v>45367</v>
      </c>
      <c r="E269">
        <f t="shared" si="45"/>
        <v>14</v>
      </c>
      <c r="F269" t="s">
        <v>648</v>
      </c>
      <c r="G269" t="s">
        <v>653</v>
      </c>
      <c r="H269" t="s">
        <v>688</v>
      </c>
      <c r="I269" t="s">
        <v>703</v>
      </c>
      <c r="J269" t="s">
        <v>711</v>
      </c>
      <c r="K269" t="s">
        <v>719</v>
      </c>
      <c r="L269" t="s">
        <v>728</v>
      </c>
      <c r="M269" t="s">
        <v>1030</v>
      </c>
      <c r="N269" s="23">
        <v>248.24</v>
      </c>
      <c r="O269" s="23">
        <v>464.05</v>
      </c>
      <c r="P269" s="8">
        <v>0.16900000000000001</v>
      </c>
      <c r="Q269">
        <v>11</v>
      </c>
      <c r="R269" s="23">
        <f t="shared" si="46"/>
        <v>4241.88105</v>
      </c>
      <c r="S269" s="23">
        <f t="shared" si="47"/>
        <v>2730.6400000000003</v>
      </c>
      <c r="T269" s="23">
        <f t="shared" si="48"/>
        <v>1511.2410499999996</v>
      </c>
      <c r="U269" s="14">
        <f t="shared" si="49"/>
        <v>0.3562667203975462</v>
      </c>
      <c r="V269" s="7" t="str">
        <f t="shared" si="50"/>
        <v>Mar-2024</v>
      </c>
      <c r="W269" s="22">
        <f t="shared" si="51"/>
        <v>45352</v>
      </c>
      <c r="X269" s="7" t="str">
        <f t="shared" si="52"/>
        <v>Q1-2024</v>
      </c>
      <c r="Y269" t="str">
        <f t="shared" si="53"/>
        <v>Americas → Canada → Vancouver</v>
      </c>
      <c r="Z269" t="str">
        <f t="shared" si="54"/>
        <v>Printers</v>
      </c>
      <c r="AA269" t="str" cm="1">
        <f t="array" ref="AA269">_xlfn.IFS(O269&lt;=$AF$2,"Low",AND(O269&gt;$AF$2,O269&lt;$AF$3),"Medium",O269&gt;=$AF$3,"High")</f>
        <v>Low</v>
      </c>
      <c r="AB269" s="22">
        <f t="shared" si="55"/>
        <v>44927</v>
      </c>
      <c r="AC269">
        <v>14</v>
      </c>
    </row>
    <row r="270" spans="1:29" x14ac:dyDescent="0.35">
      <c r="A270" s="4" t="s">
        <v>525</v>
      </c>
      <c r="B270" s="5" t="str">
        <f>IF(COUNTIF($A$2:A270,A270)=1,"Original","Duplicate")</f>
        <v>Original</v>
      </c>
      <c r="C270" s="7">
        <v>45353</v>
      </c>
      <c r="D270" s="7">
        <v>45374</v>
      </c>
      <c r="E270">
        <f t="shared" si="45"/>
        <v>21</v>
      </c>
      <c r="F270" t="s">
        <v>648</v>
      </c>
      <c r="G270" t="s">
        <v>660</v>
      </c>
      <c r="H270" t="s">
        <v>677</v>
      </c>
      <c r="I270" t="s">
        <v>705</v>
      </c>
      <c r="J270" t="s">
        <v>708</v>
      </c>
      <c r="K270" t="s">
        <v>721</v>
      </c>
      <c r="L270" t="s">
        <v>727</v>
      </c>
      <c r="M270" t="s">
        <v>1244</v>
      </c>
      <c r="N270" s="23">
        <v>225.01</v>
      </c>
      <c r="O270" s="23">
        <v>333.48</v>
      </c>
      <c r="P270" s="8">
        <v>0.11899999999999999</v>
      </c>
      <c r="Q270">
        <v>12</v>
      </c>
      <c r="R270" s="23">
        <f t="shared" si="46"/>
        <v>3525.5505600000001</v>
      </c>
      <c r="S270" s="23">
        <f t="shared" si="47"/>
        <v>2700.12</v>
      </c>
      <c r="T270" s="23">
        <f t="shared" si="48"/>
        <v>825.43056000000024</v>
      </c>
      <c r="U270" s="14">
        <f t="shared" si="49"/>
        <v>0.23412813004729685</v>
      </c>
      <c r="V270" s="7" t="str">
        <f t="shared" si="50"/>
        <v>Mar-2024</v>
      </c>
      <c r="W270" s="22">
        <f t="shared" si="51"/>
        <v>45352</v>
      </c>
      <c r="X270" s="7" t="str">
        <f t="shared" si="52"/>
        <v>Q1-2024</v>
      </c>
      <c r="Y270" t="str">
        <f t="shared" si="53"/>
        <v>Americas → USA → Chicago</v>
      </c>
      <c r="Z270" t="str">
        <f t="shared" si="54"/>
        <v>Components</v>
      </c>
      <c r="AA270" t="str" cm="1">
        <f t="array" ref="AA270">_xlfn.IFS(O270&lt;=$AF$2,"Low",AND(O270&gt;$AF$2,O270&lt;$AF$3),"Medium",O270&gt;=$AF$3,"High")</f>
        <v>Low</v>
      </c>
      <c r="AB270" s="22">
        <f t="shared" si="55"/>
        <v>44927</v>
      </c>
      <c r="AC270">
        <v>14</v>
      </c>
    </row>
    <row r="271" spans="1:29" x14ac:dyDescent="0.35">
      <c r="A271" s="4" t="s">
        <v>389</v>
      </c>
      <c r="B271" s="5" t="str">
        <f>IF(COUNTIF($A$2:A271,A271)=1,"Original","Duplicate")</f>
        <v>Original</v>
      </c>
      <c r="C271" s="7">
        <v>45354</v>
      </c>
      <c r="D271" s="7">
        <v>45370</v>
      </c>
      <c r="E271">
        <f t="shared" si="45"/>
        <v>16</v>
      </c>
      <c r="F271" t="s">
        <v>647</v>
      </c>
      <c r="G271" t="s">
        <v>659</v>
      </c>
      <c r="H271" t="s">
        <v>699</v>
      </c>
      <c r="I271" t="s">
        <v>704</v>
      </c>
      <c r="J271" t="s">
        <v>710</v>
      </c>
      <c r="K271" t="s">
        <v>715</v>
      </c>
      <c r="L271" t="s">
        <v>730</v>
      </c>
      <c r="M271" t="s">
        <v>1109</v>
      </c>
      <c r="N271" s="23">
        <v>988.83</v>
      </c>
      <c r="O271" s="23">
        <v>1206.04</v>
      </c>
      <c r="P271" s="8">
        <v>6.3E-2</v>
      </c>
      <c r="Q271">
        <v>34</v>
      </c>
      <c r="R271" s="23">
        <f t="shared" si="46"/>
        <v>38422.022320000004</v>
      </c>
      <c r="S271" s="23">
        <f t="shared" si="47"/>
        <v>33620.22</v>
      </c>
      <c r="T271" s="23">
        <f t="shared" si="48"/>
        <v>4801.8023200000025</v>
      </c>
      <c r="U271" s="14">
        <f t="shared" si="49"/>
        <v>0.12497526236406606</v>
      </c>
      <c r="V271" s="7" t="str">
        <f t="shared" si="50"/>
        <v>Mar-2024</v>
      </c>
      <c r="W271" s="22">
        <f t="shared" si="51"/>
        <v>45352</v>
      </c>
      <c r="X271" s="7" t="str">
        <f t="shared" si="52"/>
        <v>Q1-2024</v>
      </c>
      <c r="Y271" t="str">
        <f t="shared" si="53"/>
        <v>Asia → China → Beijing</v>
      </c>
      <c r="Z271" t="str">
        <f t="shared" si="54"/>
        <v>Phones</v>
      </c>
      <c r="AA271" t="str" cm="1">
        <f t="array" ref="AA271">_xlfn.IFS(O271&lt;=$AF$2,"Low",AND(O271&gt;$AF$2,O271&lt;$AF$3),"Medium",O271&gt;=$AF$3,"High")</f>
        <v>Medium</v>
      </c>
      <c r="AB271" s="22">
        <f t="shared" si="55"/>
        <v>44927</v>
      </c>
      <c r="AC271">
        <v>14</v>
      </c>
    </row>
    <row r="272" spans="1:29" x14ac:dyDescent="0.35">
      <c r="A272" s="4" t="s">
        <v>560</v>
      </c>
      <c r="B272" s="5" t="str">
        <f>IF(COUNTIF($A$2:A272,A272)=1,"Original","Duplicate")</f>
        <v>Original</v>
      </c>
      <c r="C272" s="7">
        <v>45355</v>
      </c>
      <c r="D272" s="7">
        <v>45367</v>
      </c>
      <c r="E272">
        <f t="shared" si="45"/>
        <v>12</v>
      </c>
      <c r="F272" t="s">
        <v>646</v>
      </c>
      <c r="G272" t="s">
        <v>661</v>
      </c>
      <c r="H272" t="s">
        <v>682</v>
      </c>
      <c r="I272" t="s">
        <v>706</v>
      </c>
      <c r="J272" t="s">
        <v>710</v>
      </c>
      <c r="K272" t="s">
        <v>724</v>
      </c>
      <c r="L272" t="s">
        <v>732</v>
      </c>
      <c r="M272" t="s">
        <v>1278</v>
      </c>
      <c r="N272" s="23">
        <v>441.08</v>
      </c>
      <c r="O272" s="23">
        <v>1054.29</v>
      </c>
      <c r="P272" s="8">
        <v>0.23699999999999999</v>
      </c>
      <c r="Q272">
        <v>6</v>
      </c>
      <c r="R272" s="23">
        <f t="shared" si="46"/>
        <v>4826.5396199999996</v>
      </c>
      <c r="S272" s="23">
        <f t="shared" si="47"/>
        <v>2646.48</v>
      </c>
      <c r="T272" s="23">
        <f t="shared" si="48"/>
        <v>2180.0596199999995</v>
      </c>
      <c r="U272" s="14">
        <f t="shared" si="49"/>
        <v>0.45168169985932899</v>
      </c>
      <c r="V272" s="7" t="str">
        <f t="shared" si="50"/>
        <v>Mar-2024</v>
      </c>
      <c r="W272" s="22">
        <f t="shared" si="51"/>
        <v>45352</v>
      </c>
      <c r="X272" s="7" t="str">
        <f t="shared" si="52"/>
        <v>Q1-2024</v>
      </c>
      <c r="Y272" t="str">
        <f t="shared" si="53"/>
        <v>Africa → South Africa → Johannesburg</v>
      </c>
      <c r="Z272" t="str">
        <f t="shared" si="54"/>
        <v>Monitors</v>
      </c>
      <c r="AA272" t="str" cm="1">
        <f t="array" ref="AA272">_xlfn.IFS(O272&lt;=$AF$2,"Low",AND(O272&gt;$AF$2,O272&lt;$AF$3),"Medium",O272&gt;=$AF$3,"High")</f>
        <v>Medium</v>
      </c>
      <c r="AB272" s="22">
        <f t="shared" si="55"/>
        <v>44927</v>
      </c>
      <c r="AC272">
        <v>14</v>
      </c>
    </row>
    <row r="273" spans="1:29" x14ac:dyDescent="0.35">
      <c r="A273" s="4" t="s">
        <v>259</v>
      </c>
      <c r="B273" s="5" t="str">
        <f>IF(COUNTIF($A$2:A273,A273)=1,"Original","Duplicate")</f>
        <v>Original</v>
      </c>
      <c r="C273" s="7">
        <v>45357</v>
      </c>
      <c r="D273" s="7">
        <v>45377</v>
      </c>
      <c r="E273">
        <f t="shared" si="45"/>
        <v>20</v>
      </c>
      <c r="F273" t="s">
        <v>646</v>
      </c>
      <c r="G273" t="s">
        <v>651</v>
      </c>
      <c r="H273" t="s">
        <v>663</v>
      </c>
      <c r="I273" t="s">
        <v>704</v>
      </c>
      <c r="J273" t="s">
        <v>709</v>
      </c>
      <c r="K273" t="s">
        <v>714</v>
      </c>
      <c r="L273" t="s">
        <v>730</v>
      </c>
      <c r="M273" t="s">
        <v>979</v>
      </c>
      <c r="N273" s="23">
        <v>65.64</v>
      </c>
      <c r="O273" s="23">
        <v>151.88</v>
      </c>
      <c r="P273" s="8">
        <v>0.16700000000000001</v>
      </c>
      <c r="Q273">
        <v>23</v>
      </c>
      <c r="R273" s="23">
        <f t="shared" si="46"/>
        <v>2909.8689199999999</v>
      </c>
      <c r="S273" s="23">
        <f t="shared" si="47"/>
        <v>1509.72</v>
      </c>
      <c r="T273" s="23">
        <f t="shared" si="48"/>
        <v>1400.1489199999999</v>
      </c>
      <c r="U273" s="14">
        <f t="shared" si="49"/>
        <v>0.48117250587356353</v>
      </c>
      <c r="V273" s="7" t="str">
        <f t="shared" si="50"/>
        <v>Mar-2024</v>
      </c>
      <c r="W273" s="22">
        <f t="shared" si="51"/>
        <v>45352</v>
      </c>
      <c r="X273" s="7" t="str">
        <f t="shared" si="52"/>
        <v>Q1-2024</v>
      </c>
      <c r="Y273" t="str">
        <f t="shared" si="53"/>
        <v>Africa → Nigeria → Port Harcourt</v>
      </c>
      <c r="Z273" t="str">
        <f t="shared" si="54"/>
        <v>Phones</v>
      </c>
      <c r="AA273" t="str" cm="1">
        <f t="array" ref="AA273">_xlfn.IFS(O273&lt;=$AF$2,"Low",AND(O273&gt;$AF$2,O273&lt;$AF$3),"Medium",O273&gt;=$AF$3,"High")</f>
        <v>Low</v>
      </c>
      <c r="AB273" s="22">
        <f t="shared" si="55"/>
        <v>44927</v>
      </c>
      <c r="AC273">
        <v>14</v>
      </c>
    </row>
    <row r="274" spans="1:29" x14ac:dyDescent="0.35">
      <c r="A274" s="4" t="s">
        <v>51</v>
      </c>
      <c r="B274" s="5" t="str">
        <f>IF(COUNTIF($A$2:A274,A274)=1,"Original","Duplicate")</f>
        <v>Original</v>
      </c>
      <c r="C274" s="7">
        <v>45358</v>
      </c>
      <c r="D274" s="7">
        <v>45376</v>
      </c>
      <c r="E274">
        <f t="shared" si="45"/>
        <v>18</v>
      </c>
      <c r="F274" t="s">
        <v>649</v>
      </c>
      <c r="G274" t="s">
        <v>656</v>
      </c>
      <c r="H274" t="s">
        <v>684</v>
      </c>
      <c r="I274" t="s">
        <v>701</v>
      </c>
      <c r="J274" t="s">
        <v>708</v>
      </c>
      <c r="K274" t="s">
        <v>717</v>
      </c>
      <c r="L274" t="s">
        <v>727</v>
      </c>
      <c r="M274" t="s">
        <v>770</v>
      </c>
      <c r="N274" s="23">
        <v>712.84</v>
      </c>
      <c r="O274" s="23">
        <v>927.51</v>
      </c>
      <c r="P274" s="8">
        <v>0.24299999999999999</v>
      </c>
      <c r="Q274">
        <v>27</v>
      </c>
      <c r="R274" s="23">
        <f t="shared" si="46"/>
        <v>18957.37689</v>
      </c>
      <c r="S274" s="23">
        <f t="shared" si="47"/>
        <v>19246.68</v>
      </c>
      <c r="T274" s="23">
        <f t="shared" si="48"/>
        <v>-289.30311000000074</v>
      </c>
      <c r="U274" s="14">
        <f t="shared" si="49"/>
        <v>-1.5260714163076427E-2</v>
      </c>
      <c r="V274" s="7" t="str">
        <f t="shared" si="50"/>
        <v>Mar-2024</v>
      </c>
      <c r="W274" s="22">
        <f t="shared" si="51"/>
        <v>45352</v>
      </c>
      <c r="X274" s="7" t="str">
        <f t="shared" si="52"/>
        <v>Q1-2024</v>
      </c>
      <c r="Y274" t="str">
        <f t="shared" si="53"/>
        <v>Europe → Germany → Munich</v>
      </c>
      <c r="Z274" t="str">
        <f t="shared" si="54"/>
        <v>Components</v>
      </c>
      <c r="AA274" t="str" cm="1">
        <f t="array" ref="AA274">_xlfn.IFS(O274&lt;=$AF$2,"Low",AND(O274&gt;$AF$2,O274&lt;$AF$3),"Medium",O274&gt;=$AF$3,"High")</f>
        <v>Medium</v>
      </c>
      <c r="AB274" s="22">
        <f t="shared" si="55"/>
        <v>44927</v>
      </c>
      <c r="AC274">
        <v>14</v>
      </c>
    </row>
    <row r="275" spans="1:29" x14ac:dyDescent="0.35">
      <c r="A275" s="4" t="s">
        <v>476</v>
      </c>
      <c r="B275" s="5" t="str">
        <f>IF(COUNTIF($A$2:A275,A275)=1,"Original","Duplicate")</f>
        <v>Original</v>
      </c>
      <c r="C275" s="7">
        <v>45358</v>
      </c>
      <c r="D275" s="7">
        <v>45385</v>
      </c>
      <c r="E275">
        <f t="shared" si="45"/>
        <v>27</v>
      </c>
      <c r="F275" t="s">
        <v>649</v>
      </c>
      <c r="G275" t="s">
        <v>656</v>
      </c>
      <c r="H275" t="s">
        <v>698</v>
      </c>
      <c r="I275" t="s">
        <v>701</v>
      </c>
      <c r="J275" t="s">
        <v>711</v>
      </c>
      <c r="K275" t="s">
        <v>724</v>
      </c>
      <c r="L275" t="s">
        <v>728</v>
      </c>
      <c r="M275" t="s">
        <v>1195</v>
      </c>
      <c r="N275" s="23">
        <v>738.16</v>
      </c>
      <c r="O275" s="23">
        <v>956.49</v>
      </c>
      <c r="P275" s="8">
        <v>0.152</v>
      </c>
      <c r="Q275">
        <v>5</v>
      </c>
      <c r="R275" s="23">
        <f t="shared" si="46"/>
        <v>4055.5175999999997</v>
      </c>
      <c r="S275" s="23">
        <f t="shared" si="47"/>
        <v>3690.7999999999997</v>
      </c>
      <c r="T275" s="23">
        <f t="shared" si="48"/>
        <v>364.71759999999995</v>
      </c>
      <c r="U275" s="14">
        <f t="shared" si="49"/>
        <v>8.9931208780847108E-2</v>
      </c>
      <c r="V275" s="7" t="str">
        <f t="shared" si="50"/>
        <v>Mar-2024</v>
      </c>
      <c r="W275" s="22">
        <f t="shared" si="51"/>
        <v>45352</v>
      </c>
      <c r="X275" s="7" t="str">
        <f t="shared" si="52"/>
        <v>Q1-2024</v>
      </c>
      <c r="Y275" t="str">
        <f t="shared" si="53"/>
        <v>Europe → Germany → Frankfurt</v>
      </c>
      <c r="Z275" t="str">
        <f t="shared" si="54"/>
        <v>Printers</v>
      </c>
      <c r="AA275" t="str" cm="1">
        <f t="array" ref="AA275">_xlfn.IFS(O275&lt;=$AF$2,"Low",AND(O275&gt;$AF$2,O275&lt;$AF$3),"Medium",O275&gt;=$AF$3,"High")</f>
        <v>Medium</v>
      </c>
      <c r="AB275" s="22">
        <f t="shared" si="55"/>
        <v>44927</v>
      </c>
      <c r="AC275">
        <v>14</v>
      </c>
    </row>
    <row r="276" spans="1:29" x14ac:dyDescent="0.35">
      <c r="A276" s="4" t="s">
        <v>377</v>
      </c>
      <c r="B276" s="5" t="str">
        <f>IF(COUNTIF($A$2:A276,A276)=1,"Original","Duplicate")</f>
        <v>Original</v>
      </c>
      <c r="C276" s="7">
        <v>45360</v>
      </c>
      <c r="D276" s="7">
        <v>45377</v>
      </c>
      <c r="E276">
        <f t="shared" si="45"/>
        <v>17</v>
      </c>
      <c r="F276" t="s">
        <v>647</v>
      </c>
      <c r="G276" t="s">
        <v>659</v>
      </c>
      <c r="H276" t="s">
        <v>676</v>
      </c>
      <c r="I276" t="s">
        <v>706</v>
      </c>
      <c r="J276" t="s">
        <v>708</v>
      </c>
      <c r="K276" t="s">
        <v>723</v>
      </c>
      <c r="L276" t="s">
        <v>732</v>
      </c>
      <c r="M276" t="s">
        <v>1097</v>
      </c>
      <c r="N276" s="23">
        <v>1029.67</v>
      </c>
      <c r="O276" s="23">
        <v>1118.43</v>
      </c>
      <c r="P276" s="8">
        <v>0.27200000000000002</v>
      </c>
      <c r="Q276">
        <v>9</v>
      </c>
      <c r="R276" s="23">
        <f t="shared" si="46"/>
        <v>7327.9533600000004</v>
      </c>
      <c r="S276" s="23">
        <f t="shared" si="47"/>
        <v>9267.0300000000007</v>
      </c>
      <c r="T276" s="23">
        <f t="shared" si="48"/>
        <v>-1939.0766400000002</v>
      </c>
      <c r="U276" s="14">
        <f t="shared" si="49"/>
        <v>-0.26461367106736061</v>
      </c>
      <c r="V276" s="7" t="str">
        <f t="shared" si="50"/>
        <v>Mar-2024</v>
      </c>
      <c r="W276" s="22">
        <f t="shared" si="51"/>
        <v>45352</v>
      </c>
      <c r="X276" s="7" t="str">
        <f t="shared" si="52"/>
        <v>Q1-2024</v>
      </c>
      <c r="Y276" t="str">
        <f t="shared" si="53"/>
        <v>Asia → China → Shenzhen</v>
      </c>
      <c r="Z276" t="str">
        <f t="shared" si="54"/>
        <v>Monitors</v>
      </c>
      <c r="AA276" t="str" cm="1">
        <f t="array" ref="AA276">_xlfn.IFS(O276&lt;=$AF$2,"Low",AND(O276&gt;$AF$2,O276&lt;$AF$3),"Medium",O276&gt;=$AF$3,"High")</f>
        <v>Medium</v>
      </c>
      <c r="AB276" s="22">
        <f t="shared" si="55"/>
        <v>44927</v>
      </c>
      <c r="AC276">
        <v>14</v>
      </c>
    </row>
    <row r="277" spans="1:29" x14ac:dyDescent="0.35">
      <c r="A277" s="4" t="s">
        <v>407</v>
      </c>
      <c r="B277" s="5" t="str">
        <f>IF(COUNTIF($A$2:A277,A277)=1,"Original","Duplicate")</f>
        <v>Original</v>
      </c>
      <c r="C277" s="7">
        <v>45360</v>
      </c>
      <c r="D277" s="7">
        <v>45377</v>
      </c>
      <c r="E277">
        <f t="shared" si="45"/>
        <v>17</v>
      </c>
      <c r="F277" t="s">
        <v>648</v>
      </c>
      <c r="G277" t="s">
        <v>660</v>
      </c>
      <c r="H277" t="s">
        <v>686</v>
      </c>
      <c r="I277" t="s">
        <v>702</v>
      </c>
      <c r="J277" t="s">
        <v>711</v>
      </c>
      <c r="K277" t="s">
        <v>714</v>
      </c>
      <c r="L277" t="s">
        <v>730</v>
      </c>
      <c r="M277" t="s">
        <v>1126</v>
      </c>
      <c r="N277" s="23">
        <v>1137.4100000000001</v>
      </c>
      <c r="O277" s="23">
        <v>1680.93</v>
      </c>
      <c r="P277" s="8">
        <v>0.254</v>
      </c>
      <c r="Q277">
        <v>9</v>
      </c>
      <c r="R277" s="23">
        <f t="shared" si="46"/>
        <v>11285.764020000001</v>
      </c>
      <c r="S277" s="23">
        <f t="shared" si="47"/>
        <v>10236.69</v>
      </c>
      <c r="T277" s="23">
        <f t="shared" si="48"/>
        <v>1049.07402</v>
      </c>
      <c r="U277" s="14">
        <f t="shared" si="49"/>
        <v>9.2955516183121464E-2</v>
      </c>
      <c r="V277" s="7" t="str">
        <f t="shared" si="50"/>
        <v>Mar-2024</v>
      </c>
      <c r="W277" s="22">
        <f t="shared" si="51"/>
        <v>45352</v>
      </c>
      <c r="X277" s="7" t="str">
        <f t="shared" si="52"/>
        <v>Q1-2024</v>
      </c>
      <c r="Y277" t="str">
        <f t="shared" si="53"/>
        <v>Americas → USA → San Francisco</v>
      </c>
      <c r="Z277" t="str">
        <f t="shared" si="54"/>
        <v>Phones</v>
      </c>
      <c r="AA277" t="str" cm="1">
        <f t="array" ref="AA277">_xlfn.IFS(O277&lt;=$AF$2,"Low",AND(O277&gt;$AF$2,O277&lt;$AF$3),"Medium",O277&gt;=$AF$3,"High")</f>
        <v>High</v>
      </c>
      <c r="AB277" s="22">
        <f t="shared" si="55"/>
        <v>44927</v>
      </c>
      <c r="AC277">
        <v>14</v>
      </c>
    </row>
    <row r="278" spans="1:29" x14ac:dyDescent="0.35">
      <c r="A278" s="4" t="s">
        <v>614</v>
      </c>
      <c r="B278" s="5" t="str">
        <f>IF(COUNTIF($A$2:A278,A278)=1,"Original","Duplicate")</f>
        <v>Original</v>
      </c>
      <c r="C278" s="7">
        <v>45360</v>
      </c>
      <c r="D278" s="7">
        <v>45373</v>
      </c>
      <c r="E278">
        <f t="shared" si="45"/>
        <v>13</v>
      </c>
      <c r="F278" t="s">
        <v>649</v>
      </c>
      <c r="G278" t="s">
        <v>658</v>
      </c>
      <c r="H278" t="s">
        <v>693</v>
      </c>
      <c r="I278" t="s">
        <v>704</v>
      </c>
      <c r="J278" t="s">
        <v>708</v>
      </c>
      <c r="K278" t="s">
        <v>718</v>
      </c>
      <c r="L278" t="s">
        <v>731</v>
      </c>
      <c r="M278" t="s">
        <v>1332</v>
      </c>
      <c r="N278" s="23">
        <v>985.45</v>
      </c>
      <c r="O278" s="23">
        <v>1802.44</v>
      </c>
      <c r="P278" s="8">
        <v>8.9999999999999993E-3</v>
      </c>
      <c r="Q278">
        <v>19</v>
      </c>
      <c r="R278" s="23">
        <f t="shared" si="46"/>
        <v>33938.142760000002</v>
      </c>
      <c r="S278" s="23">
        <f t="shared" si="47"/>
        <v>18723.55</v>
      </c>
      <c r="T278" s="23">
        <f t="shared" si="48"/>
        <v>15214.592760000003</v>
      </c>
      <c r="U278" s="14">
        <f t="shared" si="49"/>
        <v>0.44830363486867486</v>
      </c>
      <c r="V278" s="7" t="str">
        <f t="shared" si="50"/>
        <v>Mar-2024</v>
      </c>
      <c r="W278" s="22">
        <f t="shared" si="51"/>
        <v>45352</v>
      </c>
      <c r="X278" s="7" t="str">
        <f t="shared" si="52"/>
        <v>Q1-2024</v>
      </c>
      <c r="Y278" t="str">
        <f t="shared" si="53"/>
        <v>Europe → United Kingdom → Manchester</v>
      </c>
      <c r="Z278" t="str">
        <f t="shared" si="54"/>
        <v>Laptops</v>
      </c>
      <c r="AA278" t="str" cm="1">
        <f t="array" ref="AA278">_xlfn.IFS(O278&lt;=$AF$2,"Low",AND(O278&gt;$AF$2,O278&lt;$AF$3),"Medium",O278&gt;=$AF$3,"High")</f>
        <v>High</v>
      </c>
      <c r="AB278" s="22">
        <f t="shared" si="55"/>
        <v>44927</v>
      </c>
      <c r="AC278">
        <v>14</v>
      </c>
    </row>
    <row r="279" spans="1:29" x14ac:dyDescent="0.35">
      <c r="A279" s="4" t="s">
        <v>75</v>
      </c>
      <c r="B279" s="5" t="str">
        <f>IF(COUNTIF($A$2:A279,A279)=1,"Original","Duplicate")</f>
        <v>Original</v>
      </c>
      <c r="C279" s="7">
        <v>45361</v>
      </c>
      <c r="D279" s="7">
        <v>45391</v>
      </c>
      <c r="E279">
        <f t="shared" si="45"/>
        <v>30</v>
      </c>
      <c r="F279" t="s">
        <v>649</v>
      </c>
      <c r="G279" t="s">
        <v>657</v>
      </c>
      <c r="H279" t="s">
        <v>679</v>
      </c>
      <c r="I279" t="s">
        <v>701</v>
      </c>
      <c r="J279" t="s">
        <v>711</v>
      </c>
      <c r="K279" t="s">
        <v>714</v>
      </c>
      <c r="L279" t="s">
        <v>727</v>
      </c>
      <c r="M279" t="s">
        <v>794</v>
      </c>
      <c r="N279" s="23">
        <v>1176.56</v>
      </c>
      <c r="O279" s="23">
        <v>1911.89</v>
      </c>
      <c r="P279" s="8">
        <v>0.11899999999999999</v>
      </c>
      <c r="Q279">
        <v>20</v>
      </c>
      <c r="R279" s="23">
        <f t="shared" si="46"/>
        <v>33687.501800000005</v>
      </c>
      <c r="S279" s="23">
        <f t="shared" si="47"/>
        <v>23531.199999999997</v>
      </c>
      <c r="T279" s="23">
        <f t="shared" si="48"/>
        <v>10156.301800000008</v>
      </c>
      <c r="U279" s="14">
        <f t="shared" si="49"/>
        <v>0.30148575160892477</v>
      </c>
      <c r="V279" s="7" t="str">
        <f t="shared" si="50"/>
        <v>Mar-2024</v>
      </c>
      <c r="W279" s="22">
        <f t="shared" si="51"/>
        <v>45352</v>
      </c>
      <c r="X279" s="7" t="str">
        <f t="shared" si="52"/>
        <v>Q1-2024</v>
      </c>
      <c r="Y279" t="str">
        <f t="shared" si="53"/>
        <v>Europe → France → Lyon</v>
      </c>
      <c r="Z279" t="str">
        <f t="shared" si="54"/>
        <v>Components</v>
      </c>
      <c r="AA279" t="str" cm="1">
        <f t="array" ref="AA279">_xlfn.IFS(O279&lt;=$AF$2,"Low",AND(O279&gt;$AF$2,O279&lt;$AF$3),"Medium",O279&gt;=$AF$3,"High")</f>
        <v>High</v>
      </c>
      <c r="AB279" s="22">
        <f t="shared" si="55"/>
        <v>44927</v>
      </c>
      <c r="AC279">
        <v>14</v>
      </c>
    </row>
    <row r="280" spans="1:29" x14ac:dyDescent="0.35">
      <c r="A280" s="4" t="s">
        <v>15</v>
      </c>
      <c r="B280" s="5" t="str">
        <f>IF(COUNTIF($A$2:A280,A280)=1,"Original","Duplicate")</f>
        <v>Original</v>
      </c>
      <c r="C280" s="7">
        <v>45362</v>
      </c>
      <c r="D280" s="7">
        <v>45388</v>
      </c>
      <c r="E280">
        <f t="shared" si="45"/>
        <v>26</v>
      </c>
      <c r="F280" t="s">
        <v>646</v>
      </c>
      <c r="G280" t="s">
        <v>650</v>
      </c>
      <c r="H280" t="s">
        <v>662</v>
      </c>
      <c r="I280" t="s">
        <v>701</v>
      </c>
      <c r="J280" t="s">
        <v>707</v>
      </c>
      <c r="K280" t="s">
        <v>712</v>
      </c>
      <c r="L280" t="s">
        <v>727</v>
      </c>
      <c r="M280" t="s">
        <v>734</v>
      </c>
      <c r="N280" s="23">
        <v>279.24</v>
      </c>
      <c r="O280" s="23">
        <v>608.9</v>
      </c>
      <c r="P280" s="8">
        <v>0.112</v>
      </c>
      <c r="Q280">
        <v>9</v>
      </c>
      <c r="R280" s="23">
        <f t="shared" si="46"/>
        <v>4866.3287999999993</v>
      </c>
      <c r="S280" s="23">
        <f t="shared" si="47"/>
        <v>2513.16</v>
      </c>
      <c r="T280" s="23">
        <f t="shared" si="48"/>
        <v>2353.1687999999995</v>
      </c>
      <c r="U280" s="14">
        <f t="shared" si="49"/>
        <v>0.48356140670149533</v>
      </c>
      <c r="V280" s="7" t="str">
        <f t="shared" si="50"/>
        <v>Mar-2024</v>
      </c>
      <c r="W280" s="22">
        <f t="shared" si="51"/>
        <v>45352</v>
      </c>
      <c r="X280" s="7" t="str">
        <f t="shared" si="52"/>
        <v>Q1-2024</v>
      </c>
      <c r="Y280" t="str">
        <f t="shared" si="53"/>
        <v>Africa → Kenya → Kisumu</v>
      </c>
      <c r="Z280" t="str">
        <f t="shared" si="54"/>
        <v>Components</v>
      </c>
      <c r="AA280" t="str" cm="1">
        <f t="array" ref="AA280">_xlfn.IFS(O280&lt;=$AF$2,"Low",AND(O280&gt;$AF$2,O280&lt;$AF$3),"Medium",O280&gt;=$AF$3,"High")</f>
        <v>Low</v>
      </c>
      <c r="AB280" s="22">
        <f t="shared" si="55"/>
        <v>44927</v>
      </c>
      <c r="AC280">
        <v>14</v>
      </c>
    </row>
    <row r="281" spans="1:29" x14ac:dyDescent="0.35">
      <c r="A281" s="4" t="s">
        <v>572</v>
      </c>
      <c r="B281" s="5" t="str">
        <f>IF(COUNTIF($A$2:A281,A281)=1,"Original","Duplicate")</f>
        <v>Original</v>
      </c>
      <c r="C281" s="7">
        <v>45362</v>
      </c>
      <c r="D281" s="7">
        <v>45380</v>
      </c>
      <c r="E281">
        <f t="shared" si="45"/>
        <v>18</v>
      </c>
      <c r="F281" t="s">
        <v>648</v>
      </c>
      <c r="G281" t="s">
        <v>660</v>
      </c>
      <c r="H281" t="s">
        <v>700</v>
      </c>
      <c r="I281" t="s">
        <v>701</v>
      </c>
      <c r="J281" t="s">
        <v>707</v>
      </c>
      <c r="K281" t="s">
        <v>724</v>
      </c>
      <c r="L281" t="s">
        <v>732</v>
      </c>
      <c r="M281" t="s">
        <v>1290</v>
      </c>
      <c r="N281" s="23">
        <v>710.98</v>
      </c>
      <c r="O281" s="23">
        <v>1481.45</v>
      </c>
      <c r="P281" s="8">
        <v>0.21099999999999999</v>
      </c>
      <c r="Q281">
        <v>9</v>
      </c>
      <c r="R281" s="23">
        <f t="shared" si="46"/>
        <v>10519.776450000001</v>
      </c>
      <c r="S281" s="23">
        <f t="shared" si="47"/>
        <v>6398.82</v>
      </c>
      <c r="T281" s="23">
        <f t="shared" si="48"/>
        <v>4120.9564500000015</v>
      </c>
      <c r="U281" s="14">
        <f t="shared" si="49"/>
        <v>0.39173422264120461</v>
      </c>
      <c r="V281" s="7" t="str">
        <f t="shared" si="50"/>
        <v>Mar-2024</v>
      </c>
      <c r="W281" s="22">
        <f t="shared" si="51"/>
        <v>45352</v>
      </c>
      <c r="X281" s="7" t="str">
        <f t="shared" si="52"/>
        <v>Q1-2024</v>
      </c>
      <c r="Y281" t="str">
        <f t="shared" si="53"/>
        <v>Americas → USA → New York</v>
      </c>
      <c r="Z281" t="str">
        <f t="shared" si="54"/>
        <v>Monitors</v>
      </c>
      <c r="AA281" t="str" cm="1">
        <f t="array" ref="AA281">_xlfn.IFS(O281&lt;=$AF$2,"Low",AND(O281&gt;$AF$2,O281&lt;$AF$3),"Medium",O281&gt;=$AF$3,"High")</f>
        <v>Medium</v>
      </c>
      <c r="AB281" s="22">
        <f t="shared" si="55"/>
        <v>44927</v>
      </c>
      <c r="AC281">
        <v>14</v>
      </c>
    </row>
    <row r="282" spans="1:29" x14ac:dyDescent="0.35">
      <c r="A282" s="4" t="s">
        <v>601</v>
      </c>
      <c r="B282" s="5" t="str">
        <f>IF(COUNTIF($A$2:A282,A282)=1,"Original","Duplicate")</f>
        <v>Original</v>
      </c>
      <c r="C282" s="7">
        <v>45364</v>
      </c>
      <c r="D282" s="7">
        <v>45388</v>
      </c>
      <c r="E282">
        <f t="shared" si="45"/>
        <v>24</v>
      </c>
      <c r="F282" t="s">
        <v>646</v>
      </c>
      <c r="G282" t="s">
        <v>651</v>
      </c>
      <c r="H282" t="s">
        <v>669</v>
      </c>
      <c r="I282" t="s">
        <v>704</v>
      </c>
      <c r="J282" t="s">
        <v>710</v>
      </c>
      <c r="K282" t="s">
        <v>716</v>
      </c>
      <c r="L282" t="s">
        <v>727</v>
      </c>
      <c r="M282" t="s">
        <v>1319</v>
      </c>
      <c r="N282" s="23">
        <v>1232.78</v>
      </c>
      <c r="O282" s="23">
        <v>1731.75</v>
      </c>
      <c r="P282" s="8">
        <v>9.2999999999999999E-2</v>
      </c>
      <c r="Q282">
        <v>16</v>
      </c>
      <c r="R282" s="23">
        <f t="shared" si="46"/>
        <v>25131.155999999999</v>
      </c>
      <c r="S282" s="23">
        <f t="shared" si="47"/>
        <v>19724.48</v>
      </c>
      <c r="T282" s="23">
        <f t="shared" si="48"/>
        <v>5406.6759999999995</v>
      </c>
      <c r="U282" s="14">
        <f t="shared" si="49"/>
        <v>0.21513837246484005</v>
      </c>
      <c r="V282" s="7" t="str">
        <f t="shared" si="50"/>
        <v>Mar-2024</v>
      </c>
      <c r="W282" s="22">
        <f t="shared" si="51"/>
        <v>45352</v>
      </c>
      <c r="X282" s="7" t="str">
        <f t="shared" si="52"/>
        <v>Q1-2024</v>
      </c>
      <c r="Y282" t="str">
        <f t="shared" si="53"/>
        <v>Africa → Nigeria → Abuja</v>
      </c>
      <c r="Z282" t="str">
        <f t="shared" si="54"/>
        <v>Components</v>
      </c>
      <c r="AA282" t="str" cm="1">
        <f t="array" ref="AA282">_xlfn.IFS(O282&lt;=$AF$2,"Low",AND(O282&gt;$AF$2,O282&lt;$AF$3),"Medium",O282&gt;=$AF$3,"High")</f>
        <v>High</v>
      </c>
      <c r="AB282" s="22">
        <f t="shared" si="55"/>
        <v>44927</v>
      </c>
      <c r="AC282">
        <v>14</v>
      </c>
    </row>
    <row r="283" spans="1:29" x14ac:dyDescent="0.35">
      <c r="A283" s="4" t="s">
        <v>266</v>
      </c>
      <c r="B283" s="5" t="str">
        <f>IF(COUNTIF($A$2:A283,A283)=1,"Original","Duplicate")</f>
        <v>Original</v>
      </c>
      <c r="C283" s="7">
        <v>45366</v>
      </c>
      <c r="D283" s="7">
        <v>45391</v>
      </c>
      <c r="E283">
        <f t="shared" si="45"/>
        <v>25</v>
      </c>
      <c r="F283" t="s">
        <v>648</v>
      </c>
      <c r="G283" t="s">
        <v>653</v>
      </c>
      <c r="H283" t="s">
        <v>688</v>
      </c>
      <c r="I283" t="s">
        <v>704</v>
      </c>
      <c r="J283" t="s">
        <v>708</v>
      </c>
      <c r="K283" t="s">
        <v>721</v>
      </c>
      <c r="L283" t="s">
        <v>732</v>
      </c>
      <c r="M283" t="s">
        <v>986</v>
      </c>
      <c r="N283" s="23">
        <v>648.64</v>
      </c>
      <c r="O283" s="23">
        <v>815.19</v>
      </c>
      <c r="P283" s="8">
        <v>0.22500000000000001</v>
      </c>
      <c r="Q283">
        <v>28</v>
      </c>
      <c r="R283" s="23">
        <f t="shared" si="46"/>
        <v>17689.623</v>
      </c>
      <c r="S283" s="23">
        <f t="shared" si="47"/>
        <v>18161.919999999998</v>
      </c>
      <c r="T283" s="23">
        <f t="shared" si="48"/>
        <v>-472.29699999999866</v>
      </c>
      <c r="U283" s="14">
        <f t="shared" si="49"/>
        <v>-2.6699099240272032E-2</v>
      </c>
      <c r="V283" s="7" t="str">
        <f t="shared" si="50"/>
        <v>Mar-2024</v>
      </c>
      <c r="W283" s="22">
        <f t="shared" si="51"/>
        <v>45352</v>
      </c>
      <c r="X283" s="7" t="str">
        <f t="shared" si="52"/>
        <v>Q1-2024</v>
      </c>
      <c r="Y283" t="str">
        <f t="shared" si="53"/>
        <v>Americas → Canada → Vancouver</v>
      </c>
      <c r="Z283" t="str">
        <f t="shared" si="54"/>
        <v>Monitors</v>
      </c>
      <c r="AA283" t="str" cm="1">
        <f t="array" ref="AA283">_xlfn.IFS(O283&lt;=$AF$2,"Low",AND(O283&gt;$AF$2,O283&lt;$AF$3),"Medium",O283&gt;=$AF$3,"High")</f>
        <v>Low</v>
      </c>
      <c r="AB283" s="22">
        <f t="shared" si="55"/>
        <v>44927</v>
      </c>
      <c r="AC283">
        <v>14</v>
      </c>
    </row>
    <row r="284" spans="1:29" x14ac:dyDescent="0.35">
      <c r="A284" s="4" t="s">
        <v>288</v>
      </c>
      <c r="B284" s="5" t="str">
        <f>IF(COUNTIF($A$2:A284,A284)=1,"Original","Duplicate")</f>
        <v>Original</v>
      </c>
      <c r="C284" s="7">
        <v>45367</v>
      </c>
      <c r="D284" s="7">
        <v>45395</v>
      </c>
      <c r="E284">
        <f t="shared" si="45"/>
        <v>28</v>
      </c>
      <c r="F284" t="s">
        <v>649</v>
      </c>
      <c r="G284" t="s">
        <v>657</v>
      </c>
      <c r="H284" t="s">
        <v>690</v>
      </c>
      <c r="I284" t="s">
        <v>705</v>
      </c>
      <c r="J284" t="s">
        <v>708</v>
      </c>
      <c r="K284" t="s">
        <v>723</v>
      </c>
      <c r="L284" t="s">
        <v>728</v>
      </c>
      <c r="M284" t="s">
        <v>1008</v>
      </c>
      <c r="N284" s="23">
        <v>287.61</v>
      </c>
      <c r="O284" s="23">
        <v>628.54</v>
      </c>
      <c r="P284" s="8">
        <v>0.13500000000000001</v>
      </c>
      <c r="Q284">
        <v>21</v>
      </c>
      <c r="R284" s="23">
        <f t="shared" si="46"/>
        <v>11417.429099999999</v>
      </c>
      <c r="S284" s="23">
        <f t="shared" si="47"/>
        <v>6039.81</v>
      </c>
      <c r="T284" s="23">
        <f t="shared" si="48"/>
        <v>5377.619099999999</v>
      </c>
      <c r="U284" s="14">
        <f t="shared" si="49"/>
        <v>0.47100087531964613</v>
      </c>
      <c r="V284" s="7" t="str">
        <f t="shared" si="50"/>
        <v>Mar-2024</v>
      </c>
      <c r="W284" s="22">
        <f t="shared" si="51"/>
        <v>45352</v>
      </c>
      <c r="X284" s="7" t="str">
        <f t="shared" si="52"/>
        <v>Q1-2024</v>
      </c>
      <c r="Y284" t="str">
        <f t="shared" si="53"/>
        <v>Europe → France → Paris</v>
      </c>
      <c r="Z284" t="str">
        <f t="shared" si="54"/>
        <v>Printers</v>
      </c>
      <c r="AA284" t="str" cm="1">
        <f t="array" ref="AA284">_xlfn.IFS(O284&lt;=$AF$2,"Low",AND(O284&gt;$AF$2,O284&lt;$AF$3),"Medium",O284&gt;=$AF$3,"High")</f>
        <v>Low</v>
      </c>
      <c r="AB284" s="22">
        <f t="shared" si="55"/>
        <v>44927</v>
      </c>
      <c r="AC284">
        <v>14</v>
      </c>
    </row>
    <row r="285" spans="1:29" x14ac:dyDescent="0.35">
      <c r="A285" s="4" t="s">
        <v>85</v>
      </c>
      <c r="B285" s="5" t="str">
        <f>IF(COUNTIF($A$2:A285,A285)=1,"Original","Duplicate")</f>
        <v>Original</v>
      </c>
      <c r="C285" s="7">
        <v>45369</v>
      </c>
      <c r="D285" s="7">
        <v>45372</v>
      </c>
      <c r="E285">
        <f t="shared" si="45"/>
        <v>3</v>
      </c>
      <c r="F285" t="s">
        <v>649</v>
      </c>
      <c r="G285" t="s">
        <v>656</v>
      </c>
      <c r="H285" t="s">
        <v>684</v>
      </c>
      <c r="I285" t="s">
        <v>705</v>
      </c>
      <c r="J285" t="s">
        <v>708</v>
      </c>
      <c r="K285" t="s">
        <v>724</v>
      </c>
      <c r="L285" t="s">
        <v>733</v>
      </c>
      <c r="M285" t="s">
        <v>804</v>
      </c>
      <c r="N285" s="23">
        <v>910.63</v>
      </c>
      <c r="O285" s="23">
        <v>1269.4000000000001</v>
      </c>
      <c r="P285" s="8">
        <v>6.8000000000000005E-2</v>
      </c>
      <c r="Q285">
        <v>9</v>
      </c>
      <c r="R285" s="23">
        <f t="shared" si="46"/>
        <v>10647.727199999999</v>
      </c>
      <c r="S285" s="23">
        <f t="shared" si="47"/>
        <v>8195.67</v>
      </c>
      <c r="T285" s="23">
        <f t="shared" si="48"/>
        <v>2452.0571999999993</v>
      </c>
      <c r="U285" s="14">
        <f t="shared" si="49"/>
        <v>0.23028925834989455</v>
      </c>
      <c r="V285" s="7" t="str">
        <f t="shared" si="50"/>
        <v>Mar-2024</v>
      </c>
      <c r="W285" s="22">
        <f t="shared" si="51"/>
        <v>45352</v>
      </c>
      <c r="X285" s="7" t="str">
        <f t="shared" si="52"/>
        <v>Q1-2024</v>
      </c>
      <c r="Y285" t="str">
        <f t="shared" si="53"/>
        <v>Europe → Germany → Munich</v>
      </c>
      <c r="Z285" t="str">
        <f t="shared" si="54"/>
        <v>Accessories</v>
      </c>
      <c r="AA285" t="str" cm="1">
        <f t="array" ref="AA285">_xlfn.IFS(O285&lt;=$AF$2,"Low",AND(O285&gt;$AF$2,O285&lt;$AF$3),"Medium",O285&gt;=$AF$3,"High")</f>
        <v>Medium</v>
      </c>
      <c r="AB285" s="22">
        <f t="shared" si="55"/>
        <v>44927</v>
      </c>
      <c r="AC285">
        <v>14</v>
      </c>
    </row>
    <row r="286" spans="1:29" x14ac:dyDescent="0.35">
      <c r="A286" s="4" t="s">
        <v>455</v>
      </c>
      <c r="B286" s="5" t="str">
        <f>IF(COUNTIF($A$2:A286,A286)=1,"Original","Duplicate")</f>
        <v>Original</v>
      </c>
      <c r="C286" s="7">
        <v>45374</v>
      </c>
      <c r="D286" s="7">
        <v>45377</v>
      </c>
      <c r="E286">
        <f t="shared" si="45"/>
        <v>3</v>
      </c>
      <c r="F286" t="s">
        <v>647</v>
      </c>
      <c r="G286" t="s">
        <v>654</v>
      </c>
      <c r="H286" t="s">
        <v>668</v>
      </c>
      <c r="I286" t="s">
        <v>702</v>
      </c>
      <c r="J286" t="s">
        <v>711</v>
      </c>
      <c r="K286" t="s">
        <v>715</v>
      </c>
      <c r="L286" t="s">
        <v>730</v>
      </c>
      <c r="M286" t="s">
        <v>1174</v>
      </c>
      <c r="N286" s="23">
        <v>382.21</v>
      </c>
      <c r="O286" s="23">
        <v>571.89</v>
      </c>
      <c r="P286" s="8">
        <v>0.14799999999999999</v>
      </c>
      <c r="Q286">
        <v>26</v>
      </c>
      <c r="R286" s="23">
        <f t="shared" si="46"/>
        <v>12668.50728</v>
      </c>
      <c r="S286" s="23">
        <f t="shared" si="47"/>
        <v>9937.4599999999991</v>
      </c>
      <c r="T286" s="23">
        <f t="shared" si="48"/>
        <v>2731.0472800000007</v>
      </c>
      <c r="U286" s="14">
        <f t="shared" si="49"/>
        <v>0.2155776698578809</v>
      </c>
      <c r="V286" s="7" t="str">
        <f t="shared" si="50"/>
        <v>Mar-2024</v>
      </c>
      <c r="W286" s="22">
        <f t="shared" si="51"/>
        <v>45352</v>
      </c>
      <c r="X286" s="7" t="str">
        <f t="shared" si="52"/>
        <v>Q1-2024</v>
      </c>
      <c r="Y286" t="str">
        <f t="shared" si="53"/>
        <v>Asia → India → Bengaluru</v>
      </c>
      <c r="Z286" t="str">
        <f t="shared" si="54"/>
        <v>Phones</v>
      </c>
      <c r="AA286" t="str" cm="1">
        <f t="array" ref="AA286">_xlfn.IFS(O286&lt;=$AF$2,"Low",AND(O286&gt;$AF$2,O286&lt;$AF$3),"Medium",O286&gt;=$AF$3,"High")</f>
        <v>Low</v>
      </c>
      <c r="AB286" s="22">
        <f t="shared" si="55"/>
        <v>44958</v>
      </c>
      <c r="AC286">
        <v>13</v>
      </c>
    </row>
    <row r="287" spans="1:29" x14ac:dyDescent="0.35">
      <c r="A287" s="4" t="s">
        <v>312</v>
      </c>
      <c r="B287" s="5" t="str">
        <f>IF(COUNTIF($A$2:A287,A287)=1,"Original","Duplicate")</f>
        <v>Original</v>
      </c>
      <c r="C287" s="7">
        <v>45377</v>
      </c>
      <c r="D287" s="7">
        <v>45387</v>
      </c>
      <c r="E287">
        <f t="shared" si="45"/>
        <v>10</v>
      </c>
      <c r="F287" t="s">
        <v>648</v>
      </c>
      <c r="G287" t="s">
        <v>660</v>
      </c>
      <c r="H287" t="s">
        <v>697</v>
      </c>
      <c r="I287" t="s">
        <v>704</v>
      </c>
      <c r="J287" t="s">
        <v>711</v>
      </c>
      <c r="K287" t="s">
        <v>713</v>
      </c>
      <c r="L287" t="s">
        <v>732</v>
      </c>
      <c r="M287" t="s">
        <v>1032</v>
      </c>
      <c r="N287" s="23">
        <v>5.66</v>
      </c>
      <c r="O287" s="23">
        <v>4.22</v>
      </c>
      <c r="P287" s="8">
        <v>0.11899999999999999</v>
      </c>
      <c r="Q287">
        <v>18</v>
      </c>
      <c r="R287" s="23">
        <f t="shared" si="46"/>
        <v>66.920760000000001</v>
      </c>
      <c r="S287" s="23">
        <f t="shared" si="47"/>
        <v>101.88</v>
      </c>
      <c r="T287" s="23">
        <f t="shared" si="48"/>
        <v>-34.959239999999994</v>
      </c>
      <c r="U287" s="14">
        <f t="shared" si="49"/>
        <v>-0.52239753403876454</v>
      </c>
      <c r="V287" s="7" t="str">
        <f t="shared" si="50"/>
        <v>Mar-2024</v>
      </c>
      <c r="W287" s="22">
        <f t="shared" si="51"/>
        <v>45352</v>
      </c>
      <c r="X287" s="7" t="str">
        <f t="shared" si="52"/>
        <v>Q1-2024</v>
      </c>
      <c r="Y287" t="str">
        <f t="shared" si="53"/>
        <v>Americas → USA → Austin</v>
      </c>
      <c r="Z287" t="str">
        <f t="shared" si="54"/>
        <v>Monitors</v>
      </c>
      <c r="AA287" t="str" cm="1">
        <f t="array" ref="AA287">_xlfn.IFS(O287&lt;=$AF$2,"Low",AND(O287&gt;$AF$2,O287&lt;$AF$3),"Medium",O287&gt;=$AF$3,"High")</f>
        <v>Low</v>
      </c>
      <c r="AB287" s="22">
        <f t="shared" si="55"/>
        <v>44927</v>
      </c>
      <c r="AC287">
        <v>14</v>
      </c>
    </row>
    <row r="288" spans="1:29" x14ac:dyDescent="0.35">
      <c r="A288" s="4" t="s">
        <v>290</v>
      </c>
      <c r="B288" s="5" t="str">
        <f>IF(COUNTIF($A$2:A288,A288)=1,"Original","Duplicate")</f>
        <v>Original</v>
      </c>
      <c r="C288" s="7">
        <v>45378</v>
      </c>
      <c r="D288" s="7">
        <v>45393</v>
      </c>
      <c r="E288">
        <f t="shared" si="45"/>
        <v>15</v>
      </c>
      <c r="F288" t="s">
        <v>648</v>
      </c>
      <c r="G288" t="s">
        <v>660</v>
      </c>
      <c r="H288" t="s">
        <v>686</v>
      </c>
      <c r="I288" t="s">
        <v>705</v>
      </c>
      <c r="J288" t="s">
        <v>711</v>
      </c>
      <c r="K288" t="s">
        <v>719</v>
      </c>
      <c r="L288" t="s">
        <v>729</v>
      </c>
      <c r="M288" t="s">
        <v>1010</v>
      </c>
      <c r="N288" s="23">
        <v>1338.35</v>
      </c>
      <c r="O288" s="23">
        <v>2247.14</v>
      </c>
      <c r="P288" s="8">
        <v>0.115</v>
      </c>
      <c r="Q288">
        <v>40</v>
      </c>
      <c r="R288" s="23">
        <f t="shared" si="46"/>
        <v>79548.755999999994</v>
      </c>
      <c r="S288" s="23">
        <f t="shared" si="47"/>
        <v>53534</v>
      </c>
      <c r="T288" s="23">
        <f t="shared" si="48"/>
        <v>26014.755999999994</v>
      </c>
      <c r="U288" s="14">
        <f t="shared" si="49"/>
        <v>0.32702907384246205</v>
      </c>
      <c r="V288" s="7" t="str">
        <f t="shared" si="50"/>
        <v>Mar-2024</v>
      </c>
      <c r="W288" s="22">
        <f t="shared" si="51"/>
        <v>45352</v>
      </c>
      <c r="X288" s="7" t="str">
        <f t="shared" si="52"/>
        <v>Q1-2024</v>
      </c>
      <c r="Y288" t="str">
        <f t="shared" si="53"/>
        <v>Americas → USA → San Francisco</v>
      </c>
      <c r="Z288" t="str">
        <f t="shared" si="54"/>
        <v>Networking</v>
      </c>
      <c r="AA288" t="str" cm="1">
        <f t="array" ref="AA288">_xlfn.IFS(O288&lt;=$AF$2,"Low",AND(O288&gt;$AF$2,O288&lt;$AF$3),"Medium",O288&gt;=$AF$3,"High")</f>
        <v>High</v>
      </c>
      <c r="AB288" s="22">
        <f t="shared" si="55"/>
        <v>44927</v>
      </c>
      <c r="AC288">
        <v>14</v>
      </c>
    </row>
    <row r="289" spans="1:29" x14ac:dyDescent="0.35">
      <c r="A289" s="4" t="s">
        <v>253</v>
      </c>
      <c r="B289" s="5" t="str">
        <f>IF(COUNTIF($A$2:A289,A289)=1,"Original","Duplicate")</f>
        <v>Original</v>
      </c>
      <c r="C289" s="7">
        <v>45381</v>
      </c>
      <c r="D289" s="7">
        <v>45406</v>
      </c>
      <c r="E289">
        <f t="shared" si="45"/>
        <v>25</v>
      </c>
      <c r="F289" t="s">
        <v>648</v>
      </c>
      <c r="G289" t="s">
        <v>660</v>
      </c>
      <c r="H289" t="s">
        <v>697</v>
      </c>
      <c r="I289" t="s">
        <v>703</v>
      </c>
      <c r="J289" t="s">
        <v>708</v>
      </c>
      <c r="K289" t="s">
        <v>715</v>
      </c>
      <c r="L289" t="s">
        <v>731</v>
      </c>
      <c r="M289" t="s">
        <v>973</v>
      </c>
      <c r="N289" s="23">
        <v>160.82</v>
      </c>
      <c r="O289" s="23">
        <v>258.52</v>
      </c>
      <c r="P289" s="8">
        <v>0.13</v>
      </c>
      <c r="Q289">
        <v>17</v>
      </c>
      <c r="R289" s="23">
        <f t="shared" si="46"/>
        <v>3823.5108</v>
      </c>
      <c r="S289" s="23">
        <f t="shared" si="47"/>
        <v>2733.94</v>
      </c>
      <c r="T289" s="23">
        <f t="shared" si="48"/>
        <v>1089.5708</v>
      </c>
      <c r="U289" s="14">
        <f t="shared" si="49"/>
        <v>0.28496605789631874</v>
      </c>
      <c r="V289" s="7" t="str">
        <f t="shared" si="50"/>
        <v>Mar-2024</v>
      </c>
      <c r="W289" s="22">
        <f t="shared" si="51"/>
        <v>45352</v>
      </c>
      <c r="X289" s="7" t="str">
        <f t="shared" si="52"/>
        <v>Q1-2024</v>
      </c>
      <c r="Y289" t="str">
        <f t="shared" si="53"/>
        <v>Americas → USA → Austin</v>
      </c>
      <c r="Z289" t="str">
        <f t="shared" si="54"/>
        <v>Laptops</v>
      </c>
      <c r="AA289" t="str" cm="1">
        <f t="array" ref="AA289">_xlfn.IFS(O289&lt;=$AF$2,"Low",AND(O289&gt;$AF$2,O289&lt;$AF$3),"Medium",O289&gt;=$AF$3,"High")</f>
        <v>Low</v>
      </c>
      <c r="AB289" s="22">
        <f t="shared" si="55"/>
        <v>44927</v>
      </c>
      <c r="AC289">
        <v>14</v>
      </c>
    </row>
    <row r="290" spans="1:29" x14ac:dyDescent="0.35">
      <c r="A290" s="4" t="s">
        <v>286</v>
      </c>
      <c r="B290" s="5" t="str">
        <f>IF(COUNTIF($A$2:A290,A290)=1,"Original","Duplicate")</f>
        <v>Original</v>
      </c>
      <c r="C290" s="7">
        <v>45382</v>
      </c>
      <c r="D290" s="7">
        <v>45399</v>
      </c>
      <c r="E290">
        <f t="shared" si="45"/>
        <v>17</v>
      </c>
      <c r="F290" t="s">
        <v>649</v>
      </c>
      <c r="G290" t="s">
        <v>656</v>
      </c>
      <c r="H290" t="s">
        <v>698</v>
      </c>
      <c r="I290" t="s">
        <v>702</v>
      </c>
      <c r="J290" t="s">
        <v>711</v>
      </c>
      <c r="K290" t="s">
        <v>722</v>
      </c>
      <c r="L290" t="s">
        <v>732</v>
      </c>
      <c r="M290" t="s">
        <v>1006</v>
      </c>
      <c r="N290" s="23">
        <v>1025.51</v>
      </c>
      <c r="O290" s="23">
        <v>1436.54</v>
      </c>
      <c r="P290" s="8">
        <v>0.13900000000000001</v>
      </c>
      <c r="Q290">
        <v>28</v>
      </c>
      <c r="R290" s="23">
        <f t="shared" si="46"/>
        <v>34632.106319999999</v>
      </c>
      <c r="S290" s="23">
        <f t="shared" si="47"/>
        <v>28714.28</v>
      </c>
      <c r="T290" s="23">
        <f t="shared" si="48"/>
        <v>5917.8263200000001</v>
      </c>
      <c r="U290" s="14">
        <f t="shared" si="49"/>
        <v>0.17087688127656453</v>
      </c>
      <c r="V290" s="7" t="str">
        <f t="shared" si="50"/>
        <v>Mar-2024</v>
      </c>
      <c r="W290" s="22">
        <f t="shared" si="51"/>
        <v>45352</v>
      </c>
      <c r="X290" s="7" t="str">
        <f t="shared" si="52"/>
        <v>Q1-2024</v>
      </c>
      <c r="Y290" t="str">
        <f t="shared" si="53"/>
        <v>Europe → Germany → Frankfurt</v>
      </c>
      <c r="Z290" t="str">
        <f t="shared" si="54"/>
        <v>Monitors</v>
      </c>
      <c r="AA290" t="str" cm="1">
        <f t="array" ref="AA290">_xlfn.IFS(O290&lt;=$AF$2,"Low",AND(O290&gt;$AF$2,O290&lt;$AF$3),"Medium",O290&gt;=$AF$3,"High")</f>
        <v>Medium</v>
      </c>
      <c r="AB290" s="22">
        <f t="shared" si="55"/>
        <v>44927</v>
      </c>
      <c r="AC290">
        <v>14</v>
      </c>
    </row>
    <row r="291" spans="1:29" x14ac:dyDescent="0.35">
      <c r="A291" s="4" t="s">
        <v>177</v>
      </c>
      <c r="B291" s="5" t="str">
        <f>IF(COUNTIF($A$2:A291,A291)=1,"Original","Duplicate")</f>
        <v>Original</v>
      </c>
      <c r="C291" s="7">
        <v>45385</v>
      </c>
      <c r="D291" s="7">
        <v>45389</v>
      </c>
      <c r="E291">
        <f t="shared" si="45"/>
        <v>4</v>
      </c>
      <c r="F291" t="s">
        <v>648</v>
      </c>
      <c r="G291" t="s">
        <v>655</v>
      </c>
      <c r="H291" t="s">
        <v>672</v>
      </c>
      <c r="I291" t="s">
        <v>703</v>
      </c>
      <c r="J291" t="s">
        <v>711</v>
      </c>
      <c r="K291" t="s">
        <v>725</v>
      </c>
      <c r="L291" t="s">
        <v>730</v>
      </c>
      <c r="M291" t="s">
        <v>896</v>
      </c>
      <c r="N291" s="23">
        <v>1023.27</v>
      </c>
      <c r="O291" s="23">
        <v>1343.64</v>
      </c>
      <c r="P291" s="8">
        <v>0.13300000000000001</v>
      </c>
      <c r="Q291">
        <v>7</v>
      </c>
      <c r="R291" s="23">
        <f t="shared" si="46"/>
        <v>8154.5511600000009</v>
      </c>
      <c r="S291" s="23">
        <f t="shared" si="47"/>
        <v>7162.8899999999994</v>
      </c>
      <c r="T291" s="23">
        <f t="shared" si="48"/>
        <v>991.66116000000147</v>
      </c>
      <c r="U291" s="14">
        <f t="shared" si="49"/>
        <v>0.12160830688810116</v>
      </c>
      <c r="V291" s="7" t="str">
        <f t="shared" si="50"/>
        <v>Apr-2024</v>
      </c>
      <c r="W291" s="22">
        <f t="shared" si="51"/>
        <v>45383</v>
      </c>
      <c r="X291" s="7" t="str">
        <f t="shared" si="52"/>
        <v>Q2-2024</v>
      </c>
      <c r="Y291" t="str">
        <f t="shared" si="53"/>
        <v>Americas → Brazil → Brasília</v>
      </c>
      <c r="Z291" t="str">
        <f t="shared" si="54"/>
        <v>Phones</v>
      </c>
      <c r="AA291" t="str" cm="1">
        <f t="array" ref="AA291">_xlfn.IFS(O291&lt;=$AF$2,"Low",AND(O291&gt;$AF$2,O291&lt;$AF$3),"Medium",O291&gt;=$AF$3,"High")</f>
        <v>Medium</v>
      </c>
      <c r="AB291" s="22">
        <f t="shared" si="55"/>
        <v>44927</v>
      </c>
      <c r="AC291">
        <v>15</v>
      </c>
    </row>
    <row r="292" spans="1:29" x14ac:dyDescent="0.35">
      <c r="A292" s="4" t="s">
        <v>371</v>
      </c>
      <c r="B292" s="5" t="str">
        <f>IF(COUNTIF($A$2:A292,A292)=1,"Original","Duplicate")</f>
        <v>Original</v>
      </c>
      <c r="C292" s="7">
        <v>45385</v>
      </c>
      <c r="D292" s="7">
        <v>45403</v>
      </c>
      <c r="E292">
        <f t="shared" si="45"/>
        <v>18</v>
      </c>
      <c r="F292" t="s">
        <v>648</v>
      </c>
      <c r="G292" t="s">
        <v>655</v>
      </c>
      <c r="H292" t="s">
        <v>672</v>
      </c>
      <c r="I292" t="s">
        <v>705</v>
      </c>
      <c r="J292" t="s">
        <v>710</v>
      </c>
      <c r="K292" t="s">
        <v>717</v>
      </c>
      <c r="L292" t="s">
        <v>729</v>
      </c>
      <c r="M292" t="s">
        <v>1091</v>
      </c>
      <c r="N292" s="23">
        <v>1176.69</v>
      </c>
      <c r="O292" s="23">
        <v>2201.54</v>
      </c>
      <c r="P292" s="8">
        <v>0.17</v>
      </c>
      <c r="Q292">
        <v>27</v>
      </c>
      <c r="R292" s="23">
        <f t="shared" si="46"/>
        <v>49336.511399999996</v>
      </c>
      <c r="S292" s="23">
        <f t="shared" si="47"/>
        <v>31770.63</v>
      </c>
      <c r="T292" s="23">
        <f t="shared" si="48"/>
        <v>17565.881399999995</v>
      </c>
      <c r="U292" s="14">
        <f t="shared" si="49"/>
        <v>0.35604222717701106</v>
      </c>
      <c r="V292" s="7" t="str">
        <f t="shared" si="50"/>
        <v>Apr-2024</v>
      </c>
      <c r="W292" s="22">
        <f t="shared" si="51"/>
        <v>45383</v>
      </c>
      <c r="X292" s="7" t="str">
        <f t="shared" si="52"/>
        <v>Q2-2024</v>
      </c>
      <c r="Y292" t="str">
        <f t="shared" si="53"/>
        <v>Americas → Brazil → Brasília</v>
      </c>
      <c r="Z292" t="str">
        <f t="shared" si="54"/>
        <v>Networking</v>
      </c>
      <c r="AA292" t="str" cm="1">
        <f t="array" ref="AA292">_xlfn.IFS(O292&lt;=$AF$2,"Low",AND(O292&gt;$AF$2,O292&lt;$AF$3),"Medium",O292&gt;=$AF$3,"High")</f>
        <v>High</v>
      </c>
      <c r="AB292" s="22">
        <f t="shared" si="55"/>
        <v>44927</v>
      </c>
      <c r="AC292">
        <v>15</v>
      </c>
    </row>
    <row r="293" spans="1:29" x14ac:dyDescent="0.35">
      <c r="A293" s="4" t="s">
        <v>162</v>
      </c>
      <c r="B293" s="5" t="str">
        <f>IF(COUNTIF($A$2:A293,A293)=1,"Original","Duplicate")</f>
        <v>Original</v>
      </c>
      <c r="C293" s="7">
        <v>45386</v>
      </c>
      <c r="D293" s="7">
        <v>45406</v>
      </c>
      <c r="E293">
        <f t="shared" si="45"/>
        <v>20</v>
      </c>
      <c r="F293" t="s">
        <v>649</v>
      </c>
      <c r="G293" t="s">
        <v>656</v>
      </c>
      <c r="H293" t="s">
        <v>698</v>
      </c>
      <c r="I293" t="s">
        <v>703</v>
      </c>
      <c r="J293" t="s">
        <v>711</v>
      </c>
      <c r="K293" t="s">
        <v>719</v>
      </c>
      <c r="L293" t="s">
        <v>733</v>
      </c>
      <c r="M293" t="s">
        <v>881</v>
      </c>
      <c r="N293" s="23">
        <v>683.42</v>
      </c>
      <c r="O293" s="23">
        <v>951.51</v>
      </c>
      <c r="P293" s="8">
        <v>0</v>
      </c>
      <c r="Q293">
        <v>14</v>
      </c>
      <c r="R293" s="23">
        <f t="shared" si="46"/>
        <v>13321.14</v>
      </c>
      <c r="S293" s="23">
        <f t="shared" si="47"/>
        <v>9567.8799999999992</v>
      </c>
      <c r="T293" s="23">
        <f t="shared" si="48"/>
        <v>3753.26</v>
      </c>
      <c r="U293" s="14">
        <f t="shared" si="49"/>
        <v>0.28175216235247136</v>
      </c>
      <c r="V293" s="7" t="str">
        <f t="shared" si="50"/>
        <v>Apr-2024</v>
      </c>
      <c r="W293" s="22">
        <f t="shared" si="51"/>
        <v>45383</v>
      </c>
      <c r="X293" s="7" t="str">
        <f t="shared" si="52"/>
        <v>Q2-2024</v>
      </c>
      <c r="Y293" t="str">
        <f t="shared" si="53"/>
        <v>Europe → Germany → Frankfurt</v>
      </c>
      <c r="Z293" t="str">
        <f t="shared" si="54"/>
        <v>Accessories</v>
      </c>
      <c r="AA293" t="str" cm="1">
        <f t="array" ref="AA293">_xlfn.IFS(O293&lt;=$AF$2,"Low",AND(O293&gt;$AF$2,O293&lt;$AF$3),"Medium",O293&gt;=$AF$3,"High")</f>
        <v>Medium</v>
      </c>
      <c r="AB293" s="22">
        <f t="shared" si="55"/>
        <v>44927</v>
      </c>
      <c r="AC293">
        <v>15</v>
      </c>
    </row>
    <row r="294" spans="1:29" x14ac:dyDescent="0.35">
      <c r="A294" s="4" t="s">
        <v>519</v>
      </c>
      <c r="B294" s="5" t="str">
        <f>IF(COUNTIF($A$2:A294,A294)=1,"Original","Duplicate")</f>
        <v>Original</v>
      </c>
      <c r="C294" s="7">
        <v>45387</v>
      </c>
      <c r="D294" s="7">
        <v>45391</v>
      </c>
      <c r="E294">
        <f t="shared" si="45"/>
        <v>4</v>
      </c>
      <c r="F294" t="s">
        <v>646</v>
      </c>
      <c r="G294" t="s">
        <v>651</v>
      </c>
      <c r="H294" t="s">
        <v>665</v>
      </c>
      <c r="I294" t="s">
        <v>703</v>
      </c>
      <c r="J294" t="s">
        <v>711</v>
      </c>
      <c r="K294" t="s">
        <v>723</v>
      </c>
      <c r="L294" t="s">
        <v>727</v>
      </c>
      <c r="M294" t="s">
        <v>1238</v>
      </c>
      <c r="N294" s="23">
        <v>395.07</v>
      </c>
      <c r="O294" s="23">
        <v>970.27</v>
      </c>
      <c r="P294" s="8">
        <v>0.123</v>
      </c>
      <c r="Q294">
        <v>38</v>
      </c>
      <c r="R294" s="23">
        <f t="shared" si="46"/>
        <v>32335.21802</v>
      </c>
      <c r="S294" s="23">
        <f t="shared" si="47"/>
        <v>15012.66</v>
      </c>
      <c r="T294" s="23">
        <f t="shared" si="48"/>
        <v>17322.55802</v>
      </c>
      <c r="U294" s="14">
        <f t="shared" si="49"/>
        <v>0.53571799049833657</v>
      </c>
      <c r="V294" s="7" t="str">
        <f t="shared" si="50"/>
        <v>Apr-2024</v>
      </c>
      <c r="W294" s="22">
        <f t="shared" si="51"/>
        <v>45383</v>
      </c>
      <c r="X294" s="7" t="str">
        <f t="shared" si="52"/>
        <v>Q2-2024</v>
      </c>
      <c r="Y294" t="str">
        <f t="shared" si="53"/>
        <v>Africa → Nigeria → Lagos</v>
      </c>
      <c r="Z294" t="str">
        <f t="shared" si="54"/>
        <v>Components</v>
      </c>
      <c r="AA294" t="str" cm="1">
        <f t="array" ref="AA294">_xlfn.IFS(O294&lt;=$AF$2,"Low",AND(O294&gt;$AF$2,O294&lt;$AF$3),"Medium",O294&gt;=$AF$3,"High")</f>
        <v>Medium</v>
      </c>
      <c r="AB294" s="22">
        <f t="shared" si="55"/>
        <v>44927</v>
      </c>
      <c r="AC294">
        <v>15</v>
      </c>
    </row>
    <row r="295" spans="1:29" x14ac:dyDescent="0.35">
      <c r="A295" s="4" t="s">
        <v>101</v>
      </c>
      <c r="B295" s="5" t="str">
        <f>IF(COUNTIF($A$2:A295,A295)=1,"Original","Duplicate")</f>
        <v>Original</v>
      </c>
      <c r="C295" s="7">
        <v>45388</v>
      </c>
      <c r="D295" s="7">
        <v>45407</v>
      </c>
      <c r="E295">
        <f t="shared" si="45"/>
        <v>19</v>
      </c>
      <c r="F295" t="s">
        <v>647</v>
      </c>
      <c r="G295" t="s">
        <v>659</v>
      </c>
      <c r="H295" t="s">
        <v>685</v>
      </c>
      <c r="I295" t="s">
        <v>701</v>
      </c>
      <c r="J295" t="s">
        <v>707</v>
      </c>
      <c r="K295" t="s">
        <v>723</v>
      </c>
      <c r="L295" t="s">
        <v>727</v>
      </c>
      <c r="M295" t="s">
        <v>820</v>
      </c>
      <c r="N295" s="23">
        <v>1366.48</v>
      </c>
      <c r="O295" s="23">
        <v>1678.14</v>
      </c>
      <c r="P295" s="8">
        <v>0.154</v>
      </c>
      <c r="Q295">
        <v>10</v>
      </c>
      <c r="R295" s="23">
        <f t="shared" si="46"/>
        <v>14197.064400000001</v>
      </c>
      <c r="S295" s="23">
        <f t="shared" si="47"/>
        <v>13664.8</v>
      </c>
      <c r="T295" s="23">
        <f t="shared" si="48"/>
        <v>532.26440000000184</v>
      </c>
      <c r="U295" s="14">
        <f t="shared" si="49"/>
        <v>3.7491159087790132E-2</v>
      </c>
      <c r="V295" s="7" t="str">
        <f t="shared" si="50"/>
        <v>Apr-2024</v>
      </c>
      <c r="W295" s="22">
        <f t="shared" si="51"/>
        <v>45383</v>
      </c>
      <c r="X295" s="7" t="str">
        <f t="shared" si="52"/>
        <v>Q2-2024</v>
      </c>
      <c r="Y295" t="str">
        <f t="shared" si="53"/>
        <v>Asia → China → Shanghai</v>
      </c>
      <c r="Z295" t="str">
        <f t="shared" si="54"/>
        <v>Components</v>
      </c>
      <c r="AA295" t="str" cm="1">
        <f t="array" ref="AA295">_xlfn.IFS(O295&lt;=$AF$2,"Low",AND(O295&gt;$AF$2,O295&lt;$AF$3),"Medium",O295&gt;=$AF$3,"High")</f>
        <v>High</v>
      </c>
      <c r="AB295" s="22">
        <f t="shared" si="55"/>
        <v>44927</v>
      </c>
      <c r="AC295">
        <v>15</v>
      </c>
    </row>
    <row r="296" spans="1:29" x14ac:dyDescent="0.35">
      <c r="A296" s="4" t="s">
        <v>349</v>
      </c>
      <c r="B296" s="5" t="str">
        <f>IF(COUNTIF($A$2:A296,A296)=1,"Original","Duplicate")</f>
        <v>Original</v>
      </c>
      <c r="C296" s="7">
        <v>45391</v>
      </c>
      <c r="D296" s="7">
        <v>45400</v>
      </c>
      <c r="E296">
        <f t="shared" si="45"/>
        <v>9</v>
      </c>
      <c r="F296" t="s">
        <v>649</v>
      </c>
      <c r="G296" t="s">
        <v>657</v>
      </c>
      <c r="H296" t="s">
        <v>679</v>
      </c>
      <c r="I296" t="s">
        <v>704</v>
      </c>
      <c r="J296" t="s">
        <v>708</v>
      </c>
      <c r="K296" t="s">
        <v>718</v>
      </c>
      <c r="L296" t="s">
        <v>728</v>
      </c>
      <c r="M296" t="s">
        <v>1069</v>
      </c>
      <c r="N296" s="23">
        <v>1288.8499999999999</v>
      </c>
      <c r="O296" s="23">
        <v>2751.84</v>
      </c>
      <c r="P296" s="8">
        <v>0.158</v>
      </c>
      <c r="Q296">
        <v>7</v>
      </c>
      <c r="R296" s="23">
        <f t="shared" si="46"/>
        <v>16219.34496</v>
      </c>
      <c r="S296" s="23">
        <f t="shared" si="47"/>
        <v>9021.9499999999989</v>
      </c>
      <c r="T296" s="23">
        <f t="shared" si="48"/>
        <v>7197.3949600000014</v>
      </c>
      <c r="U296" s="14">
        <f t="shared" si="49"/>
        <v>0.44375373837538756</v>
      </c>
      <c r="V296" s="7" t="str">
        <f t="shared" si="50"/>
        <v>Apr-2024</v>
      </c>
      <c r="W296" s="22">
        <f t="shared" si="51"/>
        <v>45383</v>
      </c>
      <c r="X296" s="7" t="str">
        <f t="shared" si="52"/>
        <v>Q2-2024</v>
      </c>
      <c r="Y296" t="str">
        <f t="shared" si="53"/>
        <v>Europe → France → Lyon</v>
      </c>
      <c r="Z296" t="str">
        <f t="shared" si="54"/>
        <v>Printers</v>
      </c>
      <c r="AA296" t="str" cm="1">
        <f t="array" ref="AA296">_xlfn.IFS(O296&lt;=$AF$2,"Low",AND(O296&gt;$AF$2,O296&lt;$AF$3),"Medium",O296&gt;=$AF$3,"High")</f>
        <v>High</v>
      </c>
      <c r="AB296" s="22">
        <f t="shared" si="55"/>
        <v>44927</v>
      </c>
      <c r="AC296">
        <v>15</v>
      </c>
    </row>
    <row r="297" spans="1:29" x14ac:dyDescent="0.35">
      <c r="A297" s="4" t="s">
        <v>87</v>
      </c>
      <c r="B297" s="5" t="str">
        <f>IF(COUNTIF($A$2:A297,A297)=1,"Original","Duplicate")</f>
        <v>Original</v>
      </c>
      <c r="C297" s="7">
        <v>45394</v>
      </c>
      <c r="D297" s="7">
        <v>45419</v>
      </c>
      <c r="E297">
        <f t="shared" si="45"/>
        <v>25</v>
      </c>
      <c r="F297" t="s">
        <v>646</v>
      </c>
      <c r="G297" t="s">
        <v>661</v>
      </c>
      <c r="H297" t="s">
        <v>682</v>
      </c>
      <c r="I297" t="s">
        <v>702</v>
      </c>
      <c r="J297" t="s">
        <v>710</v>
      </c>
      <c r="K297" t="s">
        <v>720</v>
      </c>
      <c r="L297" t="s">
        <v>731</v>
      </c>
      <c r="M297" t="s">
        <v>806</v>
      </c>
      <c r="N297" s="23">
        <v>1376.51</v>
      </c>
      <c r="O297" s="23">
        <v>1455.91</v>
      </c>
      <c r="P297" s="8">
        <v>0.185</v>
      </c>
      <c r="Q297">
        <v>17</v>
      </c>
      <c r="R297" s="23">
        <f t="shared" si="46"/>
        <v>20171.63305</v>
      </c>
      <c r="S297" s="23">
        <f t="shared" si="47"/>
        <v>23400.67</v>
      </c>
      <c r="T297" s="23">
        <f t="shared" si="48"/>
        <v>-3229.0369499999979</v>
      </c>
      <c r="U297" s="14">
        <f t="shared" si="49"/>
        <v>-0.1600781127634085</v>
      </c>
      <c r="V297" s="7" t="str">
        <f t="shared" si="50"/>
        <v>Apr-2024</v>
      </c>
      <c r="W297" s="22">
        <f t="shared" si="51"/>
        <v>45383</v>
      </c>
      <c r="X297" s="7" t="str">
        <f t="shared" si="52"/>
        <v>Q2-2024</v>
      </c>
      <c r="Y297" t="str">
        <f t="shared" si="53"/>
        <v>Africa → South Africa → Johannesburg</v>
      </c>
      <c r="Z297" t="str">
        <f t="shared" si="54"/>
        <v>Laptops</v>
      </c>
      <c r="AA297" t="str" cm="1">
        <f t="array" ref="AA297">_xlfn.IFS(O297&lt;=$AF$2,"Low",AND(O297&gt;$AF$2,O297&lt;$AF$3),"Medium",O297&gt;=$AF$3,"High")</f>
        <v>Medium</v>
      </c>
      <c r="AB297" s="22">
        <f t="shared" si="55"/>
        <v>44927</v>
      </c>
      <c r="AC297">
        <v>15</v>
      </c>
    </row>
    <row r="298" spans="1:29" x14ac:dyDescent="0.35">
      <c r="A298" s="4" t="s">
        <v>539</v>
      </c>
      <c r="B298" s="5" t="str">
        <f>IF(COUNTIF($A$2:A298,A298)=1,"Original","Duplicate")</f>
        <v>Original</v>
      </c>
      <c r="C298" s="7">
        <v>45398</v>
      </c>
      <c r="D298" s="7">
        <v>45409</v>
      </c>
      <c r="E298">
        <f t="shared" si="45"/>
        <v>11</v>
      </c>
      <c r="F298" t="s">
        <v>646</v>
      </c>
      <c r="G298" t="s">
        <v>650</v>
      </c>
      <c r="H298" t="s">
        <v>678</v>
      </c>
      <c r="I298" t="s">
        <v>706</v>
      </c>
      <c r="J298" t="s">
        <v>708</v>
      </c>
      <c r="K298" t="s">
        <v>726</v>
      </c>
      <c r="L298" t="s">
        <v>728</v>
      </c>
      <c r="M298" t="s">
        <v>1258</v>
      </c>
      <c r="N298" s="23">
        <v>401.3</v>
      </c>
      <c r="O298" s="23">
        <v>826.47</v>
      </c>
      <c r="P298" s="8">
        <v>0.22500000000000001</v>
      </c>
      <c r="Q298">
        <v>13</v>
      </c>
      <c r="R298" s="23">
        <f t="shared" si="46"/>
        <v>8326.6852500000005</v>
      </c>
      <c r="S298" s="23">
        <f t="shared" si="47"/>
        <v>5216.9000000000005</v>
      </c>
      <c r="T298" s="23">
        <f t="shared" si="48"/>
        <v>3109.7852499999999</v>
      </c>
      <c r="U298" s="14">
        <f t="shared" si="49"/>
        <v>0.37347217489696755</v>
      </c>
      <c r="V298" s="7" t="str">
        <f t="shared" si="50"/>
        <v>Apr-2024</v>
      </c>
      <c r="W298" s="22">
        <f t="shared" si="51"/>
        <v>45383</v>
      </c>
      <c r="X298" s="7" t="str">
        <f t="shared" si="52"/>
        <v>Q2-2024</v>
      </c>
      <c r="Y298" t="str">
        <f t="shared" si="53"/>
        <v>Africa → Kenya → Nakuru</v>
      </c>
      <c r="Z298" t="str">
        <f t="shared" si="54"/>
        <v>Printers</v>
      </c>
      <c r="AA298" t="str" cm="1">
        <f t="array" ref="AA298">_xlfn.IFS(O298&lt;=$AF$2,"Low",AND(O298&gt;$AF$2,O298&lt;$AF$3),"Medium",O298&gt;=$AF$3,"High")</f>
        <v>Medium</v>
      </c>
      <c r="AB298" s="22">
        <f t="shared" si="55"/>
        <v>44927</v>
      </c>
      <c r="AC298">
        <v>15</v>
      </c>
    </row>
    <row r="299" spans="1:29" x14ac:dyDescent="0.35">
      <c r="A299" s="4" t="s">
        <v>48</v>
      </c>
      <c r="B299" s="5" t="str">
        <f>IF(COUNTIF($A$2:A299,A299)=1,"Original","Duplicate")</f>
        <v>Original</v>
      </c>
      <c r="C299" s="7">
        <v>45400</v>
      </c>
      <c r="D299" s="7">
        <v>45420</v>
      </c>
      <c r="E299">
        <f t="shared" si="45"/>
        <v>20</v>
      </c>
      <c r="F299" t="s">
        <v>649</v>
      </c>
      <c r="G299" t="s">
        <v>658</v>
      </c>
      <c r="H299" t="s">
        <v>683</v>
      </c>
      <c r="I299" t="s">
        <v>703</v>
      </c>
      <c r="J299" t="s">
        <v>1431</v>
      </c>
      <c r="K299" t="s">
        <v>726</v>
      </c>
      <c r="L299" t="s">
        <v>731</v>
      </c>
      <c r="M299" t="s">
        <v>767</v>
      </c>
      <c r="N299" s="23">
        <v>645.33000000000004</v>
      </c>
      <c r="O299" s="23">
        <v>1321.85</v>
      </c>
      <c r="P299" s="8">
        <v>0</v>
      </c>
      <c r="Q299">
        <v>10</v>
      </c>
      <c r="R299" s="23">
        <f t="shared" si="46"/>
        <v>13218.5</v>
      </c>
      <c r="S299" s="23">
        <f t="shared" si="47"/>
        <v>6453.3</v>
      </c>
      <c r="T299" s="23">
        <f t="shared" si="48"/>
        <v>6765.2</v>
      </c>
      <c r="U299" s="14">
        <f t="shared" si="49"/>
        <v>0.51179785906116426</v>
      </c>
      <c r="V299" s="7" t="str">
        <f t="shared" si="50"/>
        <v>Apr-2024</v>
      </c>
      <c r="W299" s="22">
        <f t="shared" si="51"/>
        <v>45383</v>
      </c>
      <c r="X299" s="7" t="str">
        <f t="shared" si="52"/>
        <v>Q2-2024</v>
      </c>
      <c r="Y299" t="str">
        <f t="shared" si="53"/>
        <v>Europe → United Kingdom → London</v>
      </c>
      <c r="Z299" t="str">
        <f t="shared" si="54"/>
        <v>Laptops</v>
      </c>
      <c r="AA299" t="str" cm="1">
        <f t="array" ref="AA299">_xlfn.IFS(O299&lt;=$AF$2,"Low",AND(O299&gt;$AF$2,O299&lt;$AF$3),"Medium",O299&gt;=$AF$3,"High")</f>
        <v>Medium</v>
      </c>
      <c r="AB299" s="22">
        <f t="shared" si="55"/>
        <v>44927</v>
      </c>
      <c r="AC299">
        <v>15</v>
      </c>
    </row>
    <row r="300" spans="1:29" x14ac:dyDescent="0.35">
      <c r="A300" s="4" t="s">
        <v>53</v>
      </c>
      <c r="B300" s="5" t="str">
        <f>IF(COUNTIF($A$2:A300,A300)=1,"Original","Duplicate")</f>
        <v>Original</v>
      </c>
      <c r="C300" s="7">
        <v>45401</v>
      </c>
      <c r="D300" s="7">
        <v>45418</v>
      </c>
      <c r="E300">
        <f t="shared" si="45"/>
        <v>17</v>
      </c>
      <c r="F300" t="s">
        <v>646</v>
      </c>
      <c r="G300" t="s">
        <v>651</v>
      </c>
      <c r="H300" t="s">
        <v>663</v>
      </c>
      <c r="I300" t="s">
        <v>703</v>
      </c>
      <c r="J300" t="s">
        <v>708</v>
      </c>
      <c r="K300" t="s">
        <v>720</v>
      </c>
      <c r="L300" t="s">
        <v>728</v>
      </c>
      <c r="M300" t="s">
        <v>772</v>
      </c>
      <c r="N300" s="23">
        <v>865.33</v>
      </c>
      <c r="O300" s="23">
        <v>1395.64</v>
      </c>
      <c r="P300" s="8">
        <v>0.17499999999999999</v>
      </c>
      <c r="Q300">
        <v>13</v>
      </c>
      <c r="R300" s="23">
        <f t="shared" si="46"/>
        <v>14968.239</v>
      </c>
      <c r="S300" s="23">
        <f t="shared" si="47"/>
        <v>11249.29</v>
      </c>
      <c r="T300" s="23">
        <f t="shared" si="48"/>
        <v>3718.9489999999987</v>
      </c>
      <c r="U300" s="14">
        <f t="shared" si="49"/>
        <v>0.24845601409758347</v>
      </c>
      <c r="V300" s="7" t="str">
        <f t="shared" si="50"/>
        <v>Apr-2024</v>
      </c>
      <c r="W300" s="22">
        <f t="shared" si="51"/>
        <v>45383</v>
      </c>
      <c r="X300" s="7" t="str">
        <f t="shared" si="52"/>
        <v>Q2-2024</v>
      </c>
      <c r="Y300" t="str">
        <f t="shared" si="53"/>
        <v>Africa → Nigeria → Port Harcourt</v>
      </c>
      <c r="Z300" t="str">
        <f t="shared" si="54"/>
        <v>Printers</v>
      </c>
      <c r="AA300" t="str" cm="1">
        <f t="array" ref="AA300">_xlfn.IFS(O300&lt;=$AF$2,"Low",AND(O300&gt;$AF$2,O300&lt;$AF$3),"Medium",O300&gt;=$AF$3,"High")</f>
        <v>Medium</v>
      </c>
      <c r="AB300" s="22">
        <f t="shared" si="55"/>
        <v>44927</v>
      </c>
      <c r="AC300">
        <v>15</v>
      </c>
    </row>
    <row r="301" spans="1:29" x14ac:dyDescent="0.35">
      <c r="A301" s="4" t="s">
        <v>504</v>
      </c>
      <c r="B301" s="5" t="str">
        <f>IF(COUNTIF($A$2:A301,A301)=1,"Original","Duplicate")</f>
        <v>Original</v>
      </c>
      <c r="C301" s="7">
        <v>45403</v>
      </c>
      <c r="D301" s="7">
        <v>45431</v>
      </c>
      <c r="E301">
        <f t="shared" si="45"/>
        <v>28</v>
      </c>
      <c r="F301" t="s">
        <v>646</v>
      </c>
      <c r="G301" t="s">
        <v>651</v>
      </c>
      <c r="H301" t="s">
        <v>665</v>
      </c>
      <c r="I301" t="s">
        <v>701</v>
      </c>
      <c r="J301" t="s">
        <v>710</v>
      </c>
      <c r="K301" t="s">
        <v>720</v>
      </c>
      <c r="L301" t="s">
        <v>733</v>
      </c>
      <c r="M301" t="s">
        <v>1223</v>
      </c>
      <c r="N301" s="23">
        <v>187.22</v>
      </c>
      <c r="O301" s="23">
        <v>309.47000000000003</v>
      </c>
      <c r="P301" s="8">
        <v>0</v>
      </c>
      <c r="Q301">
        <v>5</v>
      </c>
      <c r="R301" s="23">
        <f t="shared" si="46"/>
        <v>1547.3500000000001</v>
      </c>
      <c r="S301" s="23">
        <f t="shared" si="47"/>
        <v>936.1</v>
      </c>
      <c r="T301" s="23">
        <f t="shared" si="48"/>
        <v>611.25000000000011</v>
      </c>
      <c r="U301" s="14">
        <f t="shared" si="49"/>
        <v>0.39503021294471197</v>
      </c>
      <c r="V301" s="7" t="str">
        <f t="shared" si="50"/>
        <v>Apr-2024</v>
      </c>
      <c r="W301" s="22">
        <f t="shared" si="51"/>
        <v>45383</v>
      </c>
      <c r="X301" s="7" t="str">
        <f t="shared" si="52"/>
        <v>Q2-2024</v>
      </c>
      <c r="Y301" t="str">
        <f t="shared" si="53"/>
        <v>Africa → Nigeria → Lagos</v>
      </c>
      <c r="Z301" t="str">
        <f t="shared" si="54"/>
        <v>Accessories</v>
      </c>
      <c r="AA301" t="str" cm="1">
        <f t="array" ref="AA301">_xlfn.IFS(O301&lt;=$AF$2,"Low",AND(O301&gt;$AF$2,O301&lt;$AF$3),"Medium",O301&gt;=$AF$3,"High")</f>
        <v>Low</v>
      </c>
      <c r="AB301" s="22">
        <f t="shared" si="55"/>
        <v>44927</v>
      </c>
      <c r="AC301">
        <v>15</v>
      </c>
    </row>
    <row r="302" spans="1:29" x14ac:dyDescent="0.35">
      <c r="A302" s="4" t="s">
        <v>537</v>
      </c>
      <c r="B302" s="5" t="str">
        <f>IF(COUNTIF($A$2:A302,A302)=1,"Original","Duplicate")</f>
        <v>Original</v>
      </c>
      <c r="C302" s="7">
        <v>45406</v>
      </c>
      <c r="D302" s="7">
        <v>45422</v>
      </c>
      <c r="E302">
        <f t="shared" si="45"/>
        <v>16</v>
      </c>
      <c r="F302" t="s">
        <v>646</v>
      </c>
      <c r="G302" t="s">
        <v>650</v>
      </c>
      <c r="H302" t="s">
        <v>662</v>
      </c>
      <c r="I302" t="s">
        <v>703</v>
      </c>
      <c r="J302" t="s">
        <v>708</v>
      </c>
      <c r="K302" t="s">
        <v>725</v>
      </c>
      <c r="L302" t="s">
        <v>732</v>
      </c>
      <c r="M302" t="s">
        <v>1256</v>
      </c>
      <c r="N302" s="23">
        <v>513.30999999999995</v>
      </c>
      <c r="O302" s="23">
        <v>1186.26</v>
      </c>
      <c r="P302" s="8">
        <v>9.4E-2</v>
      </c>
      <c r="Q302">
        <v>15</v>
      </c>
      <c r="R302" s="23">
        <f t="shared" si="46"/>
        <v>16121.273400000002</v>
      </c>
      <c r="S302" s="23">
        <f t="shared" si="47"/>
        <v>7699.65</v>
      </c>
      <c r="T302" s="23">
        <f t="shared" si="48"/>
        <v>8421.6234000000022</v>
      </c>
      <c r="U302" s="14">
        <f t="shared" si="49"/>
        <v>0.52239194702820446</v>
      </c>
      <c r="V302" s="7" t="str">
        <f t="shared" si="50"/>
        <v>Apr-2024</v>
      </c>
      <c r="W302" s="22">
        <f t="shared" si="51"/>
        <v>45383</v>
      </c>
      <c r="X302" s="7" t="str">
        <f t="shared" si="52"/>
        <v>Q2-2024</v>
      </c>
      <c r="Y302" t="str">
        <f t="shared" si="53"/>
        <v>Africa → Kenya → Kisumu</v>
      </c>
      <c r="Z302" t="str">
        <f t="shared" si="54"/>
        <v>Monitors</v>
      </c>
      <c r="AA302" t="str" cm="1">
        <f t="array" ref="AA302">_xlfn.IFS(O302&lt;=$AF$2,"Low",AND(O302&gt;$AF$2,O302&lt;$AF$3),"Medium",O302&gt;=$AF$3,"High")</f>
        <v>Medium</v>
      </c>
      <c r="AB302" s="22">
        <f t="shared" si="55"/>
        <v>44927</v>
      </c>
      <c r="AC302">
        <v>15</v>
      </c>
    </row>
    <row r="303" spans="1:29" x14ac:dyDescent="0.35">
      <c r="A303" s="4" t="s">
        <v>515</v>
      </c>
      <c r="B303" s="5" t="str">
        <f>IF(COUNTIF($A$2:A303,A303)=1,"Original","Duplicate")</f>
        <v>Original</v>
      </c>
      <c r="C303" s="7">
        <v>45408</v>
      </c>
      <c r="D303" s="7">
        <v>45415</v>
      </c>
      <c r="E303">
        <f t="shared" si="45"/>
        <v>7</v>
      </c>
      <c r="F303" t="s">
        <v>649</v>
      </c>
      <c r="G303" t="s">
        <v>658</v>
      </c>
      <c r="H303" t="s">
        <v>683</v>
      </c>
      <c r="I303" t="s">
        <v>703</v>
      </c>
      <c r="J303" t="s">
        <v>710</v>
      </c>
      <c r="K303" t="s">
        <v>725</v>
      </c>
      <c r="L303" t="s">
        <v>730</v>
      </c>
      <c r="M303" t="s">
        <v>1234</v>
      </c>
      <c r="N303" s="23">
        <v>1232.77</v>
      </c>
      <c r="O303" s="23">
        <v>891.73</v>
      </c>
      <c r="P303" s="8">
        <v>0.16700000000000001</v>
      </c>
      <c r="Q303">
        <v>10</v>
      </c>
      <c r="R303" s="23">
        <f t="shared" si="46"/>
        <v>7428.1108999999988</v>
      </c>
      <c r="S303" s="23">
        <f t="shared" si="47"/>
        <v>12327.7</v>
      </c>
      <c r="T303" s="23">
        <f t="shared" si="48"/>
        <v>-4899.589100000002</v>
      </c>
      <c r="U303" s="14">
        <f t="shared" si="49"/>
        <v>-0.65960096260813805</v>
      </c>
      <c r="V303" s="7" t="str">
        <f t="shared" si="50"/>
        <v>Apr-2024</v>
      </c>
      <c r="W303" s="22">
        <f t="shared" si="51"/>
        <v>45383</v>
      </c>
      <c r="X303" s="7" t="str">
        <f t="shared" si="52"/>
        <v>Q2-2024</v>
      </c>
      <c r="Y303" t="str">
        <f t="shared" si="53"/>
        <v>Europe → United Kingdom → London</v>
      </c>
      <c r="Z303" t="str">
        <f t="shared" si="54"/>
        <v>Phones</v>
      </c>
      <c r="AA303" t="str" cm="1">
        <f t="array" ref="AA303">_xlfn.IFS(O303&lt;=$AF$2,"Low",AND(O303&gt;$AF$2,O303&lt;$AF$3),"Medium",O303&gt;=$AF$3,"High")</f>
        <v>Medium</v>
      </c>
      <c r="AB303" s="22">
        <f t="shared" si="55"/>
        <v>44927</v>
      </c>
      <c r="AC303">
        <v>15</v>
      </c>
    </row>
    <row r="304" spans="1:29" x14ac:dyDescent="0.35">
      <c r="A304" s="4" t="s">
        <v>269</v>
      </c>
      <c r="B304" s="5" t="str">
        <f>IF(COUNTIF($A$2:A304,A304)=1,"Original","Duplicate")</f>
        <v>Original</v>
      </c>
      <c r="C304" s="7">
        <v>45411</v>
      </c>
      <c r="D304" s="7">
        <v>45431</v>
      </c>
      <c r="E304">
        <f t="shared" si="45"/>
        <v>20</v>
      </c>
      <c r="F304" t="s">
        <v>649</v>
      </c>
      <c r="G304" t="s">
        <v>656</v>
      </c>
      <c r="H304" t="s">
        <v>698</v>
      </c>
      <c r="I304" t="s">
        <v>706</v>
      </c>
      <c r="J304" t="s">
        <v>709</v>
      </c>
      <c r="K304" t="s">
        <v>712</v>
      </c>
      <c r="L304" t="s">
        <v>731</v>
      </c>
      <c r="M304" t="s">
        <v>989</v>
      </c>
      <c r="N304" s="23">
        <v>668.97</v>
      </c>
      <c r="O304" s="23">
        <v>1667.44</v>
      </c>
      <c r="P304" s="8">
        <v>3.4000000000000002E-2</v>
      </c>
      <c r="Q304">
        <v>15</v>
      </c>
      <c r="R304" s="23">
        <f t="shared" si="46"/>
        <v>24161.205600000001</v>
      </c>
      <c r="S304" s="23">
        <f t="shared" si="47"/>
        <v>10034.550000000001</v>
      </c>
      <c r="T304" s="23">
        <f t="shared" si="48"/>
        <v>14126.6556</v>
      </c>
      <c r="U304" s="14">
        <f t="shared" si="49"/>
        <v>0.58468339013679016</v>
      </c>
      <c r="V304" s="7" t="str">
        <f t="shared" si="50"/>
        <v>Apr-2024</v>
      </c>
      <c r="W304" s="22">
        <f t="shared" si="51"/>
        <v>45383</v>
      </c>
      <c r="X304" s="7" t="str">
        <f t="shared" si="52"/>
        <v>Q2-2024</v>
      </c>
      <c r="Y304" t="str">
        <f t="shared" si="53"/>
        <v>Europe → Germany → Frankfurt</v>
      </c>
      <c r="Z304" t="str">
        <f t="shared" si="54"/>
        <v>Laptops</v>
      </c>
      <c r="AA304" t="str" cm="1">
        <f t="array" ref="AA304">_xlfn.IFS(O304&lt;=$AF$2,"Low",AND(O304&gt;$AF$2,O304&lt;$AF$3),"Medium",O304&gt;=$AF$3,"High")</f>
        <v>High</v>
      </c>
      <c r="AB304" s="22">
        <f t="shared" si="55"/>
        <v>44927</v>
      </c>
      <c r="AC304">
        <v>15</v>
      </c>
    </row>
    <row r="305" spans="1:29" x14ac:dyDescent="0.35">
      <c r="A305" s="4" t="s">
        <v>466</v>
      </c>
      <c r="B305" s="5" t="str">
        <f>IF(COUNTIF($A$2:A305,A305)=1,"Original","Duplicate")</f>
        <v>Original</v>
      </c>
      <c r="C305" s="7">
        <v>45413</v>
      </c>
      <c r="D305" s="7">
        <v>45428</v>
      </c>
      <c r="E305">
        <f t="shared" si="45"/>
        <v>15</v>
      </c>
      <c r="F305" t="s">
        <v>647</v>
      </c>
      <c r="G305" t="s">
        <v>654</v>
      </c>
      <c r="H305" t="s">
        <v>668</v>
      </c>
      <c r="I305" t="s">
        <v>705</v>
      </c>
      <c r="J305" t="s">
        <v>707</v>
      </c>
      <c r="K305" t="s">
        <v>716</v>
      </c>
      <c r="L305" t="s">
        <v>727</v>
      </c>
      <c r="M305" t="s">
        <v>1185</v>
      </c>
      <c r="N305" s="23">
        <v>901.19</v>
      </c>
      <c r="O305" s="23">
        <v>2125.44</v>
      </c>
      <c r="P305" s="8">
        <v>7.0999999999999994E-2</v>
      </c>
      <c r="Q305">
        <v>12</v>
      </c>
      <c r="R305" s="23">
        <f t="shared" si="46"/>
        <v>23694.405119999999</v>
      </c>
      <c r="S305" s="23">
        <f t="shared" si="47"/>
        <v>10814.28</v>
      </c>
      <c r="T305" s="23">
        <f t="shared" si="48"/>
        <v>12880.125119999999</v>
      </c>
      <c r="U305" s="14">
        <f t="shared" si="49"/>
        <v>0.54359352154100415</v>
      </c>
      <c r="V305" s="7" t="str">
        <f t="shared" si="50"/>
        <v>May-2024</v>
      </c>
      <c r="W305" s="22">
        <f t="shared" si="51"/>
        <v>45413</v>
      </c>
      <c r="X305" s="7" t="str">
        <f t="shared" si="52"/>
        <v>Q2-2024</v>
      </c>
      <c r="Y305" t="str">
        <f t="shared" si="53"/>
        <v>Asia → India → Bengaluru</v>
      </c>
      <c r="Z305" t="str">
        <f t="shared" si="54"/>
        <v>Components</v>
      </c>
      <c r="AA305" t="str" cm="1">
        <f t="array" ref="AA305">_xlfn.IFS(O305&lt;=$AF$2,"Low",AND(O305&gt;$AF$2,O305&lt;$AF$3),"Medium",O305&gt;=$AF$3,"High")</f>
        <v>High</v>
      </c>
      <c r="AB305" s="22">
        <f t="shared" si="55"/>
        <v>44958</v>
      </c>
      <c r="AC305">
        <v>15</v>
      </c>
    </row>
    <row r="306" spans="1:29" x14ac:dyDescent="0.35">
      <c r="A306" s="4" t="s">
        <v>532</v>
      </c>
      <c r="B306" s="5" t="str">
        <f>IF(COUNTIF($A$2:A306,A306)=1,"Original","Duplicate")</f>
        <v>Original</v>
      </c>
      <c r="C306" s="7">
        <v>45413</v>
      </c>
      <c r="D306" s="7">
        <v>45438</v>
      </c>
      <c r="E306">
        <f t="shared" si="45"/>
        <v>25</v>
      </c>
      <c r="F306" t="s">
        <v>649</v>
      </c>
      <c r="G306" t="s">
        <v>656</v>
      </c>
      <c r="H306" t="s">
        <v>671</v>
      </c>
      <c r="I306" t="s">
        <v>703</v>
      </c>
      <c r="J306" t="s">
        <v>707</v>
      </c>
      <c r="K306" t="s">
        <v>717</v>
      </c>
      <c r="L306" t="s">
        <v>729</v>
      </c>
      <c r="M306" t="s">
        <v>1251</v>
      </c>
      <c r="N306" s="23">
        <v>930.71</v>
      </c>
      <c r="O306" s="23">
        <v>1625.42</v>
      </c>
      <c r="P306" s="8">
        <v>0.13800000000000001</v>
      </c>
      <c r="Q306">
        <v>7</v>
      </c>
      <c r="R306" s="23">
        <f t="shared" si="46"/>
        <v>9807.7842799999999</v>
      </c>
      <c r="S306" s="23">
        <f t="shared" si="47"/>
        <v>6514.97</v>
      </c>
      <c r="T306" s="23">
        <f t="shared" si="48"/>
        <v>3292.8142799999996</v>
      </c>
      <c r="U306" s="14">
        <f t="shared" si="49"/>
        <v>0.33573477821231196</v>
      </c>
      <c r="V306" s="7" t="str">
        <f t="shared" si="50"/>
        <v>May-2024</v>
      </c>
      <c r="W306" s="22">
        <f t="shared" si="51"/>
        <v>45413</v>
      </c>
      <c r="X306" s="7" t="str">
        <f t="shared" si="52"/>
        <v>Q2-2024</v>
      </c>
      <c r="Y306" t="str">
        <f t="shared" si="53"/>
        <v>Europe → Germany → Berlin</v>
      </c>
      <c r="Z306" t="str">
        <f t="shared" si="54"/>
        <v>Networking</v>
      </c>
      <c r="AA306" t="str" cm="1">
        <f t="array" ref="AA306">_xlfn.IFS(O306&lt;=$AF$2,"Low",AND(O306&gt;$AF$2,O306&lt;$AF$3),"Medium",O306&gt;=$AF$3,"High")</f>
        <v>High</v>
      </c>
      <c r="AB306" s="22">
        <f t="shared" si="55"/>
        <v>44927</v>
      </c>
      <c r="AC306">
        <v>16</v>
      </c>
    </row>
    <row r="307" spans="1:29" x14ac:dyDescent="0.35">
      <c r="A307" s="4" t="s">
        <v>23</v>
      </c>
      <c r="B307" s="5" t="str">
        <f>IF(COUNTIF($A$2:A307,A307)=1,"Original","Duplicate")</f>
        <v>Original</v>
      </c>
      <c r="C307" s="7">
        <v>45416</v>
      </c>
      <c r="D307" s="7">
        <v>45441</v>
      </c>
      <c r="E307">
        <f t="shared" si="45"/>
        <v>25</v>
      </c>
      <c r="F307" t="s">
        <v>646</v>
      </c>
      <c r="G307" t="s">
        <v>651</v>
      </c>
      <c r="H307" t="s">
        <v>669</v>
      </c>
      <c r="I307" t="s">
        <v>703</v>
      </c>
      <c r="J307" t="s">
        <v>709</v>
      </c>
      <c r="K307" t="s">
        <v>719</v>
      </c>
      <c r="L307" t="s">
        <v>732</v>
      </c>
      <c r="M307" t="s">
        <v>742</v>
      </c>
      <c r="N307" s="23">
        <v>1295.3399999999999</v>
      </c>
      <c r="O307" s="23">
        <v>2530.81</v>
      </c>
      <c r="P307" s="8">
        <v>3.1E-2</v>
      </c>
      <c r="Q307">
        <v>6</v>
      </c>
      <c r="R307" s="23">
        <f t="shared" si="46"/>
        <v>14714.12934</v>
      </c>
      <c r="S307" s="23">
        <f t="shared" si="47"/>
        <v>7772.0399999999991</v>
      </c>
      <c r="T307" s="23">
        <f t="shared" si="48"/>
        <v>6942.0893400000004</v>
      </c>
      <c r="U307" s="14">
        <f t="shared" si="49"/>
        <v>0.4717974933880798</v>
      </c>
      <c r="V307" s="7" t="str">
        <f t="shared" si="50"/>
        <v>May-2024</v>
      </c>
      <c r="W307" s="22">
        <f t="shared" si="51"/>
        <v>45413</v>
      </c>
      <c r="X307" s="7" t="str">
        <f t="shared" si="52"/>
        <v>Q2-2024</v>
      </c>
      <c r="Y307" t="str">
        <f t="shared" si="53"/>
        <v>Africa → Nigeria → Abuja</v>
      </c>
      <c r="Z307" t="str">
        <f t="shared" si="54"/>
        <v>Monitors</v>
      </c>
      <c r="AA307" t="str" cm="1">
        <f t="array" ref="AA307">_xlfn.IFS(O307&lt;=$AF$2,"Low",AND(O307&gt;$AF$2,O307&lt;$AF$3),"Medium",O307&gt;=$AF$3,"High")</f>
        <v>High</v>
      </c>
      <c r="AB307" s="22">
        <f t="shared" si="55"/>
        <v>44927</v>
      </c>
      <c r="AC307">
        <v>16</v>
      </c>
    </row>
    <row r="308" spans="1:29" x14ac:dyDescent="0.35">
      <c r="A308" s="4" t="s">
        <v>473</v>
      </c>
      <c r="B308" s="5" t="str">
        <f>IF(COUNTIF($A$2:A308,A308)=1,"Original","Duplicate")</f>
        <v>Original</v>
      </c>
      <c r="C308" s="7">
        <v>45417</v>
      </c>
      <c r="D308" s="7">
        <v>45430</v>
      </c>
      <c r="E308">
        <f t="shared" si="45"/>
        <v>13</v>
      </c>
      <c r="F308" t="s">
        <v>649</v>
      </c>
      <c r="G308" t="s">
        <v>657</v>
      </c>
      <c r="H308" t="s">
        <v>673</v>
      </c>
      <c r="I308" t="s">
        <v>701</v>
      </c>
      <c r="J308" t="s">
        <v>709</v>
      </c>
      <c r="K308" t="s">
        <v>720</v>
      </c>
      <c r="L308" t="s">
        <v>727</v>
      </c>
      <c r="M308" t="s">
        <v>1192</v>
      </c>
      <c r="N308" s="23">
        <v>1264.04</v>
      </c>
      <c r="O308" s="23">
        <v>1870.89</v>
      </c>
      <c r="P308" s="8">
        <v>0</v>
      </c>
      <c r="Q308">
        <v>13</v>
      </c>
      <c r="R308" s="23">
        <f t="shared" si="46"/>
        <v>24321.57</v>
      </c>
      <c r="S308" s="23">
        <f t="shared" si="47"/>
        <v>16432.52</v>
      </c>
      <c r="T308" s="23">
        <f t="shared" si="48"/>
        <v>7889.0499999999993</v>
      </c>
      <c r="U308" s="14">
        <f t="shared" si="49"/>
        <v>0.32436433996653996</v>
      </c>
      <c r="V308" s="7" t="str">
        <f t="shared" si="50"/>
        <v>May-2024</v>
      </c>
      <c r="W308" s="22">
        <f t="shared" si="51"/>
        <v>45413</v>
      </c>
      <c r="X308" s="7" t="str">
        <f t="shared" si="52"/>
        <v>Q2-2024</v>
      </c>
      <c r="Y308" t="str">
        <f t="shared" si="53"/>
        <v>Europe → France → Marseille</v>
      </c>
      <c r="Z308" t="str">
        <f t="shared" si="54"/>
        <v>Components</v>
      </c>
      <c r="AA308" t="str" cm="1">
        <f t="array" ref="AA308">_xlfn.IFS(O308&lt;=$AF$2,"Low",AND(O308&gt;$AF$2,O308&lt;$AF$3),"Medium",O308&gt;=$AF$3,"High")</f>
        <v>High</v>
      </c>
      <c r="AB308" s="22">
        <f t="shared" si="55"/>
        <v>44927</v>
      </c>
      <c r="AC308">
        <v>16</v>
      </c>
    </row>
    <row r="309" spans="1:29" x14ac:dyDescent="0.35">
      <c r="A309" s="4" t="s">
        <v>401</v>
      </c>
      <c r="B309" s="5" t="str">
        <f>IF(COUNTIF($A$2:A309,A309)=1,"Original","Duplicate")</f>
        <v>Original</v>
      </c>
      <c r="C309" s="7">
        <v>45419</v>
      </c>
      <c r="D309" s="7">
        <v>45424</v>
      </c>
      <c r="E309">
        <f t="shared" si="45"/>
        <v>5</v>
      </c>
      <c r="F309" t="s">
        <v>646</v>
      </c>
      <c r="G309" t="s">
        <v>651</v>
      </c>
      <c r="H309" t="s">
        <v>669</v>
      </c>
      <c r="I309" t="s">
        <v>703</v>
      </c>
      <c r="J309" t="s">
        <v>710</v>
      </c>
      <c r="K309" t="s">
        <v>716</v>
      </c>
      <c r="L309" t="s">
        <v>731</v>
      </c>
      <c r="M309" t="s">
        <v>1120</v>
      </c>
      <c r="N309" s="23">
        <v>1163.99</v>
      </c>
      <c r="O309" s="23">
        <v>1617.85</v>
      </c>
      <c r="P309" s="8">
        <v>0.127</v>
      </c>
      <c r="Q309">
        <v>14</v>
      </c>
      <c r="R309" s="23">
        <f t="shared" si="46"/>
        <v>19773.362699999998</v>
      </c>
      <c r="S309" s="23">
        <f t="shared" si="47"/>
        <v>16295.86</v>
      </c>
      <c r="T309" s="23">
        <f t="shared" si="48"/>
        <v>3477.5026999999973</v>
      </c>
      <c r="U309" s="14">
        <f t="shared" si="49"/>
        <v>0.17586804797749436</v>
      </c>
      <c r="V309" s="7" t="str">
        <f t="shared" si="50"/>
        <v>May-2024</v>
      </c>
      <c r="W309" s="22">
        <f t="shared" si="51"/>
        <v>45413</v>
      </c>
      <c r="X309" s="7" t="str">
        <f t="shared" si="52"/>
        <v>Q2-2024</v>
      </c>
      <c r="Y309" t="str">
        <f t="shared" si="53"/>
        <v>Africa → Nigeria → Abuja</v>
      </c>
      <c r="Z309" t="str">
        <f t="shared" si="54"/>
        <v>Laptops</v>
      </c>
      <c r="AA309" t="str" cm="1">
        <f t="array" ref="AA309">_xlfn.IFS(O309&lt;=$AF$2,"Low",AND(O309&gt;$AF$2,O309&lt;$AF$3),"Medium",O309&gt;=$AF$3,"High")</f>
        <v>Medium</v>
      </c>
      <c r="AB309" s="22">
        <f t="shared" si="55"/>
        <v>44927</v>
      </c>
      <c r="AC309">
        <v>16</v>
      </c>
    </row>
    <row r="310" spans="1:29" x14ac:dyDescent="0.35">
      <c r="A310" s="4" t="s">
        <v>490</v>
      </c>
      <c r="B310" s="5" t="str">
        <f>IF(COUNTIF($A$2:A310,A310)=1,"Original","Duplicate")</f>
        <v>Original</v>
      </c>
      <c r="C310" s="7">
        <v>45422</v>
      </c>
      <c r="D310" s="7">
        <v>45428</v>
      </c>
      <c r="E310">
        <f t="shared" si="45"/>
        <v>6</v>
      </c>
      <c r="F310" t="s">
        <v>649</v>
      </c>
      <c r="G310" t="s">
        <v>658</v>
      </c>
      <c r="H310" t="s">
        <v>674</v>
      </c>
      <c r="I310" t="s">
        <v>703</v>
      </c>
      <c r="J310" t="s">
        <v>711</v>
      </c>
      <c r="K310" t="s">
        <v>715</v>
      </c>
      <c r="L310" t="s">
        <v>731</v>
      </c>
      <c r="M310" t="s">
        <v>1209</v>
      </c>
      <c r="N310" s="23">
        <v>210.76</v>
      </c>
      <c r="O310" s="23">
        <v>221.58</v>
      </c>
      <c r="P310" s="8">
        <v>8.8999999999999996E-2</v>
      </c>
      <c r="Q310">
        <v>5</v>
      </c>
      <c r="R310" s="23">
        <f t="shared" si="46"/>
        <v>1009.2969000000002</v>
      </c>
      <c r="S310" s="23">
        <f t="shared" si="47"/>
        <v>1053.8</v>
      </c>
      <c r="T310" s="23">
        <f t="shared" si="48"/>
        <v>-44.50309999999979</v>
      </c>
      <c r="U310" s="14">
        <f t="shared" si="49"/>
        <v>-4.4093170205912434E-2</v>
      </c>
      <c r="V310" s="7" t="str">
        <f t="shared" si="50"/>
        <v>May-2024</v>
      </c>
      <c r="W310" s="22">
        <f t="shared" si="51"/>
        <v>45413</v>
      </c>
      <c r="X310" s="7" t="str">
        <f t="shared" si="52"/>
        <v>Q2-2024</v>
      </c>
      <c r="Y310" t="str">
        <f t="shared" si="53"/>
        <v>Europe → United Kingdom → Birmingham</v>
      </c>
      <c r="Z310" t="str">
        <f t="shared" si="54"/>
        <v>Laptops</v>
      </c>
      <c r="AA310" t="str" cm="1">
        <f t="array" ref="AA310">_xlfn.IFS(O310&lt;=$AF$2,"Low",AND(O310&gt;$AF$2,O310&lt;$AF$3),"Medium",O310&gt;=$AF$3,"High")</f>
        <v>Low</v>
      </c>
      <c r="AB310" s="22">
        <f t="shared" si="55"/>
        <v>44927</v>
      </c>
      <c r="AC310">
        <v>16</v>
      </c>
    </row>
    <row r="311" spans="1:29" x14ac:dyDescent="0.35">
      <c r="A311" s="4" t="s">
        <v>502</v>
      </c>
      <c r="B311" s="5" t="str">
        <f>IF(COUNTIF($A$2:A311,A311)=1,"Original","Duplicate")</f>
        <v>Original</v>
      </c>
      <c r="C311" s="7">
        <v>45424</v>
      </c>
      <c r="D311" s="7">
        <v>45436</v>
      </c>
      <c r="E311">
        <f t="shared" si="45"/>
        <v>12</v>
      </c>
      <c r="F311" t="s">
        <v>649</v>
      </c>
      <c r="G311" t="s">
        <v>658</v>
      </c>
      <c r="H311" t="s">
        <v>693</v>
      </c>
      <c r="I311" t="s">
        <v>702</v>
      </c>
      <c r="J311" t="s">
        <v>709</v>
      </c>
      <c r="K311" t="s">
        <v>723</v>
      </c>
      <c r="L311" t="s">
        <v>728</v>
      </c>
      <c r="M311" t="s">
        <v>1221</v>
      </c>
      <c r="N311" s="23">
        <v>111.02</v>
      </c>
      <c r="O311" s="23">
        <v>172.88</v>
      </c>
      <c r="P311" s="8">
        <v>0.19700000000000001</v>
      </c>
      <c r="Q311">
        <v>29</v>
      </c>
      <c r="R311" s="23">
        <f t="shared" si="46"/>
        <v>4025.8565599999993</v>
      </c>
      <c r="S311" s="23">
        <f t="shared" si="47"/>
        <v>3219.58</v>
      </c>
      <c r="T311" s="23">
        <f t="shared" si="48"/>
        <v>806.27655999999934</v>
      </c>
      <c r="U311" s="14">
        <f t="shared" si="49"/>
        <v>0.20027453735212053</v>
      </c>
      <c r="V311" s="7" t="str">
        <f t="shared" si="50"/>
        <v>May-2024</v>
      </c>
      <c r="W311" s="22">
        <f t="shared" si="51"/>
        <v>45413</v>
      </c>
      <c r="X311" s="7" t="str">
        <f t="shared" si="52"/>
        <v>Q2-2024</v>
      </c>
      <c r="Y311" t="str">
        <f t="shared" si="53"/>
        <v>Europe → United Kingdom → Manchester</v>
      </c>
      <c r="Z311" t="str">
        <f t="shared" si="54"/>
        <v>Printers</v>
      </c>
      <c r="AA311" t="str" cm="1">
        <f t="array" ref="AA311">_xlfn.IFS(O311&lt;=$AF$2,"Low",AND(O311&gt;$AF$2,O311&lt;$AF$3),"Medium",O311&gt;=$AF$3,"High")</f>
        <v>Low</v>
      </c>
      <c r="AB311" s="22">
        <f t="shared" si="55"/>
        <v>44927</v>
      </c>
      <c r="AC311">
        <v>16</v>
      </c>
    </row>
    <row r="312" spans="1:29" x14ac:dyDescent="0.35">
      <c r="A312" s="4" t="s">
        <v>62</v>
      </c>
      <c r="B312" s="5" t="str">
        <f>IF(COUNTIF($A$2:A312,A312)=1,"Original","Duplicate")</f>
        <v>Original</v>
      </c>
      <c r="C312" s="7">
        <v>45426</v>
      </c>
      <c r="D312" s="7">
        <v>45440</v>
      </c>
      <c r="E312">
        <f t="shared" si="45"/>
        <v>14</v>
      </c>
      <c r="F312" t="s">
        <v>649</v>
      </c>
      <c r="G312" t="s">
        <v>658</v>
      </c>
      <c r="H312" t="s">
        <v>674</v>
      </c>
      <c r="I312" t="s">
        <v>704</v>
      </c>
      <c r="J312" t="s">
        <v>707</v>
      </c>
      <c r="K312" t="s">
        <v>717</v>
      </c>
      <c r="L312" t="s">
        <v>729</v>
      </c>
      <c r="M312" t="s">
        <v>781</v>
      </c>
      <c r="N312" s="23">
        <v>1421.14</v>
      </c>
      <c r="O312" s="23">
        <v>3524</v>
      </c>
      <c r="P312" s="8">
        <v>0</v>
      </c>
      <c r="Q312">
        <v>31</v>
      </c>
      <c r="R312" s="23">
        <f t="shared" si="46"/>
        <v>109244</v>
      </c>
      <c r="S312" s="23">
        <f t="shared" si="47"/>
        <v>44055.340000000004</v>
      </c>
      <c r="T312" s="23">
        <f t="shared" si="48"/>
        <v>65188.659999999996</v>
      </c>
      <c r="U312" s="14">
        <f t="shared" si="49"/>
        <v>0.59672531214528945</v>
      </c>
      <c r="V312" s="7" t="str">
        <f t="shared" si="50"/>
        <v>May-2024</v>
      </c>
      <c r="W312" s="22">
        <f t="shared" si="51"/>
        <v>45413</v>
      </c>
      <c r="X312" s="7" t="str">
        <f t="shared" si="52"/>
        <v>Q2-2024</v>
      </c>
      <c r="Y312" t="str">
        <f t="shared" si="53"/>
        <v>Europe → United Kingdom → Birmingham</v>
      </c>
      <c r="Z312" t="str">
        <f t="shared" si="54"/>
        <v>Networking</v>
      </c>
      <c r="AA312" t="str" cm="1">
        <f t="array" ref="AA312">_xlfn.IFS(O312&lt;=$AF$2,"Low",AND(O312&gt;$AF$2,O312&lt;$AF$3),"Medium",O312&gt;=$AF$3,"High")</f>
        <v>High</v>
      </c>
      <c r="AB312" s="22">
        <f t="shared" si="55"/>
        <v>44927</v>
      </c>
      <c r="AC312">
        <v>16</v>
      </c>
    </row>
    <row r="313" spans="1:29" x14ac:dyDescent="0.35">
      <c r="A313" s="4" t="s">
        <v>388</v>
      </c>
      <c r="B313" s="5" t="str">
        <f>IF(COUNTIF($A$2:A313,A313)=1,"Original","Duplicate")</f>
        <v>Original</v>
      </c>
      <c r="C313" s="7">
        <v>45429</v>
      </c>
      <c r="D313" s="7">
        <v>45439</v>
      </c>
      <c r="E313">
        <f t="shared" si="45"/>
        <v>10</v>
      </c>
      <c r="F313" t="s">
        <v>648</v>
      </c>
      <c r="G313" t="s">
        <v>660</v>
      </c>
      <c r="H313" t="s">
        <v>697</v>
      </c>
      <c r="I313" t="s">
        <v>703</v>
      </c>
      <c r="J313" t="s">
        <v>708</v>
      </c>
      <c r="K313" t="s">
        <v>712</v>
      </c>
      <c r="L313" t="s">
        <v>730</v>
      </c>
      <c r="M313" t="s">
        <v>1108</v>
      </c>
      <c r="N313" s="23">
        <v>1484.23</v>
      </c>
      <c r="O313" s="23">
        <v>3472.81</v>
      </c>
      <c r="P313" s="8">
        <v>0.25600000000000001</v>
      </c>
      <c r="Q313">
        <v>12</v>
      </c>
      <c r="R313" s="23">
        <f t="shared" si="46"/>
        <v>31005.24768</v>
      </c>
      <c r="S313" s="23">
        <f t="shared" si="47"/>
        <v>17810.760000000002</v>
      </c>
      <c r="T313" s="23">
        <f t="shared" si="48"/>
        <v>13194.487679999998</v>
      </c>
      <c r="U313" s="14">
        <f t="shared" si="49"/>
        <v>0.42555659661803413</v>
      </c>
      <c r="V313" s="7" t="str">
        <f t="shared" si="50"/>
        <v>May-2024</v>
      </c>
      <c r="W313" s="22">
        <f t="shared" si="51"/>
        <v>45413</v>
      </c>
      <c r="X313" s="7" t="str">
        <f t="shared" si="52"/>
        <v>Q2-2024</v>
      </c>
      <c r="Y313" t="str">
        <f t="shared" si="53"/>
        <v>Americas → USA → Austin</v>
      </c>
      <c r="Z313" t="str">
        <f t="shared" si="54"/>
        <v>Phones</v>
      </c>
      <c r="AA313" t="str" cm="1">
        <f t="array" ref="AA313">_xlfn.IFS(O313&lt;=$AF$2,"Low",AND(O313&gt;$AF$2,O313&lt;$AF$3),"Medium",O313&gt;=$AF$3,"High")</f>
        <v>High</v>
      </c>
      <c r="AB313" s="22">
        <f t="shared" si="55"/>
        <v>44927</v>
      </c>
      <c r="AC313">
        <v>16</v>
      </c>
    </row>
    <row r="314" spans="1:29" x14ac:dyDescent="0.35">
      <c r="A314" s="4" t="s">
        <v>38</v>
      </c>
      <c r="B314" s="5" t="str">
        <f>IF(COUNTIF($A$2:A314,A314)=1,"Original","Duplicate")</f>
        <v>Original</v>
      </c>
      <c r="C314" s="7">
        <v>45430</v>
      </c>
      <c r="D314" s="7">
        <v>45435</v>
      </c>
      <c r="E314">
        <f t="shared" si="45"/>
        <v>5</v>
      </c>
      <c r="F314" t="s">
        <v>648</v>
      </c>
      <c r="G314" t="s">
        <v>660</v>
      </c>
      <c r="H314" t="s">
        <v>677</v>
      </c>
      <c r="I314" t="s">
        <v>706</v>
      </c>
      <c r="J314" t="s">
        <v>707</v>
      </c>
      <c r="K314" t="s">
        <v>722</v>
      </c>
      <c r="L314" t="s">
        <v>731</v>
      </c>
      <c r="M314" t="s">
        <v>757</v>
      </c>
      <c r="N314" s="23">
        <v>1274.5899999999999</v>
      </c>
      <c r="O314" s="23">
        <v>2553.69</v>
      </c>
      <c r="P314" s="8">
        <v>0.01</v>
      </c>
      <c r="Q314">
        <v>8</v>
      </c>
      <c r="R314" s="23">
        <f t="shared" si="46"/>
        <v>20225.2248</v>
      </c>
      <c r="S314" s="23">
        <f t="shared" si="47"/>
        <v>10196.719999999999</v>
      </c>
      <c r="T314" s="23">
        <f t="shared" si="48"/>
        <v>10028.504800000001</v>
      </c>
      <c r="U314" s="14">
        <f t="shared" si="49"/>
        <v>0.49584145042481803</v>
      </c>
      <c r="V314" s="7" t="str">
        <f t="shared" si="50"/>
        <v>May-2024</v>
      </c>
      <c r="W314" s="22">
        <f t="shared" si="51"/>
        <v>45413</v>
      </c>
      <c r="X314" s="7" t="str">
        <f t="shared" si="52"/>
        <v>Q2-2024</v>
      </c>
      <c r="Y314" t="str">
        <f t="shared" si="53"/>
        <v>Americas → USA → Chicago</v>
      </c>
      <c r="Z314" t="str">
        <f t="shared" si="54"/>
        <v>Laptops</v>
      </c>
      <c r="AA314" t="str" cm="1">
        <f t="array" ref="AA314">_xlfn.IFS(O314&lt;=$AF$2,"Low",AND(O314&gt;$AF$2,O314&lt;$AF$3),"Medium",O314&gt;=$AF$3,"High")</f>
        <v>High</v>
      </c>
      <c r="AB314" s="22">
        <f t="shared" si="55"/>
        <v>44927</v>
      </c>
      <c r="AC314">
        <v>16</v>
      </c>
    </row>
    <row r="315" spans="1:29" x14ac:dyDescent="0.35">
      <c r="A315" s="4" t="s">
        <v>425</v>
      </c>
      <c r="B315" s="5" t="str">
        <f>IF(COUNTIF($A$2:A315,A315)=1,"Original","Duplicate")</f>
        <v>Original</v>
      </c>
      <c r="C315" s="7">
        <v>45430</v>
      </c>
      <c r="D315" s="7">
        <v>45433</v>
      </c>
      <c r="E315">
        <f t="shared" si="45"/>
        <v>3</v>
      </c>
      <c r="F315" t="s">
        <v>649</v>
      </c>
      <c r="G315" t="s">
        <v>657</v>
      </c>
      <c r="H315" t="s">
        <v>673</v>
      </c>
      <c r="I315" t="s">
        <v>703</v>
      </c>
      <c r="J315" t="s">
        <v>709</v>
      </c>
      <c r="K315" t="s">
        <v>726</v>
      </c>
      <c r="L315" t="s">
        <v>728</v>
      </c>
      <c r="M315" t="s">
        <v>1144</v>
      </c>
      <c r="N315" s="23">
        <v>663.66</v>
      </c>
      <c r="O315" s="23">
        <v>824.26</v>
      </c>
      <c r="P315" s="8">
        <v>0.23899999999999999</v>
      </c>
      <c r="Q315">
        <v>11</v>
      </c>
      <c r="R315" s="23">
        <f t="shared" si="46"/>
        <v>6899.8804600000003</v>
      </c>
      <c r="S315" s="23">
        <f t="shared" si="47"/>
        <v>7300.2599999999993</v>
      </c>
      <c r="T315" s="23">
        <f t="shared" si="48"/>
        <v>-400.379539999999</v>
      </c>
      <c r="U315" s="14">
        <f t="shared" si="49"/>
        <v>-5.8027025587048933E-2</v>
      </c>
      <c r="V315" s="7" t="str">
        <f t="shared" si="50"/>
        <v>May-2024</v>
      </c>
      <c r="W315" s="22">
        <f t="shared" si="51"/>
        <v>45413</v>
      </c>
      <c r="X315" s="7" t="str">
        <f t="shared" si="52"/>
        <v>Q2-2024</v>
      </c>
      <c r="Y315" t="str">
        <f t="shared" si="53"/>
        <v>Europe → France → Marseille</v>
      </c>
      <c r="Z315" t="str">
        <f t="shared" si="54"/>
        <v>Printers</v>
      </c>
      <c r="AA315" t="str" cm="1">
        <f t="array" ref="AA315">_xlfn.IFS(O315&lt;=$AF$2,"Low",AND(O315&gt;$AF$2,O315&lt;$AF$3),"Medium",O315&gt;=$AF$3,"High")</f>
        <v>Low</v>
      </c>
      <c r="AB315" s="22">
        <f t="shared" si="55"/>
        <v>44927</v>
      </c>
      <c r="AC315">
        <v>16</v>
      </c>
    </row>
    <row r="316" spans="1:29" x14ac:dyDescent="0.35">
      <c r="A316" s="4" t="s">
        <v>573</v>
      </c>
      <c r="B316" s="5" t="str">
        <f>IF(COUNTIF($A$2:A316,A316)=1,"Original","Duplicate")</f>
        <v>Original</v>
      </c>
      <c r="C316" s="7">
        <v>45430</v>
      </c>
      <c r="D316" s="7">
        <v>45434</v>
      </c>
      <c r="E316">
        <f t="shared" si="45"/>
        <v>4</v>
      </c>
      <c r="F316" t="s">
        <v>646</v>
      </c>
      <c r="G316" t="s">
        <v>650</v>
      </c>
      <c r="H316" t="s">
        <v>664</v>
      </c>
      <c r="I316" t="s">
        <v>701</v>
      </c>
      <c r="J316" t="s">
        <v>711</v>
      </c>
      <c r="K316" t="s">
        <v>722</v>
      </c>
      <c r="L316" t="s">
        <v>733</v>
      </c>
      <c r="M316" t="s">
        <v>1291</v>
      </c>
      <c r="N316" s="23">
        <v>857.42</v>
      </c>
      <c r="O316" s="23">
        <v>1658.92</v>
      </c>
      <c r="P316" s="8">
        <v>0.122</v>
      </c>
      <c r="Q316">
        <v>9</v>
      </c>
      <c r="R316" s="23">
        <f t="shared" si="46"/>
        <v>13108.78584</v>
      </c>
      <c r="S316" s="23">
        <f t="shared" si="47"/>
        <v>7716.78</v>
      </c>
      <c r="T316" s="23">
        <f t="shared" si="48"/>
        <v>5392.0058400000007</v>
      </c>
      <c r="U316" s="14">
        <f t="shared" si="49"/>
        <v>0.41132763215544305</v>
      </c>
      <c r="V316" s="7" t="str">
        <f t="shared" si="50"/>
        <v>May-2024</v>
      </c>
      <c r="W316" s="22">
        <f t="shared" si="51"/>
        <v>45413</v>
      </c>
      <c r="X316" s="7" t="str">
        <f t="shared" si="52"/>
        <v>Q2-2024</v>
      </c>
      <c r="Y316" t="str">
        <f t="shared" si="53"/>
        <v>Africa → Kenya → Nairobi</v>
      </c>
      <c r="Z316" t="str">
        <f t="shared" si="54"/>
        <v>Accessories</v>
      </c>
      <c r="AA316" t="str" cm="1">
        <f t="array" ref="AA316">_xlfn.IFS(O316&lt;=$AF$2,"Low",AND(O316&gt;$AF$2,O316&lt;$AF$3),"Medium",O316&gt;=$AF$3,"High")</f>
        <v>High</v>
      </c>
      <c r="AB316" s="22">
        <f t="shared" si="55"/>
        <v>44927</v>
      </c>
      <c r="AC316">
        <v>16</v>
      </c>
    </row>
    <row r="317" spans="1:29" x14ac:dyDescent="0.35">
      <c r="A317" s="4" t="s">
        <v>203</v>
      </c>
      <c r="B317" s="5" t="str">
        <f>IF(COUNTIF($A$2:A317,A317)=1,"Original","Duplicate")</f>
        <v>Original</v>
      </c>
      <c r="C317" s="7">
        <v>45431</v>
      </c>
      <c r="D317" s="7">
        <v>45451</v>
      </c>
      <c r="E317">
        <f t="shared" si="45"/>
        <v>20</v>
      </c>
      <c r="F317" t="s">
        <v>648</v>
      </c>
      <c r="G317" t="s">
        <v>655</v>
      </c>
      <c r="H317" t="s">
        <v>672</v>
      </c>
      <c r="I317" t="s">
        <v>705</v>
      </c>
      <c r="J317" t="s">
        <v>707</v>
      </c>
      <c r="K317" t="s">
        <v>718</v>
      </c>
      <c r="L317" t="s">
        <v>732</v>
      </c>
      <c r="M317" t="s">
        <v>923</v>
      </c>
      <c r="N317" s="23">
        <v>1075.9000000000001</v>
      </c>
      <c r="O317" s="23">
        <v>1242.1500000000001</v>
      </c>
      <c r="P317" s="8">
        <v>1.2E-2</v>
      </c>
      <c r="Q317">
        <v>7</v>
      </c>
      <c r="R317" s="23">
        <f t="shared" si="46"/>
        <v>8590.7094000000016</v>
      </c>
      <c r="S317" s="23">
        <f t="shared" si="47"/>
        <v>7531.3000000000011</v>
      </c>
      <c r="T317" s="23">
        <f t="shared" si="48"/>
        <v>1059.4094000000005</v>
      </c>
      <c r="U317" s="14">
        <f t="shared" si="49"/>
        <v>0.12332036280961853</v>
      </c>
      <c r="V317" s="7" t="str">
        <f t="shared" si="50"/>
        <v>May-2024</v>
      </c>
      <c r="W317" s="22">
        <f t="shared" si="51"/>
        <v>45413</v>
      </c>
      <c r="X317" s="7" t="str">
        <f t="shared" si="52"/>
        <v>Q2-2024</v>
      </c>
      <c r="Y317" t="str">
        <f t="shared" si="53"/>
        <v>Americas → Brazil → Brasília</v>
      </c>
      <c r="Z317" t="str">
        <f t="shared" si="54"/>
        <v>Monitors</v>
      </c>
      <c r="AA317" t="str" cm="1">
        <f t="array" ref="AA317">_xlfn.IFS(O317&lt;=$AF$2,"Low",AND(O317&gt;$AF$2,O317&lt;$AF$3),"Medium",O317&gt;=$AF$3,"High")</f>
        <v>Medium</v>
      </c>
      <c r="AB317" s="22">
        <f t="shared" si="55"/>
        <v>44927</v>
      </c>
      <c r="AC317">
        <v>16</v>
      </c>
    </row>
    <row r="318" spans="1:29" x14ac:dyDescent="0.35">
      <c r="A318" s="4" t="s">
        <v>59</v>
      </c>
      <c r="B318" s="5" t="str">
        <f>IF(COUNTIF($A$2:A318,A318)=1,"Original","Duplicate")</f>
        <v>Original</v>
      </c>
      <c r="C318" s="7">
        <v>45432</v>
      </c>
      <c r="D318" s="7">
        <v>45445</v>
      </c>
      <c r="E318">
        <f t="shared" si="45"/>
        <v>13</v>
      </c>
      <c r="F318" t="s">
        <v>648</v>
      </c>
      <c r="G318" t="s">
        <v>653</v>
      </c>
      <c r="H318" t="s">
        <v>688</v>
      </c>
      <c r="I318" t="s">
        <v>706</v>
      </c>
      <c r="J318" t="s">
        <v>709</v>
      </c>
      <c r="K318" t="s">
        <v>723</v>
      </c>
      <c r="L318" t="s">
        <v>727</v>
      </c>
      <c r="M318" t="s">
        <v>778</v>
      </c>
      <c r="N318" s="23">
        <v>675.43</v>
      </c>
      <c r="O318" s="23">
        <v>996.36</v>
      </c>
      <c r="P318" s="8">
        <v>0.182</v>
      </c>
      <c r="Q318">
        <v>22</v>
      </c>
      <c r="R318" s="23">
        <f t="shared" si="46"/>
        <v>17930.494560000003</v>
      </c>
      <c r="S318" s="23">
        <f t="shared" si="47"/>
        <v>14859.46</v>
      </c>
      <c r="T318" s="23">
        <f t="shared" si="48"/>
        <v>3071.0345600000037</v>
      </c>
      <c r="U318" s="14">
        <f t="shared" si="49"/>
        <v>0.17127439233332575</v>
      </c>
      <c r="V318" s="7" t="str">
        <f t="shared" si="50"/>
        <v>May-2024</v>
      </c>
      <c r="W318" s="22">
        <f t="shared" si="51"/>
        <v>45413</v>
      </c>
      <c r="X318" s="7" t="str">
        <f t="shared" si="52"/>
        <v>Q2-2024</v>
      </c>
      <c r="Y318" t="str">
        <f t="shared" si="53"/>
        <v>Americas → Canada → Vancouver</v>
      </c>
      <c r="Z318" t="str">
        <f t="shared" si="54"/>
        <v>Components</v>
      </c>
      <c r="AA318" t="str" cm="1">
        <f t="array" ref="AA318">_xlfn.IFS(O318&lt;=$AF$2,"Low",AND(O318&gt;$AF$2,O318&lt;$AF$3),"Medium",O318&gt;=$AF$3,"High")</f>
        <v>Medium</v>
      </c>
      <c r="AB318" s="22">
        <f t="shared" si="55"/>
        <v>44927</v>
      </c>
      <c r="AC318">
        <v>16</v>
      </c>
    </row>
    <row r="319" spans="1:29" x14ac:dyDescent="0.35">
      <c r="A319" s="4" t="s">
        <v>120</v>
      </c>
      <c r="B319" s="5" t="str">
        <f>IF(COUNTIF($A$2:A319,A319)=1,"Original","Duplicate")</f>
        <v>Original</v>
      </c>
      <c r="C319" s="7">
        <v>45433</v>
      </c>
      <c r="D319" s="7">
        <v>45439</v>
      </c>
      <c r="E319">
        <f t="shared" si="45"/>
        <v>6</v>
      </c>
      <c r="F319" t="s">
        <v>646</v>
      </c>
      <c r="G319" t="s">
        <v>661</v>
      </c>
      <c r="H319" t="s">
        <v>682</v>
      </c>
      <c r="I319" t="s">
        <v>703</v>
      </c>
      <c r="J319" t="s">
        <v>708</v>
      </c>
      <c r="K319" t="s">
        <v>724</v>
      </c>
      <c r="L319" t="s">
        <v>727</v>
      </c>
      <c r="M319" t="s">
        <v>839</v>
      </c>
      <c r="N319" s="23">
        <v>1157.51</v>
      </c>
      <c r="O319" s="23">
        <v>1394.3</v>
      </c>
      <c r="P319" s="8">
        <v>0.27800000000000002</v>
      </c>
      <c r="Q319">
        <v>12</v>
      </c>
      <c r="R319" s="23">
        <f t="shared" si="46"/>
        <v>12080.215199999999</v>
      </c>
      <c r="S319" s="23">
        <f t="shared" si="47"/>
        <v>13890.119999999999</v>
      </c>
      <c r="T319" s="23">
        <f t="shared" si="48"/>
        <v>-1809.9048000000003</v>
      </c>
      <c r="U319" s="14">
        <f t="shared" si="49"/>
        <v>-0.14982388724333326</v>
      </c>
      <c r="V319" s="7" t="str">
        <f t="shared" si="50"/>
        <v>May-2024</v>
      </c>
      <c r="W319" s="22">
        <f t="shared" si="51"/>
        <v>45413</v>
      </c>
      <c r="X319" s="7" t="str">
        <f t="shared" si="52"/>
        <v>Q2-2024</v>
      </c>
      <c r="Y319" t="str">
        <f t="shared" si="53"/>
        <v>Africa → South Africa → Johannesburg</v>
      </c>
      <c r="Z319" t="str">
        <f t="shared" si="54"/>
        <v>Components</v>
      </c>
      <c r="AA319" t="str" cm="1">
        <f t="array" ref="AA319">_xlfn.IFS(O319&lt;=$AF$2,"Low",AND(O319&gt;$AF$2,O319&lt;$AF$3),"Medium",O319&gt;=$AF$3,"High")</f>
        <v>Medium</v>
      </c>
      <c r="AB319" s="22">
        <f t="shared" si="55"/>
        <v>44927</v>
      </c>
      <c r="AC319">
        <v>16</v>
      </c>
    </row>
    <row r="320" spans="1:29" x14ac:dyDescent="0.35">
      <c r="A320" s="4" t="s">
        <v>82</v>
      </c>
      <c r="B320" s="5" t="str">
        <f>IF(COUNTIF($A$2:A320,A320)=1,"Original","Duplicate")</f>
        <v>Original</v>
      </c>
      <c r="C320" s="7">
        <v>45434</v>
      </c>
      <c r="D320" s="7">
        <v>45449</v>
      </c>
      <c r="E320">
        <f t="shared" si="45"/>
        <v>15</v>
      </c>
      <c r="F320" t="s">
        <v>647</v>
      </c>
      <c r="G320" t="s">
        <v>652</v>
      </c>
      <c r="H320" t="s">
        <v>694</v>
      </c>
      <c r="I320" t="s">
        <v>701</v>
      </c>
      <c r="J320" t="s">
        <v>710</v>
      </c>
      <c r="K320" t="s">
        <v>712</v>
      </c>
      <c r="L320" t="s">
        <v>732</v>
      </c>
      <c r="M320" t="s">
        <v>801</v>
      </c>
      <c r="N320" s="23">
        <v>673.88</v>
      </c>
      <c r="O320" s="23">
        <v>1228.01</v>
      </c>
      <c r="P320" s="8">
        <v>0.105</v>
      </c>
      <c r="Q320">
        <v>13</v>
      </c>
      <c r="R320" s="23">
        <f t="shared" si="46"/>
        <v>14287.896349999999</v>
      </c>
      <c r="S320" s="23">
        <f t="shared" si="47"/>
        <v>8760.44</v>
      </c>
      <c r="T320" s="23">
        <f t="shared" si="48"/>
        <v>5527.4563499999986</v>
      </c>
      <c r="U320" s="14">
        <f t="shared" si="49"/>
        <v>0.38686285332689996</v>
      </c>
      <c r="V320" s="7" t="str">
        <f t="shared" si="50"/>
        <v>May-2024</v>
      </c>
      <c r="W320" s="22">
        <f t="shared" si="51"/>
        <v>45413</v>
      </c>
      <c r="X320" s="7" t="str">
        <f t="shared" si="52"/>
        <v>Q2-2024</v>
      </c>
      <c r="Y320" t="str">
        <f t="shared" si="53"/>
        <v>Asia → Japan → Nagoya</v>
      </c>
      <c r="Z320" t="str">
        <f t="shared" si="54"/>
        <v>Monitors</v>
      </c>
      <c r="AA320" t="str" cm="1">
        <f t="array" ref="AA320">_xlfn.IFS(O320&lt;=$AF$2,"Low",AND(O320&gt;$AF$2,O320&lt;$AF$3),"Medium",O320&gt;=$AF$3,"High")</f>
        <v>Medium</v>
      </c>
      <c r="AB320" s="22">
        <f t="shared" si="55"/>
        <v>44986</v>
      </c>
      <c r="AC320">
        <v>14</v>
      </c>
    </row>
    <row r="321" spans="1:29" x14ac:dyDescent="0.35">
      <c r="A321" s="4" t="s">
        <v>182</v>
      </c>
      <c r="B321" s="5" t="str">
        <f>IF(COUNTIF($A$2:A321,A321)=1,"Original","Duplicate")</f>
        <v>Original</v>
      </c>
      <c r="C321" s="7">
        <v>45435</v>
      </c>
      <c r="D321" s="7">
        <v>45457</v>
      </c>
      <c r="E321">
        <f t="shared" si="45"/>
        <v>22</v>
      </c>
      <c r="F321" t="s">
        <v>649</v>
      </c>
      <c r="G321" t="s">
        <v>657</v>
      </c>
      <c r="H321" t="s">
        <v>673</v>
      </c>
      <c r="I321" t="s">
        <v>705</v>
      </c>
      <c r="J321" t="s">
        <v>708</v>
      </c>
      <c r="K321" t="s">
        <v>725</v>
      </c>
      <c r="L321" t="s">
        <v>732</v>
      </c>
      <c r="M321" t="s">
        <v>901</v>
      </c>
      <c r="N321" s="23">
        <v>1481.74</v>
      </c>
      <c r="O321" s="23">
        <v>1848.97</v>
      </c>
      <c r="P321" s="8">
        <v>0.254</v>
      </c>
      <c r="Q321">
        <v>9</v>
      </c>
      <c r="R321" s="23">
        <f t="shared" si="46"/>
        <v>12413.98458</v>
      </c>
      <c r="S321" s="23">
        <f t="shared" si="47"/>
        <v>13335.66</v>
      </c>
      <c r="T321" s="23">
        <f t="shared" si="48"/>
        <v>-921.67541999999958</v>
      </c>
      <c r="U321" s="14">
        <f t="shared" si="49"/>
        <v>-7.4244930309072407E-2</v>
      </c>
      <c r="V321" s="7" t="str">
        <f t="shared" si="50"/>
        <v>May-2024</v>
      </c>
      <c r="W321" s="22">
        <f t="shared" si="51"/>
        <v>45413</v>
      </c>
      <c r="X321" s="7" t="str">
        <f t="shared" si="52"/>
        <v>Q2-2024</v>
      </c>
      <c r="Y321" t="str">
        <f t="shared" si="53"/>
        <v>Europe → France → Marseille</v>
      </c>
      <c r="Z321" t="str">
        <f t="shared" si="54"/>
        <v>Monitors</v>
      </c>
      <c r="AA321" t="str" cm="1">
        <f t="array" ref="AA321">_xlfn.IFS(O321&lt;=$AF$2,"Low",AND(O321&gt;$AF$2,O321&lt;$AF$3),"Medium",O321&gt;=$AF$3,"High")</f>
        <v>High</v>
      </c>
      <c r="AB321" s="22">
        <f t="shared" si="55"/>
        <v>44927</v>
      </c>
      <c r="AC321">
        <v>16</v>
      </c>
    </row>
    <row r="322" spans="1:29" x14ac:dyDescent="0.35">
      <c r="A322" s="4" t="s">
        <v>189</v>
      </c>
      <c r="B322" s="5" t="str">
        <f>IF(COUNTIF($A$2:A322,A322)=1,"Original","Duplicate")</f>
        <v>Original</v>
      </c>
      <c r="C322" s="7">
        <v>45435</v>
      </c>
      <c r="D322" s="7">
        <v>45446</v>
      </c>
      <c r="E322">
        <f t="shared" ref="E322:E385" si="56">D322-C322</f>
        <v>11</v>
      </c>
      <c r="F322" t="s">
        <v>646</v>
      </c>
      <c r="G322" t="s">
        <v>661</v>
      </c>
      <c r="H322" t="s">
        <v>682</v>
      </c>
      <c r="I322" t="s">
        <v>705</v>
      </c>
      <c r="J322" t="s">
        <v>710</v>
      </c>
      <c r="K322" t="s">
        <v>721</v>
      </c>
      <c r="L322" t="s">
        <v>728</v>
      </c>
      <c r="M322" t="s">
        <v>908</v>
      </c>
      <c r="N322" s="23">
        <v>180.89</v>
      </c>
      <c r="O322" s="23">
        <v>249.57</v>
      </c>
      <c r="P322" s="8">
        <v>2.1999999999999999E-2</v>
      </c>
      <c r="Q322">
        <v>8</v>
      </c>
      <c r="R322" s="23">
        <f t="shared" si="46"/>
        <v>1952.6356799999999</v>
      </c>
      <c r="S322" s="23">
        <f t="shared" si="47"/>
        <v>1447.12</v>
      </c>
      <c r="T322" s="23">
        <f t="shared" si="48"/>
        <v>505.51567999999997</v>
      </c>
      <c r="U322" s="14">
        <f t="shared" si="49"/>
        <v>0.25888888806948362</v>
      </c>
      <c r="V322" s="7" t="str">
        <f t="shared" si="50"/>
        <v>May-2024</v>
      </c>
      <c r="W322" s="22">
        <f t="shared" si="51"/>
        <v>45413</v>
      </c>
      <c r="X322" s="7" t="str">
        <f t="shared" si="52"/>
        <v>Q2-2024</v>
      </c>
      <c r="Y322" t="str">
        <f t="shared" si="53"/>
        <v>Africa → South Africa → Johannesburg</v>
      </c>
      <c r="Z322" t="str">
        <f t="shared" si="54"/>
        <v>Printers</v>
      </c>
      <c r="AA322" t="str" cm="1">
        <f t="array" ref="AA322">_xlfn.IFS(O322&lt;=$AF$2,"Low",AND(O322&gt;$AF$2,O322&lt;$AF$3),"Medium",O322&gt;=$AF$3,"High")</f>
        <v>Low</v>
      </c>
      <c r="AB322" s="22">
        <f t="shared" si="55"/>
        <v>44927</v>
      </c>
      <c r="AC322">
        <v>16</v>
      </c>
    </row>
    <row r="323" spans="1:29" x14ac:dyDescent="0.35">
      <c r="A323" s="4" t="s">
        <v>325</v>
      </c>
      <c r="B323" s="5" t="str">
        <f>IF(COUNTIF($A$2:A323,A323)=1,"Original","Duplicate")</f>
        <v>Original</v>
      </c>
      <c r="C323" s="7">
        <v>45435</v>
      </c>
      <c r="D323" s="7">
        <v>45449</v>
      </c>
      <c r="E323">
        <f t="shared" si="56"/>
        <v>14</v>
      </c>
      <c r="F323" t="s">
        <v>648</v>
      </c>
      <c r="G323" t="s">
        <v>655</v>
      </c>
      <c r="H323" t="s">
        <v>692</v>
      </c>
      <c r="I323" t="s">
        <v>703</v>
      </c>
      <c r="J323" t="s">
        <v>708</v>
      </c>
      <c r="K323" t="s">
        <v>714</v>
      </c>
      <c r="L323" t="s">
        <v>729</v>
      </c>
      <c r="M323" t="s">
        <v>1045</v>
      </c>
      <c r="N323" s="23">
        <v>51.13</v>
      </c>
      <c r="O323" s="23">
        <v>57.53</v>
      </c>
      <c r="P323" s="8">
        <v>4.4999999999999998E-2</v>
      </c>
      <c r="Q323">
        <v>16</v>
      </c>
      <c r="R323" s="23">
        <f t="shared" ref="R323:R386" si="57">(O323*Q323)*(1-P323)</f>
        <v>879.05840000000001</v>
      </c>
      <c r="S323" s="23">
        <f t="shared" ref="S323:S386" si="58">N323*Q323</f>
        <v>818.08</v>
      </c>
      <c r="T323" s="23">
        <f t="shared" ref="T323:T386" si="59">R323-S323</f>
        <v>60.978399999999965</v>
      </c>
      <c r="U323" s="14">
        <f t="shared" ref="U323:U386" si="60">IF(R323=0,0,T323/R323)</f>
        <v>6.9367859973808302E-2</v>
      </c>
      <c r="V323" s="7" t="str">
        <f t="shared" ref="V323:V386" si="61">TEXT(C323,"MMM-YYYY")</f>
        <v>May-2024</v>
      </c>
      <c r="W323" s="22">
        <f t="shared" ref="W323:W386" si="62">DATEVALUE(V323)</f>
        <v>45413</v>
      </c>
      <c r="X323" s="7" t="str">
        <f t="shared" ref="X323:X386" si="63">"Q"&amp;ROUNDUP(MONTH(C323)/3,0)&amp;"-"&amp;YEAR(C323)</f>
        <v>Q2-2024</v>
      </c>
      <c r="Y323" t="str">
        <f t="shared" ref="Y323:Y386" si="64">_xlfn.CONCAT(F323," ","→"," ",G323," ","→"," ",H323)</f>
        <v>Americas → Brazil → Rio de Janeiro</v>
      </c>
      <c r="Z323" t="str">
        <f t="shared" ref="Z323:Z386" si="65">TRIM(L323)</f>
        <v>Networking</v>
      </c>
      <c r="AA323" t="str" cm="1">
        <f t="array" ref="AA323">_xlfn.IFS(O323&lt;=$AF$2,"Low",AND(O323&gt;$AF$2,O323&lt;$AF$3),"Medium",O323&gt;=$AF$3,"High")</f>
        <v>Low</v>
      </c>
      <c r="AB323" s="22">
        <f t="shared" ref="AB323:AB386" si="66">_xlfn.MINIFS($W$2:$W$632,$G$2:$G$632,G323)</f>
        <v>44927</v>
      </c>
      <c r="AC323">
        <v>16</v>
      </c>
    </row>
    <row r="324" spans="1:29" x14ac:dyDescent="0.35">
      <c r="A324" s="4" t="s">
        <v>508</v>
      </c>
      <c r="B324" s="5" t="str">
        <f>IF(COUNTIF($A$2:A324,A324)=1,"Original","Duplicate")</f>
        <v>Original</v>
      </c>
      <c r="C324" s="7">
        <v>45439</v>
      </c>
      <c r="D324" s="7">
        <v>45460</v>
      </c>
      <c r="E324">
        <f t="shared" si="56"/>
        <v>21</v>
      </c>
      <c r="F324" t="s">
        <v>647</v>
      </c>
      <c r="G324" t="s">
        <v>654</v>
      </c>
      <c r="H324" t="s">
        <v>680</v>
      </c>
      <c r="I324" t="s">
        <v>705</v>
      </c>
      <c r="J324" t="s">
        <v>708</v>
      </c>
      <c r="K324" t="s">
        <v>722</v>
      </c>
      <c r="L324" t="s">
        <v>733</v>
      </c>
      <c r="M324" t="s">
        <v>1227</v>
      </c>
      <c r="N324" s="23">
        <v>465.02</v>
      </c>
      <c r="O324" s="23">
        <v>651.55999999999995</v>
      </c>
      <c r="P324" s="8">
        <v>4.2000000000000003E-2</v>
      </c>
      <c r="Q324">
        <v>19</v>
      </c>
      <c r="R324" s="23">
        <f t="shared" si="57"/>
        <v>11859.695119999998</v>
      </c>
      <c r="S324" s="23">
        <f t="shared" si="58"/>
        <v>8835.3799999999992</v>
      </c>
      <c r="T324" s="23">
        <f t="shared" si="59"/>
        <v>3024.3151199999993</v>
      </c>
      <c r="U324" s="14">
        <f t="shared" si="60"/>
        <v>0.25500783025187918</v>
      </c>
      <c r="V324" s="7" t="str">
        <f t="shared" si="61"/>
        <v>May-2024</v>
      </c>
      <c r="W324" s="22">
        <f t="shared" si="62"/>
        <v>45413</v>
      </c>
      <c r="X324" s="7" t="str">
        <f t="shared" si="63"/>
        <v>Q2-2024</v>
      </c>
      <c r="Y324" t="str">
        <f t="shared" si="64"/>
        <v>Asia → India → Delhi</v>
      </c>
      <c r="Z324" t="str">
        <f t="shared" si="65"/>
        <v>Accessories</v>
      </c>
      <c r="AA324" t="str" cm="1">
        <f t="array" ref="AA324">_xlfn.IFS(O324&lt;=$AF$2,"Low",AND(O324&gt;$AF$2,O324&lt;$AF$3),"Medium",O324&gt;=$AF$3,"High")</f>
        <v>Low</v>
      </c>
      <c r="AB324" s="22">
        <f t="shared" si="66"/>
        <v>44958</v>
      </c>
      <c r="AC324">
        <v>15</v>
      </c>
    </row>
    <row r="325" spans="1:29" x14ac:dyDescent="0.35">
      <c r="A325" s="4" t="s">
        <v>112</v>
      </c>
      <c r="B325" s="5" t="str">
        <f>IF(COUNTIF($A$2:A325,A325)=1,"Original","Duplicate")</f>
        <v>Original</v>
      </c>
      <c r="C325" s="7">
        <v>45440</v>
      </c>
      <c r="D325" s="7">
        <v>45447</v>
      </c>
      <c r="E325">
        <f t="shared" si="56"/>
        <v>7</v>
      </c>
      <c r="F325" t="s">
        <v>646</v>
      </c>
      <c r="G325" t="s">
        <v>651</v>
      </c>
      <c r="H325" t="s">
        <v>669</v>
      </c>
      <c r="I325" t="s">
        <v>706</v>
      </c>
      <c r="J325" t="s">
        <v>708</v>
      </c>
      <c r="K325" t="s">
        <v>721</v>
      </c>
      <c r="L325" t="s">
        <v>733</v>
      </c>
      <c r="M325" t="s">
        <v>831</v>
      </c>
      <c r="N325" s="23">
        <v>1227.08</v>
      </c>
      <c r="O325" s="23">
        <v>1896.62</v>
      </c>
      <c r="P325" s="8">
        <v>0</v>
      </c>
      <c r="Q325">
        <v>18</v>
      </c>
      <c r="R325" s="23">
        <f t="shared" si="57"/>
        <v>34139.159999999996</v>
      </c>
      <c r="S325" s="23">
        <f t="shared" si="58"/>
        <v>22087.439999999999</v>
      </c>
      <c r="T325" s="23">
        <f t="shared" si="59"/>
        <v>12051.719999999998</v>
      </c>
      <c r="U325" s="14">
        <f t="shared" si="60"/>
        <v>0.353017473189147</v>
      </c>
      <c r="V325" s="7" t="str">
        <f t="shared" si="61"/>
        <v>May-2024</v>
      </c>
      <c r="W325" s="22">
        <f t="shared" si="62"/>
        <v>45413</v>
      </c>
      <c r="X325" s="7" t="str">
        <f t="shared" si="63"/>
        <v>Q2-2024</v>
      </c>
      <c r="Y325" t="str">
        <f t="shared" si="64"/>
        <v>Africa → Nigeria → Abuja</v>
      </c>
      <c r="Z325" t="str">
        <f t="shared" si="65"/>
        <v>Accessories</v>
      </c>
      <c r="AA325" t="str" cm="1">
        <f t="array" ref="AA325">_xlfn.IFS(O325&lt;=$AF$2,"Low",AND(O325&gt;$AF$2,O325&lt;$AF$3),"Medium",O325&gt;=$AF$3,"High")</f>
        <v>High</v>
      </c>
      <c r="AB325" s="22">
        <f t="shared" si="66"/>
        <v>44927</v>
      </c>
      <c r="AC325">
        <v>16</v>
      </c>
    </row>
    <row r="326" spans="1:29" x14ac:dyDescent="0.35">
      <c r="A326" s="4" t="s">
        <v>334</v>
      </c>
      <c r="B326" s="5" t="str">
        <f>IF(COUNTIF($A$2:A326,A326)=1,"Original","Duplicate")</f>
        <v>Original</v>
      </c>
      <c r="C326" s="7">
        <v>45440</v>
      </c>
      <c r="D326" s="7">
        <v>45461</v>
      </c>
      <c r="E326">
        <f t="shared" si="56"/>
        <v>21</v>
      </c>
      <c r="F326" t="s">
        <v>649</v>
      </c>
      <c r="G326" t="s">
        <v>656</v>
      </c>
      <c r="H326" t="s">
        <v>698</v>
      </c>
      <c r="I326" t="s">
        <v>705</v>
      </c>
      <c r="J326" t="s">
        <v>708</v>
      </c>
      <c r="K326" t="s">
        <v>718</v>
      </c>
      <c r="L326" t="s">
        <v>730</v>
      </c>
      <c r="M326" t="s">
        <v>1054</v>
      </c>
      <c r="N326" s="23">
        <v>986.85</v>
      </c>
      <c r="O326" s="23">
        <v>2422.1</v>
      </c>
      <c r="P326" s="8">
        <v>7.5999999999999998E-2</v>
      </c>
      <c r="Q326">
        <v>10</v>
      </c>
      <c r="R326" s="23">
        <f t="shared" si="57"/>
        <v>22380.204000000002</v>
      </c>
      <c r="S326" s="23">
        <f t="shared" si="58"/>
        <v>9868.5</v>
      </c>
      <c r="T326" s="23">
        <f t="shared" si="59"/>
        <v>12511.704000000002</v>
      </c>
      <c r="U326" s="14">
        <f t="shared" si="60"/>
        <v>0.55905227673527913</v>
      </c>
      <c r="V326" s="7" t="str">
        <f t="shared" si="61"/>
        <v>May-2024</v>
      </c>
      <c r="W326" s="22">
        <f t="shared" si="62"/>
        <v>45413</v>
      </c>
      <c r="X326" s="7" t="str">
        <f t="shared" si="63"/>
        <v>Q2-2024</v>
      </c>
      <c r="Y326" t="str">
        <f t="shared" si="64"/>
        <v>Europe → Germany → Frankfurt</v>
      </c>
      <c r="Z326" t="str">
        <f t="shared" si="65"/>
        <v>Phones</v>
      </c>
      <c r="AA326" t="str" cm="1">
        <f t="array" ref="AA326">_xlfn.IFS(O326&lt;=$AF$2,"Low",AND(O326&gt;$AF$2,O326&lt;$AF$3),"Medium",O326&gt;=$AF$3,"High")</f>
        <v>High</v>
      </c>
      <c r="AB326" s="22">
        <f t="shared" si="66"/>
        <v>44927</v>
      </c>
      <c r="AC326">
        <v>16</v>
      </c>
    </row>
    <row r="327" spans="1:29" x14ac:dyDescent="0.35">
      <c r="A327" s="4" t="s">
        <v>143</v>
      </c>
      <c r="B327" s="5" t="str">
        <f>IF(COUNTIF($A$2:A327,A327)=1,"Original","Duplicate")</f>
        <v>Original</v>
      </c>
      <c r="C327" s="7">
        <v>45442</v>
      </c>
      <c r="D327" s="7">
        <v>45456</v>
      </c>
      <c r="E327">
        <f t="shared" si="56"/>
        <v>14</v>
      </c>
      <c r="F327" t="s">
        <v>648</v>
      </c>
      <c r="G327" t="s">
        <v>660</v>
      </c>
      <c r="H327" t="s">
        <v>686</v>
      </c>
      <c r="I327" t="s">
        <v>705</v>
      </c>
      <c r="J327" t="s">
        <v>707</v>
      </c>
      <c r="K327" t="s">
        <v>721</v>
      </c>
      <c r="L327" t="s">
        <v>730</v>
      </c>
      <c r="M327" t="s">
        <v>862</v>
      </c>
      <c r="N327" s="23">
        <v>157.78</v>
      </c>
      <c r="O327" s="23">
        <v>361.1</v>
      </c>
      <c r="P327" s="8">
        <v>0.187</v>
      </c>
      <c r="Q327">
        <v>9</v>
      </c>
      <c r="R327" s="23">
        <f t="shared" si="57"/>
        <v>2642.1686999999997</v>
      </c>
      <c r="S327" s="23">
        <f t="shared" si="58"/>
        <v>1420.02</v>
      </c>
      <c r="T327" s="23">
        <f t="shared" si="59"/>
        <v>1222.1486999999997</v>
      </c>
      <c r="U327" s="14">
        <f t="shared" si="60"/>
        <v>0.46255513510549112</v>
      </c>
      <c r="V327" s="7" t="str">
        <f t="shared" si="61"/>
        <v>May-2024</v>
      </c>
      <c r="W327" s="22">
        <f t="shared" si="62"/>
        <v>45413</v>
      </c>
      <c r="X327" s="7" t="str">
        <f t="shared" si="63"/>
        <v>Q2-2024</v>
      </c>
      <c r="Y327" t="str">
        <f t="shared" si="64"/>
        <v>Americas → USA → San Francisco</v>
      </c>
      <c r="Z327" t="str">
        <f t="shared" si="65"/>
        <v>Phones</v>
      </c>
      <c r="AA327" t="str" cm="1">
        <f t="array" ref="AA327">_xlfn.IFS(O327&lt;=$AF$2,"Low",AND(O327&gt;$AF$2,O327&lt;$AF$3),"Medium",O327&gt;=$AF$3,"High")</f>
        <v>Low</v>
      </c>
      <c r="AB327" s="22">
        <f t="shared" si="66"/>
        <v>44927</v>
      </c>
      <c r="AC327">
        <v>16</v>
      </c>
    </row>
    <row r="328" spans="1:29" x14ac:dyDescent="0.35">
      <c r="A328" s="4" t="s">
        <v>124</v>
      </c>
      <c r="B328" s="5" t="str">
        <f>IF(COUNTIF($A$2:A328,A328)=1,"Original","Duplicate")</f>
        <v>Original</v>
      </c>
      <c r="C328" s="7">
        <v>45445</v>
      </c>
      <c r="D328" s="7">
        <v>45451</v>
      </c>
      <c r="E328">
        <f t="shared" si="56"/>
        <v>6</v>
      </c>
      <c r="F328" t="s">
        <v>646</v>
      </c>
      <c r="G328" t="s">
        <v>650</v>
      </c>
      <c r="H328" t="s">
        <v>662</v>
      </c>
      <c r="I328" t="s">
        <v>704</v>
      </c>
      <c r="J328" t="s">
        <v>709</v>
      </c>
      <c r="K328" t="s">
        <v>720</v>
      </c>
      <c r="L328" t="s">
        <v>733</v>
      </c>
      <c r="M328" t="s">
        <v>843</v>
      </c>
      <c r="N328" s="23">
        <v>292.94</v>
      </c>
      <c r="O328" s="23">
        <v>356.55</v>
      </c>
      <c r="P328" s="8">
        <v>0.22900000000000001</v>
      </c>
      <c r="Q328">
        <v>2</v>
      </c>
      <c r="R328" s="23">
        <f t="shared" si="57"/>
        <v>549.80010000000004</v>
      </c>
      <c r="S328" s="23">
        <f t="shared" si="58"/>
        <v>585.88</v>
      </c>
      <c r="T328" s="23">
        <f t="shared" si="59"/>
        <v>-36.079899999999952</v>
      </c>
      <c r="U328" s="14">
        <f t="shared" si="60"/>
        <v>-6.5623669402751925E-2</v>
      </c>
      <c r="V328" s="7" t="str">
        <f t="shared" si="61"/>
        <v>Jun-2024</v>
      </c>
      <c r="W328" s="22">
        <f t="shared" si="62"/>
        <v>45444</v>
      </c>
      <c r="X328" s="7" t="str">
        <f t="shared" si="63"/>
        <v>Q2-2024</v>
      </c>
      <c r="Y328" t="str">
        <f t="shared" si="64"/>
        <v>Africa → Kenya → Kisumu</v>
      </c>
      <c r="Z328" t="str">
        <f t="shared" si="65"/>
        <v>Accessories</v>
      </c>
      <c r="AA328" t="str" cm="1">
        <f t="array" ref="AA328">_xlfn.IFS(O328&lt;=$AF$2,"Low",AND(O328&gt;$AF$2,O328&lt;$AF$3),"Medium",O328&gt;=$AF$3,"High")</f>
        <v>Low</v>
      </c>
      <c r="AB328" s="22">
        <f t="shared" si="66"/>
        <v>44927</v>
      </c>
      <c r="AC328">
        <v>17</v>
      </c>
    </row>
    <row r="329" spans="1:29" x14ac:dyDescent="0.35">
      <c r="A329" s="4" t="s">
        <v>380</v>
      </c>
      <c r="B329" s="5" t="str">
        <f>IF(COUNTIF($A$2:A329,A329)=1,"Original","Duplicate")</f>
        <v>Original</v>
      </c>
      <c r="C329" s="7">
        <v>45445</v>
      </c>
      <c r="D329" s="7">
        <v>45458</v>
      </c>
      <c r="E329">
        <f t="shared" si="56"/>
        <v>13</v>
      </c>
      <c r="F329" t="s">
        <v>646</v>
      </c>
      <c r="G329" t="s">
        <v>650</v>
      </c>
      <c r="H329" t="s">
        <v>675</v>
      </c>
      <c r="I329" t="s">
        <v>702</v>
      </c>
      <c r="J329" t="s">
        <v>708</v>
      </c>
      <c r="K329" t="s">
        <v>719</v>
      </c>
      <c r="L329" t="s">
        <v>730</v>
      </c>
      <c r="M329" t="s">
        <v>1100</v>
      </c>
      <c r="N329" s="23">
        <v>1295.18</v>
      </c>
      <c r="O329" s="23">
        <v>3024.03</v>
      </c>
      <c r="P329" s="8">
        <v>0.192</v>
      </c>
      <c r="Q329">
        <v>8</v>
      </c>
      <c r="R329" s="23">
        <f t="shared" si="57"/>
        <v>19547.329920000004</v>
      </c>
      <c r="S329" s="23">
        <f t="shared" si="58"/>
        <v>10361.44</v>
      </c>
      <c r="T329" s="23">
        <f t="shared" si="59"/>
        <v>9185.8899200000033</v>
      </c>
      <c r="U329" s="14">
        <f t="shared" si="60"/>
        <v>0.46993067378483178</v>
      </c>
      <c r="V329" s="7" t="str">
        <f t="shared" si="61"/>
        <v>Jun-2024</v>
      </c>
      <c r="W329" s="22">
        <f t="shared" si="62"/>
        <v>45444</v>
      </c>
      <c r="X329" s="7" t="str">
        <f t="shared" si="63"/>
        <v>Q2-2024</v>
      </c>
      <c r="Y329" t="str">
        <f t="shared" si="64"/>
        <v>Africa → Kenya → Mombasa</v>
      </c>
      <c r="Z329" t="str">
        <f t="shared" si="65"/>
        <v>Phones</v>
      </c>
      <c r="AA329" t="str" cm="1">
        <f t="array" ref="AA329">_xlfn.IFS(O329&lt;=$AF$2,"Low",AND(O329&gt;$AF$2,O329&lt;$AF$3),"Medium",O329&gt;=$AF$3,"High")</f>
        <v>High</v>
      </c>
      <c r="AB329" s="22">
        <f t="shared" si="66"/>
        <v>44927</v>
      </c>
      <c r="AC329">
        <v>17</v>
      </c>
    </row>
    <row r="330" spans="1:29" x14ac:dyDescent="0.35">
      <c r="A330" s="4" t="s">
        <v>462</v>
      </c>
      <c r="B330" s="5" t="str">
        <f>IF(COUNTIF($A$2:A330,A330)=1,"Original","Duplicate")</f>
        <v>Original</v>
      </c>
      <c r="C330" s="7">
        <v>45446</v>
      </c>
      <c r="D330" s="7">
        <v>45467</v>
      </c>
      <c r="E330">
        <f t="shared" si="56"/>
        <v>21</v>
      </c>
      <c r="F330" t="s">
        <v>648</v>
      </c>
      <c r="G330" t="s">
        <v>653</v>
      </c>
      <c r="H330" t="s">
        <v>667</v>
      </c>
      <c r="I330" t="s">
        <v>705</v>
      </c>
      <c r="J330" t="s">
        <v>711</v>
      </c>
      <c r="K330" t="s">
        <v>715</v>
      </c>
      <c r="L330" t="s">
        <v>732</v>
      </c>
      <c r="M330" t="s">
        <v>1181</v>
      </c>
      <c r="N330" s="23">
        <v>1205.5</v>
      </c>
      <c r="O330" s="23">
        <v>2210.17</v>
      </c>
      <c r="P330" s="8">
        <v>0.104</v>
      </c>
      <c r="Q330">
        <v>23</v>
      </c>
      <c r="R330" s="23">
        <f t="shared" si="57"/>
        <v>45547.183360000003</v>
      </c>
      <c r="S330" s="23">
        <f t="shared" si="58"/>
        <v>27726.5</v>
      </c>
      <c r="T330" s="23">
        <f t="shared" si="59"/>
        <v>17820.683360000003</v>
      </c>
      <c r="U330" s="14">
        <f t="shared" si="60"/>
        <v>0.39125763758314652</v>
      </c>
      <c r="V330" s="7" t="str">
        <f t="shared" si="61"/>
        <v>Jun-2024</v>
      </c>
      <c r="W330" s="22">
        <f t="shared" si="62"/>
        <v>45444</v>
      </c>
      <c r="X330" s="7" t="str">
        <f t="shared" si="63"/>
        <v>Q2-2024</v>
      </c>
      <c r="Y330" t="str">
        <f t="shared" si="64"/>
        <v>Americas → Canada → Toronto</v>
      </c>
      <c r="Z330" t="str">
        <f t="shared" si="65"/>
        <v>Monitors</v>
      </c>
      <c r="AA330" t="str" cm="1">
        <f t="array" ref="AA330">_xlfn.IFS(O330&lt;=$AF$2,"Low",AND(O330&gt;$AF$2,O330&lt;$AF$3),"Medium",O330&gt;=$AF$3,"High")</f>
        <v>High</v>
      </c>
      <c r="AB330" s="22">
        <f t="shared" si="66"/>
        <v>44927</v>
      </c>
      <c r="AC330">
        <v>17</v>
      </c>
    </row>
    <row r="331" spans="1:29" x14ac:dyDescent="0.35">
      <c r="A331" s="4" t="s">
        <v>179</v>
      </c>
      <c r="B331" s="5" t="str">
        <f>IF(COUNTIF($A$2:A331,A331)=1,"Original","Duplicate")</f>
        <v>Original</v>
      </c>
      <c r="C331" s="7">
        <v>45447</v>
      </c>
      <c r="D331" s="7">
        <v>45459</v>
      </c>
      <c r="E331">
        <f t="shared" si="56"/>
        <v>12</v>
      </c>
      <c r="F331" t="s">
        <v>647</v>
      </c>
      <c r="G331" t="s">
        <v>659</v>
      </c>
      <c r="H331" t="s">
        <v>685</v>
      </c>
      <c r="I331" t="s">
        <v>701</v>
      </c>
      <c r="J331" t="s">
        <v>707</v>
      </c>
      <c r="K331" t="s">
        <v>713</v>
      </c>
      <c r="L331" t="s">
        <v>728</v>
      </c>
      <c r="M331" t="s">
        <v>898</v>
      </c>
      <c r="N331" s="23">
        <v>918.42</v>
      </c>
      <c r="O331" s="23">
        <v>1511.71</v>
      </c>
      <c r="P331" s="8">
        <v>0.02</v>
      </c>
      <c r="Q331">
        <v>8</v>
      </c>
      <c r="R331" s="23">
        <f t="shared" si="57"/>
        <v>11851.806399999999</v>
      </c>
      <c r="S331" s="23">
        <f t="shared" si="58"/>
        <v>7347.36</v>
      </c>
      <c r="T331" s="23">
        <f t="shared" si="59"/>
        <v>4504.4463999999998</v>
      </c>
      <c r="U331" s="14">
        <f t="shared" si="60"/>
        <v>0.38006412254590999</v>
      </c>
      <c r="V331" s="7" t="str">
        <f t="shared" si="61"/>
        <v>Jun-2024</v>
      </c>
      <c r="W331" s="22">
        <f t="shared" si="62"/>
        <v>45444</v>
      </c>
      <c r="X331" s="7" t="str">
        <f t="shared" si="63"/>
        <v>Q2-2024</v>
      </c>
      <c r="Y331" t="str">
        <f t="shared" si="64"/>
        <v>Asia → China → Shanghai</v>
      </c>
      <c r="Z331" t="str">
        <f t="shared" si="65"/>
        <v>Printers</v>
      </c>
      <c r="AA331" t="str" cm="1">
        <f t="array" ref="AA331">_xlfn.IFS(O331&lt;=$AF$2,"Low",AND(O331&gt;$AF$2,O331&lt;$AF$3),"Medium",O331&gt;=$AF$3,"High")</f>
        <v>Medium</v>
      </c>
      <c r="AB331" s="22">
        <f t="shared" si="66"/>
        <v>44927</v>
      </c>
      <c r="AC331">
        <v>17</v>
      </c>
    </row>
    <row r="332" spans="1:29" x14ac:dyDescent="0.35">
      <c r="A332" s="4" t="s">
        <v>542</v>
      </c>
      <c r="B332" s="5" t="str">
        <f>IF(COUNTIF($A$2:A332,A332)=1,"Original","Duplicate")</f>
        <v>Original</v>
      </c>
      <c r="C332" s="7">
        <v>45448</v>
      </c>
      <c r="D332" s="7">
        <v>45466</v>
      </c>
      <c r="E332">
        <f t="shared" si="56"/>
        <v>18</v>
      </c>
      <c r="F332" t="s">
        <v>646</v>
      </c>
      <c r="G332" t="s">
        <v>650</v>
      </c>
      <c r="H332" t="s">
        <v>664</v>
      </c>
      <c r="I332" t="s">
        <v>704</v>
      </c>
      <c r="J332" t="s">
        <v>710</v>
      </c>
      <c r="K332" t="s">
        <v>726</v>
      </c>
      <c r="L332" t="s">
        <v>731</v>
      </c>
      <c r="M332" t="s">
        <v>1261</v>
      </c>
      <c r="N332" s="23">
        <v>1208.74</v>
      </c>
      <c r="O332" s="23">
        <v>1594.78</v>
      </c>
      <c r="P332" s="8">
        <v>5.8999999999999997E-2</v>
      </c>
      <c r="Q332">
        <v>39</v>
      </c>
      <c r="R332" s="23">
        <f t="shared" si="57"/>
        <v>58526.83122</v>
      </c>
      <c r="S332" s="23">
        <f t="shared" si="58"/>
        <v>47140.86</v>
      </c>
      <c r="T332" s="23">
        <f t="shared" si="59"/>
        <v>11385.971219999999</v>
      </c>
      <c r="U332" s="14">
        <f t="shared" si="60"/>
        <v>0.1945427589817838</v>
      </c>
      <c r="V332" s="7" t="str">
        <f t="shared" si="61"/>
        <v>Jun-2024</v>
      </c>
      <c r="W332" s="22">
        <f t="shared" si="62"/>
        <v>45444</v>
      </c>
      <c r="X332" s="7" t="str">
        <f t="shared" si="63"/>
        <v>Q2-2024</v>
      </c>
      <c r="Y332" t="str">
        <f t="shared" si="64"/>
        <v>Africa → Kenya → Nairobi</v>
      </c>
      <c r="Z332" t="str">
        <f t="shared" si="65"/>
        <v>Laptops</v>
      </c>
      <c r="AA332" t="str" cm="1">
        <f t="array" ref="AA332">_xlfn.IFS(O332&lt;=$AF$2,"Low",AND(O332&gt;$AF$2,O332&lt;$AF$3),"Medium",O332&gt;=$AF$3,"High")</f>
        <v>Medium</v>
      </c>
      <c r="AB332" s="22">
        <f t="shared" si="66"/>
        <v>44927</v>
      </c>
      <c r="AC332">
        <v>17</v>
      </c>
    </row>
    <row r="333" spans="1:29" x14ac:dyDescent="0.35">
      <c r="A333" s="4" t="s">
        <v>428</v>
      </c>
      <c r="B333" s="5" t="str">
        <f>IF(COUNTIF($A$2:A333,A333)=1,"Original","Duplicate")</f>
        <v>Original</v>
      </c>
      <c r="C333" s="7">
        <v>45449</v>
      </c>
      <c r="D333" s="7">
        <v>45467</v>
      </c>
      <c r="E333">
        <f t="shared" si="56"/>
        <v>18</v>
      </c>
      <c r="F333" t="s">
        <v>647</v>
      </c>
      <c r="G333" t="s">
        <v>654</v>
      </c>
      <c r="H333" t="s">
        <v>668</v>
      </c>
      <c r="I333" t="s">
        <v>705</v>
      </c>
      <c r="J333" t="s">
        <v>711</v>
      </c>
      <c r="K333" t="s">
        <v>722</v>
      </c>
      <c r="L333" t="s">
        <v>729</v>
      </c>
      <c r="M333" t="s">
        <v>1147</v>
      </c>
      <c r="N333" s="23">
        <v>1253.25</v>
      </c>
      <c r="O333" s="23">
        <v>3087.13</v>
      </c>
      <c r="P333" s="8">
        <v>7.1999999999999995E-2</v>
      </c>
      <c r="Q333">
        <v>11</v>
      </c>
      <c r="R333" s="23">
        <f t="shared" si="57"/>
        <v>31513.423040000001</v>
      </c>
      <c r="S333" s="23">
        <f t="shared" si="58"/>
        <v>13785.75</v>
      </c>
      <c r="T333" s="23">
        <f t="shared" si="59"/>
        <v>17727.673040000001</v>
      </c>
      <c r="U333" s="14">
        <f t="shared" si="60"/>
        <v>0.562543555408064</v>
      </c>
      <c r="V333" s="7" t="str">
        <f t="shared" si="61"/>
        <v>Jun-2024</v>
      </c>
      <c r="W333" s="22">
        <f t="shared" si="62"/>
        <v>45444</v>
      </c>
      <c r="X333" s="7" t="str">
        <f t="shared" si="63"/>
        <v>Q2-2024</v>
      </c>
      <c r="Y333" t="str">
        <f t="shared" si="64"/>
        <v>Asia → India → Bengaluru</v>
      </c>
      <c r="Z333" t="str">
        <f t="shared" si="65"/>
        <v>Networking</v>
      </c>
      <c r="AA333" t="str" cm="1">
        <f t="array" ref="AA333">_xlfn.IFS(O333&lt;=$AF$2,"Low",AND(O333&gt;$AF$2,O333&lt;$AF$3),"Medium",O333&gt;=$AF$3,"High")</f>
        <v>High</v>
      </c>
      <c r="AB333" s="22">
        <f t="shared" si="66"/>
        <v>44958</v>
      </c>
      <c r="AC333">
        <v>16</v>
      </c>
    </row>
    <row r="334" spans="1:29" x14ac:dyDescent="0.35">
      <c r="A334" s="4" t="s">
        <v>141</v>
      </c>
      <c r="B334" s="5" t="str">
        <f>IF(COUNTIF($A$2:A334,A334)=1,"Original","Duplicate")</f>
        <v>Original</v>
      </c>
      <c r="C334" s="7">
        <v>45450</v>
      </c>
      <c r="D334" s="7">
        <v>45469</v>
      </c>
      <c r="E334">
        <f t="shared" si="56"/>
        <v>19</v>
      </c>
      <c r="F334" t="s">
        <v>649</v>
      </c>
      <c r="G334" t="s">
        <v>656</v>
      </c>
      <c r="H334" t="s">
        <v>671</v>
      </c>
      <c r="I334" t="s">
        <v>703</v>
      </c>
      <c r="J334" t="s">
        <v>709</v>
      </c>
      <c r="K334" t="s">
        <v>724</v>
      </c>
      <c r="L334" t="s">
        <v>727</v>
      </c>
      <c r="M334" t="s">
        <v>860</v>
      </c>
      <c r="N334" s="23">
        <v>1064.32</v>
      </c>
      <c r="O334" s="23">
        <v>1848.39</v>
      </c>
      <c r="P334" s="8">
        <v>7.2999999999999995E-2</v>
      </c>
      <c r="Q334">
        <v>38</v>
      </c>
      <c r="R334" s="23">
        <f t="shared" si="57"/>
        <v>65111.38614000001</v>
      </c>
      <c r="S334" s="23">
        <f t="shared" si="58"/>
        <v>40444.159999999996</v>
      </c>
      <c r="T334" s="23">
        <f t="shared" si="59"/>
        <v>24667.226140000013</v>
      </c>
      <c r="U334" s="14">
        <f t="shared" si="60"/>
        <v>0.3788465827921631</v>
      </c>
      <c r="V334" s="7" t="str">
        <f t="shared" si="61"/>
        <v>Jun-2024</v>
      </c>
      <c r="W334" s="22">
        <f t="shared" si="62"/>
        <v>45444</v>
      </c>
      <c r="X334" s="7" t="str">
        <f t="shared" si="63"/>
        <v>Q2-2024</v>
      </c>
      <c r="Y334" t="str">
        <f t="shared" si="64"/>
        <v>Europe → Germany → Berlin</v>
      </c>
      <c r="Z334" t="str">
        <f t="shared" si="65"/>
        <v>Components</v>
      </c>
      <c r="AA334" t="str" cm="1">
        <f t="array" ref="AA334">_xlfn.IFS(O334&lt;=$AF$2,"Low",AND(O334&gt;$AF$2,O334&lt;$AF$3),"Medium",O334&gt;=$AF$3,"High")</f>
        <v>High</v>
      </c>
      <c r="AB334" s="22">
        <f t="shared" si="66"/>
        <v>44927</v>
      </c>
      <c r="AC334">
        <v>17</v>
      </c>
    </row>
    <row r="335" spans="1:29" x14ac:dyDescent="0.35">
      <c r="A335" s="4" t="s">
        <v>556</v>
      </c>
      <c r="B335" s="5" t="str">
        <f>IF(COUNTIF($A$2:A335,A335)=1,"Original","Duplicate")</f>
        <v>Original</v>
      </c>
      <c r="C335" s="7">
        <v>45450</v>
      </c>
      <c r="D335" s="7">
        <v>45452</v>
      </c>
      <c r="E335">
        <f t="shared" si="56"/>
        <v>2</v>
      </c>
      <c r="F335" t="s">
        <v>647</v>
      </c>
      <c r="G335" t="s">
        <v>659</v>
      </c>
      <c r="H335" t="s">
        <v>685</v>
      </c>
      <c r="I335" t="s">
        <v>701</v>
      </c>
      <c r="J335" t="s">
        <v>707</v>
      </c>
      <c r="K335" t="s">
        <v>719</v>
      </c>
      <c r="L335" t="s">
        <v>732</v>
      </c>
      <c r="M335" t="s">
        <v>1274</v>
      </c>
      <c r="N335" s="23">
        <v>1370.28</v>
      </c>
      <c r="O335" s="23">
        <v>2209.66</v>
      </c>
      <c r="P335" s="8">
        <v>0.13300000000000001</v>
      </c>
      <c r="Q335">
        <v>16</v>
      </c>
      <c r="R335" s="23">
        <f t="shared" si="57"/>
        <v>30652.403519999996</v>
      </c>
      <c r="S335" s="23">
        <f t="shared" si="58"/>
        <v>21924.48</v>
      </c>
      <c r="T335" s="23">
        <f t="shared" si="59"/>
        <v>8727.9235199999966</v>
      </c>
      <c r="U335" s="14">
        <f t="shared" si="60"/>
        <v>0.28473863442079589</v>
      </c>
      <c r="V335" s="7" t="str">
        <f t="shared" si="61"/>
        <v>Jun-2024</v>
      </c>
      <c r="W335" s="22">
        <f t="shared" si="62"/>
        <v>45444</v>
      </c>
      <c r="X335" s="7" t="str">
        <f t="shared" si="63"/>
        <v>Q2-2024</v>
      </c>
      <c r="Y335" t="str">
        <f t="shared" si="64"/>
        <v>Asia → China → Shanghai</v>
      </c>
      <c r="Z335" t="str">
        <f t="shared" si="65"/>
        <v>Monitors</v>
      </c>
      <c r="AA335" t="str" cm="1">
        <f t="array" ref="AA335">_xlfn.IFS(O335&lt;=$AF$2,"Low",AND(O335&gt;$AF$2,O335&lt;$AF$3),"Medium",O335&gt;=$AF$3,"High")</f>
        <v>High</v>
      </c>
      <c r="AB335" s="22">
        <f t="shared" si="66"/>
        <v>44927</v>
      </c>
      <c r="AC335">
        <v>17</v>
      </c>
    </row>
    <row r="336" spans="1:29" x14ac:dyDescent="0.35">
      <c r="A336" s="4" t="s">
        <v>328</v>
      </c>
      <c r="B336" s="5" t="str">
        <f>IF(COUNTIF($A$2:A336,A336)=1,"Original","Duplicate")</f>
        <v>Original</v>
      </c>
      <c r="C336" s="7">
        <v>45451</v>
      </c>
      <c r="D336" s="7">
        <v>45467</v>
      </c>
      <c r="E336">
        <f t="shared" si="56"/>
        <v>16</v>
      </c>
      <c r="F336" t="s">
        <v>646</v>
      </c>
      <c r="G336" t="s">
        <v>661</v>
      </c>
      <c r="H336" t="s">
        <v>687</v>
      </c>
      <c r="I336" t="s">
        <v>702</v>
      </c>
      <c r="J336" t="s">
        <v>710</v>
      </c>
      <c r="K336" t="s">
        <v>722</v>
      </c>
      <c r="L336" t="s">
        <v>732</v>
      </c>
      <c r="M336" t="s">
        <v>1048</v>
      </c>
      <c r="N336" s="23">
        <v>597.85</v>
      </c>
      <c r="O336" s="23">
        <v>741.92</v>
      </c>
      <c r="P336" s="8">
        <v>3.1E-2</v>
      </c>
      <c r="Q336">
        <v>7</v>
      </c>
      <c r="R336" s="23">
        <f t="shared" si="57"/>
        <v>5032.4433599999993</v>
      </c>
      <c r="S336" s="23">
        <f t="shared" si="58"/>
        <v>4184.95</v>
      </c>
      <c r="T336" s="23">
        <f t="shared" si="59"/>
        <v>847.49335999999948</v>
      </c>
      <c r="U336" s="14">
        <f t="shared" si="60"/>
        <v>0.16840594108544515</v>
      </c>
      <c r="V336" s="7" t="str">
        <f t="shared" si="61"/>
        <v>Jun-2024</v>
      </c>
      <c r="W336" s="22">
        <f t="shared" si="62"/>
        <v>45444</v>
      </c>
      <c r="X336" s="7" t="str">
        <f t="shared" si="63"/>
        <v>Q2-2024</v>
      </c>
      <c r="Y336" t="str">
        <f t="shared" si="64"/>
        <v>Africa → South Africa → Durban</v>
      </c>
      <c r="Z336" t="str">
        <f t="shared" si="65"/>
        <v>Monitors</v>
      </c>
      <c r="AA336" t="str" cm="1">
        <f t="array" ref="AA336">_xlfn.IFS(O336&lt;=$AF$2,"Low",AND(O336&gt;$AF$2,O336&lt;$AF$3),"Medium",O336&gt;=$AF$3,"High")</f>
        <v>Low</v>
      </c>
      <c r="AB336" s="22">
        <f t="shared" si="66"/>
        <v>44927</v>
      </c>
      <c r="AC336">
        <v>17</v>
      </c>
    </row>
    <row r="337" spans="1:29" x14ac:dyDescent="0.35">
      <c r="A337" s="4" t="s">
        <v>125</v>
      </c>
      <c r="B337" s="5" t="str">
        <f>IF(COUNTIF($A$2:A337,A337)=1,"Original","Duplicate")</f>
        <v>Original</v>
      </c>
      <c r="C337" s="7">
        <v>45452</v>
      </c>
      <c r="D337" s="7">
        <v>45480</v>
      </c>
      <c r="E337">
        <f t="shared" si="56"/>
        <v>28</v>
      </c>
      <c r="F337" t="s">
        <v>647</v>
      </c>
      <c r="G337" t="s">
        <v>659</v>
      </c>
      <c r="H337" t="s">
        <v>676</v>
      </c>
      <c r="I337" t="s">
        <v>701</v>
      </c>
      <c r="J337" t="s">
        <v>708</v>
      </c>
      <c r="K337" t="s">
        <v>713</v>
      </c>
      <c r="L337" t="s">
        <v>727</v>
      </c>
      <c r="M337" t="s">
        <v>844</v>
      </c>
      <c r="N337" s="23">
        <v>550.22</v>
      </c>
      <c r="O337" s="23">
        <v>1025.05</v>
      </c>
      <c r="P337" s="8">
        <v>0</v>
      </c>
      <c r="Q337">
        <v>27</v>
      </c>
      <c r="R337" s="23">
        <f t="shared" si="57"/>
        <v>27676.35</v>
      </c>
      <c r="S337" s="23">
        <f t="shared" si="58"/>
        <v>14855.94</v>
      </c>
      <c r="T337" s="23">
        <f t="shared" si="59"/>
        <v>12820.409999999998</v>
      </c>
      <c r="U337" s="14">
        <f t="shared" si="60"/>
        <v>0.46322618408858102</v>
      </c>
      <c r="V337" s="7" t="str">
        <f t="shared" si="61"/>
        <v>Jun-2024</v>
      </c>
      <c r="W337" s="22">
        <f t="shared" si="62"/>
        <v>45444</v>
      </c>
      <c r="X337" s="7" t="str">
        <f t="shared" si="63"/>
        <v>Q2-2024</v>
      </c>
      <c r="Y337" t="str">
        <f t="shared" si="64"/>
        <v>Asia → China → Shenzhen</v>
      </c>
      <c r="Z337" t="str">
        <f t="shared" si="65"/>
        <v>Components</v>
      </c>
      <c r="AA337" t="str" cm="1">
        <f t="array" ref="AA337">_xlfn.IFS(O337&lt;=$AF$2,"Low",AND(O337&gt;$AF$2,O337&lt;$AF$3),"Medium",O337&gt;=$AF$3,"High")</f>
        <v>Medium</v>
      </c>
      <c r="AB337" s="22">
        <f t="shared" si="66"/>
        <v>44927</v>
      </c>
      <c r="AC337">
        <v>17</v>
      </c>
    </row>
    <row r="338" spans="1:29" x14ac:dyDescent="0.35">
      <c r="A338" s="4" t="s">
        <v>126</v>
      </c>
      <c r="B338" s="5" t="str">
        <f>IF(COUNTIF($A$2:A338,A338)=1,"Original","Duplicate")</f>
        <v>Original</v>
      </c>
      <c r="C338" s="7">
        <v>45453</v>
      </c>
      <c r="D338" s="7">
        <v>45454</v>
      </c>
      <c r="E338">
        <f t="shared" si="56"/>
        <v>1</v>
      </c>
      <c r="F338" t="s">
        <v>649</v>
      </c>
      <c r="G338" t="s">
        <v>658</v>
      </c>
      <c r="H338" t="s">
        <v>674</v>
      </c>
      <c r="I338" t="s">
        <v>705</v>
      </c>
      <c r="J338" t="s">
        <v>709</v>
      </c>
      <c r="K338" t="s">
        <v>724</v>
      </c>
      <c r="L338" t="s">
        <v>731</v>
      </c>
      <c r="M338" t="s">
        <v>845</v>
      </c>
      <c r="N338" s="23">
        <v>1187.1300000000001</v>
      </c>
      <c r="O338" s="23">
        <v>1795.17</v>
      </c>
      <c r="P338" s="8">
        <v>1.2E-2</v>
      </c>
      <c r="Q338">
        <v>17</v>
      </c>
      <c r="R338" s="23">
        <f t="shared" si="57"/>
        <v>30151.675319999998</v>
      </c>
      <c r="S338" s="23">
        <f t="shared" si="58"/>
        <v>20181.210000000003</v>
      </c>
      <c r="T338" s="23">
        <f t="shared" si="59"/>
        <v>9970.4653199999957</v>
      </c>
      <c r="U338" s="14">
        <f t="shared" si="60"/>
        <v>0.33067699271046663</v>
      </c>
      <c r="V338" s="7" t="str">
        <f t="shared" si="61"/>
        <v>Jun-2024</v>
      </c>
      <c r="W338" s="22">
        <f t="shared" si="62"/>
        <v>45444</v>
      </c>
      <c r="X338" s="7" t="str">
        <f t="shared" si="63"/>
        <v>Q2-2024</v>
      </c>
      <c r="Y338" t="str">
        <f t="shared" si="64"/>
        <v>Europe → United Kingdom → Birmingham</v>
      </c>
      <c r="Z338" t="str">
        <f t="shared" si="65"/>
        <v>Laptops</v>
      </c>
      <c r="AA338" t="str" cm="1">
        <f t="array" ref="AA338">_xlfn.IFS(O338&lt;=$AF$2,"Low",AND(O338&gt;$AF$2,O338&lt;$AF$3),"Medium",O338&gt;=$AF$3,"High")</f>
        <v>High</v>
      </c>
      <c r="AB338" s="22">
        <f t="shared" si="66"/>
        <v>44927</v>
      </c>
      <c r="AC338">
        <v>17</v>
      </c>
    </row>
    <row r="339" spans="1:29" x14ac:dyDescent="0.35">
      <c r="A339" s="4" t="s">
        <v>463</v>
      </c>
      <c r="B339" s="5" t="str">
        <f>IF(COUNTIF($A$2:A339,A339)=1,"Original","Duplicate")</f>
        <v>Original</v>
      </c>
      <c r="C339" s="7">
        <v>45454</v>
      </c>
      <c r="D339" s="7">
        <v>45482</v>
      </c>
      <c r="E339">
        <f t="shared" si="56"/>
        <v>28</v>
      </c>
      <c r="F339" t="s">
        <v>646</v>
      </c>
      <c r="G339" t="s">
        <v>651</v>
      </c>
      <c r="H339" t="s">
        <v>663</v>
      </c>
      <c r="I339" t="s">
        <v>701</v>
      </c>
      <c r="J339" t="s">
        <v>709</v>
      </c>
      <c r="K339" t="s">
        <v>714</v>
      </c>
      <c r="L339" t="s">
        <v>730</v>
      </c>
      <c r="M339" t="s">
        <v>1182</v>
      </c>
      <c r="N339" s="23">
        <v>895.54</v>
      </c>
      <c r="O339" s="23">
        <v>1045</v>
      </c>
      <c r="P339" s="8">
        <v>0.216</v>
      </c>
      <c r="Q339">
        <v>15</v>
      </c>
      <c r="R339" s="23">
        <f t="shared" si="57"/>
        <v>12289.2</v>
      </c>
      <c r="S339" s="23">
        <f t="shared" si="58"/>
        <v>13433.099999999999</v>
      </c>
      <c r="T339" s="23">
        <f t="shared" si="59"/>
        <v>-1143.8999999999978</v>
      </c>
      <c r="U339" s="14">
        <f t="shared" si="60"/>
        <v>-9.3081730299775234E-2</v>
      </c>
      <c r="V339" s="7" t="str">
        <f t="shared" si="61"/>
        <v>Jun-2024</v>
      </c>
      <c r="W339" s="22">
        <f t="shared" si="62"/>
        <v>45444</v>
      </c>
      <c r="X339" s="7" t="str">
        <f t="shared" si="63"/>
        <v>Q2-2024</v>
      </c>
      <c r="Y339" t="str">
        <f t="shared" si="64"/>
        <v>Africa → Nigeria → Port Harcourt</v>
      </c>
      <c r="Z339" t="str">
        <f t="shared" si="65"/>
        <v>Phones</v>
      </c>
      <c r="AA339" t="str" cm="1">
        <f t="array" ref="AA339">_xlfn.IFS(O339&lt;=$AF$2,"Low",AND(O339&gt;$AF$2,O339&lt;$AF$3),"Medium",O339&gt;=$AF$3,"High")</f>
        <v>Medium</v>
      </c>
      <c r="AB339" s="22">
        <f t="shared" si="66"/>
        <v>44927</v>
      </c>
      <c r="AC339">
        <v>17</v>
      </c>
    </row>
    <row r="340" spans="1:29" x14ac:dyDescent="0.35">
      <c r="A340" s="4" t="s">
        <v>158</v>
      </c>
      <c r="B340" s="5" t="str">
        <f>IF(COUNTIF($A$2:A340,A340)=1,"Original","Duplicate")</f>
        <v>Original</v>
      </c>
      <c r="C340" s="7">
        <v>45458</v>
      </c>
      <c r="D340" s="7">
        <v>45479</v>
      </c>
      <c r="E340">
        <f t="shared" si="56"/>
        <v>21</v>
      </c>
      <c r="F340" t="s">
        <v>648</v>
      </c>
      <c r="G340" t="s">
        <v>653</v>
      </c>
      <c r="H340" t="s">
        <v>667</v>
      </c>
      <c r="I340" t="s">
        <v>706</v>
      </c>
      <c r="J340" t="s">
        <v>710</v>
      </c>
      <c r="K340" t="s">
        <v>716</v>
      </c>
      <c r="L340" t="s">
        <v>728</v>
      </c>
      <c r="M340" t="s">
        <v>877</v>
      </c>
      <c r="N340" s="23">
        <v>817.23</v>
      </c>
      <c r="O340" s="23">
        <v>1467.17</v>
      </c>
      <c r="P340" s="8">
        <v>0.245</v>
      </c>
      <c r="Q340">
        <v>9</v>
      </c>
      <c r="R340" s="23">
        <f t="shared" si="57"/>
        <v>9969.4201499999999</v>
      </c>
      <c r="S340" s="23">
        <f t="shared" si="58"/>
        <v>7355.07</v>
      </c>
      <c r="T340" s="23">
        <f t="shared" si="59"/>
        <v>2614.3501500000002</v>
      </c>
      <c r="U340" s="14">
        <f t="shared" si="60"/>
        <v>0.26223693160328893</v>
      </c>
      <c r="V340" s="7" t="str">
        <f t="shared" si="61"/>
        <v>Jun-2024</v>
      </c>
      <c r="W340" s="22">
        <f t="shared" si="62"/>
        <v>45444</v>
      </c>
      <c r="X340" s="7" t="str">
        <f t="shared" si="63"/>
        <v>Q2-2024</v>
      </c>
      <c r="Y340" t="str">
        <f t="shared" si="64"/>
        <v>Americas → Canada → Toronto</v>
      </c>
      <c r="Z340" t="str">
        <f t="shared" si="65"/>
        <v>Printers</v>
      </c>
      <c r="AA340" t="str" cm="1">
        <f t="array" ref="AA340">_xlfn.IFS(O340&lt;=$AF$2,"Low",AND(O340&gt;$AF$2,O340&lt;$AF$3),"Medium",O340&gt;=$AF$3,"High")</f>
        <v>Medium</v>
      </c>
      <c r="AB340" s="22">
        <f t="shared" si="66"/>
        <v>44927</v>
      </c>
      <c r="AC340">
        <v>17</v>
      </c>
    </row>
    <row r="341" spans="1:29" x14ac:dyDescent="0.35">
      <c r="A341" s="4" t="s">
        <v>292</v>
      </c>
      <c r="B341" s="5" t="str">
        <f>IF(COUNTIF($A$2:A341,A341)=1,"Original","Duplicate")</f>
        <v>Original</v>
      </c>
      <c r="C341" s="7">
        <v>45459</v>
      </c>
      <c r="D341" s="7">
        <v>45476</v>
      </c>
      <c r="E341">
        <f t="shared" si="56"/>
        <v>17</v>
      </c>
      <c r="F341" t="s">
        <v>646</v>
      </c>
      <c r="G341" t="s">
        <v>661</v>
      </c>
      <c r="H341" t="s">
        <v>682</v>
      </c>
      <c r="I341" t="s">
        <v>706</v>
      </c>
      <c r="J341" t="s">
        <v>709</v>
      </c>
      <c r="K341" t="s">
        <v>721</v>
      </c>
      <c r="L341" t="s">
        <v>730</v>
      </c>
      <c r="M341" t="s">
        <v>1012</v>
      </c>
      <c r="N341" s="23">
        <v>1173.83</v>
      </c>
      <c r="O341" s="23">
        <v>2328.9</v>
      </c>
      <c r="P341" s="8">
        <v>0.12</v>
      </c>
      <c r="Q341">
        <v>17</v>
      </c>
      <c r="R341" s="23">
        <f t="shared" si="57"/>
        <v>34840.344000000005</v>
      </c>
      <c r="S341" s="23">
        <f t="shared" si="58"/>
        <v>19955.11</v>
      </c>
      <c r="T341" s="23">
        <f t="shared" si="59"/>
        <v>14885.234000000004</v>
      </c>
      <c r="U341" s="14">
        <f t="shared" si="60"/>
        <v>0.42724130393201637</v>
      </c>
      <c r="V341" s="7" t="str">
        <f t="shared" si="61"/>
        <v>Jun-2024</v>
      </c>
      <c r="W341" s="22">
        <f t="shared" si="62"/>
        <v>45444</v>
      </c>
      <c r="X341" s="7" t="str">
        <f t="shared" si="63"/>
        <v>Q2-2024</v>
      </c>
      <c r="Y341" t="str">
        <f t="shared" si="64"/>
        <v>Africa → South Africa → Johannesburg</v>
      </c>
      <c r="Z341" t="str">
        <f t="shared" si="65"/>
        <v>Phones</v>
      </c>
      <c r="AA341" t="str" cm="1">
        <f t="array" ref="AA341">_xlfn.IFS(O341&lt;=$AF$2,"Low",AND(O341&gt;$AF$2,O341&lt;$AF$3),"Medium",O341&gt;=$AF$3,"High")</f>
        <v>High</v>
      </c>
      <c r="AB341" s="22">
        <f t="shared" si="66"/>
        <v>44927</v>
      </c>
      <c r="AC341">
        <v>17</v>
      </c>
    </row>
    <row r="342" spans="1:29" x14ac:dyDescent="0.35">
      <c r="A342" s="4" t="s">
        <v>602</v>
      </c>
      <c r="B342" s="5" t="str">
        <f>IF(COUNTIF($A$2:A342,A342)=1,"Original","Duplicate")</f>
        <v>Original</v>
      </c>
      <c r="C342" s="7">
        <v>45459</v>
      </c>
      <c r="D342" s="7">
        <v>45464</v>
      </c>
      <c r="E342">
        <f t="shared" si="56"/>
        <v>5</v>
      </c>
      <c r="F342" t="s">
        <v>647</v>
      </c>
      <c r="G342" t="s">
        <v>652</v>
      </c>
      <c r="H342" t="s">
        <v>689</v>
      </c>
      <c r="I342" t="s">
        <v>705</v>
      </c>
      <c r="J342" t="s">
        <v>710</v>
      </c>
      <c r="K342" t="s">
        <v>721</v>
      </c>
      <c r="L342" t="s">
        <v>730</v>
      </c>
      <c r="M342" t="s">
        <v>1320</v>
      </c>
      <c r="N342" s="23">
        <v>1367.13</v>
      </c>
      <c r="O342" s="23">
        <v>3062.01</v>
      </c>
      <c r="P342" s="8">
        <v>0.10299999999999999</v>
      </c>
      <c r="Q342">
        <v>25</v>
      </c>
      <c r="R342" s="23">
        <f t="shared" si="57"/>
        <v>68665.574250000005</v>
      </c>
      <c r="S342" s="23">
        <f t="shared" si="58"/>
        <v>34178.25</v>
      </c>
      <c r="T342" s="23">
        <f t="shared" si="59"/>
        <v>34487.324250000005</v>
      </c>
      <c r="U342" s="14">
        <f t="shared" si="60"/>
        <v>0.50225057645971705</v>
      </c>
      <c r="V342" s="7" t="str">
        <f t="shared" si="61"/>
        <v>Jun-2024</v>
      </c>
      <c r="W342" s="22">
        <f t="shared" si="62"/>
        <v>45444</v>
      </c>
      <c r="X342" s="7" t="str">
        <f t="shared" si="63"/>
        <v>Q2-2024</v>
      </c>
      <c r="Y342" t="str">
        <f t="shared" si="64"/>
        <v>Asia → Japan → Tokyo</v>
      </c>
      <c r="Z342" t="str">
        <f t="shared" si="65"/>
        <v>Phones</v>
      </c>
      <c r="AA342" t="str" cm="1">
        <f t="array" ref="AA342">_xlfn.IFS(O342&lt;=$AF$2,"Low",AND(O342&gt;$AF$2,O342&lt;$AF$3),"Medium",O342&gt;=$AF$3,"High")</f>
        <v>High</v>
      </c>
      <c r="AB342" s="22">
        <f t="shared" si="66"/>
        <v>44986</v>
      </c>
      <c r="AC342">
        <v>15</v>
      </c>
    </row>
    <row r="343" spans="1:29" x14ac:dyDescent="0.35">
      <c r="A343" s="4" t="s">
        <v>318</v>
      </c>
      <c r="B343" s="5" t="str">
        <f>IF(COUNTIF($A$2:A343,A343)=1,"Original","Duplicate")</f>
        <v>Original</v>
      </c>
      <c r="C343" s="7">
        <v>45462</v>
      </c>
      <c r="D343" s="7">
        <v>45463</v>
      </c>
      <c r="E343">
        <f t="shared" si="56"/>
        <v>1</v>
      </c>
      <c r="F343" t="s">
        <v>646</v>
      </c>
      <c r="G343" t="s">
        <v>650</v>
      </c>
      <c r="H343" t="s">
        <v>662</v>
      </c>
      <c r="I343" t="s">
        <v>705</v>
      </c>
      <c r="J343" t="s">
        <v>711</v>
      </c>
      <c r="K343" t="s">
        <v>713</v>
      </c>
      <c r="L343" t="s">
        <v>731</v>
      </c>
      <c r="M343" t="s">
        <v>1038</v>
      </c>
      <c r="N343" s="23">
        <v>231.63</v>
      </c>
      <c r="O343" s="23">
        <v>537.39</v>
      </c>
      <c r="P343" s="8">
        <v>0.08</v>
      </c>
      <c r="Q343">
        <v>12</v>
      </c>
      <c r="R343" s="23">
        <f t="shared" si="57"/>
        <v>5932.7856000000002</v>
      </c>
      <c r="S343" s="23">
        <f t="shared" si="58"/>
        <v>2779.56</v>
      </c>
      <c r="T343" s="23">
        <f t="shared" si="59"/>
        <v>3153.2256000000002</v>
      </c>
      <c r="U343" s="14">
        <f t="shared" si="60"/>
        <v>0.53149158129024587</v>
      </c>
      <c r="V343" s="7" t="str">
        <f t="shared" si="61"/>
        <v>Jun-2024</v>
      </c>
      <c r="W343" s="22">
        <f t="shared" si="62"/>
        <v>45444</v>
      </c>
      <c r="X343" s="7" t="str">
        <f t="shared" si="63"/>
        <v>Q2-2024</v>
      </c>
      <c r="Y343" t="str">
        <f t="shared" si="64"/>
        <v>Africa → Kenya → Kisumu</v>
      </c>
      <c r="Z343" t="str">
        <f t="shared" si="65"/>
        <v>Laptops</v>
      </c>
      <c r="AA343" t="str" cm="1">
        <f t="array" ref="AA343">_xlfn.IFS(O343&lt;=$AF$2,"Low",AND(O343&gt;$AF$2,O343&lt;$AF$3),"Medium",O343&gt;=$AF$3,"High")</f>
        <v>Low</v>
      </c>
      <c r="AB343" s="22">
        <f t="shared" si="66"/>
        <v>44927</v>
      </c>
      <c r="AC343">
        <v>17</v>
      </c>
    </row>
    <row r="344" spans="1:29" x14ac:dyDescent="0.35">
      <c r="A344" s="4" t="s">
        <v>374</v>
      </c>
      <c r="B344" s="5" t="str">
        <f>IF(COUNTIF($A$2:A344,A344)=1,"Original","Duplicate")</f>
        <v>Original</v>
      </c>
      <c r="C344" s="7">
        <v>45466</v>
      </c>
      <c r="D344" s="7">
        <v>45468</v>
      </c>
      <c r="E344">
        <f t="shared" si="56"/>
        <v>2</v>
      </c>
      <c r="F344" t="s">
        <v>649</v>
      </c>
      <c r="G344" t="s">
        <v>658</v>
      </c>
      <c r="H344" t="s">
        <v>674</v>
      </c>
      <c r="I344" t="s">
        <v>705</v>
      </c>
      <c r="J344" t="s">
        <v>709</v>
      </c>
      <c r="K344" t="s">
        <v>716</v>
      </c>
      <c r="L344" t="s">
        <v>733</v>
      </c>
      <c r="M344" t="s">
        <v>1094</v>
      </c>
      <c r="N344" s="23">
        <v>951.44</v>
      </c>
      <c r="O344" s="23">
        <v>1646.43</v>
      </c>
      <c r="P344" s="8">
        <v>0.11</v>
      </c>
      <c r="Q344">
        <v>24</v>
      </c>
      <c r="R344" s="23">
        <f t="shared" si="57"/>
        <v>35167.7448</v>
      </c>
      <c r="S344" s="23">
        <f t="shared" si="58"/>
        <v>22834.560000000001</v>
      </c>
      <c r="T344" s="23">
        <f t="shared" si="59"/>
        <v>12333.184799999999</v>
      </c>
      <c r="U344" s="14">
        <f t="shared" si="60"/>
        <v>0.35069592520473475</v>
      </c>
      <c r="V344" s="7" t="str">
        <f t="shared" si="61"/>
        <v>Jun-2024</v>
      </c>
      <c r="W344" s="22">
        <f t="shared" si="62"/>
        <v>45444</v>
      </c>
      <c r="X344" s="7" t="str">
        <f t="shared" si="63"/>
        <v>Q2-2024</v>
      </c>
      <c r="Y344" t="str">
        <f t="shared" si="64"/>
        <v>Europe → United Kingdom → Birmingham</v>
      </c>
      <c r="Z344" t="str">
        <f t="shared" si="65"/>
        <v>Accessories</v>
      </c>
      <c r="AA344" t="str" cm="1">
        <f t="array" ref="AA344">_xlfn.IFS(O344&lt;=$AF$2,"Low",AND(O344&gt;$AF$2,O344&lt;$AF$3),"Medium",O344&gt;=$AF$3,"High")</f>
        <v>High</v>
      </c>
      <c r="AB344" s="22">
        <f t="shared" si="66"/>
        <v>44927</v>
      </c>
      <c r="AC344">
        <v>17</v>
      </c>
    </row>
    <row r="345" spans="1:29" x14ac:dyDescent="0.35">
      <c r="A345" s="4" t="s">
        <v>480</v>
      </c>
      <c r="B345" s="5" t="str">
        <f>IF(COUNTIF($A$2:A345,A345)=1,"Original","Duplicate")</f>
        <v>Original</v>
      </c>
      <c r="C345" s="7">
        <v>45466</v>
      </c>
      <c r="D345" s="7">
        <v>45471</v>
      </c>
      <c r="E345">
        <f t="shared" si="56"/>
        <v>5</v>
      </c>
      <c r="F345" t="s">
        <v>646</v>
      </c>
      <c r="G345" t="s">
        <v>651</v>
      </c>
      <c r="H345" t="s">
        <v>663</v>
      </c>
      <c r="I345" t="s">
        <v>703</v>
      </c>
      <c r="J345" t="s">
        <v>711</v>
      </c>
      <c r="K345" t="s">
        <v>724</v>
      </c>
      <c r="L345" t="s">
        <v>733</v>
      </c>
      <c r="M345" t="s">
        <v>1199</v>
      </c>
      <c r="N345" s="23">
        <v>242.31</v>
      </c>
      <c r="O345" s="23">
        <v>587.95000000000005</v>
      </c>
      <c r="P345" s="8">
        <v>0.22900000000000001</v>
      </c>
      <c r="Q345">
        <v>6</v>
      </c>
      <c r="R345" s="23">
        <f t="shared" si="57"/>
        <v>2719.8567000000003</v>
      </c>
      <c r="S345" s="23">
        <f t="shared" si="58"/>
        <v>1453.8600000000001</v>
      </c>
      <c r="T345" s="23">
        <f t="shared" si="59"/>
        <v>1265.9967000000001</v>
      </c>
      <c r="U345" s="14">
        <f t="shared" si="60"/>
        <v>0.46546448568411714</v>
      </c>
      <c r="V345" s="7" t="str">
        <f t="shared" si="61"/>
        <v>Jun-2024</v>
      </c>
      <c r="W345" s="22">
        <f t="shared" si="62"/>
        <v>45444</v>
      </c>
      <c r="X345" s="7" t="str">
        <f t="shared" si="63"/>
        <v>Q2-2024</v>
      </c>
      <c r="Y345" t="str">
        <f t="shared" si="64"/>
        <v>Africa → Nigeria → Port Harcourt</v>
      </c>
      <c r="Z345" t="str">
        <f t="shared" si="65"/>
        <v>Accessories</v>
      </c>
      <c r="AA345" t="str" cm="1">
        <f t="array" ref="AA345">_xlfn.IFS(O345&lt;=$AF$2,"Low",AND(O345&gt;$AF$2,O345&lt;$AF$3),"Medium",O345&gt;=$AF$3,"High")</f>
        <v>Low</v>
      </c>
      <c r="AB345" s="22">
        <f t="shared" si="66"/>
        <v>44927</v>
      </c>
      <c r="AC345">
        <v>17</v>
      </c>
    </row>
    <row r="346" spans="1:29" x14ac:dyDescent="0.35">
      <c r="A346" s="4" t="s">
        <v>627</v>
      </c>
      <c r="B346" s="5" t="str">
        <f>IF(COUNTIF($A$2:A346,A346)=1,"Original","Duplicate")</f>
        <v>Original</v>
      </c>
      <c r="C346" s="7">
        <v>45468</v>
      </c>
      <c r="D346" s="7">
        <v>45473</v>
      </c>
      <c r="E346">
        <f t="shared" si="56"/>
        <v>5</v>
      </c>
      <c r="F346" t="s">
        <v>646</v>
      </c>
      <c r="G346" t="s">
        <v>650</v>
      </c>
      <c r="H346" t="s">
        <v>662</v>
      </c>
      <c r="I346" t="s">
        <v>702</v>
      </c>
      <c r="J346" t="s">
        <v>711</v>
      </c>
      <c r="K346" t="s">
        <v>724</v>
      </c>
      <c r="L346" t="s">
        <v>729</v>
      </c>
      <c r="M346" t="s">
        <v>1345</v>
      </c>
      <c r="N346" s="23">
        <v>1323.55</v>
      </c>
      <c r="O346" s="23">
        <v>3230.35</v>
      </c>
      <c r="P346" s="8">
        <v>2.1999999999999999E-2</v>
      </c>
      <c r="Q346">
        <v>26</v>
      </c>
      <c r="R346" s="23">
        <f t="shared" si="57"/>
        <v>82141.339799999987</v>
      </c>
      <c r="S346" s="23">
        <f t="shared" si="58"/>
        <v>34412.299999999996</v>
      </c>
      <c r="T346" s="23">
        <f t="shared" si="59"/>
        <v>47729.039799999991</v>
      </c>
      <c r="U346" s="14">
        <f t="shared" si="60"/>
        <v>0.58105991351263542</v>
      </c>
      <c r="V346" s="7" t="str">
        <f t="shared" si="61"/>
        <v>Jun-2024</v>
      </c>
      <c r="W346" s="22">
        <f t="shared" si="62"/>
        <v>45444</v>
      </c>
      <c r="X346" s="7" t="str">
        <f t="shared" si="63"/>
        <v>Q2-2024</v>
      </c>
      <c r="Y346" t="str">
        <f t="shared" si="64"/>
        <v>Africa → Kenya → Kisumu</v>
      </c>
      <c r="Z346" t="str">
        <f t="shared" si="65"/>
        <v>Networking</v>
      </c>
      <c r="AA346" t="str" cm="1">
        <f t="array" ref="AA346">_xlfn.IFS(O346&lt;=$AF$2,"Low",AND(O346&gt;$AF$2,O346&lt;$AF$3),"Medium",O346&gt;=$AF$3,"High")</f>
        <v>High</v>
      </c>
      <c r="AB346" s="22">
        <f t="shared" si="66"/>
        <v>44927</v>
      </c>
      <c r="AC346">
        <v>17</v>
      </c>
    </row>
    <row r="347" spans="1:29" x14ac:dyDescent="0.35">
      <c r="A347" s="4" t="s">
        <v>127</v>
      </c>
      <c r="B347" s="5" t="str">
        <f>IF(COUNTIF($A$2:A347,A347)=1,"Original","Duplicate")</f>
        <v>Original</v>
      </c>
      <c r="C347" s="7">
        <v>45472</v>
      </c>
      <c r="D347" s="7">
        <v>45499</v>
      </c>
      <c r="E347">
        <f t="shared" si="56"/>
        <v>27</v>
      </c>
      <c r="F347" t="s">
        <v>646</v>
      </c>
      <c r="G347" t="s">
        <v>661</v>
      </c>
      <c r="H347" t="s">
        <v>687</v>
      </c>
      <c r="I347" t="s">
        <v>706</v>
      </c>
      <c r="J347" t="s">
        <v>710</v>
      </c>
      <c r="K347" t="s">
        <v>717</v>
      </c>
      <c r="L347" t="s">
        <v>729</v>
      </c>
      <c r="M347" t="s">
        <v>846</v>
      </c>
      <c r="N347" s="23">
        <v>5.36</v>
      </c>
      <c r="O347" s="23">
        <v>4.37</v>
      </c>
      <c r="P347" s="8">
        <v>0.11799999999999999</v>
      </c>
      <c r="Q347">
        <v>9</v>
      </c>
      <c r="R347" s="23">
        <f t="shared" si="57"/>
        <v>34.689059999999998</v>
      </c>
      <c r="S347" s="23">
        <f t="shared" si="58"/>
        <v>48.24</v>
      </c>
      <c r="T347" s="23">
        <f t="shared" si="59"/>
        <v>-13.550940000000004</v>
      </c>
      <c r="U347" s="14">
        <f t="shared" si="60"/>
        <v>-0.39064016148030545</v>
      </c>
      <c r="V347" s="7" t="str">
        <f t="shared" si="61"/>
        <v>Jun-2024</v>
      </c>
      <c r="W347" s="22">
        <f t="shared" si="62"/>
        <v>45444</v>
      </c>
      <c r="X347" s="7" t="str">
        <f t="shared" si="63"/>
        <v>Q2-2024</v>
      </c>
      <c r="Y347" t="str">
        <f t="shared" si="64"/>
        <v>Africa → South Africa → Durban</v>
      </c>
      <c r="Z347" t="str">
        <f t="shared" si="65"/>
        <v>Networking</v>
      </c>
      <c r="AA347" t="str" cm="1">
        <f t="array" ref="AA347">_xlfn.IFS(O347&lt;=$AF$2,"Low",AND(O347&gt;$AF$2,O347&lt;$AF$3),"Medium",O347&gt;=$AF$3,"High")</f>
        <v>Low</v>
      </c>
      <c r="AB347" s="22">
        <f t="shared" si="66"/>
        <v>44927</v>
      </c>
      <c r="AC347">
        <v>17</v>
      </c>
    </row>
    <row r="348" spans="1:29" x14ac:dyDescent="0.35">
      <c r="A348" s="4" t="s">
        <v>40</v>
      </c>
      <c r="B348" s="5" t="str">
        <f>IF(COUNTIF($A$2:A348,A348)=1,"Original","Duplicate")</f>
        <v>Original</v>
      </c>
      <c r="C348" s="7">
        <v>45473</v>
      </c>
      <c r="D348" s="7">
        <v>45487</v>
      </c>
      <c r="E348">
        <f t="shared" si="56"/>
        <v>14</v>
      </c>
      <c r="F348" t="s">
        <v>648</v>
      </c>
      <c r="G348" t="s">
        <v>655</v>
      </c>
      <c r="H348" t="s">
        <v>672</v>
      </c>
      <c r="I348" t="s">
        <v>702</v>
      </c>
      <c r="J348" t="s">
        <v>707</v>
      </c>
      <c r="K348" t="s">
        <v>712</v>
      </c>
      <c r="L348" t="s">
        <v>733</v>
      </c>
      <c r="M348" t="s">
        <v>759</v>
      </c>
      <c r="N348" s="23">
        <v>1491.85</v>
      </c>
      <c r="O348" s="23">
        <v>2583.02</v>
      </c>
      <c r="P348" s="8">
        <v>0.16800000000000001</v>
      </c>
      <c r="Q348">
        <v>4</v>
      </c>
      <c r="R348" s="23">
        <f t="shared" si="57"/>
        <v>8596.2905599999995</v>
      </c>
      <c r="S348" s="23">
        <f t="shared" si="58"/>
        <v>5967.4</v>
      </c>
      <c r="T348" s="23">
        <f t="shared" si="59"/>
        <v>2628.8905599999998</v>
      </c>
      <c r="U348" s="14">
        <f t="shared" si="60"/>
        <v>0.30581685689321325</v>
      </c>
      <c r="V348" s="7" t="str">
        <f t="shared" si="61"/>
        <v>Jun-2024</v>
      </c>
      <c r="W348" s="22">
        <f t="shared" si="62"/>
        <v>45444</v>
      </c>
      <c r="X348" s="7" t="str">
        <f t="shared" si="63"/>
        <v>Q2-2024</v>
      </c>
      <c r="Y348" t="str">
        <f t="shared" si="64"/>
        <v>Americas → Brazil → Brasília</v>
      </c>
      <c r="Z348" t="str">
        <f t="shared" si="65"/>
        <v>Accessories</v>
      </c>
      <c r="AA348" t="str" cm="1">
        <f t="array" ref="AA348">_xlfn.IFS(O348&lt;=$AF$2,"Low",AND(O348&gt;$AF$2,O348&lt;$AF$3),"Medium",O348&gt;=$AF$3,"High")</f>
        <v>High</v>
      </c>
      <c r="AB348" s="22">
        <f t="shared" si="66"/>
        <v>44927</v>
      </c>
      <c r="AC348">
        <v>17</v>
      </c>
    </row>
    <row r="349" spans="1:29" x14ac:dyDescent="0.35">
      <c r="A349" s="4" t="s">
        <v>92</v>
      </c>
      <c r="B349" s="5" t="str">
        <f>IF(COUNTIF($A$2:A349,A349)=1,"Original","Duplicate")</f>
        <v>Original</v>
      </c>
      <c r="C349" s="7">
        <v>45473</v>
      </c>
      <c r="D349" s="7">
        <v>45478</v>
      </c>
      <c r="E349">
        <f t="shared" si="56"/>
        <v>5</v>
      </c>
      <c r="F349" t="s">
        <v>648</v>
      </c>
      <c r="G349" t="s">
        <v>655</v>
      </c>
      <c r="H349" t="s">
        <v>692</v>
      </c>
      <c r="I349" t="s">
        <v>705</v>
      </c>
      <c r="J349" t="s">
        <v>711</v>
      </c>
      <c r="K349" t="s">
        <v>716</v>
      </c>
      <c r="L349" t="s">
        <v>733</v>
      </c>
      <c r="M349" t="s">
        <v>811</v>
      </c>
      <c r="N349" s="23">
        <v>1112.98</v>
      </c>
      <c r="O349" s="23">
        <v>2095.73</v>
      </c>
      <c r="P349" s="8">
        <v>7.1999999999999995E-2</v>
      </c>
      <c r="Q349">
        <v>17</v>
      </c>
      <c r="R349" s="23">
        <f t="shared" si="57"/>
        <v>33062.236480000007</v>
      </c>
      <c r="S349" s="23">
        <f t="shared" si="58"/>
        <v>18920.66</v>
      </c>
      <c r="T349" s="23">
        <f t="shared" si="59"/>
        <v>14141.576480000007</v>
      </c>
      <c r="U349" s="14">
        <f t="shared" si="60"/>
        <v>0.42772594916724777</v>
      </c>
      <c r="V349" s="7" t="str">
        <f t="shared" si="61"/>
        <v>Jun-2024</v>
      </c>
      <c r="W349" s="22">
        <f t="shared" si="62"/>
        <v>45444</v>
      </c>
      <c r="X349" s="7" t="str">
        <f t="shared" si="63"/>
        <v>Q2-2024</v>
      </c>
      <c r="Y349" t="str">
        <f t="shared" si="64"/>
        <v>Americas → Brazil → Rio de Janeiro</v>
      </c>
      <c r="Z349" t="str">
        <f t="shared" si="65"/>
        <v>Accessories</v>
      </c>
      <c r="AA349" t="str" cm="1">
        <f t="array" ref="AA349">_xlfn.IFS(O349&lt;=$AF$2,"Low",AND(O349&gt;$AF$2,O349&lt;$AF$3),"Medium",O349&gt;=$AF$3,"High")</f>
        <v>High</v>
      </c>
      <c r="AB349" s="22">
        <f t="shared" si="66"/>
        <v>44927</v>
      </c>
      <c r="AC349">
        <v>17</v>
      </c>
    </row>
    <row r="350" spans="1:29" x14ac:dyDescent="0.35">
      <c r="A350" s="4" t="s">
        <v>609</v>
      </c>
      <c r="B350" s="5" t="str">
        <f>IF(COUNTIF($A$2:A350,A350)=1,"Original","Duplicate")</f>
        <v>Original</v>
      </c>
      <c r="C350" s="7">
        <v>45473</v>
      </c>
      <c r="D350" s="7">
        <v>45494</v>
      </c>
      <c r="E350">
        <f t="shared" si="56"/>
        <v>21</v>
      </c>
      <c r="F350" t="s">
        <v>646</v>
      </c>
      <c r="G350" t="s">
        <v>650</v>
      </c>
      <c r="H350" t="s">
        <v>662</v>
      </c>
      <c r="I350" t="s">
        <v>705</v>
      </c>
      <c r="J350" t="s">
        <v>707</v>
      </c>
      <c r="K350" t="s">
        <v>723</v>
      </c>
      <c r="L350" t="s">
        <v>731</v>
      </c>
      <c r="M350" t="s">
        <v>1327</v>
      </c>
      <c r="N350" s="23">
        <v>753.43</v>
      </c>
      <c r="O350" s="23">
        <v>1787.2</v>
      </c>
      <c r="P350" s="8">
        <v>7.2999999999999995E-2</v>
      </c>
      <c r="Q350">
        <v>9</v>
      </c>
      <c r="R350" s="23">
        <f t="shared" si="57"/>
        <v>14910.609600000002</v>
      </c>
      <c r="S350" s="23">
        <f t="shared" si="58"/>
        <v>6780.87</v>
      </c>
      <c r="T350" s="23">
        <f t="shared" si="59"/>
        <v>8129.7396000000017</v>
      </c>
      <c r="U350" s="14">
        <f t="shared" si="60"/>
        <v>0.54523187301476939</v>
      </c>
      <c r="V350" s="7" t="str">
        <f t="shared" si="61"/>
        <v>Jun-2024</v>
      </c>
      <c r="W350" s="22">
        <f t="shared" si="62"/>
        <v>45444</v>
      </c>
      <c r="X350" s="7" t="str">
        <f t="shared" si="63"/>
        <v>Q2-2024</v>
      </c>
      <c r="Y350" t="str">
        <f t="shared" si="64"/>
        <v>Africa → Kenya → Kisumu</v>
      </c>
      <c r="Z350" t="str">
        <f t="shared" si="65"/>
        <v>Laptops</v>
      </c>
      <c r="AA350" t="str" cm="1">
        <f t="array" ref="AA350">_xlfn.IFS(O350&lt;=$AF$2,"Low",AND(O350&gt;$AF$2,O350&lt;$AF$3),"Medium",O350&gt;=$AF$3,"High")</f>
        <v>High</v>
      </c>
      <c r="AB350" s="22">
        <f t="shared" si="66"/>
        <v>44927</v>
      </c>
      <c r="AC350">
        <v>17</v>
      </c>
    </row>
    <row r="351" spans="1:29" x14ac:dyDescent="0.35">
      <c r="A351" s="4" t="s">
        <v>534</v>
      </c>
      <c r="B351" s="5" t="str">
        <f>IF(COUNTIF($A$2:A351,A351)=1,"Original","Duplicate")</f>
        <v>Original</v>
      </c>
      <c r="C351" s="7">
        <v>45482</v>
      </c>
      <c r="D351" s="7">
        <v>45512</v>
      </c>
      <c r="E351">
        <f t="shared" si="56"/>
        <v>30</v>
      </c>
      <c r="F351" t="s">
        <v>649</v>
      </c>
      <c r="G351" t="s">
        <v>657</v>
      </c>
      <c r="H351" t="s">
        <v>673</v>
      </c>
      <c r="I351" t="s">
        <v>701</v>
      </c>
      <c r="J351" t="s">
        <v>711</v>
      </c>
      <c r="K351" t="s">
        <v>713</v>
      </c>
      <c r="L351" t="s">
        <v>727</v>
      </c>
      <c r="M351" t="s">
        <v>1253</v>
      </c>
      <c r="N351" s="23">
        <v>1062.3800000000001</v>
      </c>
      <c r="O351" s="23">
        <v>1503.96</v>
      </c>
      <c r="P351" s="8">
        <v>0.18</v>
      </c>
      <c r="Q351">
        <v>6</v>
      </c>
      <c r="R351" s="23">
        <f t="shared" si="57"/>
        <v>7399.4832000000006</v>
      </c>
      <c r="S351" s="23">
        <f t="shared" si="58"/>
        <v>6374.2800000000007</v>
      </c>
      <c r="T351" s="23">
        <f t="shared" si="59"/>
        <v>1025.2031999999999</v>
      </c>
      <c r="U351" s="14">
        <f t="shared" si="60"/>
        <v>0.13855064905073369</v>
      </c>
      <c r="V351" s="7" t="str">
        <f t="shared" si="61"/>
        <v>Jul-2024</v>
      </c>
      <c r="W351" s="22">
        <f t="shared" si="62"/>
        <v>45474</v>
      </c>
      <c r="X351" s="7" t="str">
        <f t="shared" si="63"/>
        <v>Q3-2024</v>
      </c>
      <c r="Y351" t="str">
        <f t="shared" si="64"/>
        <v>Europe → France → Marseille</v>
      </c>
      <c r="Z351" t="str">
        <f t="shared" si="65"/>
        <v>Components</v>
      </c>
      <c r="AA351" t="str" cm="1">
        <f t="array" ref="AA351">_xlfn.IFS(O351&lt;=$AF$2,"Low",AND(O351&gt;$AF$2,O351&lt;$AF$3),"Medium",O351&gt;=$AF$3,"High")</f>
        <v>Medium</v>
      </c>
      <c r="AB351" s="22">
        <f t="shared" si="66"/>
        <v>44927</v>
      </c>
      <c r="AC351">
        <v>18</v>
      </c>
    </row>
    <row r="352" spans="1:29" x14ac:dyDescent="0.35">
      <c r="A352" s="4" t="s">
        <v>536</v>
      </c>
      <c r="B352" s="5" t="str">
        <f>IF(COUNTIF($A$2:A352,A352)=1,"Original","Duplicate")</f>
        <v>Original</v>
      </c>
      <c r="C352" s="7">
        <v>45482</v>
      </c>
      <c r="D352" s="7">
        <v>45485</v>
      </c>
      <c r="E352">
        <f t="shared" si="56"/>
        <v>3</v>
      </c>
      <c r="F352" t="s">
        <v>647</v>
      </c>
      <c r="G352" t="s">
        <v>659</v>
      </c>
      <c r="H352" t="s">
        <v>685</v>
      </c>
      <c r="I352" t="s">
        <v>705</v>
      </c>
      <c r="J352" t="s">
        <v>707</v>
      </c>
      <c r="K352" t="s">
        <v>726</v>
      </c>
      <c r="L352" t="s">
        <v>733</v>
      </c>
      <c r="M352" t="s">
        <v>1255</v>
      </c>
      <c r="N352" s="23">
        <v>748.39</v>
      </c>
      <c r="O352" s="23">
        <v>979.42</v>
      </c>
      <c r="P352" s="8">
        <v>0</v>
      </c>
      <c r="Q352">
        <v>23</v>
      </c>
      <c r="R352" s="23">
        <f t="shared" si="57"/>
        <v>22526.66</v>
      </c>
      <c r="S352" s="23">
        <f t="shared" si="58"/>
        <v>17212.97</v>
      </c>
      <c r="T352" s="23">
        <f t="shared" si="59"/>
        <v>5313.6899999999987</v>
      </c>
      <c r="U352" s="14">
        <f t="shared" si="60"/>
        <v>0.23588450307324738</v>
      </c>
      <c r="V352" s="7" t="str">
        <f t="shared" si="61"/>
        <v>Jul-2024</v>
      </c>
      <c r="W352" s="22">
        <f t="shared" si="62"/>
        <v>45474</v>
      </c>
      <c r="X352" s="7" t="str">
        <f t="shared" si="63"/>
        <v>Q3-2024</v>
      </c>
      <c r="Y352" t="str">
        <f t="shared" si="64"/>
        <v>Asia → China → Shanghai</v>
      </c>
      <c r="Z352" t="str">
        <f t="shared" si="65"/>
        <v>Accessories</v>
      </c>
      <c r="AA352" t="str" cm="1">
        <f t="array" ref="AA352">_xlfn.IFS(O352&lt;=$AF$2,"Low",AND(O352&gt;$AF$2,O352&lt;$AF$3),"Medium",O352&gt;=$AF$3,"High")</f>
        <v>Medium</v>
      </c>
      <c r="AB352" s="22">
        <f t="shared" si="66"/>
        <v>44927</v>
      </c>
      <c r="AC352">
        <v>18</v>
      </c>
    </row>
    <row r="353" spans="1:29" x14ac:dyDescent="0.35">
      <c r="A353" s="4" t="s">
        <v>350</v>
      </c>
      <c r="B353" s="5" t="str">
        <f>IF(COUNTIF($A$2:A353,A353)=1,"Original","Duplicate")</f>
        <v>Original</v>
      </c>
      <c r="C353" s="7">
        <v>45484</v>
      </c>
      <c r="D353" s="7">
        <v>45504</v>
      </c>
      <c r="E353">
        <f t="shared" si="56"/>
        <v>20</v>
      </c>
      <c r="F353" t="s">
        <v>647</v>
      </c>
      <c r="G353" t="s">
        <v>659</v>
      </c>
      <c r="H353" t="s">
        <v>676</v>
      </c>
      <c r="I353" t="s">
        <v>704</v>
      </c>
      <c r="J353" t="s">
        <v>708</v>
      </c>
      <c r="K353" t="s">
        <v>715</v>
      </c>
      <c r="L353" t="s">
        <v>730</v>
      </c>
      <c r="M353" t="s">
        <v>1070</v>
      </c>
      <c r="N353" s="23">
        <v>647.26</v>
      </c>
      <c r="O353" s="23">
        <v>1374.72</v>
      </c>
      <c r="P353" s="8">
        <v>6.6000000000000003E-2</v>
      </c>
      <c r="Q353">
        <v>22</v>
      </c>
      <c r="R353" s="23">
        <f t="shared" si="57"/>
        <v>28247.74656</v>
      </c>
      <c r="S353" s="23">
        <f t="shared" si="58"/>
        <v>14239.72</v>
      </c>
      <c r="T353" s="23">
        <f t="shared" si="59"/>
        <v>14008.02656</v>
      </c>
      <c r="U353" s="14">
        <f t="shared" si="60"/>
        <v>0.49589890401508901</v>
      </c>
      <c r="V353" s="7" t="str">
        <f t="shared" si="61"/>
        <v>Jul-2024</v>
      </c>
      <c r="W353" s="22">
        <f t="shared" si="62"/>
        <v>45474</v>
      </c>
      <c r="X353" s="7" t="str">
        <f t="shared" si="63"/>
        <v>Q3-2024</v>
      </c>
      <c r="Y353" t="str">
        <f t="shared" si="64"/>
        <v>Asia → China → Shenzhen</v>
      </c>
      <c r="Z353" t="str">
        <f t="shared" si="65"/>
        <v>Phones</v>
      </c>
      <c r="AA353" t="str" cm="1">
        <f t="array" ref="AA353">_xlfn.IFS(O353&lt;=$AF$2,"Low",AND(O353&gt;$AF$2,O353&lt;$AF$3),"Medium",O353&gt;=$AF$3,"High")</f>
        <v>Medium</v>
      </c>
      <c r="AB353" s="22">
        <f t="shared" si="66"/>
        <v>44927</v>
      </c>
      <c r="AC353">
        <v>18</v>
      </c>
    </row>
    <row r="354" spans="1:29" x14ac:dyDescent="0.35">
      <c r="A354" s="4" t="s">
        <v>358</v>
      </c>
      <c r="B354" s="5" t="str">
        <f>IF(COUNTIF($A$2:A354,A354)=1,"Original","Duplicate")</f>
        <v>Original</v>
      </c>
      <c r="C354" s="7">
        <v>45486</v>
      </c>
      <c r="D354" s="7">
        <v>45492</v>
      </c>
      <c r="E354">
        <f t="shared" si="56"/>
        <v>6</v>
      </c>
      <c r="F354" t="s">
        <v>647</v>
      </c>
      <c r="G354" t="s">
        <v>652</v>
      </c>
      <c r="H354" t="s">
        <v>694</v>
      </c>
      <c r="I354" t="s">
        <v>705</v>
      </c>
      <c r="J354" t="s">
        <v>709</v>
      </c>
      <c r="K354" t="s">
        <v>721</v>
      </c>
      <c r="L354" t="s">
        <v>729</v>
      </c>
      <c r="M354" t="s">
        <v>1078</v>
      </c>
      <c r="N354" s="23">
        <v>105.13</v>
      </c>
      <c r="O354" s="23">
        <v>244.13</v>
      </c>
      <c r="P354" s="8">
        <v>7.0999999999999994E-2</v>
      </c>
      <c r="Q354">
        <v>14</v>
      </c>
      <c r="R354" s="23">
        <f t="shared" si="57"/>
        <v>3175.1547799999998</v>
      </c>
      <c r="S354" s="23">
        <f t="shared" si="58"/>
        <v>1471.82</v>
      </c>
      <c r="T354" s="23">
        <f t="shared" si="59"/>
        <v>1703.3347799999999</v>
      </c>
      <c r="U354" s="14">
        <f t="shared" si="60"/>
        <v>0.53645724319618837</v>
      </c>
      <c r="V354" s="7" t="str">
        <f t="shared" si="61"/>
        <v>Jul-2024</v>
      </c>
      <c r="W354" s="22">
        <f t="shared" si="62"/>
        <v>45474</v>
      </c>
      <c r="X354" s="7" t="str">
        <f t="shared" si="63"/>
        <v>Q3-2024</v>
      </c>
      <c r="Y354" t="str">
        <f t="shared" si="64"/>
        <v>Asia → Japan → Nagoya</v>
      </c>
      <c r="Z354" t="str">
        <f t="shared" si="65"/>
        <v>Networking</v>
      </c>
      <c r="AA354" t="str" cm="1">
        <f t="array" ref="AA354">_xlfn.IFS(O354&lt;=$AF$2,"Low",AND(O354&gt;$AF$2,O354&lt;$AF$3),"Medium",O354&gt;=$AF$3,"High")</f>
        <v>Low</v>
      </c>
      <c r="AB354" s="22">
        <f t="shared" si="66"/>
        <v>44986</v>
      </c>
      <c r="AC354">
        <v>16</v>
      </c>
    </row>
    <row r="355" spans="1:29" x14ac:dyDescent="0.35">
      <c r="A355" s="4" t="s">
        <v>563</v>
      </c>
      <c r="B355" s="5" t="str">
        <f>IF(COUNTIF($A$2:A355,A355)=1,"Original","Duplicate")</f>
        <v>Original</v>
      </c>
      <c r="C355" s="7">
        <v>45486</v>
      </c>
      <c r="D355" s="7">
        <v>45507</v>
      </c>
      <c r="E355">
        <f t="shared" si="56"/>
        <v>21</v>
      </c>
      <c r="F355" t="s">
        <v>648</v>
      </c>
      <c r="G355" t="s">
        <v>655</v>
      </c>
      <c r="H355" t="s">
        <v>692</v>
      </c>
      <c r="I355" t="s">
        <v>701</v>
      </c>
      <c r="J355" t="s">
        <v>709</v>
      </c>
      <c r="K355" t="s">
        <v>724</v>
      </c>
      <c r="L355" t="s">
        <v>732</v>
      </c>
      <c r="M355" t="s">
        <v>1281</v>
      </c>
      <c r="N355" s="23">
        <v>702.98</v>
      </c>
      <c r="O355" s="23">
        <v>1104.8</v>
      </c>
      <c r="P355" s="8">
        <v>0.17499999999999999</v>
      </c>
      <c r="Q355">
        <v>12</v>
      </c>
      <c r="R355" s="23">
        <f t="shared" si="57"/>
        <v>10937.519999999999</v>
      </c>
      <c r="S355" s="23">
        <f t="shared" si="58"/>
        <v>8435.76</v>
      </c>
      <c r="T355" s="23">
        <f t="shared" si="59"/>
        <v>2501.7599999999984</v>
      </c>
      <c r="U355" s="14">
        <f t="shared" si="60"/>
        <v>0.22873192460448061</v>
      </c>
      <c r="V355" s="7" t="str">
        <f t="shared" si="61"/>
        <v>Jul-2024</v>
      </c>
      <c r="W355" s="22">
        <f t="shared" si="62"/>
        <v>45474</v>
      </c>
      <c r="X355" s="7" t="str">
        <f t="shared" si="63"/>
        <v>Q3-2024</v>
      </c>
      <c r="Y355" t="str">
        <f t="shared" si="64"/>
        <v>Americas → Brazil → Rio de Janeiro</v>
      </c>
      <c r="Z355" t="str">
        <f t="shared" si="65"/>
        <v>Monitors</v>
      </c>
      <c r="AA355" t="str" cm="1">
        <f t="array" ref="AA355">_xlfn.IFS(O355&lt;=$AF$2,"Low",AND(O355&gt;$AF$2,O355&lt;$AF$3),"Medium",O355&gt;=$AF$3,"High")</f>
        <v>Medium</v>
      </c>
      <c r="AB355" s="22">
        <f t="shared" si="66"/>
        <v>44927</v>
      </c>
      <c r="AC355">
        <v>18</v>
      </c>
    </row>
    <row r="356" spans="1:29" x14ac:dyDescent="0.35">
      <c r="A356" s="4" t="s">
        <v>185</v>
      </c>
      <c r="B356" s="5" t="str">
        <f>IF(COUNTIF($A$2:A356,A356)=1,"Original","Duplicate")</f>
        <v>Original</v>
      </c>
      <c r="C356" s="7">
        <v>45488</v>
      </c>
      <c r="D356" s="7">
        <v>45495</v>
      </c>
      <c r="E356">
        <f t="shared" si="56"/>
        <v>7</v>
      </c>
      <c r="F356" t="s">
        <v>647</v>
      </c>
      <c r="G356" t="s">
        <v>652</v>
      </c>
      <c r="H356" t="s">
        <v>689</v>
      </c>
      <c r="I356" t="s">
        <v>705</v>
      </c>
      <c r="J356" t="s">
        <v>709</v>
      </c>
      <c r="K356" t="s">
        <v>715</v>
      </c>
      <c r="L356" t="s">
        <v>733</v>
      </c>
      <c r="M356" t="s">
        <v>904</v>
      </c>
      <c r="N356" s="23">
        <v>801.77</v>
      </c>
      <c r="O356" s="23">
        <v>1218.92</v>
      </c>
      <c r="P356" s="8">
        <v>0.254</v>
      </c>
      <c r="Q356">
        <v>16</v>
      </c>
      <c r="R356" s="23">
        <f t="shared" si="57"/>
        <v>14549.029120000001</v>
      </c>
      <c r="S356" s="23">
        <f t="shared" si="58"/>
        <v>12828.32</v>
      </c>
      <c r="T356" s="23">
        <f t="shared" si="59"/>
        <v>1720.7091200000013</v>
      </c>
      <c r="U356" s="14">
        <f t="shared" si="60"/>
        <v>0.11826968698788344</v>
      </c>
      <c r="V356" s="7" t="str">
        <f t="shared" si="61"/>
        <v>Jul-2024</v>
      </c>
      <c r="W356" s="22">
        <f t="shared" si="62"/>
        <v>45474</v>
      </c>
      <c r="X356" s="7" t="str">
        <f t="shared" si="63"/>
        <v>Q3-2024</v>
      </c>
      <c r="Y356" t="str">
        <f t="shared" si="64"/>
        <v>Asia → Japan → Tokyo</v>
      </c>
      <c r="Z356" t="str">
        <f t="shared" si="65"/>
        <v>Accessories</v>
      </c>
      <c r="AA356" t="str" cm="1">
        <f t="array" ref="AA356">_xlfn.IFS(O356&lt;=$AF$2,"Low",AND(O356&gt;$AF$2,O356&lt;$AF$3),"Medium",O356&gt;=$AF$3,"High")</f>
        <v>Medium</v>
      </c>
      <c r="AB356" s="22">
        <f t="shared" si="66"/>
        <v>44986</v>
      </c>
      <c r="AC356">
        <v>16</v>
      </c>
    </row>
    <row r="357" spans="1:29" x14ac:dyDescent="0.35">
      <c r="A357" s="4" t="s">
        <v>398</v>
      </c>
      <c r="B357" s="5" t="str">
        <f>IF(COUNTIF($A$2:A357,A357)=1,"Original","Duplicate")</f>
        <v>Original</v>
      </c>
      <c r="C357" s="7">
        <v>45491</v>
      </c>
      <c r="D357" s="7">
        <v>45511</v>
      </c>
      <c r="E357">
        <f t="shared" si="56"/>
        <v>20</v>
      </c>
      <c r="F357" t="s">
        <v>649</v>
      </c>
      <c r="G357" t="s">
        <v>657</v>
      </c>
      <c r="H357" t="s">
        <v>673</v>
      </c>
      <c r="I357" t="s">
        <v>701</v>
      </c>
      <c r="J357" t="s">
        <v>707</v>
      </c>
      <c r="K357" t="s">
        <v>721</v>
      </c>
      <c r="L357" t="s">
        <v>732</v>
      </c>
      <c r="M357" t="s">
        <v>1117</v>
      </c>
      <c r="N357" s="23">
        <v>941.35</v>
      </c>
      <c r="O357" s="23">
        <v>899.83</v>
      </c>
      <c r="P357" s="8">
        <v>5.8000000000000003E-2</v>
      </c>
      <c r="Q357">
        <v>18</v>
      </c>
      <c r="R357" s="23">
        <f t="shared" si="57"/>
        <v>15257.51748</v>
      </c>
      <c r="S357" s="23">
        <f t="shared" si="58"/>
        <v>16944.3</v>
      </c>
      <c r="T357" s="23">
        <f t="shared" si="59"/>
        <v>-1686.7825199999988</v>
      </c>
      <c r="U357" s="14">
        <f t="shared" si="60"/>
        <v>-0.11055419220139073</v>
      </c>
      <c r="V357" s="7" t="str">
        <f t="shared" si="61"/>
        <v>Jul-2024</v>
      </c>
      <c r="W357" s="22">
        <f t="shared" si="62"/>
        <v>45474</v>
      </c>
      <c r="X357" s="7" t="str">
        <f t="shared" si="63"/>
        <v>Q3-2024</v>
      </c>
      <c r="Y357" t="str">
        <f t="shared" si="64"/>
        <v>Europe → France → Marseille</v>
      </c>
      <c r="Z357" t="str">
        <f t="shared" si="65"/>
        <v>Monitors</v>
      </c>
      <c r="AA357" t="str" cm="1">
        <f t="array" ref="AA357">_xlfn.IFS(O357&lt;=$AF$2,"Low",AND(O357&gt;$AF$2,O357&lt;$AF$3),"Medium",O357&gt;=$AF$3,"High")</f>
        <v>Medium</v>
      </c>
      <c r="AB357" s="22">
        <f t="shared" si="66"/>
        <v>44927</v>
      </c>
      <c r="AC357">
        <v>18</v>
      </c>
    </row>
    <row r="358" spans="1:29" x14ac:dyDescent="0.35">
      <c r="A358" s="4" t="s">
        <v>42</v>
      </c>
      <c r="B358" s="5" t="str">
        <f>IF(COUNTIF($A$2:A358,A358)=1,"Original","Duplicate")</f>
        <v>Original</v>
      </c>
      <c r="C358" s="7">
        <v>45492</v>
      </c>
      <c r="D358" s="7">
        <v>45499</v>
      </c>
      <c r="E358">
        <f t="shared" si="56"/>
        <v>7</v>
      </c>
      <c r="F358" t="s">
        <v>646</v>
      </c>
      <c r="G358" t="s">
        <v>650</v>
      </c>
      <c r="H358" t="s">
        <v>662</v>
      </c>
      <c r="I358" t="s">
        <v>705</v>
      </c>
      <c r="J358" t="s">
        <v>707</v>
      </c>
      <c r="K358" t="s">
        <v>720</v>
      </c>
      <c r="L358" t="s">
        <v>730</v>
      </c>
      <c r="M358" t="s">
        <v>761</v>
      </c>
      <c r="N358" s="23">
        <v>857.24</v>
      </c>
      <c r="O358" s="23">
        <v>758.23</v>
      </c>
      <c r="P358" s="8">
        <v>0.125</v>
      </c>
      <c r="Q358">
        <v>6</v>
      </c>
      <c r="R358" s="23">
        <f t="shared" si="57"/>
        <v>3980.7075</v>
      </c>
      <c r="S358" s="23">
        <f t="shared" si="58"/>
        <v>5143.4400000000005</v>
      </c>
      <c r="T358" s="23">
        <f t="shared" si="59"/>
        <v>-1162.7325000000005</v>
      </c>
      <c r="U358" s="14">
        <f t="shared" si="60"/>
        <v>-0.29209192084572921</v>
      </c>
      <c r="V358" s="7" t="str">
        <f t="shared" si="61"/>
        <v>Jul-2024</v>
      </c>
      <c r="W358" s="22">
        <f t="shared" si="62"/>
        <v>45474</v>
      </c>
      <c r="X358" s="7" t="str">
        <f t="shared" si="63"/>
        <v>Q3-2024</v>
      </c>
      <c r="Y358" t="str">
        <f t="shared" si="64"/>
        <v>Africa → Kenya → Kisumu</v>
      </c>
      <c r="Z358" t="str">
        <f t="shared" si="65"/>
        <v>Phones</v>
      </c>
      <c r="AA358" t="str" cm="1">
        <f t="array" ref="AA358">_xlfn.IFS(O358&lt;=$AF$2,"Low",AND(O358&gt;$AF$2,O358&lt;$AF$3),"Medium",O358&gt;=$AF$3,"High")</f>
        <v>Low</v>
      </c>
      <c r="AB358" s="22">
        <f t="shared" si="66"/>
        <v>44927</v>
      </c>
      <c r="AC358">
        <v>18</v>
      </c>
    </row>
    <row r="359" spans="1:29" x14ac:dyDescent="0.35">
      <c r="A359" s="4" t="s">
        <v>417</v>
      </c>
      <c r="B359" s="5" t="str">
        <f>IF(COUNTIF($A$2:A359,A359)=1,"Original","Duplicate")</f>
        <v>Original</v>
      </c>
      <c r="C359" s="7">
        <v>45497</v>
      </c>
      <c r="D359" s="7">
        <v>45512</v>
      </c>
      <c r="E359">
        <f t="shared" si="56"/>
        <v>15</v>
      </c>
      <c r="F359" t="s">
        <v>649</v>
      </c>
      <c r="G359" t="s">
        <v>657</v>
      </c>
      <c r="H359" t="s">
        <v>673</v>
      </c>
      <c r="I359" t="s">
        <v>706</v>
      </c>
      <c r="J359" t="s">
        <v>709</v>
      </c>
      <c r="K359" t="s">
        <v>722</v>
      </c>
      <c r="L359" t="s">
        <v>731</v>
      </c>
      <c r="M359" t="s">
        <v>1136</v>
      </c>
      <c r="N359" s="23">
        <v>501.5</v>
      </c>
      <c r="O359" s="23">
        <v>1201.47</v>
      </c>
      <c r="P359" s="8">
        <v>0.126</v>
      </c>
      <c r="Q359">
        <v>5</v>
      </c>
      <c r="R359" s="23">
        <f t="shared" si="57"/>
        <v>5250.4239000000007</v>
      </c>
      <c r="S359" s="23">
        <f t="shared" si="58"/>
        <v>2507.5</v>
      </c>
      <c r="T359" s="23">
        <f t="shared" si="59"/>
        <v>2742.9239000000007</v>
      </c>
      <c r="U359" s="14">
        <f t="shared" si="60"/>
        <v>0.52241951359394057</v>
      </c>
      <c r="V359" s="7" t="str">
        <f t="shared" si="61"/>
        <v>Jul-2024</v>
      </c>
      <c r="W359" s="22">
        <f t="shared" si="62"/>
        <v>45474</v>
      </c>
      <c r="X359" s="7" t="str">
        <f t="shared" si="63"/>
        <v>Q3-2024</v>
      </c>
      <c r="Y359" t="str">
        <f t="shared" si="64"/>
        <v>Europe → France → Marseille</v>
      </c>
      <c r="Z359" t="str">
        <f t="shared" si="65"/>
        <v>Laptops</v>
      </c>
      <c r="AA359" t="str" cm="1">
        <f t="array" ref="AA359">_xlfn.IFS(O359&lt;=$AF$2,"Low",AND(O359&gt;$AF$2,O359&lt;$AF$3),"Medium",O359&gt;=$AF$3,"High")</f>
        <v>Medium</v>
      </c>
      <c r="AB359" s="22">
        <f t="shared" si="66"/>
        <v>44927</v>
      </c>
      <c r="AC359">
        <v>18</v>
      </c>
    </row>
    <row r="360" spans="1:29" x14ac:dyDescent="0.35">
      <c r="A360" s="4" t="s">
        <v>35</v>
      </c>
      <c r="B360" s="5" t="str">
        <f>IF(COUNTIF($A$2:A360,A360)=1,"Original","Duplicate")</f>
        <v>Original</v>
      </c>
      <c r="C360" s="7">
        <v>45498</v>
      </c>
      <c r="D360" s="7">
        <v>45505</v>
      </c>
      <c r="E360">
        <f t="shared" si="56"/>
        <v>7</v>
      </c>
      <c r="F360" t="s">
        <v>646</v>
      </c>
      <c r="G360" t="s">
        <v>650</v>
      </c>
      <c r="H360" t="s">
        <v>675</v>
      </c>
      <c r="I360" t="s">
        <v>703</v>
      </c>
      <c r="J360" t="s">
        <v>711</v>
      </c>
      <c r="K360" t="s">
        <v>713</v>
      </c>
      <c r="L360" t="s">
        <v>731</v>
      </c>
      <c r="M360" t="s">
        <v>754</v>
      </c>
      <c r="N360" s="23">
        <v>1494.4</v>
      </c>
      <c r="O360" s="23">
        <v>3661.07</v>
      </c>
      <c r="P360" s="8">
        <v>7.1999999999999995E-2</v>
      </c>
      <c r="Q360">
        <v>7</v>
      </c>
      <c r="R360" s="23">
        <f t="shared" si="57"/>
        <v>23782.310720000001</v>
      </c>
      <c r="S360" s="23">
        <f t="shared" si="58"/>
        <v>10460.800000000001</v>
      </c>
      <c r="T360" s="23">
        <f t="shared" si="59"/>
        <v>13321.51072</v>
      </c>
      <c r="U360" s="14">
        <f t="shared" si="60"/>
        <v>0.56014366630897339</v>
      </c>
      <c r="V360" s="7" t="str">
        <f t="shared" si="61"/>
        <v>Jul-2024</v>
      </c>
      <c r="W360" s="22">
        <f t="shared" si="62"/>
        <v>45474</v>
      </c>
      <c r="X360" s="7" t="str">
        <f t="shared" si="63"/>
        <v>Q3-2024</v>
      </c>
      <c r="Y360" t="str">
        <f t="shared" si="64"/>
        <v>Africa → Kenya → Mombasa</v>
      </c>
      <c r="Z360" t="str">
        <f t="shared" si="65"/>
        <v>Laptops</v>
      </c>
      <c r="AA360" t="str" cm="1">
        <f t="array" ref="AA360">_xlfn.IFS(O360&lt;=$AF$2,"Low",AND(O360&gt;$AF$2,O360&lt;$AF$3),"Medium",O360&gt;=$AF$3,"High")</f>
        <v>High</v>
      </c>
      <c r="AB360" s="22">
        <f t="shared" si="66"/>
        <v>44927</v>
      </c>
      <c r="AC360">
        <v>18</v>
      </c>
    </row>
    <row r="361" spans="1:29" x14ac:dyDescent="0.35">
      <c r="A361" s="4" t="s">
        <v>360</v>
      </c>
      <c r="B361" s="5" t="str">
        <f>IF(COUNTIF($A$2:A361,A361)=1,"Original","Duplicate")</f>
        <v>Original</v>
      </c>
      <c r="C361" s="7">
        <v>45498</v>
      </c>
      <c r="D361" s="7">
        <v>45506</v>
      </c>
      <c r="E361">
        <f t="shared" si="56"/>
        <v>8</v>
      </c>
      <c r="F361" t="s">
        <v>648</v>
      </c>
      <c r="G361" t="s">
        <v>653</v>
      </c>
      <c r="H361" t="s">
        <v>681</v>
      </c>
      <c r="I361" t="s">
        <v>704</v>
      </c>
      <c r="J361" t="s">
        <v>711</v>
      </c>
      <c r="K361" t="s">
        <v>713</v>
      </c>
      <c r="L361" t="s">
        <v>733</v>
      </c>
      <c r="M361" t="s">
        <v>1080</v>
      </c>
      <c r="N361" s="23">
        <v>986.81</v>
      </c>
      <c r="O361" s="23">
        <v>2050.31</v>
      </c>
      <c r="P361" s="8">
        <v>0.10299999999999999</v>
      </c>
      <c r="Q361">
        <v>43</v>
      </c>
      <c r="R361" s="23">
        <f t="shared" si="57"/>
        <v>79082.507010000001</v>
      </c>
      <c r="S361" s="23">
        <f t="shared" si="58"/>
        <v>42432.829999999994</v>
      </c>
      <c r="T361" s="23">
        <f t="shared" si="59"/>
        <v>36649.677010000007</v>
      </c>
      <c r="U361" s="14">
        <f t="shared" si="60"/>
        <v>0.46343595310358138</v>
      </c>
      <c r="V361" s="7" t="str">
        <f t="shared" si="61"/>
        <v>Jul-2024</v>
      </c>
      <c r="W361" s="22">
        <f t="shared" si="62"/>
        <v>45474</v>
      </c>
      <c r="X361" s="7" t="str">
        <f t="shared" si="63"/>
        <v>Q3-2024</v>
      </c>
      <c r="Y361" t="str">
        <f t="shared" si="64"/>
        <v>Americas → Canada → Montreal</v>
      </c>
      <c r="Z361" t="str">
        <f t="shared" si="65"/>
        <v>Accessories</v>
      </c>
      <c r="AA361" t="str" cm="1">
        <f t="array" ref="AA361">_xlfn.IFS(O361&lt;=$AF$2,"Low",AND(O361&gt;$AF$2,O361&lt;$AF$3),"Medium",O361&gt;=$AF$3,"High")</f>
        <v>High</v>
      </c>
      <c r="AB361" s="22">
        <f t="shared" si="66"/>
        <v>44927</v>
      </c>
      <c r="AC361">
        <v>18</v>
      </c>
    </row>
    <row r="362" spans="1:29" x14ac:dyDescent="0.35">
      <c r="A362" s="4" t="s">
        <v>636</v>
      </c>
      <c r="B362" s="5" t="str">
        <f>IF(COUNTIF($A$2:A362,A362)=1,"Original","Duplicate")</f>
        <v>Original</v>
      </c>
      <c r="C362" s="7">
        <v>45501</v>
      </c>
      <c r="D362" s="7">
        <v>45527</v>
      </c>
      <c r="E362">
        <f t="shared" si="56"/>
        <v>26</v>
      </c>
      <c r="F362" t="s">
        <v>647</v>
      </c>
      <c r="G362" t="s">
        <v>654</v>
      </c>
      <c r="H362" t="s">
        <v>696</v>
      </c>
      <c r="I362" t="s">
        <v>701</v>
      </c>
      <c r="J362" t="s">
        <v>707</v>
      </c>
      <c r="K362" t="s">
        <v>713</v>
      </c>
      <c r="L362" t="s">
        <v>729</v>
      </c>
      <c r="M362" t="s">
        <v>1354</v>
      </c>
      <c r="N362" s="23">
        <v>1339.24</v>
      </c>
      <c r="O362" s="23">
        <v>1558.89</v>
      </c>
      <c r="P362" s="8">
        <v>0.192</v>
      </c>
      <c r="Q362">
        <v>24</v>
      </c>
      <c r="R362" s="23">
        <f t="shared" si="57"/>
        <v>30229.994880000002</v>
      </c>
      <c r="S362" s="23">
        <f t="shared" si="58"/>
        <v>32141.760000000002</v>
      </c>
      <c r="T362" s="23">
        <f t="shared" si="59"/>
        <v>-1911.76512</v>
      </c>
      <c r="U362" s="14">
        <f t="shared" si="60"/>
        <v>-6.3240669659021781E-2</v>
      </c>
      <c r="V362" s="7" t="str">
        <f t="shared" si="61"/>
        <v>Jul-2024</v>
      </c>
      <c r="W362" s="22">
        <f t="shared" si="62"/>
        <v>45474</v>
      </c>
      <c r="X362" s="7" t="str">
        <f t="shared" si="63"/>
        <v>Q3-2024</v>
      </c>
      <c r="Y362" t="str">
        <f t="shared" si="64"/>
        <v>Asia → India → Hyderabad</v>
      </c>
      <c r="Z362" t="str">
        <f t="shared" si="65"/>
        <v>Networking</v>
      </c>
      <c r="AA362" t="str" cm="1">
        <f t="array" ref="AA362">_xlfn.IFS(O362&lt;=$AF$2,"Low",AND(O362&gt;$AF$2,O362&lt;$AF$3),"Medium",O362&gt;=$AF$3,"High")</f>
        <v>Medium</v>
      </c>
      <c r="AB362" s="22">
        <f t="shared" si="66"/>
        <v>44958</v>
      </c>
      <c r="AC362">
        <v>17</v>
      </c>
    </row>
    <row r="363" spans="1:29" x14ac:dyDescent="0.35">
      <c r="A363" s="4" t="s">
        <v>267</v>
      </c>
      <c r="B363" s="5" t="str">
        <f>IF(COUNTIF($A$2:A363,A363)=1,"Original","Duplicate")</f>
        <v>Original</v>
      </c>
      <c r="C363" s="7">
        <v>45502</v>
      </c>
      <c r="D363" s="7">
        <v>45504</v>
      </c>
      <c r="E363">
        <f t="shared" si="56"/>
        <v>2</v>
      </c>
      <c r="F363" t="s">
        <v>648</v>
      </c>
      <c r="G363" t="s">
        <v>660</v>
      </c>
      <c r="H363" t="s">
        <v>700</v>
      </c>
      <c r="I363" t="s">
        <v>702</v>
      </c>
      <c r="J363" t="s">
        <v>709</v>
      </c>
      <c r="K363" t="s">
        <v>714</v>
      </c>
      <c r="L363" t="s">
        <v>728</v>
      </c>
      <c r="M363" t="s">
        <v>987</v>
      </c>
      <c r="N363" s="23">
        <v>798.97</v>
      </c>
      <c r="O363" s="23">
        <v>1814.06</v>
      </c>
      <c r="P363" s="8">
        <v>0.122</v>
      </c>
      <c r="Q363">
        <v>16</v>
      </c>
      <c r="R363" s="23">
        <f t="shared" si="57"/>
        <v>25483.91488</v>
      </c>
      <c r="S363" s="23">
        <f t="shared" si="58"/>
        <v>12783.52</v>
      </c>
      <c r="T363" s="23">
        <f t="shared" si="59"/>
        <v>12700.39488</v>
      </c>
      <c r="U363" s="14">
        <f t="shared" si="60"/>
        <v>0.49836906691159061</v>
      </c>
      <c r="V363" s="7" t="str">
        <f t="shared" si="61"/>
        <v>Jul-2024</v>
      </c>
      <c r="W363" s="22">
        <f t="shared" si="62"/>
        <v>45474</v>
      </c>
      <c r="X363" s="7" t="str">
        <f t="shared" si="63"/>
        <v>Q3-2024</v>
      </c>
      <c r="Y363" t="str">
        <f t="shared" si="64"/>
        <v>Americas → USA → New York</v>
      </c>
      <c r="Z363" t="str">
        <f t="shared" si="65"/>
        <v>Printers</v>
      </c>
      <c r="AA363" t="str" cm="1">
        <f t="array" ref="AA363">_xlfn.IFS(O363&lt;=$AF$2,"Low",AND(O363&gt;$AF$2,O363&lt;$AF$3),"Medium",O363&gt;=$AF$3,"High")</f>
        <v>High</v>
      </c>
      <c r="AB363" s="22">
        <f t="shared" si="66"/>
        <v>44927</v>
      </c>
      <c r="AC363">
        <v>18</v>
      </c>
    </row>
    <row r="364" spans="1:29" x14ac:dyDescent="0.35">
      <c r="A364" s="4" t="s">
        <v>607</v>
      </c>
      <c r="B364" s="5" t="str">
        <f>IF(COUNTIF($A$2:A364,A364)=1,"Original","Duplicate")</f>
        <v>Original</v>
      </c>
      <c r="C364" s="7">
        <v>45504</v>
      </c>
      <c r="D364" s="7">
        <v>45519</v>
      </c>
      <c r="E364">
        <f t="shared" si="56"/>
        <v>15</v>
      </c>
      <c r="F364" t="s">
        <v>647</v>
      </c>
      <c r="G364" t="s">
        <v>652</v>
      </c>
      <c r="H364" t="s">
        <v>689</v>
      </c>
      <c r="I364" t="s">
        <v>701</v>
      </c>
      <c r="J364" t="s">
        <v>709</v>
      </c>
      <c r="K364" t="s">
        <v>721</v>
      </c>
      <c r="L364" t="s">
        <v>732</v>
      </c>
      <c r="M364" t="s">
        <v>1325</v>
      </c>
      <c r="N364" s="23">
        <v>1252.52</v>
      </c>
      <c r="O364" s="23">
        <v>1417.24</v>
      </c>
      <c r="P364" s="8">
        <v>0.192</v>
      </c>
      <c r="Q364">
        <v>5</v>
      </c>
      <c r="R364" s="23">
        <f t="shared" si="57"/>
        <v>5725.6496000000006</v>
      </c>
      <c r="S364" s="23">
        <f t="shared" si="58"/>
        <v>6262.6</v>
      </c>
      <c r="T364" s="23">
        <f t="shared" si="59"/>
        <v>-536.95039999999972</v>
      </c>
      <c r="U364" s="14">
        <f t="shared" si="60"/>
        <v>-9.3779821943696953E-2</v>
      </c>
      <c r="V364" s="7" t="str">
        <f t="shared" si="61"/>
        <v>Jul-2024</v>
      </c>
      <c r="W364" s="22">
        <f t="shared" si="62"/>
        <v>45474</v>
      </c>
      <c r="X364" s="7" t="str">
        <f t="shared" si="63"/>
        <v>Q3-2024</v>
      </c>
      <c r="Y364" t="str">
        <f t="shared" si="64"/>
        <v>Asia → Japan → Tokyo</v>
      </c>
      <c r="Z364" t="str">
        <f t="shared" si="65"/>
        <v>Monitors</v>
      </c>
      <c r="AA364" t="str" cm="1">
        <f t="array" ref="AA364">_xlfn.IFS(O364&lt;=$AF$2,"Low",AND(O364&gt;$AF$2,O364&lt;$AF$3),"Medium",O364&gt;=$AF$3,"High")</f>
        <v>Medium</v>
      </c>
      <c r="AB364" s="22">
        <f t="shared" si="66"/>
        <v>44986</v>
      </c>
      <c r="AC364">
        <v>16</v>
      </c>
    </row>
    <row r="365" spans="1:29" x14ac:dyDescent="0.35">
      <c r="A365" s="4" t="s">
        <v>598</v>
      </c>
      <c r="B365" s="5" t="str">
        <f>IF(COUNTIF($A$2:A365,A365)=1,"Original","Duplicate")</f>
        <v>Original</v>
      </c>
      <c r="C365" s="7">
        <v>45507</v>
      </c>
      <c r="D365" s="7">
        <v>45513</v>
      </c>
      <c r="E365">
        <f t="shared" si="56"/>
        <v>6</v>
      </c>
      <c r="F365" t="s">
        <v>646</v>
      </c>
      <c r="G365" t="s">
        <v>650</v>
      </c>
      <c r="H365" t="s">
        <v>675</v>
      </c>
      <c r="I365" t="s">
        <v>704</v>
      </c>
      <c r="J365" t="s">
        <v>709</v>
      </c>
      <c r="K365" t="s">
        <v>722</v>
      </c>
      <c r="L365" t="s">
        <v>731</v>
      </c>
      <c r="M365" t="s">
        <v>1316</v>
      </c>
      <c r="N365" s="23">
        <v>643.21</v>
      </c>
      <c r="O365" s="23">
        <v>1112.81</v>
      </c>
      <c r="P365" s="8">
        <v>0.14099999999999999</v>
      </c>
      <c r="Q365">
        <v>4</v>
      </c>
      <c r="R365" s="23">
        <f t="shared" si="57"/>
        <v>3823.6151599999998</v>
      </c>
      <c r="S365" s="23">
        <f t="shared" si="58"/>
        <v>2572.84</v>
      </c>
      <c r="T365" s="23">
        <f t="shared" si="59"/>
        <v>1250.7751599999997</v>
      </c>
      <c r="U365" s="14">
        <f t="shared" si="60"/>
        <v>0.32711847496702562</v>
      </c>
      <c r="V365" s="7" t="str">
        <f t="shared" si="61"/>
        <v>Aug-2024</v>
      </c>
      <c r="W365" s="22">
        <f t="shared" si="62"/>
        <v>45505</v>
      </c>
      <c r="X365" s="7" t="str">
        <f t="shared" si="63"/>
        <v>Q3-2024</v>
      </c>
      <c r="Y365" t="str">
        <f t="shared" si="64"/>
        <v>Africa → Kenya → Mombasa</v>
      </c>
      <c r="Z365" t="str">
        <f t="shared" si="65"/>
        <v>Laptops</v>
      </c>
      <c r="AA365" t="str" cm="1">
        <f t="array" ref="AA365">_xlfn.IFS(O365&lt;=$AF$2,"Low",AND(O365&gt;$AF$2,O365&lt;$AF$3),"Medium",O365&gt;=$AF$3,"High")</f>
        <v>Medium</v>
      </c>
      <c r="AB365" s="22">
        <f t="shared" si="66"/>
        <v>44927</v>
      </c>
      <c r="AC365">
        <v>19</v>
      </c>
    </row>
    <row r="366" spans="1:29" x14ac:dyDescent="0.35">
      <c r="A366" s="4" t="s">
        <v>509</v>
      </c>
      <c r="B366" s="5" t="str">
        <f>IF(COUNTIF($A$2:A366,A366)=1,"Original","Duplicate")</f>
        <v>Original</v>
      </c>
      <c r="C366" s="7">
        <v>45508</v>
      </c>
      <c r="D366" s="7">
        <v>45521</v>
      </c>
      <c r="E366">
        <f t="shared" si="56"/>
        <v>13</v>
      </c>
      <c r="F366" t="s">
        <v>648</v>
      </c>
      <c r="G366" t="s">
        <v>660</v>
      </c>
      <c r="H366" t="s">
        <v>697</v>
      </c>
      <c r="I366" t="s">
        <v>704</v>
      </c>
      <c r="J366" t="s">
        <v>707</v>
      </c>
      <c r="K366" t="s">
        <v>726</v>
      </c>
      <c r="L366" t="s">
        <v>732</v>
      </c>
      <c r="M366" t="s">
        <v>1228</v>
      </c>
      <c r="N366" s="23">
        <v>352.79</v>
      </c>
      <c r="O366" s="23">
        <v>754.22</v>
      </c>
      <c r="P366" s="8">
        <v>0.113</v>
      </c>
      <c r="Q366">
        <v>7</v>
      </c>
      <c r="R366" s="23">
        <f t="shared" si="57"/>
        <v>4682.9519799999998</v>
      </c>
      <c r="S366" s="23">
        <f t="shared" si="58"/>
        <v>2469.5300000000002</v>
      </c>
      <c r="T366" s="23">
        <f t="shared" si="59"/>
        <v>2213.4219799999996</v>
      </c>
      <c r="U366" s="14">
        <f t="shared" si="60"/>
        <v>0.47265528014233443</v>
      </c>
      <c r="V366" s="7" t="str">
        <f t="shared" si="61"/>
        <v>Aug-2024</v>
      </c>
      <c r="W366" s="22">
        <f t="shared" si="62"/>
        <v>45505</v>
      </c>
      <c r="X366" s="7" t="str">
        <f t="shared" si="63"/>
        <v>Q3-2024</v>
      </c>
      <c r="Y366" t="str">
        <f t="shared" si="64"/>
        <v>Americas → USA → Austin</v>
      </c>
      <c r="Z366" t="str">
        <f t="shared" si="65"/>
        <v>Monitors</v>
      </c>
      <c r="AA366" t="str" cm="1">
        <f t="array" ref="AA366">_xlfn.IFS(O366&lt;=$AF$2,"Low",AND(O366&gt;$AF$2,O366&lt;$AF$3),"Medium",O366&gt;=$AF$3,"High")</f>
        <v>Low</v>
      </c>
      <c r="AB366" s="22">
        <f t="shared" si="66"/>
        <v>44927</v>
      </c>
      <c r="AC366">
        <v>19</v>
      </c>
    </row>
    <row r="367" spans="1:29" x14ac:dyDescent="0.35">
      <c r="A367" s="4" t="s">
        <v>170</v>
      </c>
      <c r="B367" s="5" t="str">
        <f>IF(COUNTIF($A$2:A367,A367)=1,"Original","Duplicate")</f>
        <v>Original</v>
      </c>
      <c r="C367" s="7">
        <v>45511</v>
      </c>
      <c r="D367" s="7">
        <v>45521</v>
      </c>
      <c r="E367">
        <f t="shared" si="56"/>
        <v>10</v>
      </c>
      <c r="F367" t="s">
        <v>647</v>
      </c>
      <c r="G367" t="s">
        <v>652</v>
      </c>
      <c r="H367" t="s">
        <v>666</v>
      </c>
      <c r="I367" t="s">
        <v>704</v>
      </c>
      <c r="J367" t="s">
        <v>708</v>
      </c>
      <c r="K367" t="s">
        <v>723</v>
      </c>
      <c r="L367" t="s">
        <v>729</v>
      </c>
      <c r="M367" t="s">
        <v>889</v>
      </c>
      <c r="N367" s="23">
        <v>436.58</v>
      </c>
      <c r="O367" s="23">
        <v>527.48</v>
      </c>
      <c r="P367" s="8">
        <v>0.111</v>
      </c>
      <c r="Q367">
        <v>19</v>
      </c>
      <c r="R367" s="23">
        <f t="shared" si="57"/>
        <v>8909.6646800000017</v>
      </c>
      <c r="S367" s="23">
        <f t="shared" si="58"/>
        <v>8295.02</v>
      </c>
      <c r="T367" s="23">
        <f t="shared" si="59"/>
        <v>614.64468000000124</v>
      </c>
      <c r="U367" s="14">
        <f t="shared" si="60"/>
        <v>6.8986286473802644E-2</v>
      </c>
      <c r="V367" s="7" t="str">
        <f t="shared" si="61"/>
        <v>Aug-2024</v>
      </c>
      <c r="W367" s="22">
        <f t="shared" si="62"/>
        <v>45505</v>
      </c>
      <c r="X367" s="7" t="str">
        <f t="shared" si="63"/>
        <v>Q3-2024</v>
      </c>
      <c r="Y367" t="str">
        <f t="shared" si="64"/>
        <v>Asia → Japan → Osaka</v>
      </c>
      <c r="Z367" t="str">
        <f t="shared" si="65"/>
        <v>Networking</v>
      </c>
      <c r="AA367" t="str" cm="1">
        <f t="array" ref="AA367">_xlfn.IFS(O367&lt;=$AF$2,"Low",AND(O367&gt;$AF$2,O367&lt;$AF$3),"Medium",O367&gt;=$AF$3,"High")</f>
        <v>Low</v>
      </c>
      <c r="AB367" s="22">
        <f t="shared" si="66"/>
        <v>44986</v>
      </c>
      <c r="AC367">
        <v>17</v>
      </c>
    </row>
    <row r="368" spans="1:29" x14ac:dyDescent="0.35">
      <c r="A368" s="4" t="s">
        <v>367</v>
      </c>
      <c r="B368" s="5" t="str">
        <f>IF(COUNTIF($A$2:A368,A368)=1,"Original","Duplicate")</f>
        <v>Original</v>
      </c>
      <c r="C368" s="7">
        <v>45512</v>
      </c>
      <c r="D368" s="7">
        <v>45524</v>
      </c>
      <c r="E368">
        <f t="shared" si="56"/>
        <v>12</v>
      </c>
      <c r="F368" t="s">
        <v>647</v>
      </c>
      <c r="G368" t="s">
        <v>652</v>
      </c>
      <c r="H368" t="s">
        <v>666</v>
      </c>
      <c r="I368" t="s">
        <v>705</v>
      </c>
      <c r="J368" t="s">
        <v>707</v>
      </c>
      <c r="K368" t="s">
        <v>722</v>
      </c>
      <c r="L368" t="s">
        <v>729</v>
      </c>
      <c r="M368" t="s">
        <v>1087</v>
      </c>
      <c r="N368" s="23">
        <v>1233.3599999999999</v>
      </c>
      <c r="O368" s="23">
        <v>2120.4</v>
      </c>
      <c r="P368" s="8">
        <v>0.17899999999999999</v>
      </c>
      <c r="Q368">
        <v>20</v>
      </c>
      <c r="R368" s="23">
        <f t="shared" si="57"/>
        <v>34816.968000000001</v>
      </c>
      <c r="S368" s="23">
        <f t="shared" si="58"/>
        <v>24667.199999999997</v>
      </c>
      <c r="T368" s="23">
        <f t="shared" si="59"/>
        <v>10149.768000000004</v>
      </c>
      <c r="U368" s="14">
        <f t="shared" si="60"/>
        <v>0.29151785991244278</v>
      </c>
      <c r="V368" s="7" t="str">
        <f t="shared" si="61"/>
        <v>Aug-2024</v>
      </c>
      <c r="W368" s="22">
        <f t="shared" si="62"/>
        <v>45505</v>
      </c>
      <c r="X368" s="7" t="str">
        <f t="shared" si="63"/>
        <v>Q3-2024</v>
      </c>
      <c r="Y368" t="str">
        <f t="shared" si="64"/>
        <v>Asia → Japan → Osaka</v>
      </c>
      <c r="Z368" t="str">
        <f t="shared" si="65"/>
        <v>Networking</v>
      </c>
      <c r="AA368" t="str" cm="1">
        <f t="array" ref="AA368">_xlfn.IFS(O368&lt;=$AF$2,"Low",AND(O368&gt;$AF$2,O368&lt;$AF$3),"Medium",O368&gt;=$AF$3,"High")</f>
        <v>High</v>
      </c>
      <c r="AB368" s="22">
        <f t="shared" si="66"/>
        <v>44986</v>
      </c>
      <c r="AC368">
        <v>17</v>
      </c>
    </row>
    <row r="369" spans="1:29" x14ac:dyDescent="0.35">
      <c r="A369" s="4" t="s">
        <v>405</v>
      </c>
      <c r="B369" s="5" t="str">
        <f>IF(COUNTIF($A$2:A369,A369)=1,"Original","Duplicate")</f>
        <v>Original</v>
      </c>
      <c r="C369" s="7">
        <v>45514</v>
      </c>
      <c r="D369" s="7">
        <v>45542</v>
      </c>
      <c r="E369">
        <f t="shared" si="56"/>
        <v>28</v>
      </c>
      <c r="F369" t="s">
        <v>649</v>
      </c>
      <c r="G369" t="s">
        <v>657</v>
      </c>
      <c r="H369" t="s">
        <v>673</v>
      </c>
      <c r="I369" t="s">
        <v>703</v>
      </c>
      <c r="J369" t="s">
        <v>711</v>
      </c>
      <c r="K369" t="s">
        <v>721</v>
      </c>
      <c r="L369" t="s">
        <v>728</v>
      </c>
      <c r="M369" t="s">
        <v>1124</v>
      </c>
      <c r="N369" s="23">
        <v>229.96</v>
      </c>
      <c r="O369" s="23">
        <v>564.26</v>
      </c>
      <c r="P369" s="8">
        <v>0.105</v>
      </c>
      <c r="Q369">
        <v>5</v>
      </c>
      <c r="R369" s="23">
        <f t="shared" si="57"/>
        <v>2525.0635000000002</v>
      </c>
      <c r="S369" s="23">
        <f t="shared" si="58"/>
        <v>1149.8</v>
      </c>
      <c r="T369" s="23">
        <f t="shared" si="59"/>
        <v>1375.2635000000002</v>
      </c>
      <c r="U369" s="14">
        <f t="shared" si="60"/>
        <v>0.54464511486542821</v>
      </c>
      <c r="V369" s="7" t="str">
        <f t="shared" si="61"/>
        <v>Aug-2024</v>
      </c>
      <c r="W369" s="22">
        <f t="shared" si="62"/>
        <v>45505</v>
      </c>
      <c r="X369" s="7" t="str">
        <f t="shared" si="63"/>
        <v>Q3-2024</v>
      </c>
      <c r="Y369" t="str">
        <f t="shared" si="64"/>
        <v>Europe → France → Marseille</v>
      </c>
      <c r="Z369" t="str">
        <f t="shared" si="65"/>
        <v>Printers</v>
      </c>
      <c r="AA369" t="str" cm="1">
        <f t="array" ref="AA369">_xlfn.IFS(O369&lt;=$AF$2,"Low",AND(O369&gt;$AF$2,O369&lt;$AF$3),"Medium",O369&gt;=$AF$3,"High")</f>
        <v>Low</v>
      </c>
      <c r="AB369" s="22">
        <f t="shared" si="66"/>
        <v>44927</v>
      </c>
      <c r="AC369">
        <v>19</v>
      </c>
    </row>
    <row r="370" spans="1:29" x14ac:dyDescent="0.35">
      <c r="A370" s="4" t="s">
        <v>206</v>
      </c>
      <c r="B370" s="5" t="str">
        <f>IF(COUNTIF($A$2:A370,A370)=1,"Original","Duplicate")</f>
        <v>Original</v>
      </c>
      <c r="C370" s="7">
        <v>45516</v>
      </c>
      <c r="D370" s="7">
        <v>45538</v>
      </c>
      <c r="E370">
        <f t="shared" si="56"/>
        <v>22</v>
      </c>
      <c r="F370" t="s">
        <v>648</v>
      </c>
      <c r="G370" t="s">
        <v>660</v>
      </c>
      <c r="H370" t="s">
        <v>697</v>
      </c>
      <c r="I370" t="s">
        <v>704</v>
      </c>
      <c r="J370" t="s">
        <v>710</v>
      </c>
      <c r="K370" t="s">
        <v>714</v>
      </c>
      <c r="L370" t="s">
        <v>731</v>
      </c>
      <c r="M370" t="s">
        <v>926</v>
      </c>
      <c r="N370" s="23">
        <v>797.8</v>
      </c>
      <c r="O370" s="23">
        <v>886.22</v>
      </c>
      <c r="P370" s="8">
        <v>0.23599999999999999</v>
      </c>
      <c r="Q370">
        <v>36</v>
      </c>
      <c r="R370" s="23">
        <f t="shared" si="57"/>
        <v>24374.594880000001</v>
      </c>
      <c r="S370" s="23">
        <f t="shared" si="58"/>
        <v>28720.799999999999</v>
      </c>
      <c r="T370" s="23">
        <f t="shared" si="59"/>
        <v>-4346.2051199999987</v>
      </c>
      <c r="U370" s="14">
        <f t="shared" si="60"/>
        <v>-0.17830881462428633</v>
      </c>
      <c r="V370" s="7" t="str">
        <f t="shared" si="61"/>
        <v>Aug-2024</v>
      </c>
      <c r="W370" s="22">
        <f t="shared" si="62"/>
        <v>45505</v>
      </c>
      <c r="X370" s="7" t="str">
        <f t="shared" si="63"/>
        <v>Q3-2024</v>
      </c>
      <c r="Y370" t="str">
        <f t="shared" si="64"/>
        <v>Americas → USA → Austin</v>
      </c>
      <c r="Z370" t="str">
        <f t="shared" si="65"/>
        <v>Laptops</v>
      </c>
      <c r="AA370" t="str" cm="1">
        <f t="array" ref="AA370">_xlfn.IFS(O370&lt;=$AF$2,"Low",AND(O370&gt;$AF$2,O370&lt;$AF$3),"Medium",O370&gt;=$AF$3,"High")</f>
        <v>Medium</v>
      </c>
      <c r="AB370" s="22">
        <f t="shared" si="66"/>
        <v>44927</v>
      </c>
      <c r="AC370">
        <v>19</v>
      </c>
    </row>
    <row r="371" spans="1:29" x14ac:dyDescent="0.35">
      <c r="A371" s="4" t="s">
        <v>415</v>
      </c>
      <c r="B371" s="5" t="str">
        <f>IF(COUNTIF($A$2:A371,A371)=1,"Original","Duplicate")</f>
        <v>Original</v>
      </c>
      <c r="C371" s="7">
        <v>45516</v>
      </c>
      <c r="D371" s="7">
        <v>45519</v>
      </c>
      <c r="E371">
        <f t="shared" si="56"/>
        <v>3</v>
      </c>
      <c r="F371" t="s">
        <v>648</v>
      </c>
      <c r="G371" t="s">
        <v>660</v>
      </c>
      <c r="H371" t="s">
        <v>677</v>
      </c>
      <c r="I371" t="s">
        <v>701</v>
      </c>
      <c r="J371" t="s">
        <v>709</v>
      </c>
      <c r="K371" t="s">
        <v>726</v>
      </c>
      <c r="L371" t="s">
        <v>728</v>
      </c>
      <c r="M371" t="s">
        <v>1134</v>
      </c>
      <c r="N371" s="23">
        <v>850.7</v>
      </c>
      <c r="O371" s="23">
        <v>1118.56</v>
      </c>
      <c r="P371" s="8">
        <v>0.18</v>
      </c>
      <c r="Q371">
        <v>19</v>
      </c>
      <c r="R371" s="23">
        <f t="shared" si="57"/>
        <v>17427.164800000002</v>
      </c>
      <c r="S371" s="23">
        <f t="shared" si="58"/>
        <v>16163.300000000001</v>
      </c>
      <c r="T371" s="23">
        <f t="shared" si="59"/>
        <v>1263.8648000000012</v>
      </c>
      <c r="U371" s="14">
        <f t="shared" si="60"/>
        <v>7.2522685962090688E-2</v>
      </c>
      <c r="V371" s="7" t="str">
        <f t="shared" si="61"/>
        <v>Aug-2024</v>
      </c>
      <c r="W371" s="22">
        <f t="shared" si="62"/>
        <v>45505</v>
      </c>
      <c r="X371" s="7" t="str">
        <f t="shared" si="63"/>
        <v>Q3-2024</v>
      </c>
      <c r="Y371" t="str">
        <f t="shared" si="64"/>
        <v>Americas → USA → Chicago</v>
      </c>
      <c r="Z371" t="str">
        <f t="shared" si="65"/>
        <v>Printers</v>
      </c>
      <c r="AA371" t="str" cm="1">
        <f t="array" ref="AA371">_xlfn.IFS(O371&lt;=$AF$2,"Low",AND(O371&gt;$AF$2,O371&lt;$AF$3),"Medium",O371&gt;=$AF$3,"High")</f>
        <v>Medium</v>
      </c>
      <c r="AB371" s="22">
        <f t="shared" si="66"/>
        <v>44927</v>
      </c>
      <c r="AC371">
        <v>19</v>
      </c>
    </row>
    <row r="372" spans="1:29" x14ac:dyDescent="0.35">
      <c r="A372" s="4" t="s">
        <v>122</v>
      </c>
      <c r="B372" s="5" t="str">
        <f>IF(COUNTIF($A$2:A372,A372)=1,"Original","Duplicate")</f>
        <v>Original</v>
      </c>
      <c r="C372" s="7">
        <v>45518</v>
      </c>
      <c r="D372" s="7">
        <v>45539</v>
      </c>
      <c r="E372">
        <f t="shared" si="56"/>
        <v>21</v>
      </c>
      <c r="F372" t="s">
        <v>649</v>
      </c>
      <c r="G372" t="s">
        <v>658</v>
      </c>
      <c r="H372" t="s">
        <v>693</v>
      </c>
      <c r="I372" t="s">
        <v>703</v>
      </c>
      <c r="J372" t="s">
        <v>708</v>
      </c>
      <c r="K372" t="s">
        <v>713</v>
      </c>
      <c r="L372" t="s">
        <v>730</v>
      </c>
      <c r="M372" t="s">
        <v>841</v>
      </c>
      <c r="N372" s="23">
        <v>1138.8</v>
      </c>
      <c r="O372" s="23">
        <v>2250.81</v>
      </c>
      <c r="P372" s="8">
        <v>0.123</v>
      </c>
      <c r="Q372">
        <v>12</v>
      </c>
      <c r="R372" s="23">
        <f t="shared" si="57"/>
        <v>23687.524440000001</v>
      </c>
      <c r="S372" s="23">
        <f t="shared" si="58"/>
        <v>13665.599999999999</v>
      </c>
      <c r="T372" s="23">
        <f t="shared" si="59"/>
        <v>10021.924440000003</v>
      </c>
      <c r="U372" s="14">
        <f t="shared" si="60"/>
        <v>0.42308872188756258</v>
      </c>
      <c r="V372" s="7" t="str">
        <f t="shared" si="61"/>
        <v>Aug-2024</v>
      </c>
      <c r="W372" s="22">
        <f t="shared" si="62"/>
        <v>45505</v>
      </c>
      <c r="X372" s="7" t="str">
        <f t="shared" si="63"/>
        <v>Q3-2024</v>
      </c>
      <c r="Y372" t="str">
        <f t="shared" si="64"/>
        <v>Europe → United Kingdom → Manchester</v>
      </c>
      <c r="Z372" t="str">
        <f t="shared" si="65"/>
        <v>Phones</v>
      </c>
      <c r="AA372" t="str" cm="1">
        <f t="array" ref="AA372">_xlfn.IFS(O372&lt;=$AF$2,"Low",AND(O372&gt;$AF$2,O372&lt;$AF$3),"Medium",O372&gt;=$AF$3,"High")</f>
        <v>High</v>
      </c>
      <c r="AB372" s="22">
        <f t="shared" si="66"/>
        <v>44927</v>
      </c>
      <c r="AC372">
        <v>19</v>
      </c>
    </row>
    <row r="373" spans="1:29" x14ac:dyDescent="0.35">
      <c r="A373" s="4" t="s">
        <v>551</v>
      </c>
      <c r="B373" s="5" t="str">
        <f>IF(COUNTIF($A$2:A373,A373)=1,"Original","Duplicate")</f>
        <v>Original</v>
      </c>
      <c r="C373" s="7">
        <v>45520</v>
      </c>
      <c r="D373" s="7">
        <v>45530</v>
      </c>
      <c r="E373">
        <f t="shared" si="56"/>
        <v>10</v>
      </c>
      <c r="F373" t="s">
        <v>648</v>
      </c>
      <c r="G373" t="s">
        <v>660</v>
      </c>
      <c r="H373" t="s">
        <v>677</v>
      </c>
      <c r="I373" t="s">
        <v>701</v>
      </c>
      <c r="J373" t="s">
        <v>710</v>
      </c>
      <c r="K373" t="s">
        <v>716</v>
      </c>
      <c r="L373" t="s">
        <v>731</v>
      </c>
      <c r="M373" t="s">
        <v>1121</v>
      </c>
      <c r="N373" s="23">
        <v>1291.7</v>
      </c>
      <c r="O373" s="23">
        <v>2657.84</v>
      </c>
      <c r="P373" s="8">
        <v>8.6999999999999994E-2</v>
      </c>
      <c r="Q373">
        <v>21</v>
      </c>
      <c r="R373" s="23">
        <f t="shared" si="57"/>
        <v>50958.766320000002</v>
      </c>
      <c r="S373" s="23">
        <f t="shared" si="58"/>
        <v>27125.7</v>
      </c>
      <c r="T373" s="23">
        <f t="shared" si="59"/>
        <v>23833.066320000002</v>
      </c>
      <c r="U373" s="14">
        <f t="shared" si="60"/>
        <v>0.46769315745083367</v>
      </c>
      <c r="V373" s="7" t="str">
        <f t="shared" si="61"/>
        <v>Aug-2024</v>
      </c>
      <c r="W373" s="22">
        <f t="shared" si="62"/>
        <v>45505</v>
      </c>
      <c r="X373" s="7" t="str">
        <f t="shared" si="63"/>
        <v>Q3-2024</v>
      </c>
      <c r="Y373" t="str">
        <f t="shared" si="64"/>
        <v>Americas → USA → Chicago</v>
      </c>
      <c r="Z373" t="str">
        <f t="shared" si="65"/>
        <v>Laptops</v>
      </c>
      <c r="AA373" t="str" cm="1">
        <f t="array" ref="AA373">_xlfn.IFS(O373&lt;=$AF$2,"Low",AND(O373&gt;$AF$2,O373&lt;$AF$3),"Medium",O373&gt;=$AF$3,"High")</f>
        <v>High</v>
      </c>
      <c r="AB373" s="22">
        <f t="shared" si="66"/>
        <v>44927</v>
      </c>
      <c r="AC373">
        <v>19</v>
      </c>
    </row>
    <row r="374" spans="1:29" x14ac:dyDescent="0.35">
      <c r="A374" s="4" t="s">
        <v>613</v>
      </c>
      <c r="B374" s="5" t="str">
        <f>IF(COUNTIF($A$2:A374,A374)=1,"Original","Duplicate")</f>
        <v>Original</v>
      </c>
      <c r="C374" s="7">
        <v>45521</v>
      </c>
      <c r="D374" s="7">
        <v>45527</v>
      </c>
      <c r="E374">
        <f t="shared" si="56"/>
        <v>6</v>
      </c>
      <c r="F374" t="s">
        <v>648</v>
      </c>
      <c r="G374" t="s">
        <v>655</v>
      </c>
      <c r="H374" t="s">
        <v>692</v>
      </c>
      <c r="I374" t="s">
        <v>704</v>
      </c>
      <c r="J374" t="s">
        <v>711</v>
      </c>
      <c r="K374" t="s">
        <v>724</v>
      </c>
      <c r="L374" t="s">
        <v>732</v>
      </c>
      <c r="M374" t="s">
        <v>1331</v>
      </c>
      <c r="N374" s="23">
        <v>165.3</v>
      </c>
      <c r="O374" s="23">
        <v>275.07</v>
      </c>
      <c r="P374" s="8">
        <v>0.13300000000000001</v>
      </c>
      <c r="Q374">
        <v>25</v>
      </c>
      <c r="R374" s="23">
        <f t="shared" si="57"/>
        <v>5962.1422499999999</v>
      </c>
      <c r="S374" s="23">
        <f t="shared" si="58"/>
        <v>4132.5</v>
      </c>
      <c r="T374" s="23">
        <f t="shared" si="59"/>
        <v>1829.6422499999999</v>
      </c>
      <c r="U374" s="14">
        <f t="shared" si="60"/>
        <v>0.30687665159280625</v>
      </c>
      <c r="V374" s="7" t="str">
        <f t="shared" si="61"/>
        <v>Aug-2024</v>
      </c>
      <c r="W374" s="22">
        <f t="shared" si="62"/>
        <v>45505</v>
      </c>
      <c r="X374" s="7" t="str">
        <f t="shared" si="63"/>
        <v>Q3-2024</v>
      </c>
      <c r="Y374" t="str">
        <f t="shared" si="64"/>
        <v>Americas → Brazil → Rio de Janeiro</v>
      </c>
      <c r="Z374" t="str">
        <f t="shared" si="65"/>
        <v>Monitors</v>
      </c>
      <c r="AA374" t="str" cm="1">
        <f t="array" ref="AA374">_xlfn.IFS(O374&lt;=$AF$2,"Low",AND(O374&gt;$AF$2,O374&lt;$AF$3),"Medium",O374&gt;=$AF$3,"High")</f>
        <v>Low</v>
      </c>
      <c r="AB374" s="22">
        <f t="shared" si="66"/>
        <v>44927</v>
      </c>
      <c r="AC374">
        <v>19</v>
      </c>
    </row>
    <row r="375" spans="1:29" x14ac:dyDescent="0.35">
      <c r="A375" s="4" t="s">
        <v>441</v>
      </c>
      <c r="B375" s="5" t="str">
        <f>IF(COUNTIF($A$2:A375,A375)=1,"Original","Duplicate")</f>
        <v>Original</v>
      </c>
      <c r="C375" s="7">
        <v>45522</v>
      </c>
      <c r="D375" s="7">
        <v>45547</v>
      </c>
      <c r="E375">
        <f t="shared" si="56"/>
        <v>25</v>
      </c>
      <c r="F375" t="s">
        <v>647</v>
      </c>
      <c r="G375" t="s">
        <v>654</v>
      </c>
      <c r="H375" t="s">
        <v>691</v>
      </c>
      <c r="I375" t="s">
        <v>704</v>
      </c>
      <c r="J375" t="s">
        <v>709</v>
      </c>
      <c r="K375" t="s">
        <v>712</v>
      </c>
      <c r="L375" t="s">
        <v>730</v>
      </c>
      <c r="M375" t="s">
        <v>1160</v>
      </c>
      <c r="N375" s="23">
        <v>1154.03</v>
      </c>
      <c r="O375" s="23">
        <v>1590.36</v>
      </c>
      <c r="P375" s="8">
        <v>0.3</v>
      </c>
      <c r="Q375">
        <v>18</v>
      </c>
      <c r="R375" s="23">
        <f t="shared" si="57"/>
        <v>20038.536</v>
      </c>
      <c r="S375" s="23">
        <f t="shared" si="58"/>
        <v>20772.54</v>
      </c>
      <c r="T375" s="23">
        <f t="shared" si="59"/>
        <v>-734.00400000000081</v>
      </c>
      <c r="U375" s="14">
        <f t="shared" si="60"/>
        <v>-3.6629622044245191E-2</v>
      </c>
      <c r="V375" s="7" t="str">
        <f t="shared" si="61"/>
        <v>Aug-2024</v>
      </c>
      <c r="W375" s="22">
        <f t="shared" si="62"/>
        <v>45505</v>
      </c>
      <c r="X375" s="7" t="str">
        <f t="shared" si="63"/>
        <v>Q3-2024</v>
      </c>
      <c r="Y375" t="str">
        <f t="shared" si="64"/>
        <v>Asia → India → Mumbai</v>
      </c>
      <c r="Z375" t="str">
        <f t="shared" si="65"/>
        <v>Phones</v>
      </c>
      <c r="AA375" t="str" cm="1">
        <f t="array" ref="AA375">_xlfn.IFS(O375&lt;=$AF$2,"Low",AND(O375&gt;$AF$2,O375&lt;$AF$3),"Medium",O375&gt;=$AF$3,"High")</f>
        <v>Medium</v>
      </c>
      <c r="AB375" s="22">
        <f t="shared" si="66"/>
        <v>44958</v>
      </c>
      <c r="AC375">
        <v>18</v>
      </c>
    </row>
    <row r="376" spans="1:29" x14ac:dyDescent="0.35">
      <c r="A376" s="4" t="s">
        <v>505</v>
      </c>
      <c r="B376" s="5" t="str">
        <f>IF(COUNTIF($A$2:A376,A376)=1,"Original","Duplicate")</f>
        <v>Original</v>
      </c>
      <c r="C376" s="7">
        <v>45523</v>
      </c>
      <c r="D376" s="7">
        <v>45542</v>
      </c>
      <c r="E376">
        <f t="shared" si="56"/>
        <v>19</v>
      </c>
      <c r="F376" t="s">
        <v>649</v>
      </c>
      <c r="G376" t="s">
        <v>657</v>
      </c>
      <c r="H376" t="s">
        <v>679</v>
      </c>
      <c r="I376" t="s">
        <v>701</v>
      </c>
      <c r="J376" t="s">
        <v>711</v>
      </c>
      <c r="K376" t="s">
        <v>713</v>
      </c>
      <c r="L376" t="s">
        <v>727</v>
      </c>
      <c r="M376" t="s">
        <v>1224</v>
      </c>
      <c r="N376" s="23">
        <v>297.58999999999997</v>
      </c>
      <c r="O376" s="23">
        <v>666.41</v>
      </c>
      <c r="P376" s="8">
        <v>0</v>
      </c>
      <c r="Q376">
        <v>10</v>
      </c>
      <c r="R376" s="23">
        <f t="shared" si="57"/>
        <v>6664.0999999999995</v>
      </c>
      <c r="S376" s="23">
        <f t="shared" si="58"/>
        <v>2975.8999999999996</v>
      </c>
      <c r="T376" s="23">
        <f t="shared" si="59"/>
        <v>3688.2</v>
      </c>
      <c r="U376" s="14">
        <f t="shared" si="60"/>
        <v>0.55344307558409989</v>
      </c>
      <c r="V376" s="7" t="str">
        <f t="shared" si="61"/>
        <v>Aug-2024</v>
      </c>
      <c r="W376" s="22">
        <f t="shared" si="62"/>
        <v>45505</v>
      </c>
      <c r="X376" s="7" t="str">
        <f t="shared" si="63"/>
        <v>Q3-2024</v>
      </c>
      <c r="Y376" t="str">
        <f t="shared" si="64"/>
        <v>Europe → France → Lyon</v>
      </c>
      <c r="Z376" t="str">
        <f t="shared" si="65"/>
        <v>Components</v>
      </c>
      <c r="AA376" t="str" cm="1">
        <f t="array" ref="AA376">_xlfn.IFS(O376&lt;=$AF$2,"Low",AND(O376&gt;$AF$2,O376&lt;$AF$3),"Medium",O376&gt;=$AF$3,"High")</f>
        <v>Low</v>
      </c>
      <c r="AB376" s="22">
        <f t="shared" si="66"/>
        <v>44927</v>
      </c>
      <c r="AC376">
        <v>19</v>
      </c>
    </row>
    <row r="377" spans="1:29" x14ac:dyDescent="0.35">
      <c r="A377" s="4" t="s">
        <v>615</v>
      </c>
      <c r="B377" s="5" t="str">
        <f>IF(COUNTIF($A$2:A377,A377)=1,"Original","Duplicate")</f>
        <v>Original</v>
      </c>
      <c r="C377" s="7">
        <v>45523</v>
      </c>
      <c r="D377" s="7">
        <v>45537</v>
      </c>
      <c r="E377">
        <f t="shared" si="56"/>
        <v>14</v>
      </c>
      <c r="F377" t="s">
        <v>648</v>
      </c>
      <c r="G377" t="s">
        <v>653</v>
      </c>
      <c r="H377" t="s">
        <v>667</v>
      </c>
      <c r="I377" t="s">
        <v>704</v>
      </c>
      <c r="J377" t="s">
        <v>710</v>
      </c>
      <c r="K377" t="s">
        <v>712</v>
      </c>
      <c r="L377" t="s">
        <v>728</v>
      </c>
      <c r="M377" t="s">
        <v>1333</v>
      </c>
      <c r="N377" s="23">
        <v>1337.01</v>
      </c>
      <c r="O377" s="23">
        <v>1269.78</v>
      </c>
      <c r="P377" s="8">
        <v>0.16</v>
      </c>
      <c r="Q377">
        <v>7</v>
      </c>
      <c r="R377" s="23">
        <f t="shared" si="57"/>
        <v>7466.3063999999986</v>
      </c>
      <c r="S377" s="23">
        <f t="shared" si="58"/>
        <v>9359.07</v>
      </c>
      <c r="T377" s="23">
        <f t="shared" si="59"/>
        <v>-1892.7636000000011</v>
      </c>
      <c r="U377" s="14">
        <f t="shared" si="60"/>
        <v>-0.25350735672996244</v>
      </c>
      <c r="V377" s="7" t="str">
        <f t="shared" si="61"/>
        <v>Aug-2024</v>
      </c>
      <c r="W377" s="22">
        <f t="shared" si="62"/>
        <v>45505</v>
      </c>
      <c r="X377" s="7" t="str">
        <f t="shared" si="63"/>
        <v>Q3-2024</v>
      </c>
      <c r="Y377" t="str">
        <f t="shared" si="64"/>
        <v>Americas → Canada → Toronto</v>
      </c>
      <c r="Z377" t="str">
        <f t="shared" si="65"/>
        <v>Printers</v>
      </c>
      <c r="AA377" t="str" cm="1">
        <f t="array" ref="AA377">_xlfn.IFS(O377&lt;=$AF$2,"Low",AND(O377&gt;$AF$2,O377&lt;$AF$3),"Medium",O377&gt;=$AF$3,"High")</f>
        <v>Medium</v>
      </c>
      <c r="AB377" s="22">
        <f t="shared" si="66"/>
        <v>44927</v>
      </c>
      <c r="AC377">
        <v>19</v>
      </c>
    </row>
    <row r="378" spans="1:29" x14ac:dyDescent="0.35">
      <c r="A378" s="4" t="s">
        <v>457</v>
      </c>
      <c r="B378" s="5" t="str">
        <f>IF(COUNTIF($A$2:A378,A378)=1,"Original","Duplicate")</f>
        <v>Original</v>
      </c>
      <c r="C378" s="7">
        <v>45526</v>
      </c>
      <c r="D378" s="7">
        <v>45539</v>
      </c>
      <c r="E378">
        <f t="shared" si="56"/>
        <v>13</v>
      </c>
      <c r="F378" t="s">
        <v>649</v>
      </c>
      <c r="G378" t="s">
        <v>656</v>
      </c>
      <c r="H378" t="s">
        <v>698</v>
      </c>
      <c r="I378" t="s">
        <v>703</v>
      </c>
      <c r="J378" t="s">
        <v>707</v>
      </c>
      <c r="K378" t="s">
        <v>716</v>
      </c>
      <c r="L378" t="s">
        <v>728</v>
      </c>
      <c r="M378" t="s">
        <v>1176</v>
      </c>
      <c r="N378" s="23">
        <v>90.04</v>
      </c>
      <c r="O378" s="23">
        <v>194.62</v>
      </c>
      <c r="P378" s="8">
        <v>4.2999999999999997E-2</v>
      </c>
      <c r="Q378">
        <v>32</v>
      </c>
      <c r="R378" s="23">
        <f t="shared" si="57"/>
        <v>5960.04288</v>
      </c>
      <c r="S378" s="23">
        <f t="shared" si="58"/>
        <v>2881.28</v>
      </c>
      <c r="T378" s="23">
        <f t="shared" si="59"/>
        <v>3078.7628799999998</v>
      </c>
      <c r="U378" s="14">
        <f t="shared" si="60"/>
        <v>0.51656723650954672</v>
      </c>
      <c r="V378" s="7" t="str">
        <f t="shared" si="61"/>
        <v>Aug-2024</v>
      </c>
      <c r="W378" s="22">
        <f t="shared" si="62"/>
        <v>45505</v>
      </c>
      <c r="X378" s="7" t="str">
        <f t="shared" si="63"/>
        <v>Q3-2024</v>
      </c>
      <c r="Y378" t="str">
        <f t="shared" si="64"/>
        <v>Europe → Germany → Frankfurt</v>
      </c>
      <c r="Z378" t="str">
        <f t="shared" si="65"/>
        <v>Printers</v>
      </c>
      <c r="AA378" t="str" cm="1">
        <f t="array" ref="AA378">_xlfn.IFS(O378&lt;=$AF$2,"Low",AND(O378&gt;$AF$2,O378&lt;$AF$3),"Medium",O378&gt;=$AF$3,"High")</f>
        <v>Low</v>
      </c>
      <c r="AB378" s="22">
        <f t="shared" si="66"/>
        <v>44927</v>
      </c>
      <c r="AC378">
        <v>19</v>
      </c>
    </row>
    <row r="379" spans="1:29" x14ac:dyDescent="0.35">
      <c r="A379" s="4" t="s">
        <v>49</v>
      </c>
      <c r="B379" s="5" t="str">
        <f>IF(COUNTIF($A$2:A379,A379)=1,"Original","Duplicate")</f>
        <v>Original</v>
      </c>
      <c r="C379" s="7">
        <v>45527</v>
      </c>
      <c r="D379" s="7">
        <v>45534</v>
      </c>
      <c r="E379">
        <f t="shared" si="56"/>
        <v>7</v>
      </c>
      <c r="F379" t="s">
        <v>646</v>
      </c>
      <c r="G379" t="s">
        <v>661</v>
      </c>
      <c r="H379" t="s">
        <v>682</v>
      </c>
      <c r="I379" t="s">
        <v>702</v>
      </c>
      <c r="J379" t="s">
        <v>707</v>
      </c>
      <c r="K379" t="s">
        <v>718</v>
      </c>
      <c r="L379" t="s">
        <v>727</v>
      </c>
      <c r="M379" t="s">
        <v>768</v>
      </c>
      <c r="N379" s="23">
        <v>1432.52</v>
      </c>
      <c r="O379" s="23">
        <v>3036.87</v>
      </c>
      <c r="P379" s="8">
        <v>0</v>
      </c>
      <c r="Q379">
        <v>9</v>
      </c>
      <c r="R379" s="23">
        <f t="shared" si="57"/>
        <v>27331.829999999998</v>
      </c>
      <c r="S379" s="23">
        <f t="shared" si="58"/>
        <v>12892.68</v>
      </c>
      <c r="T379" s="23">
        <f t="shared" si="59"/>
        <v>14439.149999999998</v>
      </c>
      <c r="U379" s="14">
        <f t="shared" si="60"/>
        <v>0.52829064135112791</v>
      </c>
      <c r="V379" s="7" t="str">
        <f t="shared" si="61"/>
        <v>Aug-2024</v>
      </c>
      <c r="W379" s="22">
        <f t="shared" si="62"/>
        <v>45505</v>
      </c>
      <c r="X379" s="7" t="str">
        <f t="shared" si="63"/>
        <v>Q3-2024</v>
      </c>
      <c r="Y379" t="str">
        <f t="shared" si="64"/>
        <v>Africa → South Africa → Johannesburg</v>
      </c>
      <c r="Z379" t="str">
        <f t="shared" si="65"/>
        <v>Components</v>
      </c>
      <c r="AA379" t="str" cm="1">
        <f t="array" ref="AA379">_xlfn.IFS(O379&lt;=$AF$2,"Low",AND(O379&gt;$AF$2,O379&lt;$AF$3),"Medium",O379&gt;=$AF$3,"High")</f>
        <v>High</v>
      </c>
      <c r="AB379" s="22">
        <f t="shared" si="66"/>
        <v>44927</v>
      </c>
      <c r="AC379">
        <v>19</v>
      </c>
    </row>
    <row r="380" spans="1:29" x14ac:dyDescent="0.35">
      <c r="A380" s="4" t="s">
        <v>55</v>
      </c>
      <c r="B380" s="5" t="str">
        <f>IF(COUNTIF($A$2:A380,A380)=1,"Original","Duplicate")</f>
        <v>Original</v>
      </c>
      <c r="C380" s="7">
        <v>45531</v>
      </c>
      <c r="D380" s="7">
        <v>45554</v>
      </c>
      <c r="E380">
        <f t="shared" si="56"/>
        <v>23</v>
      </c>
      <c r="F380" t="s">
        <v>649</v>
      </c>
      <c r="G380" t="s">
        <v>656</v>
      </c>
      <c r="H380" t="s">
        <v>671</v>
      </c>
      <c r="I380" t="s">
        <v>705</v>
      </c>
      <c r="J380" t="s">
        <v>711</v>
      </c>
      <c r="K380" t="s">
        <v>726</v>
      </c>
      <c r="L380" t="s">
        <v>732</v>
      </c>
      <c r="M380" t="s">
        <v>774</v>
      </c>
      <c r="N380" s="23">
        <v>1024.01</v>
      </c>
      <c r="O380" s="23">
        <v>1580.97</v>
      </c>
      <c r="P380" s="8">
        <v>3.6999999999999998E-2</v>
      </c>
      <c r="Q380">
        <v>27</v>
      </c>
      <c r="R380" s="23">
        <f t="shared" si="57"/>
        <v>41106.800970000004</v>
      </c>
      <c r="S380" s="23">
        <f t="shared" si="58"/>
        <v>27648.27</v>
      </c>
      <c r="T380" s="23">
        <f t="shared" si="59"/>
        <v>13458.530970000003</v>
      </c>
      <c r="U380" s="14">
        <f t="shared" si="60"/>
        <v>0.3274039976942531</v>
      </c>
      <c r="V380" s="7" t="str">
        <f t="shared" si="61"/>
        <v>Aug-2024</v>
      </c>
      <c r="W380" s="22">
        <f t="shared" si="62"/>
        <v>45505</v>
      </c>
      <c r="X380" s="7" t="str">
        <f t="shared" si="63"/>
        <v>Q3-2024</v>
      </c>
      <c r="Y380" t="str">
        <f t="shared" si="64"/>
        <v>Europe → Germany → Berlin</v>
      </c>
      <c r="Z380" t="str">
        <f t="shared" si="65"/>
        <v>Monitors</v>
      </c>
      <c r="AA380" t="str" cm="1">
        <f t="array" ref="AA380">_xlfn.IFS(O380&lt;=$AF$2,"Low",AND(O380&gt;$AF$2,O380&lt;$AF$3),"Medium",O380&gt;=$AF$3,"High")</f>
        <v>Medium</v>
      </c>
      <c r="AB380" s="22">
        <f t="shared" si="66"/>
        <v>44927</v>
      </c>
      <c r="AC380">
        <v>19</v>
      </c>
    </row>
    <row r="381" spans="1:29" x14ac:dyDescent="0.35">
      <c r="A381" s="4" t="s">
        <v>172</v>
      </c>
      <c r="B381" s="5" t="str">
        <f>IF(COUNTIF($A$2:A381,A381)=1,"Original","Duplicate")</f>
        <v>Original</v>
      </c>
      <c r="C381" s="7">
        <v>45531</v>
      </c>
      <c r="D381" s="7">
        <v>45553</v>
      </c>
      <c r="E381">
        <f t="shared" si="56"/>
        <v>22</v>
      </c>
      <c r="F381" t="s">
        <v>647</v>
      </c>
      <c r="G381" t="s">
        <v>654</v>
      </c>
      <c r="H381" t="s">
        <v>680</v>
      </c>
      <c r="I381" t="s">
        <v>704</v>
      </c>
      <c r="J381" t="s">
        <v>711</v>
      </c>
      <c r="K381" t="s">
        <v>717</v>
      </c>
      <c r="L381" t="s">
        <v>727</v>
      </c>
      <c r="M381" t="s">
        <v>891</v>
      </c>
      <c r="N381" s="23">
        <v>896.75</v>
      </c>
      <c r="O381" s="23">
        <v>1651.14</v>
      </c>
      <c r="P381" s="8">
        <v>2.5000000000000001E-2</v>
      </c>
      <c r="Q381">
        <v>15</v>
      </c>
      <c r="R381" s="23">
        <f t="shared" si="57"/>
        <v>24147.922500000001</v>
      </c>
      <c r="S381" s="23">
        <f t="shared" si="58"/>
        <v>13451.25</v>
      </c>
      <c r="T381" s="23">
        <f t="shared" si="59"/>
        <v>10696.672500000001</v>
      </c>
      <c r="U381" s="14">
        <f t="shared" si="60"/>
        <v>0.44296450346815552</v>
      </c>
      <c r="V381" s="7" t="str">
        <f t="shared" si="61"/>
        <v>Aug-2024</v>
      </c>
      <c r="W381" s="22">
        <f t="shared" si="62"/>
        <v>45505</v>
      </c>
      <c r="X381" s="7" t="str">
        <f t="shared" si="63"/>
        <v>Q3-2024</v>
      </c>
      <c r="Y381" t="str">
        <f t="shared" si="64"/>
        <v>Asia → India → Delhi</v>
      </c>
      <c r="Z381" t="str">
        <f t="shared" si="65"/>
        <v>Components</v>
      </c>
      <c r="AA381" t="str" cm="1">
        <f t="array" ref="AA381">_xlfn.IFS(O381&lt;=$AF$2,"Low",AND(O381&gt;$AF$2,O381&lt;$AF$3),"Medium",O381&gt;=$AF$3,"High")</f>
        <v>High</v>
      </c>
      <c r="AB381" s="22">
        <f t="shared" si="66"/>
        <v>44958</v>
      </c>
      <c r="AC381">
        <v>18</v>
      </c>
    </row>
    <row r="382" spans="1:29" x14ac:dyDescent="0.35">
      <c r="A382" s="4" t="s">
        <v>91</v>
      </c>
      <c r="B382" s="5" t="str">
        <f>IF(COUNTIF($A$2:A382,A382)=1,"Original","Duplicate")</f>
        <v>Original</v>
      </c>
      <c r="C382" s="7">
        <v>45532</v>
      </c>
      <c r="D382" s="7">
        <v>45560</v>
      </c>
      <c r="E382">
        <f t="shared" si="56"/>
        <v>28</v>
      </c>
      <c r="F382" t="s">
        <v>648</v>
      </c>
      <c r="G382" t="s">
        <v>655</v>
      </c>
      <c r="H382" t="s">
        <v>692</v>
      </c>
      <c r="I382" t="s">
        <v>703</v>
      </c>
      <c r="J382" t="s">
        <v>708</v>
      </c>
      <c r="K382" t="s">
        <v>1432</v>
      </c>
      <c r="L382" t="s">
        <v>733</v>
      </c>
      <c r="M382" t="s">
        <v>810</v>
      </c>
      <c r="N382" s="23">
        <v>1394.65</v>
      </c>
      <c r="O382" s="23">
        <v>3144.1</v>
      </c>
      <c r="P382" s="8">
        <v>0.13400000000000001</v>
      </c>
      <c r="Q382">
        <v>13</v>
      </c>
      <c r="R382" s="23">
        <f t="shared" si="57"/>
        <v>35396.277799999996</v>
      </c>
      <c r="S382" s="23">
        <f t="shared" si="58"/>
        <v>18130.45</v>
      </c>
      <c r="T382" s="23">
        <f t="shared" si="59"/>
        <v>17265.827799999995</v>
      </c>
      <c r="U382" s="14">
        <f t="shared" si="60"/>
        <v>0.4877865378263021</v>
      </c>
      <c r="V382" s="7" t="str">
        <f t="shared" si="61"/>
        <v>Aug-2024</v>
      </c>
      <c r="W382" s="22">
        <f t="shared" si="62"/>
        <v>45505</v>
      </c>
      <c r="X382" s="7" t="str">
        <f t="shared" si="63"/>
        <v>Q3-2024</v>
      </c>
      <c r="Y382" t="str">
        <f t="shared" si="64"/>
        <v>Americas → Brazil → Rio de Janeiro</v>
      </c>
      <c r="Z382" t="str">
        <f t="shared" si="65"/>
        <v>Accessories</v>
      </c>
      <c r="AA382" t="str" cm="1">
        <f t="array" ref="AA382">_xlfn.IFS(O382&lt;=$AF$2,"Low",AND(O382&gt;$AF$2,O382&lt;$AF$3),"Medium",O382&gt;=$AF$3,"High")</f>
        <v>High</v>
      </c>
      <c r="AB382" s="22">
        <f t="shared" si="66"/>
        <v>44927</v>
      </c>
      <c r="AC382">
        <v>19</v>
      </c>
    </row>
    <row r="383" spans="1:29" x14ac:dyDescent="0.35">
      <c r="A383" s="4" t="s">
        <v>424</v>
      </c>
      <c r="B383" s="5" t="str">
        <f>IF(COUNTIF($A$2:A383,A383)=1,"Original","Duplicate")</f>
        <v>Original</v>
      </c>
      <c r="C383" s="7">
        <v>45534</v>
      </c>
      <c r="D383" s="7">
        <v>45540</v>
      </c>
      <c r="E383">
        <f t="shared" si="56"/>
        <v>6</v>
      </c>
      <c r="F383" t="s">
        <v>647</v>
      </c>
      <c r="G383" t="s">
        <v>652</v>
      </c>
      <c r="H383" t="s">
        <v>694</v>
      </c>
      <c r="I383" t="s">
        <v>702</v>
      </c>
      <c r="J383" t="s">
        <v>708</v>
      </c>
      <c r="K383" t="s">
        <v>725</v>
      </c>
      <c r="L383" t="s">
        <v>731</v>
      </c>
      <c r="M383" t="s">
        <v>1143</v>
      </c>
      <c r="N383" s="23">
        <v>466.16</v>
      </c>
      <c r="O383" s="23">
        <v>876.81</v>
      </c>
      <c r="P383" s="8">
        <v>0.24099999999999999</v>
      </c>
      <c r="Q383">
        <v>8</v>
      </c>
      <c r="R383" s="23">
        <f t="shared" si="57"/>
        <v>5323.9903199999999</v>
      </c>
      <c r="S383" s="23">
        <f t="shared" si="58"/>
        <v>3729.28</v>
      </c>
      <c r="T383" s="23">
        <f t="shared" si="59"/>
        <v>1594.7103199999997</v>
      </c>
      <c r="U383" s="14">
        <f t="shared" si="60"/>
        <v>0.29953291124691594</v>
      </c>
      <c r="V383" s="7" t="str">
        <f t="shared" si="61"/>
        <v>Aug-2024</v>
      </c>
      <c r="W383" s="22">
        <f t="shared" si="62"/>
        <v>45505</v>
      </c>
      <c r="X383" s="7" t="str">
        <f t="shared" si="63"/>
        <v>Q3-2024</v>
      </c>
      <c r="Y383" t="str">
        <f t="shared" si="64"/>
        <v>Asia → Japan → Nagoya</v>
      </c>
      <c r="Z383" t="str">
        <f t="shared" si="65"/>
        <v>Laptops</v>
      </c>
      <c r="AA383" t="str" cm="1">
        <f t="array" ref="AA383">_xlfn.IFS(O383&lt;=$AF$2,"Low",AND(O383&gt;$AF$2,O383&lt;$AF$3),"Medium",O383&gt;=$AF$3,"High")</f>
        <v>Medium</v>
      </c>
      <c r="AB383" s="22">
        <f t="shared" si="66"/>
        <v>44986</v>
      </c>
      <c r="AC383">
        <v>17</v>
      </c>
    </row>
    <row r="384" spans="1:29" x14ac:dyDescent="0.35">
      <c r="A384" s="4" t="s">
        <v>569</v>
      </c>
      <c r="B384" s="5" t="str">
        <f>IF(COUNTIF($A$2:A384,A384)=1,"Original","Duplicate")</f>
        <v>Original</v>
      </c>
      <c r="C384" s="7">
        <v>45535</v>
      </c>
      <c r="D384" s="7">
        <v>45561</v>
      </c>
      <c r="E384">
        <f t="shared" si="56"/>
        <v>26</v>
      </c>
      <c r="F384" t="s">
        <v>647</v>
      </c>
      <c r="G384" t="s">
        <v>652</v>
      </c>
      <c r="H384" t="s">
        <v>689</v>
      </c>
      <c r="I384" t="s">
        <v>702</v>
      </c>
      <c r="J384" t="s">
        <v>708</v>
      </c>
      <c r="K384" t="s">
        <v>714</v>
      </c>
      <c r="L384" t="s">
        <v>730</v>
      </c>
      <c r="M384" t="s">
        <v>1287</v>
      </c>
      <c r="N384" s="23">
        <v>1189.03</v>
      </c>
      <c r="O384" s="23">
        <v>2949.62</v>
      </c>
      <c r="P384" s="8">
        <v>0.125</v>
      </c>
      <c r="Q384">
        <v>13</v>
      </c>
      <c r="R384" s="23">
        <f t="shared" si="57"/>
        <v>33551.927499999998</v>
      </c>
      <c r="S384" s="23">
        <f t="shared" si="58"/>
        <v>15457.39</v>
      </c>
      <c r="T384" s="23">
        <f t="shared" si="59"/>
        <v>18094.537499999999</v>
      </c>
      <c r="U384" s="14">
        <f t="shared" si="60"/>
        <v>0.53929949330034765</v>
      </c>
      <c r="V384" s="7" t="str">
        <f t="shared" si="61"/>
        <v>Aug-2024</v>
      </c>
      <c r="W384" s="22">
        <f t="shared" si="62"/>
        <v>45505</v>
      </c>
      <c r="X384" s="7" t="str">
        <f t="shared" si="63"/>
        <v>Q3-2024</v>
      </c>
      <c r="Y384" t="str">
        <f t="shared" si="64"/>
        <v>Asia → Japan → Tokyo</v>
      </c>
      <c r="Z384" t="str">
        <f t="shared" si="65"/>
        <v>Phones</v>
      </c>
      <c r="AA384" t="str" cm="1">
        <f t="array" ref="AA384">_xlfn.IFS(O384&lt;=$AF$2,"Low",AND(O384&gt;$AF$2,O384&lt;$AF$3),"Medium",O384&gt;=$AF$3,"High")</f>
        <v>High</v>
      </c>
      <c r="AB384" s="22">
        <f t="shared" si="66"/>
        <v>44986</v>
      </c>
      <c r="AC384">
        <v>17</v>
      </c>
    </row>
    <row r="385" spans="1:29" x14ac:dyDescent="0.35">
      <c r="A385" s="4" t="s">
        <v>264</v>
      </c>
      <c r="B385" s="5" t="str">
        <f>IF(COUNTIF($A$2:A385,A385)=1,"Original","Duplicate")</f>
        <v>Original</v>
      </c>
      <c r="C385" s="7">
        <v>45537</v>
      </c>
      <c r="D385" s="7">
        <v>45543</v>
      </c>
      <c r="E385">
        <f t="shared" si="56"/>
        <v>6</v>
      </c>
      <c r="F385" t="s">
        <v>648</v>
      </c>
      <c r="G385" t="s">
        <v>660</v>
      </c>
      <c r="H385" t="s">
        <v>697</v>
      </c>
      <c r="I385" t="s">
        <v>704</v>
      </c>
      <c r="J385" t="s">
        <v>711</v>
      </c>
      <c r="K385" t="s">
        <v>722</v>
      </c>
      <c r="L385" t="s">
        <v>727</v>
      </c>
      <c r="M385" t="s">
        <v>984</v>
      </c>
      <c r="N385" s="23">
        <v>462.94</v>
      </c>
      <c r="O385" s="23">
        <v>1015.7</v>
      </c>
      <c r="P385" s="8">
        <v>0.14299999999999999</v>
      </c>
      <c r="Q385">
        <v>14</v>
      </c>
      <c r="R385" s="23">
        <f t="shared" si="57"/>
        <v>12186.368600000002</v>
      </c>
      <c r="S385" s="23">
        <f t="shared" si="58"/>
        <v>6481.16</v>
      </c>
      <c r="T385" s="23">
        <f t="shared" si="59"/>
        <v>5705.2086000000018</v>
      </c>
      <c r="U385" s="14">
        <f t="shared" si="60"/>
        <v>0.46816314090483041</v>
      </c>
      <c r="V385" s="7" t="str">
        <f t="shared" si="61"/>
        <v>Sept-2024</v>
      </c>
      <c r="W385" s="22">
        <f t="shared" si="62"/>
        <v>45536</v>
      </c>
      <c r="X385" s="7" t="str">
        <f t="shared" si="63"/>
        <v>Q3-2024</v>
      </c>
      <c r="Y385" t="str">
        <f t="shared" si="64"/>
        <v>Americas → USA → Austin</v>
      </c>
      <c r="Z385" t="str">
        <f t="shared" si="65"/>
        <v>Components</v>
      </c>
      <c r="AA385" t="str" cm="1">
        <f t="array" ref="AA385">_xlfn.IFS(O385&lt;=$AF$2,"Low",AND(O385&gt;$AF$2,O385&lt;$AF$3),"Medium",O385&gt;=$AF$3,"High")</f>
        <v>Medium</v>
      </c>
      <c r="AB385" s="22">
        <f t="shared" si="66"/>
        <v>44927</v>
      </c>
      <c r="AC385">
        <v>20</v>
      </c>
    </row>
    <row r="386" spans="1:29" x14ac:dyDescent="0.35">
      <c r="A386" s="4" t="s">
        <v>246</v>
      </c>
      <c r="B386" s="5" t="str">
        <f>IF(COUNTIF($A$2:A386,A386)=1,"Original","Duplicate")</f>
        <v>Original</v>
      </c>
      <c r="C386" s="7">
        <v>45538</v>
      </c>
      <c r="D386" s="7">
        <v>45543</v>
      </c>
      <c r="E386">
        <f t="shared" ref="E386:E449" si="67">D386-C386</f>
        <v>5</v>
      </c>
      <c r="F386" t="s">
        <v>646</v>
      </c>
      <c r="G386" t="s">
        <v>651</v>
      </c>
      <c r="H386" t="s">
        <v>665</v>
      </c>
      <c r="I386" t="s">
        <v>705</v>
      </c>
      <c r="J386" t="s">
        <v>711</v>
      </c>
      <c r="K386" t="s">
        <v>723</v>
      </c>
      <c r="L386" t="s">
        <v>728</v>
      </c>
      <c r="M386" t="s">
        <v>966</v>
      </c>
      <c r="N386" s="23">
        <v>197.63</v>
      </c>
      <c r="O386" s="23">
        <v>325.79000000000002</v>
      </c>
      <c r="P386" s="8">
        <v>0.11600000000000001</v>
      </c>
      <c r="Q386">
        <v>10</v>
      </c>
      <c r="R386" s="23">
        <f t="shared" si="57"/>
        <v>2879.9836</v>
      </c>
      <c r="S386" s="23">
        <f t="shared" si="58"/>
        <v>1976.3</v>
      </c>
      <c r="T386" s="23">
        <f t="shared" si="59"/>
        <v>903.68360000000007</v>
      </c>
      <c r="U386" s="14">
        <f t="shared" si="60"/>
        <v>0.31378081458519419</v>
      </c>
      <c r="V386" s="7" t="str">
        <f t="shared" si="61"/>
        <v>Sept-2024</v>
      </c>
      <c r="W386" s="22">
        <f t="shared" si="62"/>
        <v>45536</v>
      </c>
      <c r="X386" s="7" t="str">
        <f t="shared" si="63"/>
        <v>Q3-2024</v>
      </c>
      <c r="Y386" t="str">
        <f t="shared" si="64"/>
        <v>Africa → Nigeria → Lagos</v>
      </c>
      <c r="Z386" t="str">
        <f t="shared" si="65"/>
        <v>Printers</v>
      </c>
      <c r="AA386" t="str" cm="1">
        <f t="array" ref="AA386">_xlfn.IFS(O386&lt;=$AF$2,"Low",AND(O386&gt;$AF$2,O386&lt;$AF$3),"Medium",O386&gt;=$AF$3,"High")</f>
        <v>Low</v>
      </c>
      <c r="AB386" s="22">
        <f t="shared" si="66"/>
        <v>44927</v>
      </c>
      <c r="AC386">
        <v>20</v>
      </c>
    </row>
    <row r="387" spans="1:29" x14ac:dyDescent="0.35">
      <c r="A387" s="4" t="s">
        <v>495</v>
      </c>
      <c r="B387" s="5" t="str">
        <f>IF(COUNTIF($A$2:A387,A387)=1,"Original","Duplicate")</f>
        <v>Original</v>
      </c>
      <c r="C387" s="7">
        <v>45538</v>
      </c>
      <c r="D387" s="7">
        <v>45542</v>
      </c>
      <c r="E387">
        <f t="shared" si="67"/>
        <v>4</v>
      </c>
      <c r="F387" t="s">
        <v>647</v>
      </c>
      <c r="G387" t="s">
        <v>652</v>
      </c>
      <c r="H387" t="s">
        <v>689</v>
      </c>
      <c r="I387" t="s">
        <v>705</v>
      </c>
      <c r="J387" t="s">
        <v>710</v>
      </c>
      <c r="K387" t="s">
        <v>725</v>
      </c>
      <c r="L387" t="s">
        <v>728</v>
      </c>
      <c r="M387" t="s">
        <v>1214</v>
      </c>
      <c r="N387" s="23">
        <v>43.23</v>
      </c>
      <c r="O387" s="23">
        <v>94.78</v>
      </c>
      <c r="P387" s="8">
        <v>9.0999999999999998E-2</v>
      </c>
      <c r="Q387">
        <v>55</v>
      </c>
      <c r="R387" s="23">
        <f t="shared" ref="R387:R450" si="68">(O387*Q387)*(1-P387)</f>
        <v>4738.5261</v>
      </c>
      <c r="S387" s="23">
        <f t="shared" ref="S387:S450" si="69">N387*Q387</f>
        <v>2377.6499999999996</v>
      </c>
      <c r="T387" s="23">
        <f t="shared" ref="T387:T450" si="70">R387-S387</f>
        <v>2360.8761000000004</v>
      </c>
      <c r="U387" s="14">
        <f t="shared" ref="U387:U450" si="71">IF(R387=0,0,T387/R387)</f>
        <v>0.49823005090127082</v>
      </c>
      <c r="V387" s="7" t="str">
        <f t="shared" ref="V387:V450" si="72">TEXT(C387,"MMM-YYYY")</f>
        <v>Sept-2024</v>
      </c>
      <c r="W387" s="22">
        <f t="shared" ref="W387:W450" si="73">DATEVALUE(V387)</f>
        <v>45536</v>
      </c>
      <c r="X387" s="7" t="str">
        <f t="shared" ref="X387:X450" si="74">"Q"&amp;ROUNDUP(MONTH(C387)/3,0)&amp;"-"&amp;YEAR(C387)</f>
        <v>Q3-2024</v>
      </c>
      <c r="Y387" t="str">
        <f t="shared" ref="Y387:Y450" si="75">_xlfn.CONCAT(F387," ","→"," ",G387," ","→"," ",H387)</f>
        <v>Asia → Japan → Tokyo</v>
      </c>
      <c r="Z387" t="str">
        <f t="shared" ref="Z387:Z450" si="76">TRIM(L387)</f>
        <v>Printers</v>
      </c>
      <c r="AA387" t="str" cm="1">
        <f t="array" ref="AA387">_xlfn.IFS(O387&lt;=$AF$2,"Low",AND(O387&gt;$AF$2,O387&lt;$AF$3),"Medium",O387&gt;=$AF$3,"High")</f>
        <v>Low</v>
      </c>
      <c r="AB387" s="22">
        <f t="shared" ref="AB387:AB450" si="77">_xlfn.MINIFS($W$2:$W$632,$G$2:$G$632,G387)</f>
        <v>44986</v>
      </c>
      <c r="AC387">
        <v>18</v>
      </c>
    </row>
    <row r="388" spans="1:29" x14ac:dyDescent="0.35">
      <c r="A388" s="4" t="s">
        <v>247</v>
      </c>
      <c r="B388" s="5" t="str">
        <f>IF(COUNTIF($A$2:A388,A388)=1,"Original","Duplicate")</f>
        <v>Original</v>
      </c>
      <c r="C388" s="7">
        <v>45540</v>
      </c>
      <c r="D388" s="7">
        <v>45560</v>
      </c>
      <c r="E388">
        <f t="shared" si="67"/>
        <v>20</v>
      </c>
      <c r="F388" t="s">
        <v>647</v>
      </c>
      <c r="G388" t="s">
        <v>652</v>
      </c>
      <c r="H388" t="s">
        <v>666</v>
      </c>
      <c r="I388" t="s">
        <v>706</v>
      </c>
      <c r="J388" t="s">
        <v>710</v>
      </c>
      <c r="K388" t="s">
        <v>726</v>
      </c>
      <c r="L388" t="s">
        <v>732</v>
      </c>
      <c r="M388" t="s">
        <v>967</v>
      </c>
      <c r="N388" s="23">
        <v>195.54</v>
      </c>
      <c r="O388" s="23">
        <v>405.97</v>
      </c>
      <c r="P388" s="8">
        <v>0.187</v>
      </c>
      <c r="Q388">
        <v>16</v>
      </c>
      <c r="R388" s="23">
        <f t="shared" si="68"/>
        <v>5280.8577599999999</v>
      </c>
      <c r="S388" s="23">
        <f t="shared" si="69"/>
        <v>3128.64</v>
      </c>
      <c r="T388" s="23">
        <f t="shared" si="70"/>
        <v>2152.21776</v>
      </c>
      <c r="U388" s="14">
        <f t="shared" si="71"/>
        <v>0.40755079152141377</v>
      </c>
      <c r="V388" s="7" t="str">
        <f t="shared" si="72"/>
        <v>Sept-2024</v>
      </c>
      <c r="W388" s="22">
        <f t="shared" si="73"/>
        <v>45536</v>
      </c>
      <c r="X388" s="7" t="str">
        <f t="shared" si="74"/>
        <v>Q3-2024</v>
      </c>
      <c r="Y388" t="str">
        <f t="shared" si="75"/>
        <v>Asia → Japan → Osaka</v>
      </c>
      <c r="Z388" t="str">
        <f t="shared" si="76"/>
        <v>Monitors</v>
      </c>
      <c r="AA388" t="str" cm="1">
        <f t="array" ref="AA388">_xlfn.IFS(O388&lt;=$AF$2,"Low",AND(O388&gt;$AF$2,O388&lt;$AF$3),"Medium",O388&gt;=$AF$3,"High")</f>
        <v>Low</v>
      </c>
      <c r="AB388" s="22">
        <f t="shared" si="77"/>
        <v>44986</v>
      </c>
      <c r="AC388">
        <v>18</v>
      </c>
    </row>
    <row r="389" spans="1:29" x14ac:dyDescent="0.35">
      <c r="A389" s="4" t="s">
        <v>413</v>
      </c>
      <c r="B389" s="5" t="str">
        <f>IF(COUNTIF($A$2:A389,A389)=1,"Original","Duplicate")</f>
        <v>Original</v>
      </c>
      <c r="C389" s="7">
        <v>45541</v>
      </c>
      <c r="D389" s="7">
        <v>45569</v>
      </c>
      <c r="E389">
        <f t="shared" si="67"/>
        <v>28</v>
      </c>
      <c r="F389" t="s">
        <v>646</v>
      </c>
      <c r="G389" t="s">
        <v>661</v>
      </c>
      <c r="H389" t="s">
        <v>695</v>
      </c>
      <c r="I389" t="s">
        <v>701</v>
      </c>
      <c r="J389" t="s">
        <v>709</v>
      </c>
      <c r="K389" t="s">
        <v>726</v>
      </c>
      <c r="L389" t="s">
        <v>732</v>
      </c>
      <c r="M389" t="s">
        <v>1132</v>
      </c>
      <c r="N389" s="23">
        <v>1174.17</v>
      </c>
      <c r="O389" s="23">
        <v>1641.61</v>
      </c>
      <c r="P389" s="8">
        <v>0.122</v>
      </c>
      <c r="Q389">
        <v>9</v>
      </c>
      <c r="R389" s="23">
        <f t="shared" si="68"/>
        <v>12972.00222</v>
      </c>
      <c r="S389" s="23">
        <f t="shared" si="69"/>
        <v>10567.53</v>
      </c>
      <c r="T389" s="23">
        <f t="shared" si="70"/>
        <v>2404.4722199999997</v>
      </c>
      <c r="U389" s="14">
        <f t="shared" si="71"/>
        <v>0.18535860380079394</v>
      </c>
      <c r="V389" s="7" t="str">
        <f t="shared" si="72"/>
        <v>Sept-2024</v>
      </c>
      <c r="W389" s="22">
        <f t="shared" si="73"/>
        <v>45536</v>
      </c>
      <c r="X389" s="7" t="str">
        <f t="shared" si="74"/>
        <v>Q3-2024</v>
      </c>
      <c r="Y389" t="str">
        <f t="shared" si="75"/>
        <v>Africa → South Africa → Cape Town</v>
      </c>
      <c r="Z389" t="str">
        <f t="shared" si="76"/>
        <v>Monitors</v>
      </c>
      <c r="AA389" t="str" cm="1">
        <f t="array" ref="AA389">_xlfn.IFS(O389&lt;=$AF$2,"Low",AND(O389&gt;$AF$2,O389&lt;$AF$3),"Medium",O389&gt;=$AF$3,"High")</f>
        <v>High</v>
      </c>
      <c r="AB389" s="22">
        <f t="shared" si="77"/>
        <v>44927</v>
      </c>
      <c r="AC389">
        <v>20</v>
      </c>
    </row>
    <row r="390" spans="1:29" x14ac:dyDescent="0.35">
      <c r="A390" s="4" t="s">
        <v>597</v>
      </c>
      <c r="B390" s="5" t="str">
        <f>IF(COUNTIF($A$2:A390,A390)=1,"Original","Duplicate")</f>
        <v>Original</v>
      </c>
      <c r="C390" s="7">
        <v>45541</v>
      </c>
      <c r="D390" s="7">
        <v>45548</v>
      </c>
      <c r="E390">
        <f t="shared" si="67"/>
        <v>7</v>
      </c>
      <c r="F390" t="s">
        <v>647</v>
      </c>
      <c r="G390" t="s">
        <v>652</v>
      </c>
      <c r="H390" t="s">
        <v>666</v>
      </c>
      <c r="I390" t="s">
        <v>701</v>
      </c>
      <c r="J390" t="s">
        <v>711</v>
      </c>
      <c r="K390" t="s">
        <v>720</v>
      </c>
      <c r="L390" t="s">
        <v>731</v>
      </c>
      <c r="M390" t="s">
        <v>1315</v>
      </c>
      <c r="N390" s="23">
        <v>1368.17</v>
      </c>
      <c r="O390" s="23">
        <v>2307.75</v>
      </c>
      <c r="P390" s="8">
        <v>0.16300000000000001</v>
      </c>
      <c r="Q390">
        <v>21</v>
      </c>
      <c r="R390" s="23">
        <f t="shared" si="68"/>
        <v>40563.321749999996</v>
      </c>
      <c r="S390" s="23">
        <f t="shared" si="69"/>
        <v>28731.57</v>
      </c>
      <c r="T390" s="23">
        <f t="shared" si="70"/>
        <v>11831.751749999996</v>
      </c>
      <c r="U390" s="14">
        <f t="shared" si="71"/>
        <v>0.29168596750831921</v>
      </c>
      <c r="V390" s="7" t="str">
        <f t="shared" si="72"/>
        <v>Sept-2024</v>
      </c>
      <c r="W390" s="22">
        <f t="shared" si="73"/>
        <v>45536</v>
      </c>
      <c r="X390" s="7" t="str">
        <f t="shared" si="74"/>
        <v>Q3-2024</v>
      </c>
      <c r="Y390" t="str">
        <f t="shared" si="75"/>
        <v>Asia → Japan → Osaka</v>
      </c>
      <c r="Z390" t="str">
        <f t="shared" si="76"/>
        <v>Laptops</v>
      </c>
      <c r="AA390" t="str" cm="1">
        <f t="array" ref="AA390">_xlfn.IFS(O390&lt;=$AF$2,"Low",AND(O390&gt;$AF$2,O390&lt;$AF$3),"Medium",O390&gt;=$AF$3,"High")</f>
        <v>High</v>
      </c>
      <c r="AB390" s="22">
        <f t="shared" si="77"/>
        <v>44986</v>
      </c>
      <c r="AC390">
        <v>18</v>
      </c>
    </row>
    <row r="391" spans="1:29" x14ac:dyDescent="0.35">
      <c r="A391" s="4" t="s">
        <v>301</v>
      </c>
      <c r="B391" s="5" t="str">
        <f>IF(COUNTIF($A$2:A391,A391)=1,"Original","Duplicate")</f>
        <v>Original</v>
      </c>
      <c r="C391" s="7">
        <v>45542</v>
      </c>
      <c r="D391" s="7">
        <v>45548</v>
      </c>
      <c r="E391">
        <f t="shared" si="67"/>
        <v>6</v>
      </c>
      <c r="F391" t="s">
        <v>647</v>
      </c>
      <c r="G391" t="s">
        <v>654</v>
      </c>
      <c r="H391" t="s">
        <v>691</v>
      </c>
      <c r="I391" t="s">
        <v>702</v>
      </c>
      <c r="J391" t="s">
        <v>710</v>
      </c>
      <c r="K391" t="s">
        <v>717</v>
      </c>
      <c r="L391" t="s">
        <v>729</v>
      </c>
      <c r="M391" t="s">
        <v>1021</v>
      </c>
      <c r="N391" s="23">
        <v>1066.6500000000001</v>
      </c>
      <c r="O391" s="23">
        <v>2569.77</v>
      </c>
      <c r="P391" s="8">
        <v>0.13400000000000001</v>
      </c>
      <c r="Q391">
        <v>9</v>
      </c>
      <c r="R391" s="23">
        <f t="shared" si="68"/>
        <v>20028.787380000002</v>
      </c>
      <c r="S391" s="23">
        <f t="shared" si="69"/>
        <v>9599.85</v>
      </c>
      <c r="T391" s="23">
        <f t="shared" si="70"/>
        <v>10428.937380000001</v>
      </c>
      <c r="U391" s="14">
        <f t="shared" si="71"/>
        <v>0.52069739331368348</v>
      </c>
      <c r="V391" s="7" t="str">
        <f t="shared" si="72"/>
        <v>Sept-2024</v>
      </c>
      <c r="W391" s="22">
        <f t="shared" si="73"/>
        <v>45536</v>
      </c>
      <c r="X391" s="7" t="str">
        <f t="shared" si="74"/>
        <v>Q3-2024</v>
      </c>
      <c r="Y391" t="str">
        <f t="shared" si="75"/>
        <v>Asia → India → Mumbai</v>
      </c>
      <c r="Z391" t="str">
        <f t="shared" si="76"/>
        <v>Networking</v>
      </c>
      <c r="AA391" t="str" cm="1">
        <f t="array" ref="AA391">_xlfn.IFS(O391&lt;=$AF$2,"Low",AND(O391&gt;$AF$2,O391&lt;$AF$3),"Medium",O391&gt;=$AF$3,"High")</f>
        <v>High</v>
      </c>
      <c r="AB391" s="22">
        <f t="shared" si="77"/>
        <v>44958</v>
      </c>
      <c r="AC391">
        <v>19</v>
      </c>
    </row>
    <row r="392" spans="1:29" x14ac:dyDescent="0.35">
      <c r="A392" s="4" t="s">
        <v>448</v>
      </c>
      <c r="B392" s="5" t="str">
        <f>IF(COUNTIF($A$2:A392,A392)=1,"Original","Duplicate")</f>
        <v>Original</v>
      </c>
      <c r="C392" s="7">
        <v>45542</v>
      </c>
      <c r="D392" s="7">
        <v>45553</v>
      </c>
      <c r="E392">
        <f t="shared" si="67"/>
        <v>11</v>
      </c>
      <c r="F392" t="s">
        <v>647</v>
      </c>
      <c r="G392" t="s">
        <v>659</v>
      </c>
      <c r="H392" t="s">
        <v>699</v>
      </c>
      <c r="I392" t="s">
        <v>704</v>
      </c>
      <c r="J392" t="s">
        <v>710</v>
      </c>
      <c r="K392" t="s">
        <v>719</v>
      </c>
      <c r="L392" t="s">
        <v>729</v>
      </c>
      <c r="M392" t="s">
        <v>1167</v>
      </c>
      <c r="N392" s="23">
        <v>181.74</v>
      </c>
      <c r="O392" s="23">
        <v>190.84</v>
      </c>
      <c r="P392" s="8">
        <v>0.214</v>
      </c>
      <c r="Q392">
        <v>13</v>
      </c>
      <c r="R392" s="23">
        <f t="shared" si="68"/>
        <v>1950.0031200000001</v>
      </c>
      <c r="S392" s="23">
        <f t="shared" si="69"/>
        <v>2362.62</v>
      </c>
      <c r="T392" s="23">
        <f t="shared" si="70"/>
        <v>-412.61687999999981</v>
      </c>
      <c r="U392" s="14">
        <f t="shared" si="71"/>
        <v>-0.21159806144310159</v>
      </c>
      <c r="V392" s="7" t="str">
        <f t="shared" si="72"/>
        <v>Sept-2024</v>
      </c>
      <c r="W392" s="22">
        <f t="shared" si="73"/>
        <v>45536</v>
      </c>
      <c r="X392" s="7" t="str">
        <f t="shared" si="74"/>
        <v>Q3-2024</v>
      </c>
      <c r="Y392" t="str">
        <f t="shared" si="75"/>
        <v>Asia → China → Beijing</v>
      </c>
      <c r="Z392" t="str">
        <f t="shared" si="76"/>
        <v>Networking</v>
      </c>
      <c r="AA392" t="str" cm="1">
        <f t="array" ref="AA392">_xlfn.IFS(O392&lt;=$AF$2,"Low",AND(O392&gt;$AF$2,O392&lt;$AF$3),"Medium",O392&gt;=$AF$3,"High")</f>
        <v>Low</v>
      </c>
      <c r="AB392" s="22">
        <f t="shared" si="77"/>
        <v>44927</v>
      </c>
      <c r="AC392">
        <v>20</v>
      </c>
    </row>
    <row r="393" spans="1:29" x14ac:dyDescent="0.35">
      <c r="A393" s="4" t="s">
        <v>226</v>
      </c>
      <c r="B393" s="5" t="str">
        <f>IF(COUNTIF($A$2:A393,A393)=1,"Original","Duplicate")</f>
        <v>Original</v>
      </c>
      <c r="C393" s="7">
        <v>45544</v>
      </c>
      <c r="D393" s="7">
        <v>45566</v>
      </c>
      <c r="E393">
        <f t="shared" si="67"/>
        <v>22</v>
      </c>
      <c r="F393" t="s">
        <v>647</v>
      </c>
      <c r="G393" t="s">
        <v>659</v>
      </c>
      <c r="H393" t="s">
        <v>676</v>
      </c>
      <c r="I393" t="s">
        <v>704</v>
      </c>
      <c r="J393" t="s">
        <v>711</v>
      </c>
      <c r="K393" t="s">
        <v>716</v>
      </c>
      <c r="L393" t="s">
        <v>728</v>
      </c>
      <c r="M393" t="s">
        <v>946</v>
      </c>
      <c r="N393" s="23">
        <v>1166.18</v>
      </c>
      <c r="O393" s="23">
        <v>1335.02</v>
      </c>
      <c r="P393" s="8">
        <v>0.128</v>
      </c>
      <c r="Q393">
        <v>6</v>
      </c>
      <c r="R393" s="23">
        <f t="shared" si="68"/>
        <v>6984.8246399999998</v>
      </c>
      <c r="S393" s="23">
        <f t="shared" si="69"/>
        <v>6997.08</v>
      </c>
      <c r="T393" s="23">
        <f t="shared" si="70"/>
        <v>-12.25536000000011</v>
      </c>
      <c r="U393" s="14">
        <f t="shared" si="71"/>
        <v>-1.7545694604582242E-3</v>
      </c>
      <c r="V393" s="7" t="str">
        <f t="shared" si="72"/>
        <v>Sept-2024</v>
      </c>
      <c r="W393" s="22">
        <f t="shared" si="73"/>
        <v>45536</v>
      </c>
      <c r="X393" s="7" t="str">
        <f t="shared" si="74"/>
        <v>Q3-2024</v>
      </c>
      <c r="Y393" t="str">
        <f t="shared" si="75"/>
        <v>Asia → China → Shenzhen</v>
      </c>
      <c r="Z393" t="str">
        <f t="shared" si="76"/>
        <v>Printers</v>
      </c>
      <c r="AA393" t="str" cm="1">
        <f t="array" ref="AA393">_xlfn.IFS(O393&lt;=$AF$2,"Low",AND(O393&gt;$AF$2,O393&lt;$AF$3),"Medium",O393&gt;=$AF$3,"High")</f>
        <v>Medium</v>
      </c>
      <c r="AB393" s="22">
        <f t="shared" si="77"/>
        <v>44927</v>
      </c>
      <c r="AC393">
        <v>20</v>
      </c>
    </row>
    <row r="394" spans="1:29" x14ac:dyDescent="0.35">
      <c r="A394" s="4" t="s">
        <v>338</v>
      </c>
      <c r="B394" s="5" t="str">
        <f>IF(COUNTIF($A$2:A394,A394)=1,"Original","Duplicate")</f>
        <v>Original</v>
      </c>
      <c r="C394" s="7">
        <v>45544</v>
      </c>
      <c r="D394" s="7">
        <v>45573</v>
      </c>
      <c r="E394">
        <f t="shared" si="67"/>
        <v>29</v>
      </c>
      <c r="F394" t="s">
        <v>648</v>
      </c>
      <c r="G394" t="s">
        <v>655</v>
      </c>
      <c r="H394" t="s">
        <v>670</v>
      </c>
      <c r="I394" t="s">
        <v>702</v>
      </c>
      <c r="J394" t="s">
        <v>711</v>
      </c>
      <c r="K394" t="s">
        <v>713</v>
      </c>
      <c r="L394" t="s">
        <v>727</v>
      </c>
      <c r="M394" t="s">
        <v>1058</v>
      </c>
      <c r="N394" s="23">
        <v>1010.33</v>
      </c>
      <c r="O394" s="23">
        <v>2492.14</v>
      </c>
      <c r="P394" s="8">
        <v>5.0999999999999997E-2</v>
      </c>
      <c r="Q394">
        <v>11</v>
      </c>
      <c r="R394" s="23">
        <f t="shared" si="68"/>
        <v>26015.449459999996</v>
      </c>
      <c r="S394" s="23">
        <f t="shared" si="69"/>
        <v>11113.630000000001</v>
      </c>
      <c r="T394" s="23">
        <f t="shared" si="70"/>
        <v>14901.819459999995</v>
      </c>
      <c r="U394" s="14">
        <f t="shared" si="71"/>
        <v>0.57280653493656752</v>
      </c>
      <c r="V394" s="7" t="str">
        <f t="shared" si="72"/>
        <v>Sept-2024</v>
      </c>
      <c r="W394" s="22">
        <f t="shared" si="73"/>
        <v>45536</v>
      </c>
      <c r="X394" s="7" t="str">
        <f t="shared" si="74"/>
        <v>Q3-2024</v>
      </c>
      <c r="Y394" t="str">
        <f t="shared" si="75"/>
        <v>Americas → Brazil → São Paulo</v>
      </c>
      <c r="Z394" t="str">
        <f t="shared" si="76"/>
        <v>Components</v>
      </c>
      <c r="AA394" t="str" cm="1">
        <f t="array" ref="AA394">_xlfn.IFS(O394&lt;=$AF$2,"Low",AND(O394&gt;$AF$2,O394&lt;$AF$3),"Medium",O394&gt;=$AF$3,"High")</f>
        <v>High</v>
      </c>
      <c r="AB394" s="22">
        <f t="shared" si="77"/>
        <v>44927</v>
      </c>
      <c r="AC394">
        <v>20</v>
      </c>
    </row>
    <row r="395" spans="1:29" x14ac:dyDescent="0.35">
      <c r="A395" s="4" t="s">
        <v>511</v>
      </c>
      <c r="B395" s="5" t="str">
        <f>IF(COUNTIF($A$2:A395,A395)=1,"Original","Duplicate")</f>
        <v>Original</v>
      </c>
      <c r="C395" s="7">
        <v>45544</v>
      </c>
      <c r="D395" s="7">
        <v>45548</v>
      </c>
      <c r="E395">
        <f t="shared" si="67"/>
        <v>4</v>
      </c>
      <c r="F395" t="s">
        <v>649</v>
      </c>
      <c r="G395" t="s">
        <v>658</v>
      </c>
      <c r="H395" t="s">
        <v>683</v>
      </c>
      <c r="I395" t="s">
        <v>704</v>
      </c>
      <c r="J395" t="s">
        <v>709</v>
      </c>
      <c r="K395" t="s">
        <v>721</v>
      </c>
      <c r="L395" t="s">
        <v>729</v>
      </c>
      <c r="M395" t="s">
        <v>1230</v>
      </c>
      <c r="N395" s="23">
        <v>1133.08</v>
      </c>
      <c r="O395" s="23">
        <v>976.17</v>
      </c>
      <c r="P395" s="8">
        <v>4.2000000000000003E-2</v>
      </c>
      <c r="Q395">
        <v>27</v>
      </c>
      <c r="R395" s="23">
        <f t="shared" si="68"/>
        <v>25249.613219999999</v>
      </c>
      <c r="S395" s="23">
        <f t="shared" si="69"/>
        <v>30593.159999999996</v>
      </c>
      <c r="T395" s="23">
        <f t="shared" si="70"/>
        <v>-5343.5467799999969</v>
      </c>
      <c r="U395" s="14">
        <f t="shared" si="71"/>
        <v>-0.21162885678452373</v>
      </c>
      <c r="V395" s="7" t="str">
        <f t="shared" si="72"/>
        <v>Sept-2024</v>
      </c>
      <c r="W395" s="22">
        <f t="shared" si="73"/>
        <v>45536</v>
      </c>
      <c r="X395" s="7" t="str">
        <f t="shared" si="74"/>
        <v>Q3-2024</v>
      </c>
      <c r="Y395" t="str">
        <f t="shared" si="75"/>
        <v>Europe → United Kingdom → London</v>
      </c>
      <c r="Z395" t="str">
        <f t="shared" si="76"/>
        <v>Networking</v>
      </c>
      <c r="AA395" t="str" cm="1">
        <f t="array" ref="AA395">_xlfn.IFS(O395&lt;=$AF$2,"Low",AND(O395&gt;$AF$2,O395&lt;$AF$3),"Medium",O395&gt;=$AF$3,"High")</f>
        <v>Medium</v>
      </c>
      <c r="AB395" s="22">
        <f t="shared" si="77"/>
        <v>44927</v>
      </c>
      <c r="AC395">
        <v>20</v>
      </c>
    </row>
    <row r="396" spans="1:29" x14ac:dyDescent="0.35">
      <c r="A396" s="4" t="s">
        <v>222</v>
      </c>
      <c r="B396" s="5" t="str">
        <f>IF(COUNTIF($A$2:A396,A396)=1,"Original","Duplicate")</f>
        <v>Original</v>
      </c>
      <c r="C396" s="7">
        <v>45545</v>
      </c>
      <c r="D396" s="7">
        <v>45572</v>
      </c>
      <c r="E396">
        <f t="shared" si="67"/>
        <v>27</v>
      </c>
      <c r="F396" t="s">
        <v>646</v>
      </c>
      <c r="G396" t="s">
        <v>650</v>
      </c>
      <c r="H396" t="s">
        <v>662</v>
      </c>
      <c r="I396" t="s">
        <v>704</v>
      </c>
      <c r="J396" t="s">
        <v>707</v>
      </c>
      <c r="K396" t="s">
        <v>716</v>
      </c>
      <c r="L396" t="s">
        <v>728</v>
      </c>
      <c r="M396" t="s">
        <v>942</v>
      </c>
      <c r="N396" s="23">
        <v>1248.3900000000001</v>
      </c>
      <c r="O396" s="23">
        <v>1805.11</v>
      </c>
      <c r="P396" s="8">
        <v>0.20300000000000001</v>
      </c>
      <c r="Q396">
        <v>11</v>
      </c>
      <c r="R396" s="23">
        <f t="shared" si="68"/>
        <v>15825.399369999997</v>
      </c>
      <c r="S396" s="23">
        <f t="shared" si="69"/>
        <v>13732.29</v>
      </c>
      <c r="T396" s="23">
        <f t="shared" si="70"/>
        <v>2093.1093699999965</v>
      </c>
      <c r="U396" s="14">
        <f t="shared" si="71"/>
        <v>0.13226265707820786</v>
      </c>
      <c r="V396" s="7" t="str">
        <f t="shared" si="72"/>
        <v>Sept-2024</v>
      </c>
      <c r="W396" s="22">
        <f t="shared" si="73"/>
        <v>45536</v>
      </c>
      <c r="X396" s="7" t="str">
        <f t="shared" si="74"/>
        <v>Q3-2024</v>
      </c>
      <c r="Y396" t="str">
        <f t="shared" si="75"/>
        <v>Africa → Kenya → Kisumu</v>
      </c>
      <c r="Z396" t="str">
        <f t="shared" si="76"/>
        <v>Printers</v>
      </c>
      <c r="AA396" t="str" cm="1">
        <f t="array" ref="AA396">_xlfn.IFS(O396&lt;=$AF$2,"Low",AND(O396&gt;$AF$2,O396&lt;$AF$3),"Medium",O396&gt;=$AF$3,"High")</f>
        <v>High</v>
      </c>
      <c r="AB396" s="22">
        <f t="shared" si="77"/>
        <v>44927</v>
      </c>
      <c r="AC396">
        <v>20</v>
      </c>
    </row>
    <row r="397" spans="1:29" x14ac:dyDescent="0.35">
      <c r="A397" s="4" t="s">
        <v>250</v>
      </c>
      <c r="B397" s="5" t="str">
        <f>IF(COUNTIF($A$2:A397,A397)=1,"Original","Duplicate")</f>
        <v>Original</v>
      </c>
      <c r="C397" s="7">
        <v>45548</v>
      </c>
      <c r="D397" s="7">
        <v>45567</v>
      </c>
      <c r="E397">
        <f t="shared" si="67"/>
        <v>19</v>
      </c>
      <c r="F397" t="s">
        <v>646</v>
      </c>
      <c r="G397" t="s">
        <v>650</v>
      </c>
      <c r="H397" t="s">
        <v>675</v>
      </c>
      <c r="I397" t="s">
        <v>705</v>
      </c>
      <c r="J397" t="s">
        <v>707</v>
      </c>
      <c r="K397" t="s">
        <v>724</v>
      </c>
      <c r="L397" t="s">
        <v>730</v>
      </c>
      <c r="M397" t="s">
        <v>970</v>
      </c>
      <c r="N397" s="23">
        <v>1338.99</v>
      </c>
      <c r="O397" s="23">
        <v>1765.76</v>
      </c>
      <c r="P397" s="8">
        <v>0.126</v>
      </c>
      <c r="Q397">
        <v>24</v>
      </c>
      <c r="R397" s="23">
        <f t="shared" si="68"/>
        <v>37038.581760000001</v>
      </c>
      <c r="S397" s="23">
        <f t="shared" si="69"/>
        <v>32135.760000000002</v>
      </c>
      <c r="T397" s="23">
        <f t="shared" si="70"/>
        <v>4902.8217599999989</v>
      </c>
      <c r="U397" s="14">
        <f t="shared" si="71"/>
        <v>0.1323706666677725</v>
      </c>
      <c r="V397" s="7" t="str">
        <f t="shared" si="72"/>
        <v>Sept-2024</v>
      </c>
      <c r="W397" s="22">
        <f t="shared" si="73"/>
        <v>45536</v>
      </c>
      <c r="X397" s="7" t="str">
        <f t="shared" si="74"/>
        <v>Q3-2024</v>
      </c>
      <c r="Y397" t="str">
        <f t="shared" si="75"/>
        <v>Africa → Kenya → Mombasa</v>
      </c>
      <c r="Z397" t="str">
        <f t="shared" si="76"/>
        <v>Phones</v>
      </c>
      <c r="AA397" t="str" cm="1">
        <f t="array" ref="AA397">_xlfn.IFS(O397&lt;=$AF$2,"Low",AND(O397&gt;$AF$2,O397&lt;$AF$3),"Medium",O397&gt;=$AF$3,"High")</f>
        <v>High</v>
      </c>
      <c r="AB397" s="22">
        <f t="shared" si="77"/>
        <v>44927</v>
      </c>
      <c r="AC397">
        <v>20</v>
      </c>
    </row>
    <row r="398" spans="1:29" x14ac:dyDescent="0.35">
      <c r="A398" s="4" t="s">
        <v>119</v>
      </c>
      <c r="B398" s="5" t="str">
        <f>IF(COUNTIF($A$2:A398,A398)=1,"Original","Duplicate")</f>
        <v>Original</v>
      </c>
      <c r="C398" s="7">
        <v>45549</v>
      </c>
      <c r="D398" s="7">
        <v>45570</v>
      </c>
      <c r="E398">
        <f t="shared" si="67"/>
        <v>21</v>
      </c>
      <c r="F398" t="s">
        <v>647</v>
      </c>
      <c r="G398" t="s">
        <v>659</v>
      </c>
      <c r="H398" t="s">
        <v>685</v>
      </c>
      <c r="I398" t="s">
        <v>705</v>
      </c>
      <c r="J398" t="s">
        <v>708</v>
      </c>
      <c r="K398" t="s">
        <v>722</v>
      </c>
      <c r="L398" t="s">
        <v>731</v>
      </c>
      <c r="M398" t="s">
        <v>838</v>
      </c>
      <c r="N398" s="23">
        <v>1405.56</v>
      </c>
      <c r="O398" s="23">
        <v>2968.87</v>
      </c>
      <c r="P398" s="8">
        <v>0.16900000000000001</v>
      </c>
      <c r="Q398">
        <v>5</v>
      </c>
      <c r="R398" s="23">
        <f t="shared" si="68"/>
        <v>12335.654849999999</v>
      </c>
      <c r="S398" s="23">
        <f t="shared" si="69"/>
        <v>7027.7999999999993</v>
      </c>
      <c r="T398" s="23">
        <f t="shared" si="70"/>
        <v>5307.8548499999997</v>
      </c>
      <c r="U398" s="14">
        <f t="shared" si="71"/>
        <v>0.4302856163327235</v>
      </c>
      <c r="V398" s="7" t="str">
        <f t="shared" si="72"/>
        <v>Sept-2024</v>
      </c>
      <c r="W398" s="22">
        <f t="shared" si="73"/>
        <v>45536</v>
      </c>
      <c r="X398" s="7" t="str">
        <f t="shared" si="74"/>
        <v>Q3-2024</v>
      </c>
      <c r="Y398" t="str">
        <f t="shared" si="75"/>
        <v>Asia → China → Shanghai</v>
      </c>
      <c r="Z398" t="str">
        <f t="shared" si="76"/>
        <v>Laptops</v>
      </c>
      <c r="AA398" t="str" cm="1">
        <f t="array" ref="AA398">_xlfn.IFS(O398&lt;=$AF$2,"Low",AND(O398&gt;$AF$2,O398&lt;$AF$3),"Medium",O398&gt;=$AF$3,"High")</f>
        <v>High</v>
      </c>
      <c r="AB398" s="22">
        <f t="shared" si="77"/>
        <v>44927</v>
      </c>
      <c r="AC398">
        <v>20</v>
      </c>
    </row>
    <row r="399" spans="1:29" x14ac:dyDescent="0.35">
      <c r="A399" s="4" t="s">
        <v>233</v>
      </c>
      <c r="B399" s="5" t="str">
        <f>IF(COUNTIF($A$2:A399,A399)=1,"Original","Duplicate")</f>
        <v>Original</v>
      </c>
      <c r="C399" s="7">
        <v>45554</v>
      </c>
      <c r="D399" s="7">
        <v>45579</v>
      </c>
      <c r="E399">
        <f t="shared" si="67"/>
        <v>25</v>
      </c>
      <c r="F399" t="s">
        <v>648</v>
      </c>
      <c r="G399" t="s">
        <v>655</v>
      </c>
      <c r="H399" t="s">
        <v>692</v>
      </c>
      <c r="I399" t="s">
        <v>705</v>
      </c>
      <c r="J399" t="s">
        <v>707</v>
      </c>
      <c r="K399" t="s">
        <v>723</v>
      </c>
      <c r="L399" t="s">
        <v>728</v>
      </c>
      <c r="M399" t="s">
        <v>953</v>
      </c>
      <c r="N399" s="23">
        <v>386.96</v>
      </c>
      <c r="O399" s="23">
        <v>937.46</v>
      </c>
      <c r="P399" s="8">
        <v>0.26600000000000001</v>
      </c>
      <c r="Q399">
        <v>41</v>
      </c>
      <c r="R399" s="23">
        <f t="shared" si="68"/>
        <v>28211.92124</v>
      </c>
      <c r="S399" s="23">
        <f t="shared" si="69"/>
        <v>15865.359999999999</v>
      </c>
      <c r="T399" s="23">
        <f t="shared" si="70"/>
        <v>12346.561240000001</v>
      </c>
      <c r="U399" s="14">
        <f t="shared" si="71"/>
        <v>0.43763631462626335</v>
      </c>
      <c r="V399" s="7" t="str">
        <f t="shared" si="72"/>
        <v>Sept-2024</v>
      </c>
      <c r="W399" s="22">
        <f t="shared" si="73"/>
        <v>45536</v>
      </c>
      <c r="X399" s="7" t="str">
        <f t="shared" si="74"/>
        <v>Q3-2024</v>
      </c>
      <c r="Y399" t="str">
        <f t="shared" si="75"/>
        <v>Americas → Brazil → Rio de Janeiro</v>
      </c>
      <c r="Z399" t="str">
        <f t="shared" si="76"/>
        <v>Printers</v>
      </c>
      <c r="AA399" t="str" cm="1">
        <f t="array" ref="AA399">_xlfn.IFS(O399&lt;=$AF$2,"Low",AND(O399&gt;$AF$2,O399&lt;$AF$3),"Medium",O399&gt;=$AF$3,"High")</f>
        <v>Medium</v>
      </c>
      <c r="AB399" s="22">
        <f t="shared" si="77"/>
        <v>44927</v>
      </c>
      <c r="AC399">
        <v>20</v>
      </c>
    </row>
    <row r="400" spans="1:29" x14ac:dyDescent="0.35">
      <c r="A400" s="4" t="s">
        <v>209</v>
      </c>
      <c r="B400" s="5" t="str">
        <f>IF(COUNTIF($A$2:A400,A400)=1,"Original","Duplicate")</f>
        <v>Original</v>
      </c>
      <c r="C400" s="7">
        <v>45557</v>
      </c>
      <c r="D400" s="7">
        <v>45566</v>
      </c>
      <c r="E400">
        <f t="shared" si="67"/>
        <v>9</v>
      </c>
      <c r="F400" t="s">
        <v>648</v>
      </c>
      <c r="G400" t="s">
        <v>655</v>
      </c>
      <c r="H400" t="s">
        <v>670</v>
      </c>
      <c r="I400" t="s">
        <v>703</v>
      </c>
      <c r="J400" t="s">
        <v>708</v>
      </c>
      <c r="K400" t="s">
        <v>723</v>
      </c>
      <c r="L400" t="s">
        <v>732</v>
      </c>
      <c r="M400" t="s">
        <v>929</v>
      </c>
      <c r="N400" s="23">
        <v>1378.8</v>
      </c>
      <c r="O400" s="23">
        <v>1952.04</v>
      </c>
      <c r="P400" s="8">
        <v>0.159</v>
      </c>
      <c r="Q400">
        <v>19</v>
      </c>
      <c r="R400" s="23">
        <f t="shared" si="68"/>
        <v>31191.64716</v>
      </c>
      <c r="S400" s="23">
        <f t="shared" si="69"/>
        <v>26197.200000000001</v>
      </c>
      <c r="T400" s="23">
        <f t="shared" si="70"/>
        <v>4994.4471599999997</v>
      </c>
      <c r="U400" s="14">
        <f t="shared" si="71"/>
        <v>0.16012130216723058</v>
      </c>
      <c r="V400" s="7" t="str">
        <f t="shared" si="72"/>
        <v>Sept-2024</v>
      </c>
      <c r="W400" s="22">
        <f t="shared" si="73"/>
        <v>45536</v>
      </c>
      <c r="X400" s="7" t="str">
        <f t="shared" si="74"/>
        <v>Q3-2024</v>
      </c>
      <c r="Y400" t="str">
        <f t="shared" si="75"/>
        <v>Americas → Brazil → São Paulo</v>
      </c>
      <c r="Z400" t="str">
        <f t="shared" si="76"/>
        <v>Monitors</v>
      </c>
      <c r="AA400" t="str" cm="1">
        <f t="array" ref="AA400">_xlfn.IFS(O400&lt;=$AF$2,"Low",AND(O400&gt;$AF$2,O400&lt;$AF$3),"Medium",O400&gt;=$AF$3,"High")</f>
        <v>High</v>
      </c>
      <c r="AB400" s="22">
        <f t="shared" si="77"/>
        <v>44927</v>
      </c>
      <c r="AC400">
        <v>20</v>
      </c>
    </row>
    <row r="401" spans="1:29" x14ac:dyDescent="0.35">
      <c r="A401" s="4" t="s">
        <v>164</v>
      </c>
      <c r="B401" s="5" t="str">
        <f>IF(COUNTIF($A$2:A401,A401)=1,"Original","Duplicate")</f>
        <v>Original</v>
      </c>
      <c r="C401" s="7">
        <v>45558</v>
      </c>
      <c r="D401" s="7">
        <v>45583</v>
      </c>
      <c r="E401">
        <f t="shared" si="67"/>
        <v>25</v>
      </c>
      <c r="F401" t="s">
        <v>648</v>
      </c>
      <c r="G401" t="s">
        <v>653</v>
      </c>
      <c r="H401" t="s">
        <v>688</v>
      </c>
      <c r="I401" t="s">
        <v>705</v>
      </c>
      <c r="J401" t="s">
        <v>708</v>
      </c>
      <c r="K401" t="s">
        <v>725</v>
      </c>
      <c r="L401" t="s">
        <v>730</v>
      </c>
      <c r="M401" t="s">
        <v>883</v>
      </c>
      <c r="N401" s="23">
        <v>1297</v>
      </c>
      <c r="O401" s="23">
        <v>2411.52</v>
      </c>
      <c r="P401" s="8">
        <v>2.1000000000000001E-2</v>
      </c>
      <c r="Q401">
        <v>18</v>
      </c>
      <c r="R401" s="23">
        <f t="shared" si="68"/>
        <v>42495.805439999996</v>
      </c>
      <c r="S401" s="23">
        <f t="shared" si="69"/>
        <v>23346</v>
      </c>
      <c r="T401" s="23">
        <f t="shared" si="70"/>
        <v>19149.805439999996</v>
      </c>
      <c r="U401" s="14">
        <f t="shared" si="71"/>
        <v>0.45062813239385913</v>
      </c>
      <c r="V401" s="7" t="str">
        <f t="shared" si="72"/>
        <v>Sept-2024</v>
      </c>
      <c r="W401" s="22">
        <f t="shared" si="73"/>
        <v>45536</v>
      </c>
      <c r="X401" s="7" t="str">
        <f t="shared" si="74"/>
        <v>Q3-2024</v>
      </c>
      <c r="Y401" t="str">
        <f t="shared" si="75"/>
        <v>Americas → Canada → Vancouver</v>
      </c>
      <c r="Z401" t="str">
        <f t="shared" si="76"/>
        <v>Phones</v>
      </c>
      <c r="AA401" t="str" cm="1">
        <f t="array" ref="AA401">_xlfn.IFS(O401&lt;=$AF$2,"Low",AND(O401&gt;$AF$2,O401&lt;$AF$3),"Medium",O401&gt;=$AF$3,"High")</f>
        <v>High</v>
      </c>
      <c r="AB401" s="22">
        <f t="shared" si="77"/>
        <v>44927</v>
      </c>
      <c r="AC401">
        <v>20</v>
      </c>
    </row>
    <row r="402" spans="1:29" x14ac:dyDescent="0.35">
      <c r="A402" s="4" t="s">
        <v>458</v>
      </c>
      <c r="B402" s="5" t="str">
        <f>IF(COUNTIF($A$2:A402,A402)=1,"Original","Duplicate")</f>
        <v>Original</v>
      </c>
      <c r="C402" s="7">
        <v>45560</v>
      </c>
      <c r="D402" s="7">
        <v>45568</v>
      </c>
      <c r="E402">
        <f t="shared" si="67"/>
        <v>8</v>
      </c>
      <c r="F402" t="s">
        <v>648</v>
      </c>
      <c r="G402" t="s">
        <v>653</v>
      </c>
      <c r="H402" t="s">
        <v>667</v>
      </c>
      <c r="I402" t="s">
        <v>704</v>
      </c>
      <c r="J402" t="s">
        <v>708</v>
      </c>
      <c r="K402" t="s">
        <v>718</v>
      </c>
      <c r="L402" t="s">
        <v>728</v>
      </c>
      <c r="M402" t="s">
        <v>1177</v>
      </c>
      <c r="N402" s="23">
        <v>558.19000000000005</v>
      </c>
      <c r="O402" s="23">
        <v>1031.6400000000001</v>
      </c>
      <c r="P402" s="8">
        <v>0</v>
      </c>
      <c r="Q402">
        <v>21</v>
      </c>
      <c r="R402" s="23">
        <f t="shared" si="68"/>
        <v>21664.440000000002</v>
      </c>
      <c r="S402" s="23">
        <f t="shared" si="69"/>
        <v>11721.990000000002</v>
      </c>
      <c r="T402" s="23">
        <f t="shared" si="70"/>
        <v>9942.4500000000007</v>
      </c>
      <c r="U402" s="14">
        <f t="shared" si="71"/>
        <v>0.45892947152107322</v>
      </c>
      <c r="V402" s="7" t="str">
        <f t="shared" si="72"/>
        <v>Sept-2024</v>
      </c>
      <c r="W402" s="22">
        <f t="shared" si="73"/>
        <v>45536</v>
      </c>
      <c r="X402" s="7" t="str">
        <f t="shared" si="74"/>
        <v>Q3-2024</v>
      </c>
      <c r="Y402" t="str">
        <f t="shared" si="75"/>
        <v>Americas → Canada → Toronto</v>
      </c>
      <c r="Z402" t="str">
        <f t="shared" si="76"/>
        <v>Printers</v>
      </c>
      <c r="AA402" t="str" cm="1">
        <f t="array" ref="AA402">_xlfn.IFS(O402&lt;=$AF$2,"Low",AND(O402&gt;$AF$2,O402&lt;$AF$3),"Medium",O402&gt;=$AF$3,"High")</f>
        <v>Medium</v>
      </c>
      <c r="AB402" s="22">
        <f t="shared" si="77"/>
        <v>44927</v>
      </c>
      <c r="AC402">
        <v>20</v>
      </c>
    </row>
    <row r="403" spans="1:29" x14ac:dyDescent="0.35">
      <c r="A403" s="4" t="s">
        <v>224</v>
      </c>
      <c r="B403" s="5" t="str">
        <f>IF(COUNTIF($A$2:A403,A403)=1,"Original","Duplicate")</f>
        <v>Original</v>
      </c>
      <c r="C403" s="7">
        <v>45567</v>
      </c>
      <c r="D403" s="7">
        <v>45588</v>
      </c>
      <c r="E403">
        <f t="shared" si="67"/>
        <v>21</v>
      </c>
      <c r="F403" t="s">
        <v>646</v>
      </c>
      <c r="G403" t="s">
        <v>661</v>
      </c>
      <c r="H403" t="s">
        <v>687</v>
      </c>
      <c r="I403" t="s">
        <v>701</v>
      </c>
      <c r="J403" t="s">
        <v>709</v>
      </c>
      <c r="K403" t="s">
        <v>720</v>
      </c>
      <c r="L403" t="s">
        <v>727</v>
      </c>
      <c r="M403" t="s">
        <v>944</v>
      </c>
      <c r="N403" s="23">
        <v>1095.6099999999999</v>
      </c>
      <c r="O403" s="23">
        <v>2366.5100000000002</v>
      </c>
      <c r="P403" s="8">
        <v>0.152</v>
      </c>
      <c r="Q403">
        <v>9</v>
      </c>
      <c r="R403" s="23">
        <f t="shared" si="68"/>
        <v>18061.204320000004</v>
      </c>
      <c r="S403" s="23">
        <f t="shared" si="69"/>
        <v>9860.49</v>
      </c>
      <c r="T403" s="23">
        <f t="shared" si="70"/>
        <v>8200.7143200000046</v>
      </c>
      <c r="U403" s="14">
        <f t="shared" si="71"/>
        <v>0.4540513564158607</v>
      </c>
      <c r="V403" s="7" t="str">
        <f t="shared" si="72"/>
        <v>Oct-2024</v>
      </c>
      <c r="W403" s="22">
        <f t="shared" si="73"/>
        <v>45566</v>
      </c>
      <c r="X403" s="7" t="str">
        <f t="shared" si="74"/>
        <v>Q4-2024</v>
      </c>
      <c r="Y403" t="str">
        <f t="shared" si="75"/>
        <v>Africa → South Africa → Durban</v>
      </c>
      <c r="Z403" t="str">
        <f t="shared" si="76"/>
        <v>Components</v>
      </c>
      <c r="AA403" t="str" cm="1">
        <f t="array" ref="AA403">_xlfn.IFS(O403&lt;=$AF$2,"Low",AND(O403&gt;$AF$2,O403&lt;$AF$3),"Medium",O403&gt;=$AF$3,"High")</f>
        <v>High</v>
      </c>
      <c r="AB403" s="22">
        <f t="shared" si="77"/>
        <v>44927</v>
      </c>
      <c r="AC403">
        <v>21</v>
      </c>
    </row>
    <row r="404" spans="1:29" x14ac:dyDescent="0.35">
      <c r="A404" s="4" t="s">
        <v>196</v>
      </c>
      <c r="B404" s="5" t="str">
        <f>IF(COUNTIF($A$2:A404,A404)=1,"Original","Duplicate")</f>
        <v>Original</v>
      </c>
      <c r="C404" s="7">
        <v>45568</v>
      </c>
      <c r="D404" s="7">
        <v>45576</v>
      </c>
      <c r="E404">
        <f t="shared" si="67"/>
        <v>8</v>
      </c>
      <c r="F404" t="s">
        <v>647</v>
      </c>
      <c r="G404" t="s">
        <v>659</v>
      </c>
      <c r="H404" t="s">
        <v>699</v>
      </c>
      <c r="I404" t="s">
        <v>706</v>
      </c>
      <c r="J404" t="s">
        <v>711</v>
      </c>
      <c r="K404" t="s">
        <v>717</v>
      </c>
      <c r="L404" t="s">
        <v>730</v>
      </c>
      <c r="M404" t="s">
        <v>915</v>
      </c>
      <c r="N404" s="23">
        <v>1132.6099999999999</v>
      </c>
      <c r="O404" s="23">
        <v>2206.63</v>
      </c>
      <c r="P404" s="8">
        <v>6.3E-2</v>
      </c>
      <c r="Q404">
        <v>20</v>
      </c>
      <c r="R404" s="23">
        <f t="shared" si="68"/>
        <v>41352.246200000009</v>
      </c>
      <c r="S404" s="23">
        <f t="shared" si="69"/>
        <v>22652.199999999997</v>
      </c>
      <c r="T404" s="23">
        <f t="shared" si="70"/>
        <v>18700.046200000012</v>
      </c>
      <c r="U404" s="14">
        <f t="shared" si="71"/>
        <v>0.45221355351671338</v>
      </c>
      <c r="V404" s="7" t="str">
        <f t="shared" si="72"/>
        <v>Oct-2024</v>
      </c>
      <c r="W404" s="22">
        <f t="shared" si="73"/>
        <v>45566</v>
      </c>
      <c r="X404" s="7" t="str">
        <f t="shared" si="74"/>
        <v>Q4-2024</v>
      </c>
      <c r="Y404" t="str">
        <f t="shared" si="75"/>
        <v>Asia → China → Beijing</v>
      </c>
      <c r="Z404" t="str">
        <f t="shared" si="76"/>
        <v>Phones</v>
      </c>
      <c r="AA404" t="str" cm="1">
        <f t="array" ref="AA404">_xlfn.IFS(O404&lt;=$AF$2,"Low",AND(O404&gt;$AF$2,O404&lt;$AF$3),"Medium",O404&gt;=$AF$3,"High")</f>
        <v>High</v>
      </c>
      <c r="AB404" s="22">
        <f t="shared" si="77"/>
        <v>44927</v>
      </c>
      <c r="AC404">
        <v>21</v>
      </c>
    </row>
    <row r="405" spans="1:29" x14ac:dyDescent="0.35">
      <c r="A405" s="4" t="s">
        <v>108</v>
      </c>
      <c r="B405" s="5" t="str">
        <f>IF(COUNTIF($A$2:A405,A405)=1,"Original","Duplicate")</f>
        <v>Original</v>
      </c>
      <c r="C405" s="7">
        <v>45569</v>
      </c>
      <c r="D405" s="7">
        <v>45598</v>
      </c>
      <c r="E405">
        <f t="shared" si="67"/>
        <v>29</v>
      </c>
      <c r="F405" t="s">
        <v>646</v>
      </c>
      <c r="G405" t="s">
        <v>651</v>
      </c>
      <c r="H405" t="s">
        <v>669</v>
      </c>
      <c r="I405" t="s">
        <v>701</v>
      </c>
      <c r="J405" t="s">
        <v>710</v>
      </c>
      <c r="K405" t="s">
        <v>721</v>
      </c>
      <c r="L405" t="s">
        <v>733</v>
      </c>
      <c r="M405" t="s">
        <v>827</v>
      </c>
      <c r="N405" s="23">
        <v>412.09</v>
      </c>
      <c r="O405" s="23">
        <v>968.94</v>
      </c>
      <c r="P405" s="8">
        <v>9.9000000000000005E-2</v>
      </c>
      <c r="Q405">
        <v>23</v>
      </c>
      <c r="R405" s="23">
        <f t="shared" si="68"/>
        <v>20079.343620000003</v>
      </c>
      <c r="S405" s="23">
        <f t="shared" si="69"/>
        <v>9478.07</v>
      </c>
      <c r="T405" s="23">
        <f t="shared" si="70"/>
        <v>10601.273620000004</v>
      </c>
      <c r="U405" s="14">
        <f t="shared" si="71"/>
        <v>0.52796913189137418</v>
      </c>
      <c r="V405" s="7" t="str">
        <f t="shared" si="72"/>
        <v>Oct-2024</v>
      </c>
      <c r="W405" s="22">
        <f t="shared" si="73"/>
        <v>45566</v>
      </c>
      <c r="X405" s="7" t="str">
        <f t="shared" si="74"/>
        <v>Q4-2024</v>
      </c>
      <c r="Y405" t="str">
        <f t="shared" si="75"/>
        <v>Africa → Nigeria → Abuja</v>
      </c>
      <c r="Z405" t="str">
        <f t="shared" si="76"/>
        <v>Accessories</v>
      </c>
      <c r="AA405" t="str" cm="1">
        <f t="array" ref="AA405">_xlfn.IFS(O405&lt;=$AF$2,"Low",AND(O405&gt;$AF$2,O405&lt;$AF$3),"Medium",O405&gt;=$AF$3,"High")</f>
        <v>Medium</v>
      </c>
      <c r="AB405" s="22">
        <f t="shared" si="77"/>
        <v>44927</v>
      </c>
      <c r="AC405">
        <v>21</v>
      </c>
    </row>
    <row r="406" spans="1:29" x14ac:dyDescent="0.35">
      <c r="A406" s="4" t="s">
        <v>280</v>
      </c>
      <c r="B406" s="5" t="str">
        <f>IF(COUNTIF($A$2:A406,A406)=1,"Original","Duplicate")</f>
        <v>Original</v>
      </c>
      <c r="C406" s="7">
        <v>45573</v>
      </c>
      <c r="D406" s="7">
        <v>45580</v>
      </c>
      <c r="E406">
        <f t="shared" si="67"/>
        <v>7</v>
      </c>
      <c r="F406" t="s">
        <v>649</v>
      </c>
      <c r="G406" t="s">
        <v>658</v>
      </c>
      <c r="H406" t="s">
        <v>683</v>
      </c>
      <c r="I406" t="s">
        <v>701</v>
      </c>
      <c r="J406" t="s">
        <v>708</v>
      </c>
      <c r="K406" t="s">
        <v>718</v>
      </c>
      <c r="L406" t="s">
        <v>732</v>
      </c>
      <c r="M406" t="s">
        <v>1000</v>
      </c>
      <c r="N406" s="23">
        <v>1108.1099999999999</v>
      </c>
      <c r="O406" s="23">
        <v>2503.79</v>
      </c>
      <c r="P406" s="8">
        <v>0.184</v>
      </c>
      <c r="Q406">
        <v>19</v>
      </c>
      <c r="R406" s="23">
        <f t="shared" si="68"/>
        <v>38818.760160000005</v>
      </c>
      <c r="S406" s="23">
        <f t="shared" si="69"/>
        <v>21054.089999999997</v>
      </c>
      <c r="T406" s="23">
        <f t="shared" si="70"/>
        <v>17764.670160000009</v>
      </c>
      <c r="U406" s="14">
        <f t="shared" si="71"/>
        <v>0.45763105485025896</v>
      </c>
      <c r="V406" s="7" t="str">
        <f t="shared" si="72"/>
        <v>Oct-2024</v>
      </c>
      <c r="W406" s="22">
        <f t="shared" si="73"/>
        <v>45566</v>
      </c>
      <c r="X406" s="7" t="str">
        <f t="shared" si="74"/>
        <v>Q4-2024</v>
      </c>
      <c r="Y406" t="str">
        <f t="shared" si="75"/>
        <v>Europe → United Kingdom → London</v>
      </c>
      <c r="Z406" t="str">
        <f t="shared" si="76"/>
        <v>Monitors</v>
      </c>
      <c r="AA406" t="str" cm="1">
        <f t="array" ref="AA406">_xlfn.IFS(O406&lt;=$AF$2,"Low",AND(O406&gt;$AF$2,O406&lt;$AF$3),"Medium",O406&gt;=$AF$3,"High")</f>
        <v>High</v>
      </c>
      <c r="AB406" s="22">
        <f t="shared" si="77"/>
        <v>44927</v>
      </c>
      <c r="AC406">
        <v>21</v>
      </c>
    </row>
    <row r="407" spans="1:29" x14ac:dyDescent="0.35">
      <c r="A407" s="4" t="s">
        <v>184</v>
      </c>
      <c r="B407" s="5" t="str">
        <f>IF(COUNTIF($A$2:A407,A407)=1,"Original","Duplicate")</f>
        <v>Original</v>
      </c>
      <c r="C407" s="7">
        <v>45574</v>
      </c>
      <c r="D407" s="7">
        <v>45604</v>
      </c>
      <c r="E407">
        <f t="shared" si="67"/>
        <v>30</v>
      </c>
      <c r="F407" t="s">
        <v>649</v>
      </c>
      <c r="G407" t="s">
        <v>658</v>
      </c>
      <c r="H407" t="s">
        <v>693</v>
      </c>
      <c r="I407" t="s">
        <v>705</v>
      </c>
      <c r="J407" t="s">
        <v>710</v>
      </c>
      <c r="K407" t="s">
        <v>713</v>
      </c>
      <c r="L407" t="s">
        <v>727</v>
      </c>
      <c r="M407" t="s">
        <v>903</v>
      </c>
      <c r="N407" s="23">
        <v>343.85</v>
      </c>
      <c r="O407" s="23">
        <v>538.04</v>
      </c>
      <c r="P407" s="8">
        <v>0.13900000000000001</v>
      </c>
      <c r="Q407">
        <v>5</v>
      </c>
      <c r="R407" s="23">
        <f t="shared" si="68"/>
        <v>2316.2621999999997</v>
      </c>
      <c r="S407" s="23">
        <f t="shared" si="69"/>
        <v>1719.25</v>
      </c>
      <c r="T407" s="23">
        <f t="shared" si="70"/>
        <v>597.01219999999967</v>
      </c>
      <c r="U407" s="14">
        <f t="shared" si="71"/>
        <v>0.25774810813732563</v>
      </c>
      <c r="V407" s="7" t="str">
        <f t="shared" si="72"/>
        <v>Oct-2024</v>
      </c>
      <c r="W407" s="22">
        <f t="shared" si="73"/>
        <v>45566</v>
      </c>
      <c r="X407" s="7" t="str">
        <f t="shared" si="74"/>
        <v>Q4-2024</v>
      </c>
      <c r="Y407" t="str">
        <f t="shared" si="75"/>
        <v>Europe → United Kingdom → Manchester</v>
      </c>
      <c r="Z407" t="str">
        <f t="shared" si="76"/>
        <v>Components</v>
      </c>
      <c r="AA407" t="str" cm="1">
        <f t="array" ref="AA407">_xlfn.IFS(O407&lt;=$AF$2,"Low",AND(O407&gt;$AF$2,O407&lt;$AF$3),"Medium",O407&gt;=$AF$3,"High")</f>
        <v>Low</v>
      </c>
      <c r="AB407" s="22">
        <f t="shared" si="77"/>
        <v>44927</v>
      </c>
      <c r="AC407">
        <v>21</v>
      </c>
    </row>
    <row r="408" spans="1:29" x14ac:dyDescent="0.35">
      <c r="A408" s="4" t="s">
        <v>526</v>
      </c>
      <c r="B408" s="5" t="str">
        <f>IF(COUNTIF($A$2:A408,A408)=1,"Original","Duplicate")</f>
        <v>Original</v>
      </c>
      <c r="C408" s="7">
        <v>45575</v>
      </c>
      <c r="D408" s="7">
        <v>45576</v>
      </c>
      <c r="E408">
        <f t="shared" si="67"/>
        <v>1</v>
      </c>
      <c r="F408" t="s">
        <v>649</v>
      </c>
      <c r="G408" t="s">
        <v>658</v>
      </c>
      <c r="H408" t="s">
        <v>693</v>
      </c>
      <c r="I408" t="s">
        <v>703</v>
      </c>
      <c r="J408" t="s">
        <v>710</v>
      </c>
      <c r="K408" t="s">
        <v>716</v>
      </c>
      <c r="L408" t="s">
        <v>727</v>
      </c>
      <c r="M408" t="s">
        <v>1245</v>
      </c>
      <c r="N408" s="23">
        <v>1389.46</v>
      </c>
      <c r="O408" s="23">
        <v>1784.7</v>
      </c>
      <c r="P408" s="8">
        <v>0.14599999999999999</v>
      </c>
      <c r="Q408">
        <v>33</v>
      </c>
      <c r="R408" s="23">
        <f t="shared" si="68"/>
        <v>50296.415399999998</v>
      </c>
      <c r="S408" s="23">
        <f t="shared" si="69"/>
        <v>45852.18</v>
      </c>
      <c r="T408" s="23">
        <f t="shared" si="70"/>
        <v>4444.2353999999978</v>
      </c>
      <c r="U408" s="14">
        <f t="shared" si="71"/>
        <v>8.8360877503011831E-2</v>
      </c>
      <c r="V408" s="7" t="str">
        <f t="shared" si="72"/>
        <v>Oct-2024</v>
      </c>
      <c r="W408" s="22">
        <f t="shared" si="73"/>
        <v>45566</v>
      </c>
      <c r="X408" s="7" t="str">
        <f t="shared" si="74"/>
        <v>Q4-2024</v>
      </c>
      <c r="Y408" t="str">
        <f t="shared" si="75"/>
        <v>Europe → United Kingdom → Manchester</v>
      </c>
      <c r="Z408" t="str">
        <f t="shared" si="76"/>
        <v>Components</v>
      </c>
      <c r="AA408" t="str" cm="1">
        <f t="array" ref="AA408">_xlfn.IFS(O408&lt;=$AF$2,"Low",AND(O408&gt;$AF$2,O408&lt;$AF$3),"Medium",O408&gt;=$AF$3,"High")</f>
        <v>High</v>
      </c>
      <c r="AB408" s="22">
        <f t="shared" si="77"/>
        <v>44927</v>
      </c>
      <c r="AC408">
        <v>21</v>
      </c>
    </row>
    <row r="409" spans="1:29" x14ac:dyDescent="0.35">
      <c r="A409" s="4" t="s">
        <v>232</v>
      </c>
      <c r="B409" s="5" t="str">
        <f>IF(COUNTIF($A$2:A409,A409)=1,"Original","Duplicate")</f>
        <v>Original</v>
      </c>
      <c r="C409" s="7">
        <v>45576</v>
      </c>
      <c r="D409" s="7">
        <v>45605</v>
      </c>
      <c r="E409">
        <f t="shared" si="67"/>
        <v>29</v>
      </c>
      <c r="F409" t="s">
        <v>647</v>
      </c>
      <c r="G409" t="s">
        <v>659</v>
      </c>
      <c r="H409" t="s">
        <v>685</v>
      </c>
      <c r="I409" t="s">
        <v>703</v>
      </c>
      <c r="J409" t="s">
        <v>708</v>
      </c>
      <c r="K409" t="s">
        <v>721</v>
      </c>
      <c r="L409" t="s">
        <v>728</v>
      </c>
      <c r="M409" t="s">
        <v>952</v>
      </c>
      <c r="N409" s="23">
        <v>391.64</v>
      </c>
      <c r="O409" s="23">
        <v>504.76</v>
      </c>
      <c r="P409" s="8">
        <v>4.0000000000000001E-3</v>
      </c>
      <c r="Q409">
        <v>13</v>
      </c>
      <c r="R409" s="23">
        <f t="shared" si="68"/>
        <v>6535.6324800000002</v>
      </c>
      <c r="S409" s="23">
        <f t="shared" si="69"/>
        <v>5091.32</v>
      </c>
      <c r="T409" s="23">
        <f t="shared" si="70"/>
        <v>1444.3124800000005</v>
      </c>
      <c r="U409" s="14">
        <f t="shared" si="71"/>
        <v>0.22099046793402319</v>
      </c>
      <c r="V409" s="7" t="str">
        <f t="shared" si="72"/>
        <v>Oct-2024</v>
      </c>
      <c r="W409" s="22">
        <f t="shared" si="73"/>
        <v>45566</v>
      </c>
      <c r="X409" s="7" t="str">
        <f t="shared" si="74"/>
        <v>Q4-2024</v>
      </c>
      <c r="Y409" t="str">
        <f t="shared" si="75"/>
        <v>Asia → China → Shanghai</v>
      </c>
      <c r="Z409" t="str">
        <f t="shared" si="76"/>
        <v>Printers</v>
      </c>
      <c r="AA409" t="str" cm="1">
        <f t="array" ref="AA409">_xlfn.IFS(O409&lt;=$AF$2,"Low",AND(O409&gt;$AF$2,O409&lt;$AF$3),"Medium",O409&gt;=$AF$3,"High")</f>
        <v>Low</v>
      </c>
      <c r="AB409" s="22">
        <f t="shared" si="77"/>
        <v>44927</v>
      </c>
      <c r="AC409">
        <v>21</v>
      </c>
    </row>
    <row r="410" spans="1:29" x14ac:dyDescent="0.35">
      <c r="A410" s="4" t="s">
        <v>633</v>
      </c>
      <c r="B410" s="5" t="str">
        <f>IF(COUNTIF($A$2:A410,A410)=1,"Original","Duplicate")</f>
        <v>Original</v>
      </c>
      <c r="C410" s="7">
        <v>45578</v>
      </c>
      <c r="D410" s="7">
        <v>45589</v>
      </c>
      <c r="E410">
        <f t="shared" si="67"/>
        <v>11</v>
      </c>
      <c r="F410" t="s">
        <v>649</v>
      </c>
      <c r="G410" t="s">
        <v>657</v>
      </c>
      <c r="H410" t="s">
        <v>690</v>
      </c>
      <c r="I410" t="s">
        <v>702</v>
      </c>
      <c r="J410" t="s">
        <v>710</v>
      </c>
      <c r="K410" t="s">
        <v>721</v>
      </c>
      <c r="L410" t="s">
        <v>727</v>
      </c>
      <c r="M410" t="s">
        <v>1351</v>
      </c>
      <c r="N410" s="23">
        <v>816.7</v>
      </c>
      <c r="O410" s="23">
        <v>1010.75</v>
      </c>
      <c r="P410" s="8">
        <v>4.7E-2</v>
      </c>
      <c r="Q410">
        <v>43</v>
      </c>
      <c r="R410" s="23">
        <f t="shared" si="68"/>
        <v>41419.524249999995</v>
      </c>
      <c r="S410" s="23">
        <f t="shared" si="69"/>
        <v>35118.1</v>
      </c>
      <c r="T410" s="23">
        <f t="shared" si="70"/>
        <v>6301.4242499999964</v>
      </c>
      <c r="U410" s="14">
        <f t="shared" si="71"/>
        <v>0.15213656757537472</v>
      </c>
      <c r="V410" s="7" t="str">
        <f t="shared" si="72"/>
        <v>Oct-2024</v>
      </c>
      <c r="W410" s="22">
        <f t="shared" si="73"/>
        <v>45566</v>
      </c>
      <c r="X410" s="7" t="str">
        <f t="shared" si="74"/>
        <v>Q4-2024</v>
      </c>
      <c r="Y410" t="str">
        <f t="shared" si="75"/>
        <v>Europe → France → Paris</v>
      </c>
      <c r="Z410" t="str">
        <f t="shared" si="76"/>
        <v>Components</v>
      </c>
      <c r="AA410" t="str" cm="1">
        <f t="array" ref="AA410">_xlfn.IFS(O410&lt;=$AF$2,"Low",AND(O410&gt;$AF$2,O410&lt;$AF$3),"Medium",O410&gt;=$AF$3,"High")</f>
        <v>Medium</v>
      </c>
      <c r="AB410" s="22">
        <f t="shared" si="77"/>
        <v>44927</v>
      </c>
      <c r="AC410">
        <v>21</v>
      </c>
    </row>
    <row r="411" spans="1:29" x14ac:dyDescent="0.35">
      <c r="A411" s="4" t="s">
        <v>63</v>
      </c>
      <c r="B411" s="5" t="str">
        <f>IF(COUNTIF($A$2:A411,A411)=1,"Original","Duplicate")</f>
        <v>Original</v>
      </c>
      <c r="C411" s="7">
        <v>45579</v>
      </c>
      <c r="D411" s="7">
        <v>45604</v>
      </c>
      <c r="E411">
        <f t="shared" si="67"/>
        <v>25</v>
      </c>
      <c r="F411" t="s">
        <v>646</v>
      </c>
      <c r="G411" t="s">
        <v>651</v>
      </c>
      <c r="H411" t="s">
        <v>665</v>
      </c>
      <c r="I411" t="s">
        <v>706</v>
      </c>
      <c r="J411" t="s">
        <v>708</v>
      </c>
      <c r="K411" t="s">
        <v>719</v>
      </c>
      <c r="L411" t="s">
        <v>729</v>
      </c>
      <c r="M411" t="s">
        <v>782</v>
      </c>
      <c r="N411" s="23">
        <v>859.35</v>
      </c>
      <c r="O411" s="23">
        <v>1825.61</v>
      </c>
      <c r="P411" s="8">
        <v>0.187</v>
      </c>
      <c r="Q411">
        <v>24</v>
      </c>
      <c r="R411" s="23">
        <f t="shared" si="68"/>
        <v>35621.302319999995</v>
      </c>
      <c r="S411" s="23">
        <f t="shared" si="69"/>
        <v>20624.400000000001</v>
      </c>
      <c r="T411" s="23">
        <f t="shared" si="70"/>
        <v>14996.902319999994</v>
      </c>
      <c r="U411" s="14">
        <f t="shared" si="71"/>
        <v>0.42100937762681989</v>
      </c>
      <c r="V411" s="7" t="str">
        <f t="shared" si="72"/>
        <v>Oct-2024</v>
      </c>
      <c r="W411" s="22">
        <f t="shared" si="73"/>
        <v>45566</v>
      </c>
      <c r="X411" s="7" t="str">
        <f t="shared" si="74"/>
        <v>Q4-2024</v>
      </c>
      <c r="Y411" t="str">
        <f t="shared" si="75"/>
        <v>Africa → Nigeria → Lagos</v>
      </c>
      <c r="Z411" t="str">
        <f t="shared" si="76"/>
        <v>Networking</v>
      </c>
      <c r="AA411" t="str" cm="1">
        <f t="array" ref="AA411">_xlfn.IFS(O411&lt;=$AF$2,"Low",AND(O411&gt;$AF$2,O411&lt;$AF$3),"Medium",O411&gt;=$AF$3,"High")</f>
        <v>High</v>
      </c>
      <c r="AB411" s="22">
        <f t="shared" si="77"/>
        <v>44927</v>
      </c>
      <c r="AC411">
        <v>21</v>
      </c>
    </row>
    <row r="412" spans="1:29" x14ac:dyDescent="0.35">
      <c r="A412" s="4" t="s">
        <v>123</v>
      </c>
      <c r="B412" s="5" t="str">
        <f>IF(COUNTIF($A$2:A412,A412)=1,"Original","Duplicate")</f>
        <v>Original</v>
      </c>
      <c r="C412" s="7">
        <v>45581</v>
      </c>
      <c r="D412" s="7">
        <v>45604</v>
      </c>
      <c r="E412">
        <f t="shared" si="67"/>
        <v>23</v>
      </c>
      <c r="F412" t="s">
        <v>647</v>
      </c>
      <c r="G412" t="s">
        <v>652</v>
      </c>
      <c r="H412" t="s">
        <v>666</v>
      </c>
      <c r="I412" t="s">
        <v>705</v>
      </c>
      <c r="J412" t="s">
        <v>707</v>
      </c>
      <c r="K412" t="s">
        <v>713</v>
      </c>
      <c r="L412" t="s">
        <v>729</v>
      </c>
      <c r="M412" t="s">
        <v>842</v>
      </c>
      <c r="N412" s="23">
        <v>82.14</v>
      </c>
      <c r="O412" s="23">
        <v>166.04</v>
      </c>
      <c r="P412" s="8">
        <v>0</v>
      </c>
      <c r="Q412">
        <v>10</v>
      </c>
      <c r="R412" s="23">
        <f t="shared" si="68"/>
        <v>1660.3999999999999</v>
      </c>
      <c r="S412" s="23">
        <f t="shared" si="69"/>
        <v>821.4</v>
      </c>
      <c r="T412" s="23">
        <f t="shared" si="70"/>
        <v>838.99999999999989</v>
      </c>
      <c r="U412" s="14">
        <f t="shared" si="71"/>
        <v>0.50529992772825827</v>
      </c>
      <c r="V412" s="7" t="str">
        <f t="shared" si="72"/>
        <v>Oct-2024</v>
      </c>
      <c r="W412" s="22">
        <f t="shared" si="73"/>
        <v>45566</v>
      </c>
      <c r="X412" s="7" t="str">
        <f t="shared" si="74"/>
        <v>Q4-2024</v>
      </c>
      <c r="Y412" t="str">
        <f t="shared" si="75"/>
        <v>Asia → Japan → Osaka</v>
      </c>
      <c r="Z412" t="str">
        <f t="shared" si="76"/>
        <v>Networking</v>
      </c>
      <c r="AA412" t="str" cm="1">
        <f t="array" ref="AA412">_xlfn.IFS(O412&lt;=$AF$2,"Low",AND(O412&gt;$AF$2,O412&lt;$AF$3),"Medium",O412&gt;=$AF$3,"High")</f>
        <v>Low</v>
      </c>
      <c r="AB412" s="22">
        <f t="shared" si="77"/>
        <v>44986</v>
      </c>
      <c r="AC412">
        <v>19</v>
      </c>
    </row>
    <row r="413" spans="1:29" x14ac:dyDescent="0.35">
      <c r="A413" s="4" t="s">
        <v>66</v>
      </c>
      <c r="B413" s="5" t="str">
        <f>IF(COUNTIF($A$2:A413,A413)=1,"Original","Duplicate")</f>
        <v>Original</v>
      </c>
      <c r="C413" s="7">
        <v>45582</v>
      </c>
      <c r="D413" s="7">
        <v>45602</v>
      </c>
      <c r="E413">
        <f t="shared" si="67"/>
        <v>20</v>
      </c>
      <c r="F413" t="s">
        <v>647</v>
      </c>
      <c r="G413" t="s">
        <v>654</v>
      </c>
      <c r="H413" t="s">
        <v>668</v>
      </c>
      <c r="I413" t="s">
        <v>706</v>
      </c>
      <c r="J413" t="s">
        <v>710</v>
      </c>
      <c r="K413" t="s">
        <v>719</v>
      </c>
      <c r="L413" t="s">
        <v>732</v>
      </c>
      <c r="M413" t="s">
        <v>785</v>
      </c>
      <c r="N413" s="23">
        <v>72.94</v>
      </c>
      <c r="O413" s="23">
        <v>106.3</v>
      </c>
      <c r="P413" s="8">
        <v>0.29499999999999998</v>
      </c>
      <c r="Q413">
        <v>8</v>
      </c>
      <c r="R413" s="23">
        <f t="shared" si="68"/>
        <v>599.53200000000004</v>
      </c>
      <c r="S413" s="23">
        <f t="shared" si="69"/>
        <v>583.52</v>
      </c>
      <c r="T413" s="23">
        <f t="shared" si="70"/>
        <v>16.012000000000057</v>
      </c>
      <c r="U413" s="14">
        <f t="shared" si="71"/>
        <v>2.6707498515508857E-2</v>
      </c>
      <c r="V413" s="7" t="str">
        <f t="shared" si="72"/>
        <v>Oct-2024</v>
      </c>
      <c r="W413" s="22">
        <f t="shared" si="73"/>
        <v>45566</v>
      </c>
      <c r="X413" s="7" t="str">
        <f t="shared" si="74"/>
        <v>Q4-2024</v>
      </c>
      <c r="Y413" t="str">
        <f t="shared" si="75"/>
        <v>Asia → India → Bengaluru</v>
      </c>
      <c r="Z413" t="str">
        <f t="shared" si="76"/>
        <v>Monitors</v>
      </c>
      <c r="AA413" t="str" cm="1">
        <f t="array" ref="AA413">_xlfn.IFS(O413&lt;=$AF$2,"Low",AND(O413&gt;$AF$2,O413&lt;$AF$3),"Medium",O413&gt;=$AF$3,"High")</f>
        <v>Low</v>
      </c>
      <c r="AB413" s="22">
        <f t="shared" si="77"/>
        <v>44958</v>
      </c>
      <c r="AC413">
        <v>20</v>
      </c>
    </row>
    <row r="414" spans="1:29" x14ac:dyDescent="0.35">
      <c r="A414" s="4" t="s">
        <v>626</v>
      </c>
      <c r="B414" s="5" t="str">
        <f>IF(COUNTIF($A$2:A414,A414)=1,"Original","Duplicate")</f>
        <v>Original</v>
      </c>
      <c r="C414" s="7">
        <v>45584</v>
      </c>
      <c r="D414" s="7">
        <v>45602</v>
      </c>
      <c r="E414">
        <f t="shared" si="67"/>
        <v>18</v>
      </c>
      <c r="F414" t="s">
        <v>648</v>
      </c>
      <c r="G414" t="s">
        <v>660</v>
      </c>
      <c r="H414" t="s">
        <v>677</v>
      </c>
      <c r="I414" t="s">
        <v>702</v>
      </c>
      <c r="J414" t="s">
        <v>1431</v>
      </c>
      <c r="K414" t="s">
        <v>712</v>
      </c>
      <c r="L414" t="s">
        <v>732</v>
      </c>
      <c r="M414" t="s">
        <v>1344</v>
      </c>
      <c r="N414" s="23">
        <v>942.02</v>
      </c>
      <c r="O414" s="23">
        <v>1028.46</v>
      </c>
      <c r="P414" s="8">
        <v>0</v>
      </c>
      <c r="Q414">
        <v>9</v>
      </c>
      <c r="R414" s="23">
        <f t="shared" si="68"/>
        <v>9256.14</v>
      </c>
      <c r="S414" s="23">
        <f t="shared" si="69"/>
        <v>8478.18</v>
      </c>
      <c r="T414" s="23">
        <f t="shared" si="70"/>
        <v>777.95999999999913</v>
      </c>
      <c r="U414" s="14">
        <f t="shared" si="71"/>
        <v>8.4047994088248354E-2</v>
      </c>
      <c r="V414" s="7" t="str">
        <f t="shared" si="72"/>
        <v>Oct-2024</v>
      </c>
      <c r="W414" s="22">
        <f t="shared" si="73"/>
        <v>45566</v>
      </c>
      <c r="X414" s="7" t="str">
        <f t="shared" si="74"/>
        <v>Q4-2024</v>
      </c>
      <c r="Y414" t="str">
        <f t="shared" si="75"/>
        <v>Americas → USA → Chicago</v>
      </c>
      <c r="Z414" t="str">
        <f t="shared" si="76"/>
        <v>Monitors</v>
      </c>
      <c r="AA414" t="str" cm="1">
        <f t="array" ref="AA414">_xlfn.IFS(O414&lt;=$AF$2,"Low",AND(O414&gt;$AF$2,O414&lt;$AF$3),"Medium",O414&gt;=$AF$3,"High")</f>
        <v>Medium</v>
      </c>
      <c r="AB414" s="22">
        <f t="shared" si="77"/>
        <v>44927</v>
      </c>
      <c r="AC414">
        <v>21</v>
      </c>
    </row>
    <row r="415" spans="1:29" x14ac:dyDescent="0.35">
      <c r="A415" s="4" t="s">
        <v>199</v>
      </c>
      <c r="B415" s="5" t="str">
        <f>IF(COUNTIF($A$2:A415,A415)=1,"Original","Duplicate")</f>
        <v>Original</v>
      </c>
      <c r="C415" s="7">
        <v>45587</v>
      </c>
      <c r="D415" s="7">
        <v>45594</v>
      </c>
      <c r="E415">
        <f t="shared" si="67"/>
        <v>7</v>
      </c>
      <c r="F415" t="s">
        <v>646</v>
      </c>
      <c r="G415" t="s">
        <v>651</v>
      </c>
      <c r="H415" t="s">
        <v>663</v>
      </c>
      <c r="I415" t="s">
        <v>706</v>
      </c>
      <c r="J415" t="s">
        <v>710</v>
      </c>
      <c r="K415" t="s">
        <v>724</v>
      </c>
      <c r="L415" t="s">
        <v>732</v>
      </c>
      <c r="M415" t="s">
        <v>918</v>
      </c>
      <c r="N415" s="23">
        <v>1023.06</v>
      </c>
      <c r="O415" s="23">
        <v>1355.61</v>
      </c>
      <c r="P415" s="8">
        <v>0.153</v>
      </c>
      <c r="Q415">
        <v>23</v>
      </c>
      <c r="R415" s="23">
        <f t="shared" si="68"/>
        <v>26408.63841</v>
      </c>
      <c r="S415" s="23">
        <f t="shared" si="69"/>
        <v>23530.379999999997</v>
      </c>
      <c r="T415" s="23">
        <f t="shared" si="70"/>
        <v>2878.2584100000022</v>
      </c>
      <c r="U415" s="14">
        <f t="shared" si="71"/>
        <v>0.10898927711888809</v>
      </c>
      <c r="V415" s="7" t="str">
        <f t="shared" si="72"/>
        <v>Oct-2024</v>
      </c>
      <c r="W415" s="22">
        <f t="shared" si="73"/>
        <v>45566</v>
      </c>
      <c r="X415" s="7" t="str">
        <f t="shared" si="74"/>
        <v>Q4-2024</v>
      </c>
      <c r="Y415" t="str">
        <f t="shared" si="75"/>
        <v>Africa → Nigeria → Port Harcourt</v>
      </c>
      <c r="Z415" t="str">
        <f t="shared" si="76"/>
        <v>Monitors</v>
      </c>
      <c r="AA415" t="str" cm="1">
        <f t="array" ref="AA415">_xlfn.IFS(O415&lt;=$AF$2,"Low",AND(O415&gt;$AF$2,O415&lt;$AF$3),"Medium",O415&gt;=$AF$3,"High")</f>
        <v>Medium</v>
      </c>
      <c r="AB415" s="22">
        <f t="shared" si="77"/>
        <v>44927</v>
      </c>
      <c r="AC415">
        <v>21</v>
      </c>
    </row>
    <row r="416" spans="1:29" x14ac:dyDescent="0.35">
      <c r="A416" s="4" t="s">
        <v>16</v>
      </c>
      <c r="B416" s="5" t="str">
        <f>IF(COUNTIF($A$2:A416,A416)=1,"Original","Duplicate")</f>
        <v>Original</v>
      </c>
      <c r="C416" s="7">
        <v>45588</v>
      </c>
      <c r="D416" s="7">
        <v>45595</v>
      </c>
      <c r="E416">
        <f t="shared" si="67"/>
        <v>7</v>
      </c>
      <c r="F416" t="s">
        <v>646</v>
      </c>
      <c r="G416" t="s">
        <v>651</v>
      </c>
      <c r="H416" t="s">
        <v>663</v>
      </c>
      <c r="I416" t="s">
        <v>702</v>
      </c>
      <c r="J416" t="s">
        <v>708</v>
      </c>
      <c r="K416" t="s">
        <v>713</v>
      </c>
      <c r="L416" t="s">
        <v>728</v>
      </c>
      <c r="M416" t="s">
        <v>735</v>
      </c>
      <c r="N416" s="23">
        <v>1084.3900000000001</v>
      </c>
      <c r="O416" s="23">
        <v>759.33</v>
      </c>
      <c r="P416" s="8">
        <v>0.23699999999999999</v>
      </c>
      <c r="Q416">
        <v>31</v>
      </c>
      <c r="R416" s="23">
        <f t="shared" si="68"/>
        <v>17960.432489999999</v>
      </c>
      <c r="S416" s="23">
        <f t="shared" si="69"/>
        <v>33616.090000000004</v>
      </c>
      <c r="T416" s="23">
        <f t="shared" si="70"/>
        <v>-15655.657510000005</v>
      </c>
      <c r="U416" s="14">
        <f t="shared" si="71"/>
        <v>-0.87167486187856302</v>
      </c>
      <c r="V416" s="7" t="str">
        <f t="shared" si="72"/>
        <v>Oct-2024</v>
      </c>
      <c r="W416" s="22">
        <f t="shared" si="73"/>
        <v>45566</v>
      </c>
      <c r="X416" s="7" t="str">
        <f t="shared" si="74"/>
        <v>Q4-2024</v>
      </c>
      <c r="Y416" t="str">
        <f t="shared" si="75"/>
        <v>Africa → Nigeria → Port Harcourt</v>
      </c>
      <c r="Z416" t="str">
        <f t="shared" si="76"/>
        <v>Printers</v>
      </c>
      <c r="AA416" t="str" cm="1">
        <f t="array" ref="AA416">_xlfn.IFS(O416&lt;=$AF$2,"Low",AND(O416&gt;$AF$2,O416&lt;$AF$3),"Medium",O416&gt;=$AF$3,"High")</f>
        <v>Low</v>
      </c>
      <c r="AB416" s="22">
        <f t="shared" si="77"/>
        <v>44927</v>
      </c>
      <c r="AC416">
        <v>21</v>
      </c>
    </row>
    <row r="417" spans="1:29" x14ac:dyDescent="0.35">
      <c r="A417" s="4" t="s">
        <v>210</v>
      </c>
      <c r="B417" s="5" t="str">
        <f>IF(COUNTIF($A$2:A417,A417)=1,"Original","Duplicate")</f>
        <v>Original</v>
      </c>
      <c r="C417" s="7">
        <v>45588</v>
      </c>
      <c r="D417" s="7">
        <v>45610</v>
      </c>
      <c r="E417">
        <f t="shared" si="67"/>
        <v>22</v>
      </c>
      <c r="F417" t="s">
        <v>647</v>
      </c>
      <c r="G417" t="s">
        <v>652</v>
      </c>
      <c r="H417" t="s">
        <v>666</v>
      </c>
      <c r="I417" t="s">
        <v>703</v>
      </c>
      <c r="J417" t="s">
        <v>711</v>
      </c>
      <c r="K417" t="s">
        <v>717</v>
      </c>
      <c r="L417" t="s">
        <v>730</v>
      </c>
      <c r="M417" t="s">
        <v>930</v>
      </c>
      <c r="N417" s="23">
        <v>1406.4</v>
      </c>
      <c r="O417" s="23">
        <v>1564.76</v>
      </c>
      <c r="P417" s="8">
        <v>0.185</v>
      </c>
      <c r="Q417">
        <v>17</v>
      </c>
      <c r="R417" s="23">
        <f t="shared" si="68"/>
        <v>21679.749799999998</v>
      </c>
      <c r="S417" s="23">
        <f t="shared" si="69"/>
        <v>23908.800000000003</v>
      </c>
      <c r="T417" s="23">
        <f t="shared" si="70"/>
        <v>-2229.0502000000051</v>
      </c>
      <c r="U417" s="14">
        <f t="shared" si="71"/>
        <v>-0.10281715520536151</v>
      </c>
      <c r="V417" s="7" t="str">
        <f t="shared" si="72"/>
        <v>Oct-2024</v>
      </c>
      <c r="W417" s="22">
        <f t="shared" si="73"/>
        <v>45566</v>
      </c>
      <c r="X417" s="7" t="str">
        <f t="shared" si="74"/>
        <v>Q4-2024</v>
      </c>
      <c r="Y417" t="str">
        <f t="shared" si="75"/>
        <v>Asia → Japan → Osaka</v>
      </c>
      <c r="Z417" t="str">
        <f t="shared" si="76"/>
        <v>Phones</v>
      </c>
      <c r="AA417" t="str" cm="1">
        <f t="array" ref="AA417">_xlfn.IFS(O417&lt;=$AF$2,"Low",AND(O417&gt;$AF$2,O417&lt;$AF$3),"Medium",O417&gt;=$AF$3,"High")</f>
        <v>Medium</v>
      </c>
      <c r="AB417" s="22">
        <f t="shared" si="77"/>
        <v>44986</v>
      </c>
      <c r="AC417">
        <v>19</v>
      </c>
    </row>
    <row r="418" spans="1:29" x14ac:dyDescent="0.35">
      <c r="A418" s="4" t="s">
        <v>521</v>
      </c>
      <c r="B418" s="5" t="str">
        <f>IF(COUNTIF($A$2:A418,A418)=1,"Original","Duplicate")</f>
        <v>Original</v>
      </c>
      <c r="C418" s="7">
        <v>45589</v>
      </c>
      <c r="D418" s="7">
        <v>45593</v>
      </c>
      <c r="E418">
        <f t="shared" si="67"/>
        <v>4</v>
      </c>
      <c r="F418" t="s">
        <v>647</v>
      </c>
      <c r="G418" t="s">
        <v>659</v>
      </c>
      <c r="H418" t="s">
        <v>685</v>
      </c>
      <c r="I418" t="s">
        <v>705</v>
      </c>
      <c r="J418" t="s">
        <v>710</v>
      </c>
      <c r="K418" t="s">
        <v>714</v>
      </c>
      <c r="L418" t="s">
        <v>729</v>
      </c>
      <c r="M418" t="s">
        <v>1240</v>
      </c>
      <c r="N418" s="23">
        <v>1331.77</v>
      </c>
      <c r="O418" s="23">
        <v>2606.11</v>
      </c>
      <c r="P418" s="8">
        <v>0.02</v>
      </c>
      <c r="Q418">
        <v>6</v>
      </c>
      <c r="R418" s="23">
        <f t="shared" si="68"/>
        <v>15323.926799999999</v>
      </c>
      <c r="S418" s="23">
        <f t="shared" si="69"/>
        <v>7990.62</v>
      </c>
      <c r="T418" s="23">
        <f t="shared" si="70"/>
        <v>7333.3067999999994</v>
      </c>
      <c r="U418" s="14">
        <f t="shared" si="71"/>
        <v>0.47855271665745619</v>
      </c>
      <c r="V418" s="7" t="str">
        <f t="shared" si="72"/>
        <v>Oct-2024</v>
      </c>
      <c r="W418" s="22">
        <f t="shared" si="73"/>
        <v>45566</v>
      </c>
      <c r="X418" s="7" t="str">
        <f t="shared" si="74"/>
        <v>Q4-2024</v>
      </c>
      <c r="Y418" t="str">
        <f t="shared" si="75"/>
        <v>Asia → China → Shanghai</v>
      </c>
      <c r="Z418" t="str">
        <f t="shared" si="76"/>
        <v>Networking</v>
      </c>
      <c r="AA418" t="str" cm="1">
        <f t="array" ref="AA418">_xlfn.IFS(O418&lt;=$AF$2,"Low",AND(O418&gt;$AF$2,O418&lt;$AF$3),"Medium",O418&gt;=$AF$3,"High")</f>
        <v>High</v>
      </c>
      <c r="AB418" s="22">
        <f t="shared" si="77"/>
        <v>44927</v>
      </c>
      <c r="AC418">
        <v>21</v>
      </c>
    </row>
    <row r="419" spans="1:29" x14ac:dyDescent="0.35">
      <c r="A419" s="4" t="s">
        <v>57</v>
      </c>
      <c r="B419" s="5" t="str">
        <f>IF(COUNTIF($A$2:A419,A419)=1,"Original","Duplicate")</f>
        <v>Original</v>
      </c>
      <c r="C419" s="7">
        <v>45590</v>
      </c>
      <c r="D419" s="7">
        <v>45610</v>
      </c>
      <c r="E419">
        <f t="shared" si="67"/>
        <v>20</v>
      </c>
      <c r="F419" t="s">
        <v>646</v>
      </c>
      <c r="G419" t="s">
        <v>650</v>
      </c>
      <c r="H419" t="s">
        <v>675</v>
      </c>
      <c r="I419" t="s">
        <v>701</v>
      </c>
      <c r="J419" t="s">
        <v>711</v>
      </c>
      <c r="K419" t="s">
        <v>722</v>
      </c>
      <c r="L419" t="s">
        <v>728</v>
      </c>
      <c r="M419" t="s">
        <v>776</v>
      </c>
      <c r="N419" s="23">
        <v>1396.48</v>
      </c>
      <c r="O419" s="23">
        <v>3204.5</v>
      </c>
      <c r="P419" s="8">
        <v>0.3</v>
      </c>
      <c r="Q419">
        <v>14</v>
      </c>
      <c r="R419" s="23">
        <f t="shared" si="68"/>
        <v>31404.1</v>
      </c>
      <c r="S419" s="23">
        <f t="shared" si="69"/>
        <v>19550.72</v>
      </c>
      <c r="T419" s="23">
        <f t="shared" si="70"/>
        <v>11853.379999999997</v>
      </c>
      <c r="U419" s="14">
        <f t="shared" si="71"/>
        <v>0.3774468938769141</v>
      </c>
      <c r="V419" s="7" t="str">
        <f t="shared" si="72"/>
        <v>Oct-2024</v>
      </c>
      <c r="W419" s="22">
        <f t="shared" si="73"/>
        <v>45566</v>
      </c>
      <c r="X419" s="7" t="str">
        <f t="shared" si="74"/>
        <v>Q4-2024</v>
      </c>
      <c r="Y419" t="str">
        <f t="shared" si="75"/>
        <v>Africa → Kenya → Mombasa</v>
      </c>
      <c r="Z419" t="str">
        <f t="shared" si="76"/>
        <v>Printers</v>
      </c>
      <c r="AA419" t="str" cm="1">
        <f t="array" ref="AA419">_xlfn.IFS(O419&lt;=$AF$2,"Low",AND(O419&gt;$AF$2,O419&lt;$AF$3),"Medium",O419&gt;=$AF$3,"High")</f>
        <v>High</v>
      </c>
      <c r="AB419" s="22">
        <f t="shared" si="77"/>
        <v>44927</v>
      </c>
      <c r="AC419">
        <v>21</v>
      </c>
    </row>
    <row r="420" spans="1:29" x14ac:dyDescent="0.35">
      <c r="A420" s="4" t="s">
        <v>575</v>
      </c>
      <c r="B420" s="5" t="str">
        <f>IF(COUNTIF($A$2:A420,A420)=1,"Original","Duplicate")</f>
        <v>Original</v>
      </c>
      <c r="C420" s="7">
        <v>45590</v>
      </c>
      <c r="D420" s="7">
        <v>45601</v>
      </c>
      <c r="E420">
        <f t="shared" si="67"/>
        <v>11</v>
      </c>
      <c r="F420" t="s">
        <v>648</v>
      </c>
      <c r="G420" t="s">
        <v>660</v>
      </c>
      <c r="H420" t="s">
        <v>700</v>
      </c>
      <c r="I420" t="s">
        <v>701</v>
      </c>
      <c r="J420" t="s">
        <v>710</v>
      </c>
      <c r="K420" t="s">
        <v>725</v>
      </c>
      <c r="L420" t="s">
        <v>727</v>
      </c>
      <c r="M420" t="s">
        <v>1293</v>
      </c>
      <c r="N420" s="23">
        <v>446.66</v>
      </c>
      <c r="O420" s="23">
        <v>527.64</v>
      </c>
      <c r="P420" s="8">
        <v>0.14499999999999999</v>
      </c>
      <c r="Q420">
        <v>15</v>
      </c>
      <c r="R420" s="23">
        <f t="shared" si="68"/>
        <v>6766.9829999999993</v>
      </c>
      <c r="S420" s="23">
        <f t="shared" si="69"/>
        <v>6699.9000000000005</v>
      </c>
      <c r="T420" s="23">
        <f t="shared" si="70"/>
        <v>67.082999999998719</v>
      </c>
      <c r="U420" s="14">
        <f t="shared" si="71"/>
        <v>9.9132804087137105E-3</v>
      </c>
      <c r="V420" s="7" t="str">
        <f t="shared" si="72"/>
        <v>Oct-2024</v>
      </c>
      <c r="W420" s="22">
        <f t="shared" si="73"/>
        <v>45566</v>
      </c>
      <c r="X420" s="7" t="str">
        <f t="shared" si="74"/>
        <v>Q4-2024</v>
      </c>
      <c r="Y420" t="str">
        <f t="shared" si="75"/>
        <v>Americas → USA → New York</v>
      </c>
      <c r="Z420" t="str">
        <f t="shared" si="76"/>
        <v>Components</v>
      </c>
      <c r="AA420" t="str" cm="1">
        <f t="array" ref="AA420">_xlfn.IFS(O420&lt;=$AF$2,"Low",AND(O420&gt;$AF$2,O420&lt;$AF$3),"Medium",O420&gt;=$AF$3,"High")</f>
        <v>Low</v>
      </c>
      <c r="AB420" s="22">
        <f t="shared" si="77"/>
        <v>44927</v>
      </c>
      <c r="AC420">
        <v>21</v>
      </c>
    </row>
    <row r="421" spans="1:29" x14ac:dyDescent="0.35">
      <c r="A421" s="4" t="s">
        <v>268</v>
      </c>
      <c r="B421" s="5" t="str">
        <f>IF(COUNTIF($A$2:A421,A421)=1,"Original","Duplicate")</f>
        <v>Original</v>
      </c>
      <c r="C421" s="7">
        <v>45592</v>
      </c>
      <c r="D421" s="7">
        <v>45616</v>
      </c>
      <c r="E421">
        <f t="shared" si="67"/>
        <v>24</v>
      </c>
      <c r="F421" t="s">
        <v>647</v>
      </c>
      <c r="G421" t="s">
        <v>652</v>
      </c>
      <c r="H421" t="s">
        <v>694</v>
      </c>
      <c r="I421" t="s">
        <v>703</v>
      </c>
      <c r="J421" t="s">
        <v>708</v>
      </c>
      <c r="K421" t="s">
        <v>722</v>
      </c>
      <c r="L421" t="s">
        <v>732</v>
      </c>
      <c r="M421" t="s">
        <v>988</v>
      </c>
      <c r="N421" s="23">
        <v>317.25</v>
      </c>
      <c r="O421" s="23">
        <v>758.92</v>
      </c>
      <c r="P421" s="8">
        <v>5.2999999999999999E-2</v>
      </c>
      <c r="Q421">
        <v>9</v>
      </c>
      <c r="R421" s="23">
        <f t="shared" si="68"/>
        <v>6468.2751599999992</v>
      </c>
      <c r="S421" s="23">
        <f t="shared" si="69"/>
        <v>2855.25</v>
      </c>
      <c r="T421" s="23">
        <f t="shared" si="70"/>
        <v>3613.0251599999992</v>
      </c>
      <c r="U421" s="14">
        <f t="shared" si="71"/>
        <v>0.5585762928489888</v>
      </c>
      <c r="V421" s="7" t="str">
        <f t="shared" si="72"/>
        <v>Oct-2024</v>
      </c>
      <c r="W421" s="22">
        <f t="shared" si="73"/>
        <v>45566</v>
      </c>
      <c r="X421" s="7" t="str">
        <f t="shared" si="74"/>
        <v>Q4-2024</v>
      </c>
      <c r="Y421" t="str">
        <f t="shared" si="75"/>
        <v>Asia → Japan → Nagoya</v>
      </c>
      <c r="Z421" t="str">
        <f t="shared" si="76"/>
        <v>Monitors</v>
      </c>
      <c r="AA421" t="str" cm="1">
        <f t="array" ref="AA421">_xlfn.IFS(O421&lt;=$AF$2,"Low",AND(O421&gt;$AF$2,O421&lt;$AF$3),"Medium",O421&gt;=$AF$3,"High")</f>
        <v>Low</v>
      </c>
      <c r="AB421" s="22">
        <f t="shared" si="77"/>
        <v>44986</v>
      </c>
      <c r="AC421">
        <v>19</v>
      </c>
    </row>
    <row r="422" spans="1:29" x14ac:dyDescent="0.35">
      <c r="A422" s="4" t="s">
        <v>356</v>
      </c>
      <c r="B422" s="5" t="str">
        <f>IF(COUNTIF($A$2:A422,A422)=1,"Original","Duplicate")</f>
        <v>Original</v>
      </c>
      <c r="C422" s="7">
        <v>45594</v>
      </c>
      <c r="D422" s="7">
        <v>45600</v>
      </c>
      <c r="E422">
        <f t="shared" si="67"/>
        <v>6</v>
      </c>
      <c r="F422" t="s">
        <v>646</v>
      </c>
      <c r="G422" t="s">
        <v>650</v>
      </c>
      <c r="H422" t="s">
        <v>664</v>
      </c>
      <c r="I422" t="s">
        <v>701</v>
      </c>
      <c r="J422" t="s">
        <v>710</v>
      </c>
      <c r="K422" t="s">
        <v>724</v>
      </c>
      <c r="L422" t="s">
        <v>728</v>
      </c>
      <c r="M422" t="s">
        <v>1076</v>
      </c>
      <c r="N422" s="23">
        <v>805.81</v>
      </c>
      <c r="O422" s="23">
        <v>1823.04</v>
      </c>
      <c r="P422" s="8">
        <v>0</v>
      </c>
      <c r="Q422">
        <v>11</v>
      </c>
      <c r="R422" s="23">
        <f t="shared" si="68"/>
        <v>20053.439999999999</v>
      </c>
      <c r="S422" s="23">
        <f t="shared" si="69"/>
        <v>8863.91</v>
      </c>
      <c r="T422" s="23">
        <f t="shared" si="70"/>
        <v>11189.529999999999</v>
      </c>
      <c r="U422" s="14">
        <f t="shared" si="71"/>
        <v>0.55798556257679477</v>
      </c>
      <c r="V422" s="7" t="str">
        <f t="shared" si="72"/>
        <v>Oct-2024</v>
      </c>
      <c r="W422" s="22">
        <f t="shared" si="73"/>
        <v>45566</v>
      </c>
      <c r="X422" s="7" t="str">
        <f t="shared" si="74"/>
        <v>Q4-2024</v>
      </c>
      <c r="Y422" t="str">
        <f t="shared" si="75"/>
        <v>Africa → Kenya → Nairobi</v>
      </c>
      <c r="Z422" t="str">
        <f t="shared" si="76"/>
        <v>Printers</v>
      </c>
      <c r="AA422" t="str" cm="1">
        <f t="array" ref="AA422">_xlfn.IFS(O422&lt;=$AF$2,"Low",AND(O422&gt;$AF$2,O422&lt;$AF$3),"Medium",O422&gt;=$AF$3,"High")</f>
        <v>High</v>
      </c>
      <c r="AB422" s="22">
        <f t="shared" si="77"/>
        <v>44927</v>
      </c>
      <c r="AC422">
        <v>21</v>
      </c>
    </row>
    <row r="423" spans="1:29" x14ac:dyDescent="0.35">
      <c r="A423" s="4" t="s">
        <v>176</v>
      </c>
      <c r="B423" s="5" t="str">
        <f>IF(COUNTIF($A$2:A423,A423)=1,"Original","Duplicate")</f>
        <v>Original</v>
      </c>
      <c r="C423" s="7">
        <v>45595</v>
      </c>
      <c r="D423" s="7">
        <v>45620</v>
      </c>
      <c r="E423">
        <f t="shared" si="67"/>
        <v>25</v>
      </c>
      <c r="F423" t="s">
        <v>647</v>
      </c>
      <c r="G423" t="s">
        <v>659</v>
      </c>
      <c r="H423" t="s">
        <v>676</v>
      </c>
      <c r="I423" t="s">
        <v>705</v>
      </c>
      <c r="J423" t="s">
        <v>708</v>
      </c>
      <c r="K423" t="s">
        <v>718</v>
      </c>
      <c r="L423" t="s">
        <v>727</v>
      </c>
      <c r="M423" t="s">
        <v>895</v>
      </c>
      <c r="N423" s="23">
        <v>811.05</v>
      </c>
      <c r="O423" s="23">
        <v>1217.71</v>
      </c>
      <c r="P423" s="8">
        <v>7.1999999999999995E-2</v>
      </c>
      <c r="Q423">
        <v>5</v>
      </c>
      <c r="R423" s="23">
        <f t="shared" si="68"/>
        <v>5650.1744000000008</v>
      </c>
      <c r="S423" s="23">
        <f t="shared" si="69"/>
        <v>4055.25</v>
      </c>
      <c r="T423" s="23">
        <f t="shared" si="70"/>
        <v>1594.9244000000008</v>
      </c>
      <c r="U423" s="14">
        <f t="shared" si="71"/>
        <v>0.28227879125288602</v>
      </c>
      <c r="V423" s="7" t="str">
        <f t="shared" si="72"/>
        <v>Oct-2024</v>
      </c>
      <c r="W423" s="22">
        <f t="shared" si="73"/>
        <v>45566</v>
      </c>
      <c r="X423" s="7" t="str">
        <f t="shared" si="74"/>
        <v>Q4-2024</v>
      </c>
      <c r="Y423" t="str">
        <f t="shared" si="75"/>
        <v>Asia → China → Shenzhen</v>
      </c>
      <c r="Z423" t="str">
        <f t="shared" si="76"/>
        <v>Components</v>
      </c>
      <c r="AA423" t="str" cm="1">
        <f t="array" ref="AA423">_xlfn.IFS(O423&lt;=$AF$2,"Low",AND(O423&gt;$AF$2,O423&lt;$AF$3),"Medium",O423&gt;=$AF$3,"High")</f>
        <v>Medium</v>
      </c>
      <c r="AB423" s="22">
        <f t="shared" si="77"/>
        <v>44927</v>
      </c>
      <c r="AC423">
        <v>21</v>
      </c>
    </row>
    <row r="424" spans="1:29" x14ac:dyDescent="0.35">
      <c r="A424" s="4" t="s">
        <v>444</v>
      </c>
      <c r="B424" s="5" t="str">
        <f>IF(COUNTIF($A$2:A424,A424)=1,"Original","Duplicate")</f>
        <v>Original</v>
      </c>
      <c r="C424" s="7">
        <v>45597</v>
      </c>
      <c r="D424" s="7">
        <v>45608</v>
      </c>
      <c r="E424">
        <f t="shared" si="67"/>
        <v>11</v>
      </c>
      <c r="F424" t="s">
        <v>649</v>
      </c>
      <c r="G424" t="s">
        <v>656</v>
      </c>
      <c r="H424" t="s">
        <v>698</v>
      </c>
      <c r="I424" t="s">
        <v>704</v>
      </c>
      <c r="J424" t="s">
        <v>708</v>
      </c>
      <c r="K424" t="s">
        <v>717</v>
      </c>
      <c r="L424" t="s">
        <v>728</v>
      </c>
      <c r="M424" t="s">
        <v>1163</v>
      </c>
      <c r="N424" s="23">
        <v>599.84</v>
      </c>
      <c r="O424" s="23">
        <v>1330.85</v>
      </c>
      <c r="P424" s="8">
        <v>0.115</v>
      </c>
      <c r="Q424">
        <v>11</v>
      </c>
      <c r="R424" s="23">
        <f t="shared" si="68"/>
        <v>12955.824749999998</v>
      </c>
      <c r="S424" s="23">
        <f t="shared" si="69"/>
        <v>6598.2400000000007</v>
      </c>
      <c r="T424" s="23">
        <f t="shared" si="70"/>
        <v>6357.5847499999973</v>
      </c>
      <c r="U424" s="14">
        <f t="shared" si="71"/>
        <v>0.49071246892252063</v>
      </c>
      <c r="V424" s="7" t="str">
        <f t="shared" si="72"/>
        <v>Nov-2024</v>
      </c>
      <c r="W424" s="22">
        <f t="shared" si="73"/>
        <v>45597</v>
      </c>
      <c r="X424" s="7" t="str">
        <f t="shared" si="74"/>
        <v>Q4-2024</v>
      </c>
      <c r="Y424" t="str">
        <f t="shared" si="75"/>
        <v>Europe → Germany → Frankfurt</v>
      </c>
      <c r="Z424" t="str">
        <f t="shared" si="76"/>
        <v>Printers</v>
      </c>
      <c r="AA424" t="str" cm="1">
        <f t="array" ref="AA424">_xlfn.IFS(O424&lt;=$AF$2,"Low",AND(O424&gt;$AF$2,O424&lt;$AF$3),"Medium",O424&gt;=$AF$3,"High")</f>
        <v>Medium</v>
      </c>
      <c r="AB424" s="22">
        <f t="shared" si="77"/>
        <v>44927</v>
      </c>
      <c r="AC424">
        <v>22</v>
      </c>
    </row>
    <row r="425" spans="1:29" x14ac:dyDescent="0.35">
      <c r="A425" s="4" t="s">
        <v>78</v>
      </c>
      <c r="B425" s="5" t="str">
        <f>IF(COUNTIF($A$2:A425,A425)=1,"Original","Duplicate")</f>
        <v>Original</v>
      </c>
      <c r="C425" s="7">
        <v>45598</v>
      </c>
      <c r="D425" s="7">
        <v>45614</v>
      </c>
      <c r="E425">
        <f t="shared" si="67"/>
        <v>16</v>
      </c>
      <c r="F425" t="s">
        <v>647</v>
      </c>
      <c r="G425" t="s">
        <v>654</v>
      </c>
      <c r="H425" t="s">
        <v>691</v>
      </c>
      <c r="I425" t="s">
        <v>705</v>
      </c>
      <c r="J425" t="s">
        <v>710</v>
      </c>
      <c r="K425" t="s">
        <v>719</v>
      </c>
      <c r="L425" t="s">
        <v>732</v>
      </c>
      <c r="M425" t="s">
        <v>797</v>
      </c>
      <c r="N425" s="23">
        <v>1233.58</v>
      </c>
      <c r="O425" s="23">
        <v>1912.51</v>
      </c>
      <c r="P425" s="8">
        <v>0.255</v>
      </c>
      <c r="Q425">
        <v>51</v>
      </c>
      <c r="R425" s="23">
        <f t="shared" si="68"/>
        <v>72665.817450000002</v>
      </c>
      <c r="S425" s="23">
        <f t="shared" si="69"/>
        <v>62912.579999999994</v>
      </c>
      <c r="T425" s="23">
        <f t="shared" si="70"/>
        <v>9753.2374500000078</v>
      </c>
      <c r="U425" s="14">
        <f t="shared" si="71"/>
        <v>0.134220432553601</v>
      </c>
      <c r="V425" s="7" t="str">
        <f t="shared" si="72"/>
        <v>Nov-2024</v>
      </c>
      <c r="W425" s="22">
        <f t="shared" si="73"/>
        <v>45597</v>
      </c>
      <c r="X425" s="7" t="str">
        <f t="shared" si="74"/>
        <v>Q4-2024</v>
      </c>
      <c r="Y425" t="str">
        <f t="shared" si="75"/>
        <v>Asia → India → Mumbai</v>
      </c>
      <c r="Z425" t="str">
        <f t="shared" si="76"/>
        <v>Monitors</v>
      </c>
      <c r="AA425" t="str" cm="1">
        <f t="array" ref="AA425">_xlfn.IFS(O425&lt;=$AF$2,"Low",AND(O425&gt;$AF$2,O425&lt;$AF$3),"Medium",O425&gt;=$AF$3,"High")</f>
        <v>High</v>
      </c>
      <c r="AB425" s="22">
        <f t="shared" si="77"/>
        <v>44958</v>
      </c>
      <c r="AC425">
        <v>21</v>
      </c>
    </row>
    <row r="426" spans="1:29" x14ac:dyDescent="0.35">
      <c r="A426" s="4" t="s">
        <v>138</v>
      </c>
      <c r="B426" s="5" t="str">
        <f>IF(COUNTIF($A$2:A426,A426)=1,"Original","Duplicate")</f>
        <v>Original</v>
      </c>
      <c r="C426" s="7">
        <v>45598</v>
      </c>
      <c r="D426" s="7">
        <v>45625</v>
      </c>
      <c r="E426">
        <f t="shared" si="67"/>
        <v>27</v>
      </c>
      <c r="F426" t="s">
        <v>648</v>
      </c>
      <c r="G426" t="s">
        <v>655</v>
      </c>
      <c r="H426" t="s">
        <v>672</v>
      </c>
      <c r="I426" t="s">
        <v>705</v>
      </c>
      <c r="J426" t="s">
        <v>711</v>
      </c>
      <c r="K426" t="s">
        <v>714</v>
      </c>
      <c r="L426" t="s">
        <v>729</v>
      </c>
      <c r="M426" t="s">
        <v>857</v>
      </c>
      <c r="N426" s="23">
        <v>1363.51</v>
      </c>
      <c r="O426" s="23">
        <v>1433.9</v>
      </c>
      <c r="P426" s="8">
        <v>5.7000000000000002E-2</v>
      </c>
      <c r="Q426">
        <v>8</v>
      </c>
      <c r="R426" s="23">
        <f t="shared" si="68"/>
        <v>10817.3416</v>
      </c>
      <c r="S426" s="23">
        <f t="shared" si="69"/>
        <v>10908.08</v>
      </c>
      <c r="T426" s="23">
        <f t="shared" si="70"/>
        <v>-90.738400000000183</v>
      </c>
      <c r="U426" s="14">
        <f t="shared" si="71"/>
        <v>-8.3882346842037592E-3</v>
      </c>
      <c r="V426" s="7" t="str">
        <f t="shared" si="72"/>
        <v>Nov-2024</v>
      </c>
      <c r="W426" s="22">
        <f t="shared" si="73"/>
        <v>45597</v>
      </c>
      <c r="X426" s="7" t="str">
        <f t="shared" si="74"/>
        <v>Q4-2024</v>
      </c>
      <c r="Y426" t="str">
        <f t="shared" si="75"/>
        <v>Americas → Brazil → Brasília</v>
      </c>
      <c r="Z426" t="str">
        <f t="shared" si="76"/>
        <v>Networking</v>
      </c>
      <c r="AA426" t="str" cm="1">
        <f t="array" ref="AA426">_xlfn.IFS(O426&lt;=$AF$2,"Low",AND(O426&gt;$AF$2,O426&lt;$AF$3),"Medium",O426&gt;=$AF$3,"High")</f>
        <v>Medium</v>
      </c>
      <c r="AB426" s="22">
        <f t="shared" si="77"/>
        <v>44927</v>
      </c>
      <c r="AC426">
        <v>22</v>
      </c>
    </row>
    <row r="427" spans="1:29" x14ac:dyDescent="0.35">
      <c r="A427" s="4" t="s">
        <v>327</v>
      </c>
      <c r="B427" s="5" t="str">
        <f>IF(COUNTIF($A$2:A427,A427)=1,"Original","Duplicate")</f>
        <v>Original</v>
      </c>
      <c r="C427" s="7">
        <v>45600</v>
      </c>
      <c r="D427" s="7">
        <v>45601</v>
      </c>
      <c r="E427">
        <f t="shared" si="67"/>
        <v>1</v>
      </c>
      <c r="F427" t="s">
        <v>649</v>
      </c>
      <c r="G427" t="s">
        <v>658</v>
      </c>
      <c r="H427" t="s">
        <v>683</v>
      </c>
      <c r="I427" t="s">
        <v>701</v>
      </c>
      <c r="J427" t="s">
        <v>707</v>
      </c>
      <c r="K427" t="s">
        <v>724</v>
      </c>
      <c r="L427" t="s">
        <v>728</v>
      </c>
      <c r="M427" t="s">
        <v>1047</v>
      </c>
      <c r="N427" s="23">
        <v>840.68</v>
      </c>
      <c r="O427" s="23">
        <v>1493.53</v>
      </c>
      <c r="P427" s="8">
        <v>0</v>
      </c>
      <c r="Q427">
        <v>27</v>
      </c>
      <c r="R427" s="23">
        <f t="shared" si="68"/>
        <v>40325.31</v>
      </c>
      <c r="S427" s="23">
        <f t="shared" si="69"/>
        <v>22698.359999999997</v>
      </c>
      <c r="T427" s="23">
        <f t="shared" si="70"/>
        <v>17626.95</v>
      </c>
      <c r="U427" s="14">
        <f t="shared" si="71"/>
        <v>0.43711877230454027</v>
      </c>
      <c r="V427" s="7" t="str">
        <f t="shared" si="72"/>
        <v>Nov-2024</v>
      </c>
      <c r="W427" s="22">
        <f t="shared" si="73"/>
        <v>45597</v>
      </c>
      <c r="X427" s="7" t="str">
        <f t="shared" si="74"/>
        <v>Q4-2024</v>
      </c>
      <c r="Y427" t="str">
        <f t="shared" si="75"/>
        <v>Europe → United Kingdom → London</v>
      </c>
      <c r="Z427" t="str">
        <f t="shared" si="76"/>
        <v>Printers</v>
      </c>
      <c r="AA427" t="str" cm="1">
        <f t="array" ref="AA427">_xlfn.IFS(O427&lt;=$AF$2,"Low",AND(O427&gt;$AF$2,O427&lt;$AF$3),"Medium",O427&gt;=$AF$3,"High")</f>
        <v>Medium</v>
      </c>
      <c r="AB427" s="22">
        <f t="shared" si="77"/>
        <v>44927</v>
      </c>
      <c r="AC427">
        <v>22</v>
      </c>
    </row>
    <row r="428" spans="1:29" x14ac:dyDescent="0.35">
      <c r="A428" s="4" t="s">
        <v>582</v>
      </c>
      <c r="B428" s="5" t="str">
        <f>IF(COUNTIF($A$2:A428,A428)=1,"Original","Duplicate")</f>
        <v>Original</v>
      </c>
      <c r="C428" s="7">
        <v>45600</v>
      </c>
      <c r="D428" s="7">
        <v>45603</v>
      </c>
      <c r="E428">
        <f t="shared" si="67"/>
        <v>3</v>
      </c>
      <c r="F428" t="s">
        <v>649</v>
      </c>
      <c r="G428" t="s">
        <v>657</v>
      </c>
      <c r="H428" t="s">
        <v>679</v>
      </c>
      <c r="I428" t="s">
        <v>701</v>
      </c>
      <c r="J428" t="s">
        <v>708</v>
      </c>
      <c r="K428" t="s">
        <v>719</v>
      </c>
      <c r="L428" t="s">
        <v>732</v>
      </c>
      <c r="M428" t="s">
        <v>1300</v>
      </c>
      <c r="N428" s="23">
        <v>740.68</v>
      </c>
      <c r="O428" s="23">
        <v>1837.19</v>
      </c>
      <c r="P428" s="8">
        <v>0.19700000000000001</v>
      </c>
      <c r="Q428">
        <v>17</v>
      </c>
      <c r="R428" s="23">
        <f t="shared" si="68"/>
        <v>25079.480689999997</v>
      </c>
      <c r="S428" s="23">
        <f t="shared" si="69"/>
        <v>12591.56</v>
      </c>
      <c r="T428" s="23">
        <f t="shared" si="70"/>
        <v>12487.920689999997</v>
      </c>
      <c r="U428" s="14">
        <f t="shared" si="71"/>
        <v>0.4979337827748298</v>
      </c>
      <c r="V428" s="7" t="str">
        <f t="shared" si="72"/>
        <v>Nov-2024</v>
      </c>
      <c r="W428" s="22">
        <f t="shared" si="73"/>
        <v>45597</v>
      </c>
      <c r="X428" s="7" t="str">
        <f t="shared" si="74"/>
        <v>Q4-2024</v>
      </c>
      <c r="Y428" t="str">
        <f t="shared" si="75"/>
        <v>Europe → France → Lyon</v>
      </c>
      <c r="Z428" t="str">
        <f t="shared" si="76"/>
        <v>Monitors</v>
      </c>
      <c r="AA428" t="str" cm="1">
        <f t="array" ref="AA428">_xlfn.IFS(O428&lt;=$AF$2,"Low",AND(O428&gt;$AF$2,O428&lt;$AF$3),"Medium",O428&gt;=$AF$3,"High")</f>
        <v>High</v>
      </c>
      <c r="AB428" s="22">
        <f t="shared" si="77"/>
        <v>44927</v>
      </c>
      <c r="AC428">
        <v>22</v>
      </c>
    </row>
    <row r="429" spans="1:29" x14ac:dyDescent="0.35">
      <c r="A429" s="4" t="s">
        <v>416</v>
      </c>
      <c r="B429" s="5" t="str">
        <f>IF(COUNTIF($A$2:A429,A429)=1,"Original","Duplicate")</f>
        <v>Original</v>
      </c>
      <c r="C429" s="7">
        <v>45601</v>
      </c>
      <c r="D429" s="7">
        <v>45604</v>
      </c>
      <c r="E429">
        <f t="shared" si="67"/>
        <v>3</v>
      </c>
      <c r="F429" t="s">
        <v>648</v>
      </c>
      <c r="G429" t="s">
        <v>653</v>
      </c>
      <c r="H429" t="s">
        <v>667</v>
      </c>
      <c r="I429" t="s">
        <v>702</v>
      </c>
      <c r="J429" t="s">
        <v>709</v>
      </c>
      <c r="K429" t="s">
        <v>719</v>
      </c>
      <c r="L429" t="s">
        <v>727</v>
      </c>
      <c r="M429" t="s">
        <v>1135</v>
      </c>
      <c r="N429" s="23">
        <v>1020.4</v>
      </c>
      <c r="O429" s="23">
        <v>1184.71</v>
      </c>
      <c r="P429" s="8">
        <v>0.106</v>
      </c>
      <c r="Q429">
        <v>16</v>
      </c>
      <c r="R429" s="23">
        <f t="shared" si="68"/>
        <v>16946.091840000001</v>
      </c>
      <c r="S429" s="23">
        <f t="shared" si="69"/>
        <v>16326.4</v>
      </c>
      <c r="T429" s="23">
        <f t="shared" si="70"/>
        <v>619.69184000000132</v>
      </c>
      <c r="U429" s="14">
        <f t="shared" si="71"/>
        <v>3.6568422138328345E-2</v>
      </c>
      <c r="V429" s="7" t="str">
        <f t="shared" si="72"/>
        <v>Nov-2024</v>
      </c>
      <c r="W429" s="22">
        <f t="shared" si="73"/>
        <v>45597</v>
      </c>
      <c r="X429" s="7" t="str">
        <f t="shared" si="74"/>
        <v>Q4-2024</v>
      </c>
      <c r="Y429" t="str">
        <f t="shared" si="75"/>
        <v>Americas → Canada → Toronto</v>
      </c>
      <c r="Z429" t="str">
        <f t="shared" si="76"/>
        <v>Components</v>
      </c>
      <c r="AA429" t="str" cm="1">
        <f t="array" ref="AA429">_xlfn.IFS(O429&lt;=$AF$2,"Low",AND(O429&gt;$AF$2,O429&lt;$AF$3),"Medium",O429&gt;=$AF$3,"High")</f>
        <v>Medium</v>
      </c>
      <c r="AB429" s="22">
        <f t="shared" si="77"/>
        <v>44927</v>
      </c>
      <c r="AC429">
        <v>22</v>
      </c>
    </row>
    <row r="430" spans="1:29" x14ac:dyDescent="0.35">
      <c r="A430" s="4" t="s">
        <v>65</v>
      </c>
      <c r="B430" s="5" t="str">
        <f>IF(COUNTIF($A$2:A430,A430)=1,"Original","Duplicate")</f>
        <v>Original</v>
      </c>
      <c r="C430" s="7">
        <v>45602</v>
      </c>
      <c r="D430" s="7">
        <v>45618</v>
      </c>
      <c r="E430">
        <f t="shared" si="67"/>
        <v>16</v>
      </c>
      <c r="F430" t="s">
        <v>648</v>
      </c>
      <c r="G430" t="s">
        <v>653</v>
      </c>
      <c r="H430" t="s">
        <v>667</v>
      </c>
      <c r="I430" t="s">
        <v>703</v>
      </c>
      <c r="J430" t="s">
        <v>710</v>
      </c>
      <c r="K430" t="s">
        <v>726</v>
      </c>
      <c r="L430" t="s">
        <v>733</v>
      </c>
      <c r="M430" t="s">
        <v>784</v>
      </c>
      <c r="N430" s="23">
        <v>1454.11</v>
      </c>
      <c r="O430" s="23">
        <v>2629.75</v>
      </c>
      <c r="P430" s="8">
        <v>0.29199999999999998</v>
      </c>
      <c r="Q430">
        <v>8</v>
      </c>
      <c r="R430" s="23">
        <f t="shared" si="68"/>
        <v>14894.903999999999</v>
      </c>
      <c r="S430" s="23">
        <f t="shared" si="69"/>
        <v>11632.88</v>
      </c>
      <c r="T430" s="23">
        <f t="shared" si="70"/>
        <v>3262.0239999999994</v>
      </c>
      <c r="U430" s="14">
        <f t="shared" si="71"/>
        <v>0.21900268709351867</v>
      </c>
      <c r="V430" s="7" t="str">
        <f t="shared" si="72"/>
        <v>Nov-2024</v>
      </c>
      <c r="W430" s="22">
        <f t="shared" si="73"/>
        <v>45597</v>
      </c>
      <c r="X430" s="7" t="str">
        <f t="shared" si="74"/>
        <v>Q4-2024</v>
      </c>
      <c r="Y430" t="str">
        <f t="shared" si="75"/>
        <v>Americas → Canada → Toronto</v>
      </c>
      <c r="Z430" t="str">
        <f t="shared" si="76"/>
        <v>Accessories</v>
      </c>
      <c r="AA430" t="str" cm="1">
        <f t="array" ref="AA430">_xlfn.IFS(O430&lt;=$AF$2,"Low",AND(O430&gt;$AF$2,O430&lt;$AF$3),"Medium",O430&gt;=$AF$3,"High")</f>
        <v>High</v>
      </c>
      <c r="AB430" s="22">
        <f t="shared" si="77"/>
        <v>44927</v>
      </c>
      <c r="AC430">
        <v>22</v>
      </c>
    </row>
    <row r="431" spans="1:29" x14ac:dyDescent="0.35">
      <c r="A431" s="4" t="s">
        <v>368</v>
      </c>
      <c r="B431" s="5" t="str">
        <f>IF(COUNTIF($A$2:A431,A431)=1,"Original","Duplicate")</f>
        <v>Original</v>
      </c>
      <c r="C431" s="7">
        <v>45603</v>
      </c>
      <c r="D431" s="7">
        <v>45622</v>
      </c>
      <c r="E431">
        <f t="shared" si="67"/>
        <v>19</v>
      </c>
      <c r="F431" t="s">
        <v>648</v>
      </c>
      <c r="G431" t="s">
        <v>655</v>
      </c>
      <c r="H431" t="s">
        <v>692</v>
      </c>
      <c r="I431" t="s">
        <v>703</v>
      </c>
      <c r="J431" t="s">
        <v>710</v>
      </c>
      <c r="K431" t="s">
        <v>713</v>
      </c>
      <c r="L431" t="s">
        <v>728</v>
      </c>
      <c r="M431" t="s">
        <v>1088</v>
      </c>
      <c r="N431" s="23">
        <v>55.35</v>
      </c>
      <c r="O431" s="23">
        <v>128.68</v>
      </c>
      <c r="P431" s="8">
        <v>0.128</v>
      </c>
      <c r="Q431">
        <v>10</v>
      </c>
      <c r="R431" s="23">
        <f t="shared" si="68"/>
        <v>1122.0896000000002</v>
      </c>
      <c r="S431" s="23">
        <f t="shared" si="69"/>
        <v>553.5</v>
      </c>
      <c r="T431" s="23">
        <f t="shared" si="70"/>
        <v>568.58960000000025</v>
      </c>
      <c r="U431" s="14">
        <f t="shared" si="71"/>
        <v>0.50672388372550647</v>
      </c>
      <c r="V431" s="7" t="str">
        <f t="shared" si="72"/>
        <v>Nov-2024</v>
      </c>
      <c r="W431" s="22">
        <f t="shared" si="73"/>
        <v>45597</v>
      </c>
      <c r="X431" s="7" t="str">
        <f t="shared" si="74"/>
        <v>Q4-2024</v>
      </c>
      <c r="Y431" t="str">
        <f t="shared" si="75"/>
        <v>Americas → Brazil → Rio de Janeiro</v>
      </c>
      <c r="Z431" t="str">
        <f t="shared" si="76"/>
        <v>Printers</v>
      </c>
      <c r="AA431" t="str" cm="1">
        <f t="array" ref="AA431">_xlfn.IFS(O431&lt;=$AF$2,"Low",AND(O431&gt;$AF$2,O431&lt;$AF$3),"Medium",O431&gt;=$AF$3,"High")</f>
        <v>Low</v>
      </c>
      <c r="AB431" s="22">
        <f t="shared" si="77"/>
        <v>44927</v>
      </c>
      <c r="AC431">
        <v>22</v>
      </c>
    </row>
    <row r="432" spans="1:29" x14ac:dyDescent="0.35">
      <c r="A432" s="4" t="s">
        <v>262</v>
      </c>
      <c r="B432" s="5" t="str">
        <f>IF(COUNTIF($A$2:A432,A432)=1,"Original","Duplicate")</f>
        <v>Original</v>
      </c>
      <c r="C432" s="7">
        <v>45604</v>
      </c>
      <c r="D432" s="7">
        <v>45611</v>
      </c>
      <c r="E432">
        <f t="shared" si="67"/>
        <v>7</v>
      </c>
      <c r="F432" t="s">
        <v>646</v>
      </c>
      <c r="G432" t="s">
        <v>650</v>
      </c>
      <c r="H432" t="s">
        <v>678</v>
      </c>
      <c r="I432" t="s">
        <v>706</v>
      </c>
      <c r="J432" t="s">
        <v>709</v>
      </c>
      <c r="K432" t="s">
        <v>724</v>
      </c>
      <c r="L432" t="s">
        <v>729</v>
      </c>
      <c r="M432" t="s">
        <v>982</v>
      </c>
      <c r="N432" s="23">
        <v>803.28</v>
      </c>
      <c r="O432" s="23">
        <v>1009</v>
      </c>
      <c r="P432" s="8">
        <v>0.11</v>
      </c>
      <c r="Q432">
        <v>4</v>
      </c>
      <c r="R432" s="23">
        <f t="shared" si="68"/>
        <v>3592.04</v>
      </c>
      <c r="S432" s="23">
        <f t="shared" si="69"/>
        <v>3213.12</v>
      </c>
      <c r="T432" s="23">
        <f t="shared" si="70"/>
        <v>378.92000000000007</v>
      </c>
      <c r="U432" s="14">
        <f t="shared" si="71"/>
        <v>0.10548880302001093</v>
      </c>
      <c r="V432" s="7" t="str">
        <f t="shared" si="72"/>
        <v>Nov-2024</v>
      </c>
      <c r="W432" s="22">
        <f t="shared" si="73"/>
        <v>45597</v>
      </c>
      <c r="X432" s="7" t="str">
        <f t="shared" si="74"/>
        <v>Q4-2024</v>
      </c>
      <c r="Y432" t="str">
        <f t="shared" si="75"/>
        <v>Africa → Kenya → Nakuru</v>
      </c>
      <c r="Z432" t="str">
        <f t="shared" si="76"/>
        <v>Networking</v>
      </c>
      <c r="AA432" t="str" cm="1">
        <f t="array" ref="AA432">_xlfn.IFS(O432&lt;=$AF$2,"Low",AND(O432&gt;$AF$2,O432&lt;$AF$3),"Medium",O432&gt;=$AF$3,"High")</f>
        <v>Medium</v>
      </c>
      <c r="AB432" s="22">
        <f t="shared" si="77"/>
        <v>44927</v>
      </c>
      <c r="AC432">
        <v>22</v>
      </c>
    </row>
    <row r="433" spans="1:29" x14ac:dyDescent="0.35">
      <c r="A433" s="4" t="s">
        <v>593</v>
      </c>
      <c r="B433" s="5" t="str">
        <f>IF(COUNTIF($A$2:A433,A433)=1,"Original","Duplicate")</f>
        <v>Original</v>
      </c>
      <c r="C433" s="7">
        <v>45607</v>
      </c>
      <c r="D433" s="7">
        <v>45620</v>
      </c>
      <c r="E433">
        <f t="shared" si="67"/>
        <v>13</v>
      </c>
      <c r="F433" t="s">
        <v>649</v>
      </c>
      <c r="G433" t="s">
        <v>658</v>
      </c>
      <c r="H433" t="s">
        <v>683</v>
      </c>
      <c r="I433" t="s">
        <v>701</v>
      </c>
      <c r="J433" t="s">
        <v>707</v>
      </c>
      <c r="K433" t="s">
        <v>718</v>
      </c>
      <c r="L433" t="s">
        <v>729</v>
      </c>
      <c r="M433" t="s">
        <v>1311</v>
      </c>
      <c r="N433" s="23">
        <v>164.53</v>
      </c>
      <c r="O433" s="23">
        <v>327.72</v>
      </c>
      <c r="P433" s="8">
        <v>6.7000000000000004E-2</v>
      </c>
      <c r="Q433">
        <v>14</v>
      </c>
      <c r="R433" s="23">
        <f t="shared" si="68"/>
        <v>4280.6786400000001</v>
      </c>
      <c r="S433" s="23">
        <f t="shared" si="69"/>
        <v>2303.42</v>
      </c>
      <c r="T433" s="23">
        <f t="shared" si="70"/>
        <v>1977.25864</v>
      </c>
      <c r="U433" s="14">
        <f t="shared" si="71"/>
        <v>0.46190307805960412</v>
      </c>
      <c r="V433" s="7" t="str">
        <f t="shared" si="72"/>
        <v>Nov-2024</v>
      </c>
      <c r="W433" s="22">
        <f t="shared" si="73"/>
        <v>45597</v>
      </c>
      <c r="X433" s="7" t="str">
        <f t="shared" si="74"/>
        <v>Q4-2024</v>
      </c>
      <c r="Y433" t="str">
        <f t="shared" si="75"/>
        <v>Europe → United Kingdom → London</v>
      </c>
      <c r="Z433" t="str">
        <f t="shared" si="76"/>
        <v>Networking</v>
      </c>
      <c r="AA433" t="str" cm="1">
        <f t="array" ref="AA433">_xlfn.IFS(O433&lt;=$AF$2,"Low",AND(O433&gt;$AF$2,O433&lt;$AF$3),"Medium",O433&gt;=$AF$3,"High")</f>
        <v>Low</v>
      </c>
      <c r="AB433" s="22">
        <f t="shared" si="77"/>
        <v>44927</v>
      </c>
      <c r="AC433">
        <v>22</v>
      </c>
    </row>
    <row r="434" spans="1:29" x14ac:dyDescent="0.35">
      <c r="A434" s="4" t="s">
        <v>523</v>
      </c>
      <c r="B434" s="5" t="str">
        <f>IF(COUNTIF($A$2:A434,A434)=1,"Original","Duplicate")</f>
        <v>Original</v>
      </c>
      <c r="C434" s="7">
        <v>45608</v>
      </c>
      <c r="D434" s="7">
        <v>45617</v>
      </c>
      <c r="E434">
        <f t="shared" si="67"/>
        <v>9</v>
      </c>
      <c r="F434" t="s">
        <v>647</v>
      </c>
      <c r="G434" t="s">
        <v>654</v>
      </c>
      <c r="H434" t="s">
        <v>691</v>
      </c>
      <c r="I434" t="s">
        <v>701</v>
      </c>
      <c r="J434" t="s">
        <v>711</v>
      </c>
      <c r="K434" t="s">
        <v>722</v>
      </c>
      <c r="L434" t="s">
        <v>731</v>
      </c>
      <c r="M434" t="s">
        <v>1242</v>
      </c>
      <c r="N434" s="23">
        <v>903.41</v>
      </c>
      <c r="O434" s="23">
        <v>1860.41</v>
      </c>
      <c r="P434" s="8">
        <v>0.108</v>
      </c>
      <c r="Q434">
        <v>5</v>
      </c>
      <c r="R434" s="23">
        <f t="shared" si="68"/>
        <v>8297.4286000000011</v>
      </c>
      <c r="S434" s="23">
        <f t="shared" si="69"/>
        <v>4517.05</v>
      </c>
      <c r="T434" s="23">
        <f t="shared" si="70"/>
        <v>3780.3786000000009</v>
      </c>
      <c r="U434" s="14">
        <f t="shared" si="71"/>
        <v>0.455608451996803</v>
      </c>
      <c r="V434" s="7" t="str">
        <f t="shared" si="72"/>
        <v>Nov-2024</v>
      </c>
      <c r="W434" s="22">
        <f t="shared" si="73"/>
        <v>45597</v>
      </c>
      <c r="X434" s="7" t="str">
        <f t="shared" si="74"/>
        <v>Q4-2024</v>
      </c>
      <c r="Y434" t="str">
        <f t="shared" si="75"/>
        <v>Asia → India → Mumbai</v>
      </c>
      <c r="Z434" t="str">
        <f t="shared" si="76"/>
        <v>Laptops</v>
      </c>
      <c r="AA434" t="str" cm="1">
        <f t="array" ref="AA434">_xlfn.IFS(O434&lt;=$AF$2,"Low",AND(O434&gt;$AF$2,O434&lt;$AF$3),"Medium",O434&gt;=$AF$3,"High")</f>
        <v>High</v>
      </c>
      <c r="AB434" s="22">
        <f t="shared" si="77"/>
        <v>44958</v>
      </c>
      <c r="AC434">
        <v>21</v>
      </c>
    </row>
    <row r="435" spans="1:29" x14ac:dyDescent="0.35">
      <c r="A435" s="4" t="s">
        <v>501</v>
      </c>
      <c r="B435" s="5" t="str">
        <f>IF(COUNTIF($A$2:A435,A435)=1,"Original","Duplicate")</f>
        <v>Original</v>
      </c>
      <c r="C435" s="7">
        <v>45613</v>
      </c>
      <c r="D435" s="7">
        <v>45624</v>
      </c>
      <c r="E435">
        <f t="shared" si="67"/>
        <v>11</v>
      </c>
      <c r="F435" t="s">
        <v>648</v>
      </c>
      <c r="G435" t="s">
        <v>653</v>
      </c>
      <c r="H435" t="s">
        <v>1431</v>
      </c>
      <c r="I435" t="s">
        <v>704</v>
      </c>
      <c r="J435" t="s">
        <v>710</v>
      </c>
      <c r="K435" t="s">
        <v>720</v>
      </c>
      <c r="L435" t="s">
        <v>728</v>
      </c>
      <c r="M435" t="s">
        <v>1220</v>
      </c>
      <c r="N435" s="23">
        <v>1008.16</v>
      </c>
      <c r="O435" s="23">
        <v>2077.5</v>
      </c>
      <c r="P435" s="8">
        <v>7.3999999999999996E-2</v>
      </c>
      <c r="Q435">
        <v>15</v>
      </c>
      <c r="R435" s="23">
        <f t="shared" si="68"/>
        <v>28856.475000000002</v>
      </c>
      <c r="S435" s="23">
        <f t="shared" si="69"/>
        <v>15122.4</v>
      </c>
      <c r="T435" s="23">
        <f t="shared" si="70"/>
        <v>13734.075000000003</v>
      </c>
      <c r="U435" s="14">
        <f t="shared" si="71"/>
        <v>0.47594430712691005</v>
      </c>
      <c r="V435" s="7" t="str">
        <f t="shared" si="72"/>
        <v>Nov-2024</v>
      </c>
      <c r="W435" s="22">
        <f t="shared" si="73"/>
        <v>45597</v>
      </c>
      <c r="X435" s="7" t="str">
        <f t="shared" si="74"/>
        <v>Q4-2024</v>
      </c>
      <c r="Y435" t="str">
        <f t="shared" si="75"/>
        <v>Americas → Canada → Unknown</v>
      </c>
      <c r="Z435" t="str">
        <f t="shared" si="76"/>
        <v>Printers</v>
      </c>
      <c r="AA435" t="str" cm="1">
        <f t="array" ref="AA435">_xlfn.IFS(O435&lt;=$AF$2,"Low",AND(O435&gt;$AF$2,O435&lt;$AF$3),"Medium",O435&gt;=$AF$3,"High")</f>
        <v>High</v>
      </c>
      <c r="AB435" s="22">
        <f t="shared" si="77"/>
        <v>44927</v>
      </c>
      <c r="AC435">
        <v>22</v>
      </c>
    </row>
    <row r="436" spans="1:29" x14ac:dyDescent="0.35">
      <c r="A436" s="4" t="s">
        <v>153</v>
      </c>
      <c r="B436" s="5" t="str">
        <f>IF(COUNTIF($A$2:A436,A436)=1,"Original","Duplicate")</f>
        <v>Original</v>
      </c>
      <c r="C436" s="7">
        <v>45616</v>
      </c>
      <c r="D436" s="7">
        <v>45641</v>
      </c>
      <c r="E436">
        <f t="shared" si="67"/>
        <v>25</v>
      </c>
      <c r="F436" t="s">
        <v>649</v>
      </c>
      <c r="G436" t="s">
        <v>657</v>
      </c>
      <c r="H436" t="s">
        <v>690</v>
      </c>
      <c r="I436" t="s">
        <v>701</v>
      </c>
      <c r="J436" t="s">
        <v>708</v>
      </c>
      <c r="K436" t="s">
        <v>715</v>
      </c>
      <c r="L436" t="s">
        <v>728</v>
      </c>
      <c r="M436" t="s">
        <v>872</v>
      </c>
      <c r="N436" s="23">
        <v>1203.58</v>
      </c>
      <c r="O436" s="23">
        <v>1856.16</v>
      </c>
      <c r="P436" s="8">
        <v>0.129</v>
      </c>
      <c r="Q436">
        <v>22</v>
      </c>
      <c r="R436" s="23">
        <f t="shared" si="68"/>
        <v>35567.737920000007</v>
      </c>
      <c r="S436" s="23">
        <f t="shared" si="69"/>
        <v>26478.76</v>
      </c>
      <c r="T436" s="23">
        <f t="shared" si="70"/>
        <v>9088.9779200000085</v>
      </c>
      <c r="U436" s="14">
        <f t="shared" si="71"/>
        <v>0.25553994860295032</v>
      </c>
      <c r="V436" s="7" t="str">
        <f t="shared" si="72"/>
        <v>Nov-2024</v>
      </c>
      <c r="W436" s="22">
        <f t="shared" si="73"/>
        <v>45597</v>
      </c>
      <c r="X436" s="7" t="str">
        <f t="shared" si="74"/>
        <v>Q4-2024</v>
      </c>
      <c r="Y436" t="str">
        <f t="shared" si="75"/>
        <v>Europe → France → Paris</v>
      </c>
      <c r="Z436" t="str">
        <f t="shared" si="76"/>
        <v>Printers</v>
      </c>
      <c r="AA436" t="str" cm="1">
        <f t="array" ref="AA436">_xlfn.IFS(O436&lt;=$AF$2,"Low",AND(O436&gt;$AF$2,O436&lt;$AF$3),"Medium",O436&gt;=$AF$3,"High")</f>
        <v>High</v>
      </c>
      <c r="AB436" s="22">
        <f t="shared" si="77"/>
        <v>44927</v>
      </c>
      <c r="AC436">
        <v>22</v>
      </c>
    </row>
    <row r="437" spans="1:29" x14ac:dyDescent="0.35">
      <c r="A437" s="4" t="s">
        <v>94</v>
      </c>
      <c r="B437" s="5" t="str">
        <f>IF(COUNTIF($A$2:A437,A437)=1,"Original","Duplicate")</f>
        <v>Original</v>
      </c>
      <c r="C437" s="7">
        <v>45617</v>
      </c>
      <c r="D437" s="7">
        <v>45647</v>
      </c>
      <c r="E437">
        <f t="shared" si="67"/>
        <v>30</v>
      </c>
      <c r="F437" t="s">
        <v>649</v>
      </c>
      <c r="G437" t="s">
        <v>657</v>
      </c>
      <c r="H437" t="s">
        <v>673</v>
      </c>
      <c r="I437" t="s">
        <v>705</v>
      </c>
      <c r="J437" t="s">
        <v>711</v>
      </c>
      <c r="K437" t="s">
        <v>714</v>
      </c>
      <c r="L437" t="s">
        <v>732</v>
      </c>
      <c r="M437" t="s">
        <v>813</v>
      </c>
      <c r="N437" s="23">
        <v>1122.68</v>
      </c>
      <c r="O437" s="23">
        <v>1997.19</v>
      </c>
      <c r="P437" s="8">
        <v>0.186</v>
      </c>
      <c r="Q437">
        <v>3</v>
      </c>
      <c r="R437" s="23">
        <f t="shared" si="68"/>
        <v>4877.1379800000004</v>
      </c>
      <c r="S437" s="23">
        <f t="shared" si="69"/>
        <v>3368.04</v>
      </c>
      <c r="T437" s="23">
        <f t="shared" si="70"/>
        <v>1509.0979800000005</v>
      </c>
      <c r="U437" s="14">
        <f t="shared" si="71"/>
        <v>0.30942285951073306</v>
      </c>
      <c r="V437" s="7" t="str">
        <f t="shared" si="72"/>
        <v>Nov-2024</v>
      </c>
      <c r="W437" s="22">
        <f t="shared" si="73"/>
        <v>45597</v>
      </c>
      <c r="X437" s="7" t="str">
        <f t="shared" si="74"/>
        <v>Q4-2024</v>
      </c>
      <c r="Y437" t="str">
        <f t="shared" si="75"/>
        <v>Europe → France → Marseille</v>
      </c>
      <c r="Z437" t="str">
        <f t="shared" si="76"/>
        <v>Monitors</v>
      </c>
      <c r="AA437" t="str" cm="1">
        <f t="array" ref="AA437">_xlfn.IFS(O437&lt;=$AF$2,"Low",AND(O437&gt;$AF$2,O437&lt;$AF$3),"Medium",O437&gt;=$AF$3,"High")</f>
        <v>High</v>
      </c>
      <c r="AB437" s="22">
        <f t="shared" si="77"/>
        <v>44927</v>
      </c>
      <c r="AC437">
        <v>22</v>
      </c>
    </row>
    <row r="438" spans="1:29" x14ac:dyDescent="0.35">
      <c r="A438" s="4" t="s">
        <v>479</v>
      </c>
      <c r="B438" s="5" t="str">
        <f>IF(COUNTIF($A$2:A438,A438)=1,"Original","Duplicate")</f>
        <v>Original</v>
      </c>
      <c r="C438" s="7">
        <v>45618</v>
      </c>
      <c r="D438" s="7">
        <v>45641</v>
      </c>
      <c r="E438">
        <f t="shared" si="67"/>
        <v>23</v>
      </c>
      <c r="F438" t="s">
        <v>646</v>
      </c>
      <c r="G438" t="s">
        <v>650</v>
      </c>
      <c r="H438" t="s">
        <v>675</v>
      </c>
      <c r="I438" t="s">
        <v>703</v>
      </c>
      <c r="J438" t="s">
        <v>710</v>
      </c>
      <c r="K438" t="s">
        <v>712</v>
      </c>
      <c r="L438" t="s">
        <v>727</v>
      </c>
      <c r="M438" t="s">
        <v>1198</v>
      </c>
      <c r="N438" s="23">
        <v>1335.76</v>
      </c>
      <c r="O438" s="23">
        <v>2665.91</v>
      </c>
      <c r="P438" s="8">
        <v>0.21099999999999999</v>
      </c>
      <c r="Q438">
        <v>40</v>
      </c>
      <c r="R438" s="23">
        <f t="shared" si="68"/>
        <v>84136.119600000005</v>
      </c>
      <c r="S438" s="23">
        <f t="shared" si="69"/>
        <v>53430.400000000001</v>
      </c>
      <c r="T438" s="23">
        <f t="shared" si="70"/>
        <v>30705.719600000004</v>
      </c>
      <c r="U438" s="14">
        <f t="shared" si="71"/>
        <v>0.36495288522909253</v>
      </c>
      <c r="V438" s="7" t="str">
        <f t="shared" si="72"/>
        <v>Nov-2024</v>
      </c>
      <c r="W438" s="22">
        <f t="shared" si="73"/>
        <v>45597</v>
      </c>
      <c r="X438" s="7" t="str">
        <f t="shared" si="74"/>
        <v>Q4-2024</v>
      </c>
      <c r="Y438" t="str">
        <f t="shared" si="75"/>
        <v>Africa → Kenya → Mombasa</v>
      </c>
      <c r="Z438" t="str">
        <f t="shared" si="76"/>
        <v>Components</v>
      </c>
      <c r="AA438" t="str" cm="1">
        <f t="array" ref="AA438">_xlfn.IFS(O438&lt;=$AF$2,"Low",AND(O438&gt;$AF$2,O438&lt;$AF$3),"Medium",O438&gt;=$AF$3,"High")</f>
        <v>High</v>
      </c>
      <c r="AB438" s="22">
        <f t="shared" si="77"/>
        <v>44927</v>
      </c>
      <c r="AC438">
        <v>22</v>
      </c>
    </row>
    <row r="439" spans="1:29" x14ac:dyDescent="0.35">
      <c r="A439" s="4" t="s">
        <v>372</v>
      </c>
      <c r="B439" s="5" t="str">
        <f>IF(COUNTIF($A$2:A439,A439)=1,"Original","Duplicate")</f>
        <v>Original</v>
      </c>
      <c r="C439" s="7">
        <v>45621</v>
      </c>
      <c r="D439" s="7">
        <v>45633</v>
      </c>
      <c r="E439">
        <f t="shared" si="67"/>
        <v>12</v>
      </c>
      <c r="F439" t="s">
        <v>647</v>
      </c>
      <c r="G439" t="s">
        <v>659</v>
      </c>
      <c r="H439" t="s">
        <v>685</v>
      </c>
      <c r="I439" t="s">
        <v>701</v>
      </c>
      <c r="J439" t="s">
        <v>710</v>
      </c>
      <c r="K439" t="s">
        <v>720</v>
      </c>
      <c r="L439" t="s">
        <v>733</v>
      </c>
      <c r="M439" t="s">
        <v>1092</v>
      </c>
      <c r="N439" s="23">
        <v>769.9</v>
      </c>
      <c r="O439" s="23">
        <v>814.36</v>
      </c>
      <c r="P439" s="8">
        <v>0</v>
      </c>
      <c r="Q439">
        <v>5</v>
      </c>
      <c r="R439" s="23">
        <f t="shared" si="68"/>
        <v>4071.8</v>
      </c>
      <c r="S439" s="23">
        <f t="shared" si="69"/>
        <v>3849.5</v>
      </c>
      <c r="T439" s="23">
        <f t="shared" si="70"/>
        <v>222.30000000000018</v>
      </c>
      <c r="U439" s="14">
        <f t="shared" si="71"/>
        <v>5.4595019401738831E-2</v>
      </c>
      <c r="V439" s="7" t="str">
        <f t="shared" si="72"/>
        <v>Nov-2024</v>
      </c>
      <c r="W439" s="22">
        <f t="shared" si="73"/>
        <v>45597</v>
      </c>
      <c r="X439" s="7" t="str">
        <f t="shared" si="74"/>
        <v>Q4-2024</v>
      </c>
      <c r="Y439" t="str">
        <f t="shared" si="75"/>
        <v>Asia → China → Shanghai</v>
      </c>
      <c r="Z439" t="str">
        <f t="shared" si="76"/>
        <v>Accessories</v>
      </c>
      <c r="AA439" t="str" cm="1">
        <f t="array" ref="AA439">_xlfn.IFS(O439&lt;=$AF$2,"Low",AND(O439&gt;$AF$2,O439&lt;$AF$3),"Medium",O439&gt;=$AF$3,"High")</f>
        <v>Low</v>
      </c>
      <c r="AB439" s="22">
        <f t="shared" si="77"/>
        <v>44927</v>
      </c>
      <c r="AC439">
        <v>22</v>
      </c>
    </row>
    <row r="440" spans="1:29" x14ac:dyDescent="0.35">
      <c r="A440" s="4" t="s">
        <v>622</v>
      </c>
      <c r="B440" s="5" t="str">
        <f>IF(COUNTIF($A$2:A440,A440)=1,"Original","Duplicate")</f>
        <v>Original</v>
      </c>
      <c r="C440" s="7">
        <v>45623</v>
      </c>
      <c r="D440" s="7">
        <v>45650</v>
      </c>
      <c r="E440">
        <f t="shared" si="67"/>
        <v>27</v>
      </c>
      <c r="F440" t="s">
        <v>646</v>
      </c>
      <c r="G440" t="s">
        <v>650</v>
      </c>
      <c r="H440" t="s">
        <v>675</v>
      </c>
      <c r="I440" t="s">
        <v>701</v>
      </c>
      <c r="J440" t="s">
        <v>710</v>
      </c>
      <c r="K440" t="s">
        <v>717</v>
      </c>
      <c r="L440" t="s">
        <v>728</v>
      </c>
      <c r="M440" t="s">
        <v>1340</v>
      </c>
      <c r="N440" s="23">
        <v>143.33000000000001</v>
      </c>
      <c r="O440" s="23">
        <v>233.51</v>
      </c>
      <c r="P440" s="8">
        <v>0.16300000000000001</v>
      </c>
      <c r="Q440">
        <v>14</v>
      </c>
      <c r="R440" s="23">
        <f t="shared" si="68"/>
        <v>2736.27018</v>
      </c>
      <c r="S440" s="23">
        <f t="shared" si="69"/>
        <v>2006.6200000000001</v>
      </c>
      <c r="T440" s="23">
        <f t="shared" si="70"/>
        <v>729.65017999999986</v>
      </c>
      <c r="U440" s="14">
        <f t="shared" si="71"/>
        <v>0.26665867476580835</v>
      </c>
      <c r="V440" s="7" t="str">
        <f t="shared" si="72"/>
        <v>Nov-2024</v>
      </c>
      <c r="W440" s="22">
        <f t="shared" si="73"/>
        <v>45597</v>
      </c>
      <c r="X440" s="7" t="str">
        <f t="shared" si="74"/>
        <v>Q4-2024</v>
      </c>
      <c r="Y440" t="str">
        <f t="shared" si="75"/>
        <v>Africa → Kenya → Mombasa</v>
      </c>
      <c r="Z440" t="str">
        <f t="shared" si="76"/>
        <v>Printers</v>
      </c>
      <c r="AA440" t="str" cm="1">
        <f t="array" ref="AA440">_xlfn.IFS(O440&lt;=$AF$2,"Low",AND(O440&gt;$AF$2,O440&lt;$AF$3),"Medium",O440&gt;=$AF$3,"High")</f>
        <v>Low</v>
      </c>
      <c r="AB440" s="22">
        <f t="shared" si="77"/>
        <v>44927</v>
      </c>
      <c r="AC440">
        <v>22</v>
      </c>
    </row>
    <row r="441" spans="1:29" x14ac:dyDescent="0.35">
      <c r="A441" s="4" t="s">
        <v>41</v>
      </c>
      <c r="B441" s="5" t="str">
        <f>IF(COUNTIF($A$2:A441,A441)=1,"Original","Duplicate")</f>
        <v>Original</v>
      </c>
      <c r="C441" s="7">
        <v>45626</v>
      </c>
      <c r="D441" s="7">
        <v>45656</v>
      </c>
      <c r="E441">
        <f t="shared" si="67"/>
        <v>30</v>
      </c>
      <c r="F441" t="s">
        <v>649</v>
      </c>
      <c r="G441" t="s">
        <v>657</v>
      </c>
      <c r="H441" t="s">
        <v>673</v>
      </c>
      <c r="I441" t="s">
        <v>704</v>
      </c>
      <c r="J441" t="s">
        <v>709</v>
      </c>
      <c r="K441" t="s">
        <v>721</v>
      </c>
      <c r="L441" t="s">
        <v>728</v>
      </c>
      <c r="M441" t="s">
        <v>760</v>
      </c>
      <c r="N441" s="23">
        <v>117.64</v>
      </c>
      <c r="O441" s="23">
        <v>175.67</v>
      </c>
      <c r="P441" s="8">
        <v>0</v>
      </c>
      <c r="Q441">
        <v>10</v>
      </c>
      <c r="R441" s="23">
        <f t="shared" si="68"/>
        <v>1756.6999999999998</v>
      </c>
      <c r="S441" s="23">
        <f t="shared" si="69"/>
        <v>1176.4000000000001</v>
      </c>
      <c r="T441" s="23">
        <f t="shared" si="70"/>
        <v>580.29999999999973</v>
      </c>
      <c r="U441" s="14">
        <f t="shared" si="71"/>
        <v>0.33033528775545046</v>
      </c>
      <c r="V441" s="7" t="str">
        <f t="shared" si="72"/>
        <v>Nov-2024</v>
      </c>
      <c r="W441" s="22">
        <f t="shared" si="73"/>
        <v>45597</v>
      </c>
      <c r="X441" s="7" t="str">
        <f t="shared" si="74"/>
        <v>Q4-2024</v>
      </c>
      <c r="Y441" t="str">
        <f t="shared" si="75"/>
        <v>Europe → France → Marseille</v>
      </c>
      <c r="Z441" t="str">
        <f t="shared" si="76"/>
        <v>Printers</v>
      </c>
      <c r="AA441" t="str" cm="1">
        <f t="array" ref="AA441">_xlfn.IFS(O441&lt;=$AF$2,"Low",AND(O441&gt;$AF$2,O441&lt;$AF$3),"Medium",O441&gt;=$AF$3,"High")</f>
        <v>Low</v>
      </c>
      <c r="AB441" s="22">
        <f t="shared" si="77"/>
        <v>44927</v>
      </c>
      <c r="AC441">
        <v>22</v>
      </c>
    </row>
    <row r="442" spans="1:29" x14ac:dyDescent="0.35">
      <c r="A442" s="4" t="s">
        <v>430</v>
      </c>
      <c r="B442" s="5" t="str">
        <f>IF(COUNTIF($A$2:A442,A442)=1,"Original","Duplicate")</f>
        <v>Original</v>
      </c>
      <c r="C442" s="7">
        <v>45626</v>
      </c>
      <c r="D442" s="7">
        <v>45636</v>
      </c>
      <c r="E442">
        <f t="shared" si="67"/>
        <v>10</v>
      </c>
      <c r="F442" t="s">
        <v>647</v>
      </c>
      <c r="G442" t="s">
        <v>654</v>
      </c>
      <c r="H442" t="s">
        <v>696</v>
      </c>
      <c r="I442" t="s">
        <v>705</v>
      </c>
      <c r="J442" t="s">
        <v>707</v>
      </c>
      <c r="K442" t="s">
        <v>721</v>
      </c>
      <c r="L442" t="s">
        <v>733</v>
      </c>
      <c r="M442" t="s">
        <v>1149</v>
      </c>
      <c r="N442" s="23">
        <v>851.49</v>
      </c>
      <c r="O442" s="23">
        <v>901.79</v>
      </c>
      <c r="P442" s="8">
        <v>0.245</v>
      </c>
      <c r="Q442">
        <v>16</v>
      </c>
      <c r="R442" s="23">
        <f t="shared" si="68"/>
        <v>10893.6232</v>
      </c>
      <c r="S442" s="23">
        <f t="shared" si="69"/>
        <v>13623.84</v>
      </c>
      <c r="T442" s="23">
        <f t="shared" si="70"/>
        <v>-2730.2168000000001</v>
      </c>
      <c r="U442" s="14">
        <f t="shared" si="71"/>
        <v>-0.25062522816100341</v>
      </c>
      <c r="V442" s="7" t="str">
        <f t="shared" si="72"/>
        <v>Nov-2024</v>
      </c>
      <c r="W442" s="22">
        <f t="shared" si="73"/>
        <v>45597</v>
      </c>
      <c r="X442" s="7" t="str">
        <f t="shared" si="74"/>
        <v>Q4-2024</v>
      </c>
      <c r="Y442" t="str">
        <f t="shared" si="75"/>
        <v>Asia → India → Hyderabad</v>
      </c>
      <c r="Z442" t="str">
        <f t="shared" si="76"/>
        <v>Accessories</v>
      </c>
      <c r="AA442" t="str" cm="1">
        <f t="array" ref="AA442">_xlfn.IFS(O442&lt;=$AF$2,"Low",AND(O442&gt;$AF$2,O442&lt;$AF$3),"Medium",O442&gt;=$AF$3,"High")</f>
        <v>Medium</v>
      </c>
      <c r="AB442" s="22">
        <f t="shared" si="77"/>
        <v>44958</v>
      </c>
      <c r="AC442">
        <v>21</v>
      </c>
    </row>
    <row r="443" spans="1:29" x14ac:dyDescent="0.35">
      <c r="A443" s="4" t="s">
        <v>576</v>
      </c>
      <c r="B443" s="5" t="str">
        <f>IF(COUNTIF($A$2:A443,A443)=1,"Original","Duplicate")</f>
        <v>Original</v>
      </c>
      <c r="C443" s="7">
        <v>45626</v>
      </c>
      <c r="D443" s="7">
        <v>45645</v>
      </c>
      <c r="E443">
        <f t="shared" si="67"/>
        <v>19</v>
      </c>
      <c r="F443" t="s">
        <v>646</v>
      </c>
      <c r="G443" t="s">
        <v>650</v>
      </c>
      <c r="H443" t="s">
        <v>662</v>
      </c>
      <c r="I443" t="s">
        <v>701</v>
      </c>
      <c r="J443" t="s">
        <v>708</v>
      </c>
      <c r="K443" t="s">
        <v>716</v>
      </c>
      <c r="L443" t="s">
        <v>730</v>
      </c>
      <c r="M443" t="s">
        <v>1294</v>
      </c>
      <c r="N443" s="23">
        <v>1195.98</v>
      </c>
      <c r="O443" s="23">
        <v>1841.9</v>
      </c>
      <c r="P443" s="8">
        <v>5.5E-2</v>
      </c>
      <c r="Q443">
        <v>19</v>
      </c>
      <c r="R443" s="23">
        <f t="shared" si="68"/>
        <v>33071.3145</v>
      </c>
      <c r="S443" s="23">
        <f t="shared" si="69"/>
        <v>22723.62</v>
      </c>
      <c r="T443" s="23">
        <f t="shared" si="70"/>
        <v>10347.694500000001</v>
      </c>
      <c r="U443" s="14">
        <f t="shared" si="71"/>
        <v>0.31289032977506842</v>
      </c>
      <c r="V443" s="7" t="str">
        <f t="shared" si="72"/>
        <v>Nov-2024</v>
      </c>
      <c r="W443" s="22">
        <f t="shared" si="73"/>
        <v>45597</v>
      </c>
      <c r="X443" s="7" t="str">
        <f t="shared" si="74"/>
        <v>Q4-2024</v>
      </c>
      <c r="Y443" t="str">
        <f t="shared" si="75"/>
        <v>Africa → Kenya → Kisumu</v>
      </c>
      <c r="Z443" t="str">
        <f t="shared" si="76"/>
        <v>Phones</v>
      </c>
      <c r="AA443" t="str" cm="1">
        <f t="array" ref="AA443">_xlfn.IFS(O443&lt;=$AF$2,"Low",AND(O443&gt;$AF$2,O443&lt;$AF$3),"Medium",O443&gt;=$AF$3,"High")</f>
        <v>High</v>
      </c>
      <c r="AB443" s="22">
        <f t="shared" si="77"/>
        <v>44927</v>
      </c>
      <c r="AC443">
        <v>22</v>
      </c>
    </row>
    <row r="444" spans="1:29" x14ac:dyDescent="0.35">
      <c r="A444" s="4" t="s">
        <v>257</v>
      </c>
      <c r="B444" s="5" t="str">
        <f>IF(COUNTIF($A$2:A444,A444)=1,"Original","Duplicate")</f>
        <v>Original</v>
      </c>
      <c r="C444" s="7">
        <v>45630</v>
      </c>
      <c r="D444" s="7">
        <v>45638</v>
      </c>
      <c r="E444">
        <f t="shared" si="67"/>
        <v>8</v>
      </c>
      <c r="F444" t="s">
        <v>649</v>
      </c>
      <c r="G444" t="s">
        <v>656</v>
      </c>
      <c r="H444" t="s">
        <v>698</v>
      </c>
      <c r="I444" t="s">
        <v>706</v>
      </c>
      <c r="J444" t="s">
        <v>709</v>
      </c>
      <c r="K444" t="s">
        <v>717</v>
      </c>
      <c r="L444" t="s">
        <v>728</v>
      </c>
      <c r="M444" t="s">
        <v>977</v>
      </c>
      <c r="N444" s="23">
        <v>72.06</v>
      </c>
      <c r="O444" s="23">
        <v>122.74</v>
      </c>
      <c r="P444" s="8">
        <v>0.23799999999999999</v>
      </c>
      <c r="Q444">
        <v>8</v>
      </c>
      <c r="R444" s="23">
        <f t="shared" si="68"/>
        <v>748.22303999999997</v>
      </c>
      <c r="S444" s="23">
        <f t="shared" si="69"/>
        <v>576.48</v>
      </c>
      <c r="T444" s="23">
        <f t="shared" si="70"/>
        <v>171.74303999999995</v>
      </c>
      <c r="U444" s="14">
        <f t="shared" si="71"/>
        <v>0.22953455162246802</v>
      </c>
      <c r="V444" s="7" t="str">
        <f t="shared" si="72"/>
        <v>Dec-2024</v>
      </c>
      <c r="W444" s="22">
        <f t="shared" si="73"/>
        <v>45627</v>
      </c>
      <c r="X444" s="7" t="str">
        <f t="shared" si="74"/>
        <v>Q4-2024</v>
      </c>
      <c r="Y444" t="str">
        <f t="shared" si="75"/>
        <v>Europe → Germany → Frankfurt</v>
      </c>
      <c r="Z444" t="str">
        <f t="shared" si="76"/>
        <v>Printers</v>
      </c>
      <c r="AA444" t="str" cm="1">
        <f t="array" ref="AA444">_xlfn.IFS(O444&lt;=$AF$2,"Low",AND(O444&gt;$AF$2,O444&lt;$AF$3),"Medium",O444&gt;=$AF$3,"High")</f>
        <v>Low</v>
      </c>
      <c r="AB444" s="22">
        <f t="shared" si="77"/>
        <v>44927</v>
      </c>
      <c r="AC444">
        <v>23</v>
      </c>
    </row>
    <row r="445" spans="1:29" x14ac:dyDescent="0.35">
      <c r="A445" s="4" t="s">
        <v>118</v>
      </c>
      <c r="B445" s="5" t="str">
        <f>IF(COUNTIF($A$2:A445,A445)=1,"Original","Duplicate")</f>
        <v>Original</v>
      </c>
      <c r="C445" s="7">
        <v>45631</v>
      </c>
      <c r="D445" s="7">
        <v>45654</v>
      </c>
      <c r="E445">
        <f t="shared" si="67"/>
        <v>23</v>
      </c>
      <c r="F445" t="s">
        <v>648</v>
      </c>
      <c r="G445" t="s">
        <v>653</v>
      </c>
      <c r="H445" t="s">
        <v>688</v>
      </c>
      <c r="I445" t="s">
        <v>701</v>
      </c>
      <c r="J445" t="s">
        <v>711</v>
      </c>
      <c r="K445" t="s">
        <v>721</v>
      </c>
      <c r="L445" t="s">
        <v>733</v>
      </c>
      <c r="M445" t="s">
        <v>837</v>
      </c>
      <c r="N445" s="23">
        <v>107.03</v>
      </c>
      <c r="O445" s="23">
        <v>242.29</v>
      </c>
      <c r="P445" s="8">
        <v>0.18</v>
      </c>
      <c r="Q445">
        <v>30</v>
      </c>
      <c r="R445" s="23">
        <f t="shared" si="68"/>
        <v>5960.3340000000007</v>
      </c>
      <c r="S445" s="23">
        <f t="shared" si="69"/>
        <v>3210.9</v>
      </c>
      <c r="T445" s="23">
        <f t="shared" si="70"/>
        <v>2749.4340000000007</v>
      </c>
      <c r="U445" s="14">
        <f t="shared" si="71"/>
        <v>0.46128857879440988</v>
      </c>
      <c r="V445" s="7" t="str">
        <f t="shared" si="72"/>
        <v>Dec-2024</v>
      </c>
      <c r="W445" s="22">
        <f t="shared" si="73"/>
        <v>45627</v>
      </c>
      <c r="X445" s="7" t="str">
        <f t="shared" si="74"/>
        <v>Q4-2024</v>
      </c>
      <c r="Y445" t="str">
        <f t="shared" si="75"/>
        <v>Americas → Canada → Vancouver</v>
      </c>
      <c r="Z445" t="str">
        <f t="shared" si="76"/>
        <v>Accessories</v>
      </c>
      <c r="AA445" t="str" cm="1">
        <f t="array" ref="AA445">_xlfn.IFS(O445&lt;=$AF$2,"Low",AND(O445&gt;$AF$2,O445&lt;$AF$3),"Medium",O445&gt;=$AF$3,"High")</f>
        <v>Low</v>
      </c>
      <c r="AB445" s="22">
        <f t="shared" si="77"/>
        <v>44927</v>
      </c>
      <c r="AC445">
        <v>23</v>
      </c>
    </row>
    <row r="446" spans="1:29" x14ac:dyDescent="0.35">
      <c r="A446" s="4" t="s">
        <v>564</v>
      </c>
      <c r="B446" s="5" t="str">
        <f>IF(COUNTIF($A$2:A446,A446)=1,"Original","Duplicate")</f>
        <v>Original</v>
      </c>
      <c r="C446" s="7">
        <v>45633</v>
      </c>
      <c r="D446" s="7">
        <v>45652</v>
      </c>
      <c r="E446">
        <f t="shared" si="67"/>
        <v>19</v>
      </c>
      <c r="F446" t="s">
        <v>649</v>
      </c>
      <c r="G446" t="s">
        <v>658</v>
      </c>
      <c r="H446" t="s">
        <v>683</v>
      </c>
      <c r="I446" t="s">
        <v>706</v>
      </c>
      <c r="J446" t="s">
        <v>708</v>
      </c>
      <c r="K446" t="s">
        <v>726</v>
      </c>
      <c r="L446" t="s">
        <v>729</v>
      </c>
      <c r="M446" t="s">
        <v>1282</v>
      </c>
      <c r="N446" s="23">
        <v>1035.24</v>
      </c>
      <c r="O446" s="23">
        <v>2383.41</v>
      </c>
      <c r="P446" s="8">
        <v>0.17</v>
      </c>
      <c r="Q446">
        <v>15</v>
      </c>
      <c r="R446" s="23">
        <f t="shared" si="68"/>
        <v>29673.454499999993</v>
      </c>
      <c r="S446" s="23">
        <f t="shared" si="69"/>
        <v>15528.6</v>
      </c>
      <c r="T446" s="23">
        <f t="shared" si="70"/>
        <v>14144.854499999992</v>
      </c>
      <c r="U446" s="14">
        <f t="shared" si="71"/>
        <v>0.47668378145860962</v>
      </c>
      <c r="V446" s="7" t="str">
        <f t="shared" si="72"/>
        <v>Dec-2024</v>
      </c>
      <c r="W446" s="22">
        <f t="shared" si="73"/>
        <v>45627</v>
      </c>
      <c r="X446" s="7" t="str">
        <f t="shared" si="74"/>
        <v>Q4-2024</v>
      </c>
      <c r="Y446" t="str">
        <f t="shared" si="75"/>
        <v>Europe → United Kingdom → London</v>
      </c>
      <c r="Z446" t="str">
        <f t="shared" si="76"/>
        <v>Networking</v>
      </c>
      <c r="AA446" t="str" cm="1">
        <f t="array" ref="AA446">_xlfn.IFS(O446&lt;=$AF$2,"Low",AND(O446&gt;$AF$2,O446&lt;$AF$3),"Medium",O446&gt;=$AF$3,"High")</f>
        <v>High</v>
      </c>
      <c r="AB446" s="22">
        <f t="shared" si="77"/>
        <v>44927</v>
      </c>
      <c r="AC446">
        <v>23</v>
      </c>
    </row>
    <row r="447" spans="1:29" x14ac:dyDescent="0.35">
      <c r="A447" s="4" t="s">
        <v>499</v>
      </c>
      <c r="B447" s="5" t="str">
        <f>IF(COUNTIF($A$2:A447,A447)=1,"Original","Duplicate")</f>
        <v>Original</v>
      </c>
      <c r="C447" s="7">
        <v>45634</v>
      </c>
      <c r="D447" s="7">
        <v>45639</v>
      </c>
      <c r="E447">
        <f t="shared" si="67"/>
        <v>5</v>
      </c>
      <c r="F447" t="s">
        <v>649</v>
      </c>
      <c r="G447" t="s">
        <v>657</v>
      </c>
      <c r="H447" t="s">
        <v>679</v>
      </c>
      <c r="I447" t="s">
        <v>706</v>
      </c>
      <c r="J447" t="s">
        <v>707</v>
      </c>
      <c r="K447" t="s">
        <v>722</v>
      </c>
      <c r="L447" t="s">
        <v>727</v>
      </c>
      <c r="M447" t="s">
        <v>1218</v>
      </c>
      <c r="N447" s="23">
        <v>257.44</v>
      </c>
      <c r="O447" s="23">
        <v>290.33</v>
      </c>
      <c r="P447" s="8">
        <v>9.1999999999999998E-2</v>
      </c>
      <c r="Q447">
        <v>23</v>
      </c>
      <c r="R447" s="23">
        <f t="shared" si="68"/>
        <v>6063.2517199999993</v>
      </c>
      <c r="S447" s="23">
        <f t="shared" si="69"/>
        <v>5921.12</v>
      </c>
      <c r="T447" s="23">
        <f t="shared" si="70"/>
        <v>142.1317199999994</v>
      </c>
      <c r="U447" s="14">
        <f t="shared" si="71"/>
        <v>2.3441500792581216E-2</v>
      </c>
      <c r="V447" s="7" t="str">
        <f t="shared" si="72"/>
        <v>Dec-2024</v>
      </c>
      <c r="W447" s="22">
        <f t="shared" si="73"/>
        <v>45627</v>
      </c>
      <c r="X447" s="7" t="str">
        <f t="shared" si="74"/>
        <v>Q4-2024</v>
      </c>
      <c r="Y447" t="str">
        <f t="shared" si="75"/>
        <v>Europe → France → Lyon</v>
      </c>
      <c r="Z447" t="str">
        <f t="shared" si="76"/>
        <v>Components</v>
      </c>
      <c r="AA447" t="str" cm="1">
        <f t="array" ref="AA447">_xlfn.IFS(O447&lt;=$AF$2,"Low",AND(O447&gt;$AF$2,O447&lt;$AF$3),"Medium",O447&gt;=$AF$3,"High")</f>
        <v>Low</v>
      </c>
      <c r="AB447" s="22">
        <f t="shared" si="77"/>
        <v>44927</v>
      </c>
      <c r="AC447">
        <v>23</v>
      </c>
    </row>
    <row r="448" spans="1:29" x14ac:dyDescent="0.35">
      <c r="A448" s="4" t="s">
        <v>31</v>
      </c>
      <c r="B448" s="5" t="str">
        <f>IF(COUNTIF($A$2:A448,A448)=1,"Original","Duplicate")</f>
        <v>Original</v>
      </c>
      <c r="C448" s="7">
        <v>45636</v>
      </c>
      <c r="D448" s="7">
        <v>45665</v>
      </c>
      <c r="E448">
        <f t="shared" si="67"/>
        <v>29</v>
      </c>
      <c r="F448" t="s">
        <v>649</v>
      </c>
      <c r="G448" t="s">
        <v>657</v>
      </c>
      <c r="H448" t="s">
        <v>673</v>
      </c>
      <c r="I448" t="s">
        <v>705</v>
      </c>
      <c r="J448" t="s">
        <v>707</v>
      </c>
      <c r="K448" t="s">
        <v>723</v>
      </c>
      <c r="L448" t="s">
        <v>728</v>
      </c>
      <c r="M448" t="s">
        <v>750</v>
      </c>
      <c r="N448" s="23">
        <v>891.08</v>
      </c>
      <c r="O448" s="23">
        <v>1040.0999999999999</v>
      </c>
      <c r="P448" s="8">
        <v>0.109</v>
      </c>
      <c r="Q448">
        <v>28</v>
      </c>
      <c r="R448" s="23">
        <f t="shared" si="68"/>
        <v>25948.414799999995</v>
      </c>
      <c r="S448" s="23">
        <f t="shared" si="69"/>
        <v>24950.240000000002</v>
      </c>
      <c r="T448" s="23">
        <f t="shared" si="70"/>
        <v>998.17479999999341</v>
      </c>
      <c r="U448" s="14">
        <f t="shared" si="71"/>
        <v>3.8467660074556598E-2</v>
      </c>
      <c r="V448" s="7" t="str">
        <f t="shared" si="72"/>
        <v>Dec-2024</v>
      </c>
      <c r="W448" s="22">
        <f t="shared" si="73"/>
        <v>45627</v>
      </c>
      <c r="X448" s="7" t="str">
        <f t="shared" si="74"/>
        <v>Q4-2024</v>
      </c>
      <c r="Y448" t="str">
        <f t="shared" si="75"/>
        <v>Europe → France → Marseille</v>
      </c>
      <c r="Z448" t="str">
        <f t="shared" si="76"/>
        <v>Printers</v>
      </c>
      <c r="AA448" t="str" cm="1">
        <f t="array" ref="AA448">_xlfn.IFS(O448&lt;=$AF$2,"Low",AND(O448&gt;$AF$2,O448&lt;$AF$3),"Medium",O448&gt;=$AF$3,"High")</f>
        <v>Medium</v>
      </c>
      <c r="AB448" s="22">
        <f t="shared" si="77"/>
        <v>44927</v>
      </c>
      <c r="AC448">
        <v>23</v>
      </c>
    </row>
    <row r="449" spans="1:29" x14ac:dyDescent="0.35">
      <c r="A449" s="4" t="s">
        <v>447</v>
      </c>
      <c r="B449" s="5" t="str">
        <f>IF(COUNTIF($A$2:A449,A449)=1,"Original","Duplicate")</f>
        <v>Original</v>
      </c>
      <c r="C449" s="7">
        <v>45636</v>
      </c>
      <c r="D449" s="7">
        <v>45645</v>
      </c>
      <c r="E449">
        <f t="shared" si="67"/>
        <v>9</v>
      </c>
      <c r="F449" t="s">
        <v>646</v>
      </c>
      <c r="G449" t="s">
        <v>651</v>
      </c>
      <c r="H449" t="s">
        <v>665</v>
      </c>
      <c r="I449" t="s">
        <v>701</v>
      </c>
      <c r="J449" t="s">
        <v>707</v>
      </c>
      <c r="K449" t="s">
        <v>719</v>
      </c>
      <c r="L449" t="s">
        <v>732</v>
      </c>
      <c r="M449" t="s">
        <v>1166</v>
      </c>
      <c r="N449" s="23">
        <v>488.68</v>
      </c>
      <c r="O449" s="23">
        <v>984.36</v>
      </c>
      <c r="P449" s="8">
        <v>5.8999999999999997E-2</v>
      </c>
      <c r="Q449">
        <v>14</v>
      </c>
      <c r="R449" s="23">
        <f t="shared" si="68"/>
        <v>12967.958640000001</v>
      </c>
      <c r="S449" s="23">
        <f t="shared" si="69"/>
        <v>6841.52</v>
      </c>
      <c r="T449" s="23">
        <f t="shared" si="70"/>
        <v>6126.4386400000003</v>
      </c>
      <c r="U449" s="14">
        <f t="shared" si="71"/>
        <v>0.47242891576649876</v>
      </c>
      <c r="V449" s="7" t="str">
        <f t="shared" si="72"/>
        <v>Dec-2024</v>
      </c>
      <c r="W449" s="22">
        <f t="shared" si="73"/>
        <v>45627</v>
      </c>
      <c r="X449" s="7" t="str">
        <f t="shared" si="74"/>
        <v>Q4-2024</v>
      </c>
      <c r="Y449" t="str">
        <f t="shared" si="75"/>
        <v>Africa → Nigeria → Lagos</v>
      </c>
      <c r="Z449" t="str">
        <f t="shared" si="76"/>
        <v>Monitors</v>
      </c>
      <c r="AA449" t="str" cm="1">
        <f t="array" ref="AA449">_xlfn.IFS(O449&lt;=$AF$2,"Low",AND(O449&gt;$AF$2,O449&lt;$AF$3),"Medium",O449&gt;=$AF$3,"High")</f>
        <v>Medium</v>
      </c>
      <c r="AB449" s="22">
        <f t="shared" si="77"/>
        <v>44927</v>
      </c>
      <c r="AC449">
        <v>23</v>
      </c>
    </row>
    <row r="450" spans="1:29" x14ac:dyDescent="0.35">
      <c r="A450" s="4" t="s">
        <v>411</v>
      </c>
      <c r="B450" s="5" t="str">
        <f>IF(COUNTIF($A$2:A450,A450)=1,"Original","Duplicate")</f>
        <v>Original</v>
      </c>
      <c r="C450" s="7">
        <v>45638</v>
      </c>
      <c r="D450" s="7">
        <v>45646</v>
      </c>
      <c r="E450">
        <f t="shared" ref="E450:E513" si="78">D450-C450</f>
        <v>8</v>
      </c>
      <c r="F450" t="s">
        <v>647</v>
      </c>
      <c r="G450" t="s">
        <v>652</v>
      </c>
      <c r="H450" t="s">
        <v>689</v>
      </c>
      <c r="I450" t="s">
        <v>701</v>
      </c>
      <c r="J450" t="s">
        <v>707</v>
      </c>
      <c r="K450" t="s">
        <v>717</v>
      </c>
      <c r="L450" t="s">
        <v>731</v>
      </c>
      <c r="M450" t="s">
        <v>1130</v>
      </c>
      <c r="N450" s="23">
        <v>1202.47</v>
      </c>
      <c r="O450" s="23">
        <v>1444.72</v>
      </c>
      <c r="P450" s="8">
        <v>0.24099999999999999</v>
      </c>
      <c r="Q450">
        <v>17</v>
      </c>
      <c r="R450" s="23">
        <f t="shared" si="68"/>
        <v>18641.222160000001</v>
      </c>
      <c r="S450" s="23">
        <f t="shared" si="69"/>
        <v>20441.990000000002</v>
      </c>
      <c r="T450" s="23">
        <f t="shared" si="70"/>
        <v>-1800.7678400000004</v>
      </c>
      <c r="U450" s="14">
        <f t="shared" si="71"/>
        <v>-9.6601382921343834E-2</v>
      </c>
      <c r="V450" s="7" t="str">
        <f t="shared" si="72"/>
        <v>Dec-2024</v>
      </c>
      <c r="W450" s="22">
        <f t="shared" si="73"/>
        <v>45627</v>
      </c>
      <c r="X450" s="7" t="str">
        <f t="shared" si="74"/>
        <v>Q4-2024</v>
      </c>
      <c r="Y450" t="str">
        <f t="shared" si="75"/>
        <v>Asia → Japan → Tokyo</v>
      </c>
      <c r="Z450" t="str">
        <f t="shared" si="76"/>
        <v>Laptops</v>
      </c>
      <c r="AA450" t="str" cm="1">
        <f t="array" ref="AA450">_xlfn.IFS(O450&lt;=$AF$2,"Low",AND(O450&gt;$AF$2,O450&lt;$AF$3),"Medium",O450&gt;=$AF$3,"High")</f>
        <v>Medium</v>
      </c>
      <c r="AB450" s="22">
        <f t="shared" si="77"/>
        <v>44986</v>
      </c>
      <c r="AC450">
        <v>21</v>
      </c>
    </row>
    <row r="451" spans="1:29" x14ac:dyDescent="0.35">
      <c r="A451" s="4" t="s">
        <v>151</v>
      </c>
      <c r="B451" s="5" t="str">
        <f>IF(COUNTIF($A$2:A451,A451)=1,"Original","Duplicate")</f>
        <v>Original</v>
      </c>
      <c r="C451" s="7">
        <v>45640</v>
      </c>
      <c r="D451" s="7">
        <v>45669</v>
      </c>
      <c r="E451">
        <f t="shared" si="78"/>
        <v>29</v>
      </c>
      <c r="F451" t="s">
        <v>647</v>
      </c>
      <c r="G451" t="s">
        <v>659</v>
      </c>
      <c r="H451" t="s">
        <v>676</v>
      </c>
      <c r="I451" t="s">
        <v>702</v>
      </c>
      <c r="J451" t="s">
        <v>708</v>
      </c>
      <c r="K451" t="s">
        <v>713</v>
      </c>
      <c r="L451" t="s">
        <v>727</v>
      </c>
      <c r="M451" t="s">
        <v>870</v>
      </c>
      <c r="N451" s="23">
        <v>1412.15</v>
      </c>
      <c r="O451" s="23">
        <v>1631.04</v>
      </c>
      <c r="P451" s="8">
        <v>8.9999999999999993E-3</v>
      </c>
      <c r="Q451">
        <v>6</v>
      </c>
      <c r="R451" s="23">
        <f t="shared" ref="R451:R514" si="79">(O451*Q451)*(1-P451)</f>
        <v>9698.1638399999993</v>
      </c>
      <c r="S451" s="23">
        <f t="shared" ref="S451:S514" si="80">N451*Q451</f>
        <v>8472.9000000000015</v>
      </c>
      <c r="T451" s="23">
        <f t="shared" ref="T451:T514" si="81">R451-S451</f>
        <v>1225.2638399999978</v>
      </c>
      <c r="U451" s="14">
        <f t="shared" ref="U451:U514" si="82">IF(R451=0,0,T451/R451)</f>
        <v>0.12633977526203535</v>
      </c>
      <c r="V451" s="7" t="str">
        <f t="shared" ref="V451:V514" si="83">TEXT(C451,"MMM-YYYY")</f>
        <v>Dec-2024</v>
      </c>
      <c r="W451" s="22">
        <f t="shared" ref="W451:W514" si="84">DATEVALUE(V451)</f>
        <v>45627</v>
      </c>
      <c r="X451" s="7" t="str">
        <f t="shared" ref="X451:X514" si="85">"Q"&amp;ROUNDUP(MONTH(C451)/3,0)&amp;"-"&amp;YEAR(C451)</f>
        <v>Q4-2024</v>
      </c>
      <c r="Y451" t="str">
        <f t="shared" ref="Y451:Y514" si="86">_xlfn.CONCAT(F451," ","→"," ",G451," ","→"," ",H451)</f>
        <v>Asia → China → Shenzhen</v>
      </c>
      <c r="Z451" t="str">
        <f t="shared" ref="Z451:Z514" si="87">TRIM(L451)</f>
        <v>Components</v>
      </c>
      <c r="AA451" t="str" cm="1">
        <f t="array" ref="AA451">_xlfn.IFS(O451&lt;=$AF$2,"Low",AND(O451&gt;$AF$2,O451&lt;$AF$3),"Medium",O451&gt;=$AF$3,"High")</f>
        <v>High</v>
      </c>
      <c r="AB451" s="22">
        <f t="shared" ref="AB451:AB514" si="88">_xlfn.MINIFS($W$2:$W$632,$G$2:$G$632,G451)</f>
        <v>44927</v>
      </c>
      <c r="AC451">
        <v>23</v>
      </c>
    </row>
    <row r="452" spans="1:29" x14ac:dyDescent="0.35">
      <c r="A452" s="4" t="s">
        <v>88</v>
      </c>
      <c r="B452" s="5" t="str">
        <f>IF(COUNTIF($A$2:A452,A452)=1,"Original","Duplicate")</f>
        <v>Original</v>
      </c>
      <c r="C452" s="7">
        <v>45641</v>
      </c>
      <c r="D452" s="7">
        <v>45646</v>
      </c>
      <c r="E452">
        <f t="shared" si="78"/>
        <v>5</v>
      </c>
      <c r="F452" t="s">
        <v>647</v>
      </c>
      <c r="G452" t="s">
        <v>659</v>
      </c>
      <c r="H452" t="s">
        <v>676</v>
      </c>
      <c r="I452" t="s">
        <v>705</v>
      </c>
      <c r="J452" t="s">
        <v>711</v>
      </c>
      <c r="K452" t="s">
        <v>713</v>
      </c>
      <c r="L452" t="s">
        <v>729</v>
      </c>
      <c r="M452" t="s">
        <v>807</v>
      </c>
      <c r="N452" s="23">
        <v>717.55</v>
      </c>
      <c r="O452" s="23">
        <v>546.42999999999995</v>
      </c>
      <c r="P452" s="8">
        <v>4.7E-2</v>
      </c>
      <c r="Q452">
        <v>18</v>
      </c>
      <c r="R452" s="23">
        <f t="shared" si="79"/>
        <v>9373.460219999999</v>
      </c>
      <c r="S452" s="23">
        <f t="shared" si="80"/>
        <v>12915.9</v>
      </c>
      <c r="T452" s="23">
        <f t="shared" si="81"/>
        <v>-3542.4397800000006</v>
      </c>
      <c r="U452" s="14">
        <f t="shared" si="82"/>
        <v>-0.37792231437026369</v>
      </c>
      <c r="V452" s="7" t="str">
        <f t="shared" si="83"/>
        <v>Dec-2024</v>
      </c>
      <c r="W452" s="22">
        <f t="shared" si="84"/>
        <v>45627</v>
      </c>
      <c r="X452" s="7" t="str">
        <f t="shared" si="85"/>
        <v>Q4-2024</v>
      </c>
      <c r="Y452" t="str">
        <f t="shared" si="86"/>
        <v>Asia → China → Shenzhen</v>
      </c>
      <c r="Z452" t="str">
        <f t="shared" si="87"/>
        <v>Networking</v>
      </c>
      <c r="AA452" t="str" cm="1">
        <f t="array" ref="AA452">_xlfn.IFS(O452&lt;=$AF$2,"Low",AND(O452&gt;$AF$2,O452&lt;$AF$3),"Medium",O452&gt;=$AF$3,"High")</f>
        <v>Low</v>
      </c>
      <c r="AB452" s="22">
        <f t="shared" si="88"/>
        <v>44927</v>
      </c>
      <c r="AC452">
        <v>23</v>
      </c>
    </row>
    <row r="453" spans="1:29" x14ac:dyDescent="0.35">
      <c r="A453" s="4" t="s">
        <v>72</v>
      </c>
      <c r="B453" s="5" t="str">
        <f>IF(COUNTIF($A$2:A453,A453)=1,"Original","Duplicate")</f>
        <v>Original</v>
      </c>
      <c r="C453" s="7">
        <v>45643</v>
      </c>
      <c r="D453" s="7">
        <v>45644</v>
      </c>
      <c r="E453">
        <f t="shared" si="78"/>
        <v>1</v>
      </c>
      <c r="F453" t="s">
        <v>649</v>
      </c>
      <c r="G453" t="s">
        <v>656</v>
      </c>
      <c r="H453" t="s">
        <v>684</v>
      </c>
      <c r="I453" t="s">
        <v>702</v>
      </c>
      <c r="J453" t="s">
        <v>707</v>
      </c>
      <c r="K453" t="s">
        <v>716</v>
      </c>
      <c r="L453" t="s">
        <v>733</v>
      </c>
      <c r="M453" t="s">
        <v>791</v>
      </c>
      <c r="N453" s="23">
        <v>346.82</v>
      </c>
      <c r="O453" s="23">
        <v>701.95</v>
      </c>
      <c r="P453" s="8">
        <v>0.14699999999999999</v>
      </c>
      <c r="Q453">
        <v>8</v>
      </c>
      <c r="R453" s="23">
        <f t="shared" si="79"/>
        <v>4790.1068000000005</v>
      </c>
      <c r="S453" s="23">
        <f t="shared" si="80"/>
        <v>2774.56</v>
      </c>
      <c r="T453" s="23">
        <f t="shared" si="81"/>
        <v>2015.5468000000005</v>
      </c>
      <c r="U453" s="14">
        <f t="shared" si="82"/>
        <v>0.42077283120284509</v>
      </c>
      <c r="V453" s="7" t="str">
        <f t="shared" si="83"/>
        <v>Dec-2024</v>
      </c>
      <c r="W453" s="22">
        <f t="shared" si="84"/>
        <v>45627</v>
      </c>
      <c r="X453" s="7" t="str">
        <f t="shared" si="85"/>
        <v>Q4-2024</v>
      </c>
      <c r="Y453" t="str">
        <f t="shared" si="86"/>
        <v>Europe → Germany → Munich</v>
      </c>
      <c r="Z453" t="str">
        <f t="shared" si="87"/>
        <v>Accessories</v>
      </c>
      <c r="AA453" t="str" cm="1">
        <f t="array" ref="AA453">_xlfn.IFS(O453&lt;=$AF$2,"Low",AND(O453&gt;$AF$2,O453&lt;$AF$3),"Medium",O453&gt;=$AF$3,"High")</f>
        <v>Low</v>
      </c>
      <c r="AB453" s="22">
        <f t="shared" si="88"/>
        <v>44927</v>
      </c>
      <c r="AC453">
        <v>23</v>
      </c>
    </row>
    <row r="454" spans="1:29" x14ac:dyDescent="0.35">
      <c r="A454" s="4" t="s">
        <v>631</v>
      </c>
      <c r="B454" s="5" t="str">
        <f>IF(COUNTIF($A$2:A454,A454)=1,"Original","Duplicate")</f>
        <v>Original</v>
      </c>
      <c r="C454" s="7">
        <v>45643</v>
      </c>
      <c r="D454" s="7">
        <v>45673</v>
      </c>
      <c r="E454">
        <f t="shared" si="78"/>
        <v>30</v>
      </c>
      <c r="F454" t="s">
        <v>649</v>
      </c>
      <c r="G454" t="s">
        <v>658</v>
      </c>
      <c r="H454" t="s">
        <v>693</v>
      </c>
      <c r="I454" t="s">
        <v>701</v>
      </c>
      <c r="J454" t="s">
        <v>707</v>
      </c>
      <c r="K454" t="s">
        <v>726</v>
      </c>
      <c r="L454" t="s">
        <v>732</v>
      </c>
      <c r="M454" t="s">
        <v>1349</v>
      </c>
      <c r="N454" s="23">
        <v>722.87</v>
      </c>
      <c r="O454" s="23">
        <v>867.44399999999996</v>
      </c>
      <c r="P454" s="8">
        <v>0.10199999999999999</v>
      </c>
      <c r="Q454">
        <v>28</v>
      </c>
      <c r="R454" s="23">
        <f t="shared" si="79"/>
        <v>21811.011936000003</v>
      </c>
      <c r="S454" s="23">
        <f t="shared" si="80"/>
        <v>20240.36</v>
      </c>
      <c r="T454" s="23">
        <f t="shared" si="81"/>
        <v>1570.651936000002</v>
      </c>
      <c r="U454" s="14">
        <f t="shared" si="82"/>
        <v>7.2011878247958516E-2</v>
      </c>
      <c r="V454" s="7" t="str">
        <f t="shared" si="83"/>
        <v>Dec-2024</v>
      </c>
      <c r="W454" s="22">
        <f t="shared" si="84"/>
        <v>45627</v>
      </c>
      <c r="X454" s="7" t="str">
        <f t="shared" si="85"/>
        <v>Q4-2024</v>
      </c>
      <c r="Y454" t="str">
        <f t="shared" si="86"/>
        <v>Europe → United Kingdom → Manchester</v>
      </c>
      <c r="Z454" t="str">
        <f t="shared" si="87"/>
        <v>Monitors</v>
      </c>
      <c r="AA454" t="str" cm="1">
        <f t="array" ref="AA454">_xlfn.IFS(O454&lt;=$AF$2,"Low",AND(O454&gt;$AF$2,O454&lt;$AF$3),"Medium",O454&gt;=$AF$3,"High")</f>
        <v>Medium</v>
      </c>
      <c r="AB454" s="22">
        <f t="shared" si="88"/>
        <v>44927</v>
      </c>
      <c r="AC454">
        <v>23</v>
      </c>
    </row>
    <row r="455" spans="1:29" x14ac:dyDescent="0.35">
      <c r="A455" s="4" t="s">
        <v>420</v>
      </c>
      <c r="B455" s="5" t="str">
        <f>IF(COUNTIF($A$2:A455,A455)=1,"Original","Duplicate")</f>
        <v>Original</v>
      </c>
      <c r="C455" s="7">
        <v>45646</v>
      </c>
      <c r="D455" s="7">
        <v>45671</v>
      </c>
      <c r="E455">
        <f t="shared" si="78"/>
        <v>25</v>
      </c>
      <c r="F455" t="s">
        <v>647</v>
      </c>
      <c r="G455" t="s">
        <v>654</v>
      </c>
      <c r="H455" t="s">
        <v>680</v>
      </c>
      <c r="I455" t="s">
        <v>705</v>
      </c>
      <c r="J455" t="s">
        <v>707</v>
      </c>
      <c r="K455" t="s">
        <v>724</v>
      </c>
      <c r="L455" t="s">
        <v>728</v>
      </c>
      <c r="M455" t="s">
        <v>1139</v>
      </c>
      <c r="N455" s="23">
        <v>1361.34</v>
      </c>
      <c r="O455" s="23">
        <v>1737.9</v>
      </c>
      <c r="P455" s="8">
        <v>7.6999999999999999E-2</v>
      </c>
      <c r="Q455">
        <v>14</v>
      </c>
      <c r="R455" s="23">
        <f t="shared" si="79"/>
        <v>22457.143800000002</v>
      </c>
      <c r="S455" s="23">
        <f t="shared" si="80"/>
        <v>19058.759999999998</v>
      </c>
      <c r="T455" s="23">
        <f t="shared" si="81"/>
        <v>3398.3838000000032</v>
      </c>
      <c r="U455" s="14">
        <f t="shared" si="82"/>
        <v>0.15132751654731813</v>
      </c>
      <c r="V455" s="7" t="str">
        <f t="shared" si="83"/>
        <v>Dec-2024</v>
      </c>
      <c r="W455" s="22">
        <f t="shared" si="84"/>
        <v>45627</v>
      </c>
      <c r="X455" s="7" t="str">
        <f t="shared" si="85"/>
        <v>Q4-2024</v>
      </c>
      <c r="Y455" t="str">
        <f t="shared" si="86"/>
        <v>Asia → India → Delhi</v>
      </c>
      <c r="Z455" t="str">
        <f t="shared" si="87"/>
        <v>Printers</v>
      </c>
      <c r="AA455" t="str" cm="1">
        <f t="array" ref="AA455">_xlfn.IFS(O455&lt;=$AF$2,"Low",AND(O455&gt;$AF$2,O455&lt;$AF$3),"Medium",O455&gt;=$AF$3,"High")</f>
        <v>High</v>
      </c>
      <c r="AB455" s="22">
        <f t="shared" si="88"/>
        <v>44958</v>
      </c>
      <c r="AC455">
        <v>22</v>
      </c>
    </row>
    <row r="456" spans="1:29" x14ac:dyDescent="0.35">
      <c r="A456" s="4" t="s">
        <v>149</v>
      </c>
      <c r="B456" s="5" t="str">
        <f>IF(COUNTIF($A$2:A456,A456)=1,"Original","Duplicate")</f>
        <v>Original</v>
      </c>
      <c r="C456" s="7">
        <v>45647</v>
      </c>
      <c r="D456" s="7">
        <v>45652</v>
      </c>
      <c r="E456">
        <f t="shared" si="78"/>
        <v>5</v>
      </c>
      <c r="F456" t="s">
        <v>648</v>
      </c>
      <c r="G456" t="s">
        <v>660</v>
      </c>
      <c r="H456" t="s">
        <v>686</v>
      </c>
      <c r="I456" t="s">
        <v>704</v>
      </c>
      <c r="J456" t="s">
        <v>709</v>
      </c>
      <c r="K456" t="s">
        <v>724</v>
      </c>
      <c r="L456" t="s">
        <v>728</v>
      </c>
      <c r="M456" t="s">
        <v>868</v>
      </c>
      <c r="N456" s="23">
        <v>699.57</v>
      </c>
      <c r="O456" s="23">
        <v>572.71</v>
      </c>
      <c r="P456" s="8">
        <v>0.192</v>
      </c>
      <c r="Q456">
        <v>26</v>
      </c>
      <c r="R456" s="23">
        <f t="shared" si="79"/>
        <v>12031.491680000001</v>
      </c>
      <c r="S456" s="23">
        <f t="shared" si="80"/>
        <v>18188.82</v>
      </c>
      <c r="T456" s="23">
        <f t="shared" si="81"/>
        <v>-6157.3283199999987</v>
      </c>
      <c r="U456" s="14">
        <f t="shared" si="82"/>
        <v>-0.51176765805651114</v>
      </c>
      <c r="V456" s="7" t="str">
        <f t="shared" si="83"/>
        <v>Dec-2024</v>
      </c>
      <c r="W456" s="22">
        <f t="shared" si="84"/>
        <v>45627</v>
      </c>
      <c r="X456" s="7" t="str">
        <f t="shared" si="85"/>
        <v>Q4-2024</v>
      </c>
      <c r="Y456" t="str">
        <f t="shared" si="86"/>
        <v>Americas → USA → San Francisco</v>
      </c>
      <c r="Z456" t="str">
        <f t="shared" si="87"/>
        <v>Printers</v>
      </c>
      <c r="AA456" t="str" cm="1">
        <f t="array" ref="AA456">_xlfn.IFS(O456&lt;=$AF$2,"Low",AND(O456&gt;$AF$2,O456&lt;$AF$3),"Medium",O456&gt;=$AF$3,"High")</f>
        <v>Low</v>
      </c>
      <c r="AB456" s="22">
        <f t="shared" si="88"/>
        <v>44927</v>
      </c>
      <c r="AC456">
        <v>23</v>
      </c>
    </row>
    <row r="457" spans="1:29" x14ac:dyDescent="0.35">
      <c r="A457" s="4" t="s">
        <v>156</v>
      </c>
      <c r="B457" s="5" t="str">
        <f>IF(COUNTIF($A$2:A457,A457)=1,"Original","Duplicate")</f>
        <v>Original</v>
      </c>
      <c r="C457" s="7">
        <v>45649</v>
      </c>
      <c r="D457" s="7">
        <v>45668</v>
      </c>
      <c r="E457">
        <f t="shared" si="78"/>
        <v>19</v>
      </c>
      <c r="F457" t="s">
        <v>649</v>
      </c>
      <c r="G457" t="s">
        <v>656</v>
      </c>
      <c r="H457" t="s">
        <v>671</v>
      </c>
      <c r="I457" t="s">
        <v>702</v>
      </c>
      <c r="J457" t="s">
        <v>707</v>
      </c>
      <c r="K457" t="s">
        <v>723</v>
      </c>
      <c r="L457" t="s">
        <v>730</v>
      </c>
      <c r="M457" t="s">
        <v>875</v>
      </c>
      <c r="N457" s="23">
        <v>501.81</v>
      </c>
      <c r="O457" s="23">
        <v>921.62</v>
      </c>
      <c r="P457" s="8">
        <v>0.01</v>
      </c>
      <c r="Q457">
        <v>9</v>
      </c>
      <c r="R457" s="23">
        <f t="shared" si="79"/>
        <v>8211.6342000000004</v>
      </c>
      <c r="S457" s="23">
        <f t="shared" si="80"/>
        <v>4516.29</v>
      </c>
      <c r="T457" s="23">
        <f t="shared" si="81"/>
        <v>3695.3442000000005</v>
      </c>
      <c r="U457" s="14">
        <f t="shared" si="82"/>
        <v>0.45001325071202031</v>
      </c>
      <c r="V457" s="7" t="str">
        <f t="shared" si="83"/>
        <v>Dec-2024</v>
      </c>
      <c r="W457" s="22">
        <f t="shared" si="84"/>
        <v>45627</v>
      </c>
      <c r="X457" s="7" t="str">
        <f t="shared" si="85"/>
        <v>Q4-2024</v>
      </c>
      <c r="Y457" t="str">
        <f t="shared" si="86"/>
        <v>Europe → Germany → Berlin</v>
      </c>
      <c r="Z457" t="str">
        <f t="shared" si="87"/>
        <v>Phones</v>
      </c>
      <c r="AA457" t="str" cm="1">
        <f t="array" ref="AA457">_xlfn.IFS(O457&lt;=$AF$2,"Low",AND(O457&gt;$AF$2,O457&lt;$AF$3),"Medium",O457&gt;=$AF$3,"High")</f>
        <v>Medium</v>
      </c>
      <c r="AB457" s="22">
        <f t="shared" si="88"/>
        <v>44927</v>
      </c>
      <c r="AC457">
        <v>23</v>
      </c>
    </row>
    <row r="458" spans="1:29" x14ac:dyDescent="0.35">
      <c r="A458" s="4" t="s">
        <v>450</v>
      </c>
      <c r="B458" s="5" t="str">
        <f>IF(COUNTIF($A$2:A458,A458)=1,"Original","Duplicate")</f>
        <v>Original</v>
      </c>
      <c r="C458" s="7">
        <v>45650</v>
      </c>
      <c r="D458" s="7">
        <v>45670</v>
      </c>
      <c r="E458">
        <f t="shared" si="78"/>
        <v>20</v>
      </c>
      <c r="F458" t="s">
        <v>647</v>
      </c>
      <c r="G458" t="s">
        <v>654</v>
      </c>
      <c r="H458" t="s">
        <v>668</v>
      </c>
      <c r="I458" t="s">
        <v>701</v>
      </c>
      <c r="J458" t="s">
        <v>709</v>
      </c>
      <c r="K458" t="s">
        <v>726</v>
      </c>
      <c r="L458" t="s">
        <v>729</v>
      </c>
      <c r="M458" t="s">
        <v>1169</v>
      </c>
      <c r="N458" s="23">
        <v>126.15</v>
      </c>
      <c r="O458" s="23">
        <v>284.23</v>
      </c>
      <c r="P458" s="8">
        <v>0.113</v>
      </c>
      <c r="Q458">
        <v>22</v>
      </c>
      <c r="R458" s="23">
        <f t="shared" si="79"/>
        <v>5546.4642200000008</v>
      </c>
      <c r="S458" s="23">
        <f t="shared" si="80"/>
        <v>2775.3</v>
      </c>
      <c r="T458" s="23">
        <f t="shared" si="81"/>
        <v>2771.1642200000006</v>
      </c>
      <c r="U458" s="14">
        <f t="shared" si="82"/>
        <v>0.49962716968541088</v>
      </c>
      <c r="V458" s="7" t="str">
        <f t="shared" si="83"/>
        <v>Dec-2024</v>
      </c>
      <c r="W458" s="22">
        <f t="shared" si="84"/>
        <v>45627</v>
      </c>
      <c r="X458" s="7" t="str">
        <f t="shared" si="85"/>
        <v>Q4-2024</v>
      </c>
      <c r="Y458" t="str">
        <f t="shared" si="86"/>
        <v>Asia → India → Bengaluru</v>
      </c>
      <c r="Z458" t="str">
        <f t="shared" si="87"/>
        <v>Networking</v>
      </c>
      <c r="AA458" t="str" cm="1">
        <f t="array" ref="AA458">_xlfn.IFS(O458&lt;=$AF$2,"Low",AND(O458&gt;$AF$2,O458&lt;$AF$3),"Medium",O458&gt;=$AF$3,"High")</f>
        <v>Low</v>
      </c>
      <c r="AB458" s="22">
        <f t="shared" si="88"/>
        <v>44958</v>
      </c>
      <c r="AC458">
        <v>22</v>
      </c>
    </row>
    <row r="459" spans="1:29" x14ac:dyDescent="0.35">
      <c r="A459" s="4" t="s">
        <v>21</v>
      </c>
      <c r="B459" s="5" t="str">
        <f>IF(COUNTIF($A$2:A459,A459)=1,"Original","Duplicate")</f>
        <v>Original</v>
      </c>
      <c r="C459" s="7">
        <v>45653</v>
      </c>
      <c r="D459" s="7">
        <v>45671</v>
      </c>
      <c r="E459">
        <f t="shared" si="78"/>
        <v>18</v>
      </c>
      <c r="F459" t="s">
        <v>647</v>
      </c>
      <c r="G459" t="s">
        <v>654</v>
      </c>
      <c r="H459" t="s">
        <v>668</v>
      </c>
      <c r="I459" t="s">
        <v>705</v>
      </c>
      <c r="J459" t="s">
        <v>709</v>
      </c>
      <c r="K459" t="s">
        <v>718</v>
      </c>
      <c r="L459" t="s">
        <v>732</v>
      </c>
      <c r="M459" t="s">
        <v>740</v>
      </c>
      <c r="N459" s="23">
        <v>586.07000000000005</v>
      </c>
      <c r="O459" s="23">
        <v>845.97</v>
      </c>
      <c r="P459" s="8">
        <v>0.14699999999999999</v>
      </c>
      <c r="Q459">
        <v>4</v>
      </c>
      <c r="R459" s="23">
        <f t="shared" si="79"/>
        <v>2886.4496399999998</v>
      </c>
      <c r="S459" s="23">
        <f t="shared" si="80"/>
        <v>2344.2800000000002</v>
      </c>
      <c r="T459" s="23">
        <f t="shared" si="81"/>
        <v>542.16963999999962</v>
      </c>
      <c r="U459" s="14">
        <f t="shared" si="82"/>
        <v>0.18783270370862928</v>
      </c>
      <c r="V459" s="7" t="str">
        <f t="shared" si="83"/>
        <v>Dec-2024</v>
      </c>
      <c r="W459" s="22">
        <f t="shared" si="84"/>
        <v>45627</v>
      </c>
      <c r="X459" s="7" t="str">
        <f t="shared" si="85"/>
        <v>Q4-2024</v>
      </c>
      <c r="Y459" t="str">
        <f t="shared" si="86"/>
        <v>Asia → India → Bengaluru</v>
      </c>
      <c r="Z459" t="str">
        <f t="shared" si="87"/>
        <v>Monitors</v>
      </c>
      <c r="AA459" t="str" cm="1">
        <f t="array" ref="AA459">_xlfn.IFS(O459&lt;=$AF$2,"Low",AND(O459&gt;$AF$2,O459&lt;$AF$3),"Medium",O459&gt;=$AF$3,"High")</f>
        <v>Medium</v>
      </c>
      <c r="AB459" s="22">
        <f t="shared" si="88"/>
        <v>44958</v>
      </c>
      <c r="AC459">
        <v>22</v>
      </c>
    </row>
    <row r="460" spans="1:29" x14ac:dyDescent="0.35">
      <c r="A460" s="4" t="s">
        <v>45</v>
      </c>
      <c r="B460" s="5" t="str">
        <f>IF(COUNTIF($A$2:A460,A460)=1,"Original","Duplicate")</f>
        <v>Original</v>
      </c>
      <c r="C460" s="7">
        <v>45653</v>
      </c>
      <c r="D460" s="7">
        <v>45672</v>
      </c>
      <c r="E460">
        <f t="shared" si="78"/>
        <v>19</v>
      </c>
      <c r="F460" t="s">
        <v>647</v>
      </c>
      <c r="G460" t="s">
        <v>654</v>
      </c>
      <c r="H460" t="s">
        <v>680</v>
      </c>
      <c r="I460" t="s">
        <v>703</v>
      </c>
      <c r="J460" t="s">
        <v>710</v>
      </c>
      <c r="K460" t="s">
        <v>715</v>
      </c>
      <c r="L460" t="s">
        <v>727</v>
      </c>
      <c r="M460" t="s">
        <v>764</v>
      </c>
      <c r="N460" s="23">
        <v>495.59</v>
      </c>
      <c r="O460" s="23">
        <v>631.78</v>
      </c>
      <c r="P460" s="8">
        <v>8.6999999999999994E-2</v>
      </c>
      <c r="Q460">
        <v>17</v>
      </c>
      <c r="R460" s="23">
        <f t="shared" si="79"/>
        <v>9805.8573800000013</v>
      </c>
      <c r="S460" s="23">
        <f t="shared" si="80"/>
        <v>8425.0299999999988</v>
      </c>
      <c r="T460" s="23">
        <f t="shared" si="81"/>
        <v>1380.8273800000024</v>
      </c>
      <c r="U460" s="14">
        <f t="shared" si="82"/>
        <v>0.14081658813601899</v>
      </c>
      <c r="V460" s="7" t="str">
        <f t="shared" si="83"/>
        <v>Dec-2024</v>
      </c>
      <c r="W460" s="22">
        <f t="shared" si="84"/>
        <v>45627</v>
      </c>
      <c r="X460" s="7" t="str">
        <f t="shared" si="85"/>
        <v>Q4-2024</v>
      </c>
      <c r="Y460" t="str">
        <f t="shared" si="86"/>
        <v>Asia → India → Delhi</v>
      </c>
      <c r="Z460" t="str">
        <f t="shared" si="87"/>
        <v>Components</v>
      </c>
      <c r="AA460" t="str" cm="1">
        <f t="array" ref="AA460">_xlfn.IFS(O460&lt;=$AF$2,"Low",AND(O460&gt;$AF$2,O460&lt;$AF$3),"Medium",O460&gt;=$AF$3,"High")</f>
        <v>Low</v>
      </c>
      <c r="AB460" s="22">
        <f t="shared" si="88"/>
        <v>44958</v>
      </c>
      <c r="AC460">
        <v>22</v>
      </c>
    </row>
    <row r="461" spans="1:29" x14ac:dyDescent="0.35">
      <c r="A461" s="4" t="s">
        <v>132</v>
      </c>
      <c r="B461" s="5" t="str">
        <f>IF(COUNTIF($A$2:A461,A461)=1,"Original","Duplicate")</f>
        <v>Original</v>
      </c>
      <c r="C461" s="7">
        <v>45653</v>
      </c>
      <c r="D461" s="7">
        <v>45659</v>
      </c>
      <c r="E461">
        <f t="shared" si="78"/>
        <v>6</v>
      </c>
      <c r="F461" t="s">
        <v>649</v>
      </c>
      <c r="G461" t="s">
        <v>656</v>
      </c>
      <c r="H461" t="s">
        <v>698</v>
      </c>
      <c r="I461" t="s">
        <v>702</v>
      </c>
      <c r="J461" t="s">
        <v>711</v>
      </c>
      <c r="K461" t="s">
        <v>721</v>
      </c>
      <c r="L461" t="s">
        <v>731</v>
      </c>
      <c r="M461" t="s">
        <v>851</v>
      </c>
      <c r="N461" s="23">
        <v>1391.99</v>
      </c>
      <c r="O461" s="23">
        <v>3469.7</v>
      </c>
      <c r="P461" s="8">
        <v>0.184</v>
      </c>
      <c r="Q461">
        <v>23</v>
      </c>
      <c r="R461" s="23">
        <f t="shared" si="79"/>
        <v>65119.329599999997</v>
      </c>
      <c r="S461" s="23">
        <f t="shared" si="80"/>
        <v>32015.77</v>
      </c>
      <c r="T461" s="23">
        <f t="shared" si="81"/>
        <v>33103.559599999993</v>
      </c>
      <c r="U461" s="14">
        <f t="shared" si="82"/>
        <v>0.50835227886006973</v>
      </c>
      <c r="V461" s="7" t="str">
        <f t="shared" si="83"/>
        <v>Dec-2024</v>
      </c>
      <c r="W461" s="22">
        <f t="shared" si="84"/>
        <v>45627</v>
      </c>
      <c r="X461" s="7" t="str">
        <f t="shared" si="85"/>
        <v>Q4-2024</v>
      </c>
      <c r="Y461" t="str">
        <f t="shared" si="86"/>
        <v>Europe → Germany → Frankfurt</v>
      </c>
      <c r="Z461" t="str">
        <f t="shared" si="87"/>
        <v>Laptops</v>
      </c>
      <c r="AA461" t="str" cm="1">
        <f t="array" ref="AA461">_xlfn.IFS(O461&lt;=$AF$2,"Low",AND(O461&gt;$AF$2,O461&lt;$AF$3),"Medium",O461&gt;=$AF$3,"High")</f>
        <v>High</v>
      </c>
      <c r="AB461" s="22">
        <f t="shared" si="88"/>
        <v>44927</v>
      </c>
      <c r="AC461">
        <v>23</v>
      </c>
    </row>
    <row r="462" spans="1:29" x14ac:dyDescent="0.35">
      <c r="A462" s="4" t="s">
        <v>469</v>
      </c>
      <c r="B462" s="5" t="str">
        <f>IF(COUNTIF($A$2:A462,A462)=1,"Original","Duplicate")</f>
        <v>Original</v>
      </c>
      <c r="C462" s="7">
        <v>45653</v>
      </c>
      <c r="D462" s="7">
        <v>45655</v>
      </c>
      <c r="E462">
        <f t="shared" si="78"/>
        <v>2</v>
      </c>
      <c r="F462" t="s">
        <v>648</v>
      </c>
      <c r="G462" t="s">
        <v>653</v>
      </c>
      <c r="H462" t="s">
        <v>688</v>
      </c>
      <c r="I462" t="s">
        <v>706</v>
      </c>
      <c r="J462" t="s">
        <v>709</v>
      </c>
      <c r="K462" t="s">
        <v>712</v>
      </c>
      <c r="L462" t="s">
        <v>733</v>
      </c>
      <c r="M462" t="s">
        <v>1188</v>
      </c>
      <c r="N462" s="23">
        <v>1146.72</v>
      </c>
      <c r="O462" s="23">
        <v>2074.34</v>
      </c>
      <c r="P462" s="8">
        <v>0.111</v>
      </c>
      <c r="Q462">
        <v>8</v>
      </c>
      <c r="R462" s="23">
        <f t="shared" si="79"/>
        <v>14752.706080000002</v>
      </c>
      <c r="S462" s="23">
        <f t="shared" si="80"/>
        <v>9173.76</v>
      </c>
      <c r="T462" s="23">
        <f t="shared" si="81"/>
        <v>5578.9460800000015</v>
      </c>
      <c r="U462" s="14">
        <f t="shared" si="82"/>
        <v>0.37816425337472737</v>
      </c>
      <c r="V462" s="7" t="str">
        <f t="shared" si="83"/>
        <v>Dec-2024</v>
      </c>
      <c r="W462" s="22">
        <f t="shared" si="84"/>
        <v>45627</v>
      </c>
      <c r="X462" s="7" t="str">
        <f t="shared" si="85"/>
        <v>Q4-2024</v>
      </c>
      <c r="Y462" t="str">
        <f t="shared" si="86"/>
        <v>Americas → Canada → Vancouver</v>
      </c>
      <c r="Z462" t="str">
        <f t="shared" si="87"/>
        <v>Accessories</v>
      </c>
      <c r="AA462" t="str" cm="1">
        <f t="array" ref="AA462">_xlfn.IFS(O462&lt;=$AF$2,"Low",AND(O462&gt;$AF$2,O462&lt;$AF$3),"Medium",O462&gt;=$AF$3,"High")</f>
        <v>High</v>
      </c>
      <c r="AB462" s="22">
        <f t="shared" si="88"/>
        <v>44927</v>
      </c>
      <c r="AC462">
        <v>23</v>
      </c>
    </row>
    <row r="463" spans="1:29" x14ac:dyDescent="0.35">
      <c r="A463" s="4" t="s">
        <v>445</v>
      </c>
      <c r="B463" s="5" t="str">
        <f>IF(COUNTIF($A$2:A463,A463)=1,"Original","Duplicate")</f>
        <v>Original</v>
      </c>
      <c r="C463" s="7">
        <v>45654</v>
      </c>
      <c r="D463" s="7">
        <v>45665</v>
      </c>
      <c r="E463">
        <f t="shared" si="78"/>
        <v>11</v>
      </c>
      <c r="F463" t="s">
        <v>647</v>
      </c>
      <c r="G463" t="s">
        <v>659</v>
      </c>
      <c r="H463" t="s">
        <v>676</v>
      </c>
      <c r="I463" t="s">
        <v>706</v>
      </c>
      <c r="J463" t="s">
        <v>708</v>
      </c>
      <c r="K463" t="s">
        <v>723</v>
      </c>
      <c r="L463" t="s">
        <v>731</v>
      </c>
      <c r="M463" t="s">
        <v>1164</v>
      </c>
      <c r="N463" s="23">
        <v>1201.31</v>
      </c>
      <c r="O463" s="23">
        <v>2764.65</v>
      </c>
      <c r="P463" s="8">
        <v>0</v>
      </c>
      <c r="Q463">
        <v>21</v>
      </c>
      <c r="R463" s="23">
        <f t="shared" si="79"/>
        <v>58057.65</v>
      </c>
      <c r="S463" s="23">
        <f t="shared" si="80"/>
        <v>25227.51</v>
      </c>
      <c r="T463" s="23">
        <f t="shared" si="81"/>
        <v>32830.14</v>
      </c>
      <c r="U463" s="14">
        <f t="shared" si="82"/>
        <v>0.56547483406579491</v>
      </c>
      <c r="V463" s="7" t="str">
        <f t="shared" si="83"/>
        <v>Dec-2024</v>
      </c>
      <c r="W463" s="22">
        <f t="shared" si="84"/>
        <v>45627</v>
      </c>
      <c r="X463" s="7" t="str">
        <f t="shared" si="85"/>
        <v>Q4-2024</v>
      </c>
      <c r="Y463" t="str">
        <f t="shared" si="86"/>
        <v>Asia → China → Shenzhen</v>
      </c>
      <c r="Z463" t="str">
        <f t="shared" si="87"/>
        <v>Laptops</v>
      </c>
      <c r="AA463" t="str" cm="1">
        <f t="array" ref="AA463">_xlfn.IFS(O463&lt;=$AF$2,"Low",AND(O463&gt;$AF$2,O463&lt;$AF$3),"Medium",O463&gt;=$AF$3,"High")</f>
        <v>High</v>
      </c>
      <c r="AB463" s="22">
        <f t="shared" si="88"/>
        <v>44927</v>
      </c>
      <c r="AC463">
        <v>23</v>
      </c>
    </row>
    <row r="464" spans="1:29" x14ac:dyDescent="0.35">
      <c r="A464" s="4" t="s">
        <v>324</v>
      </c>
      <c r="B464" s="5" t="str">
        <f>IF(COUNTIF($A$2:A464,A464)=1,"Original","Duplicate")</f>
        <v>Original</v>
      </c>
      <c r="C464" s="7">
        <v>45655</v>
      </c>
      <c r="D464" s="7">
        <v>45669</v>
      </c>
      <c r="E464">
        <f t="shared" si="78"/>
        <v>14</v>
      </c>
      <c r="F464" t="s">
        <v>649</v>
      </c>
      <c r="G464" t="s">
        <v>658</v>
      </c>
      <c r="H464" t="s">
        <v>693</v>
      </c>
      <c r="I464" t="s">
        <v>701</v>
      </c>
      <c r="J464" t="s">
        <v>711</v>
      </c>
      <c r="K464" t="s">
        <v>717</v>
      </c>
      <c r="L464" t="s">
        <v>732</v>
      </c>
      <c r="M464" t="s">
        <v>1044</v>
      </c>
      <c r="N464" s="23">
        <v>1399.72</v>
      </c>
      <c r="O464" s="23">
        <v>3149.21</v>
      </c>
      <c r="P464" s="8">
        <v>0.185</v>
      </c>
      <c r="Q464">
        <v>12</v>
      </c>
      <c r="R464" s="23">
        <f t="shared" si="79"/>
        <v>30799.273800000003</v>
      </c>
      <c r="S464" s="23">
        <f t="shared" si="80"/>
        <v>16796.64</v>
      </c>
      <c r="T464" s="23">
        <f t="shared" si="81"/>
        <v>14002.633800000003</v>
      </c>
      <c r="U464" s="14">
        <f t="shared" si="82"/>
        <v>0.45464168703873797</v>
      </c>
      <c r="V464" s="7" t="str">
        <f t="shared" si="83"/>
        <v>Dec-2024</v>
      </c>
      <c r="W464" s="22">
        <f t="shared" si="84"/>
        <v>45627</v>
      </c>
      <c r="X464" s="7" t="str">
        <f t="shared" si="85"/>
        <v>Q4-2024</v>
      </c>
      <c r="Y464" t="str">
        <f t="shared" si="86"/>
        <v>Europe → United Kingdom → Manchester</v>
      </c>
      <c r="Z464" t="str">
        <f t="shared" si="87"/>
        <v>Monitors</v>
      </c>
      <c r="AA464" t="str" cm="1">
        <f t="array" ref="AA464">_xlfn.IFS(O464&lt;=$AF$2,"Low",AND(O464&gt;$AF$2,O464&lt;$AF$3),"Medium",O464&gt;=$AF$3,"High")</f>
        <v>High</v>
      </c>
      <c r="AB464" s="22">
        <f t="shared" si="88"/>
        <v>44927</v>
      </c>
      <c r="AC464">
        <v>23</v>
      </c>
    </row>
    <row r="465" spans="1:29" x14ac:dyDescent="0.35">
      <c r="A465" s="4" t="s">
        <v>26</v>
      </c>
      <c r="B465" s="5" t="str">
        <f>IF(COUNTIF($A$2:A465,A465)=1,"Original","Duplicate")</f>
        <v>Original</v>
      </c>
      <c r="C465" s="7">
        <v>45660</v>
      </c>
      <c r="D465" s="7">
        <v>45680</v>
      </c>
      <c r="E465">
        <f t="shared" si="78"/>
        <v>20</v>
      </c>
      <c r="F465" t="s">
        <v>647</v>
      </c>
      <c r="G465" t="s">
        <v>652</v>
      </c>
      <c r="H465" t="s">
        <v>666</v>
      </c>
      <c r="I465" t="s">
        <v>701</v>
      </c>
      <c r="J465" t="s">
        <v>710</v>
      </c>
      <c r="K465" t="s">
        <v>721</v>
      </c>
      <c r="L465" t="s">
        <v>730</v>
      </c>
      <c r="M465" t="s">
        <v>745</v>
      </c>
      <c r="N465" s="23">
        <v>908.6</v>
      </c>
      <c r="O465" s="23">
        <v>691.37</v>
      </c>
      <c r="P465" s="8">
        <v>0.25</v>
      </c>
      <c r="Q465">
        <v>20</v>
      </c>
      <c r="R465" s="23">
        <f t="shared" si="79"/>
        <v>10370.549999999999</v>
      </c>
      <c r="S465" s="23">
        <f t="shared" si="80"/>
        <v>18172</v>
      </c>
      <c r="T465" s="23">
        <f t="shared" si="81"/>
        <v>-7801.4500000000007</v>
      </c>
      <c r="U465" s="14">
        <f t="shared" si="82"/>
        <v>-0.75226964818645115</v>
      </c>
      <c r="V465" s="7" t="str">
        <f t="shared" si="83"/>
        <v>Jan-2025</v>
      </c>
      <c r="W465" s="22">
        <f t="shared" si="84"/>
        <v>45658</v>
      </c>
      <c r="X465" s="7" t="str">
        <f t="shared" si="85"/>
        <v>Q1-2025</v>
      </c>
      <c r="Y465" t="str">
        <f t="shared" si="86"/>
        <v>Asia → Japan → Osaka</v>
      </c>
      <c r="Z465" t="str">
        <f t="shared" si="87"/>
        <v>Phones</v>
      </c>
      <c r="AA465" t="str" cm="1">
        <f t="array" ref="AA465">_xlfn.IFS(O465&lt;=$AF$2,"Low",AND(O465&gt;$AF$2,O465&lt;$AF$3),"Medium",O465&gt;=$AF$3,"High")</f>
        <v>Low</v>
      </c>
      <c r="AB465" s="22">
        <f t="shared" si="88"/>
        <v>44986</v>
      </c>
      <c r="AC465">
        <v>22</v>
      </c>
    </row>
    <row r="466" spans="1:29" x14ac:dyDescent="0.35">
      <c r="A466" s="4" t="s">
        <v>528</v>
      </c>
      <c r="B466" s="5" t="str">
        <f>IF(COUNTIF($A$2:A466,A466)=1,"Original","Duplicate")</f>
        <v>Original</v>
      </c>
      <c r="C466" s="7">
        <v>45661</v>
      </c>
      <c r="D466" s="7">
        <v>45662</v>
      </c>
      <c r="E466">
        <f t="shared" si="78"/>
        <v>1</v>
      </c>
      <c r="F466" t="s">
        <v>647</v>
      </c>
      <c r="G466" t="s">
        <v>654</v>
      </c>
      <c r="H466" t="s">
        <v>680</v>
      </c>
      <c r="I466" t="s">
        <v>702</v>
      </c>
      <c r="J466" t="s">
        <v>707</v>
      </c>
      <c r="K466" t="s">
        <v>714</v>
      </c>
      <c r="L466" t="s">
        <v>727</v>
      </c>
      <c r="M466" t="s">
        <v>1247</v>
      </c>
      <c r="N466" s="23">
        <v>1428.33</v>
      </c>
      <c r="O466" s="23">
        <v>3028.05</v>
      </c>
      <c r="P466" s="8">
        <v>0</v>
      </c>
      <c r="Q466">
        <v>11</v>
      </c>
      <c r="R466" s="23">
        <f t="shared" si="79"/>
        <v>33308.550000000003</v>
      </c>
      <c r="S466" s="23">
        <f t="shared" si="80"/>
        <v>15711.63</v>
      </c>
      <c r="T466" s="23">
        <f t="shared" si="81"/>
        <v>17596.920000000006</v>
      </c>
      <c r="U466" s="14">
        <f t="shared" si="82"/>
        <v>0.52830039134096207</v>
      </c>
      <c r="V466" s="7" t="str">
        <f t="shared" si="83"/>
        <v>Jan-2025</v>
      </c>
      <c r="W466" s="22">
        <f t="shared" si="84"/>
        <v>45658</v>
      </c>
      <c r="X466" s="7" t="str">
        <f t="shared" si="85"/>
        <v>Q1-2025</v>
      </c>
      <c r="Y466" t="str">
        <f t="shared" si="86"/>
        <v>Asia → India → Delhi</v>
      </c>
      <c r="Z466" t="str">
        <f t="shared" si="87"/>
        <v>Components</v>
      </c>
      <c r="AA466" t="str" cm="1">
        <f t="array" ref="AA466">_xlfn.IFS(O466&lt;=$AF$2,"Low",AND(O466&gt;$AF$2,O466&lt;$AF$3),"Medium",O466&gt;=$AF$3,"High")</f>
        <v>High</v>
      </c>
      <c r="AB466" s="22">
        <f t="shared" si="88"/>
        <v>44958</v>
      </c>
      <c r="AC466">
        <v>23</v>
      </c>
    </row>
    <row r="467" spans="1:29" x14ac:dyDescent="0.35">
      <c r="A467" s="4" t="s">
        <v>392</v>
      </c>
      <c r="B467" s="5" t="str">
        <f>IF(COUNTIF($A$2:A467,A467)=1,"Original","Duplicate")</f>
        <v>Original</v>
      </c>
      <c r="C467" s="7">
        <v>45664</v>
      </c>
      <c r="D467" s="7">
        <v>45677</v>
      </c>
      <c r="E467">
        <f t="shared" si="78"/>
        <v>13</v>
      </c>
      <c r="F467" t="s">
        <v>646</v>
      </c>
      <c r="G467" t="s">
        <v>661</v>
      </c>
      <c r="H467" t="s">
        <v>695</v>
      </c>
      <c r="I467" t="s">
        <v>701</v>
      </c>
      <c r="J467" t="s">
        <v>711</v>
      </c>
      <c r="K467" t="s">
        <v>723</v>
      </c>
      <c r="L467" t="s">
        <v>729</v>
      </c>
      <c r="M467" t="s">
        <v>1112</v>
      </c>
      <c r="N467" s="23">
        <v>432.13</v>
      </c>
      <c r="O467" s="23">
        <v>1034.6600000000001</v>
      </c>
      <c r="P467" s="8">
        <v>9.1999999999999998E-2</v>
      </c>
      <c r="Q467">
        <v>7</v>
      </c>
      <c r="R467" s="23">
        <f t="shared" si="79"/>
        <v>6576.298960000001</v>
      </c>
      <c r="S467" s="23">
        <f t="shared" si="80"/>
        <v>3024.91</v>
      </c>
      <c r="T467" s="23">
        <f t="shared" si="81"/>
        <v>3551.3889600000011</v>
      </c>
      <c r="U467" s="14">
        <f t="shared" si="82"/>
        <v>0.54002851476204794</v>
      </c>
      <c r="V467" s="7" t="str">
        <f t="shared" si="83"/>
        <v>Jan-2025</v>
      </c>
      <c r="W467" s="22">
        <f t="shared" si="84"/>
        <v>45658</v>
      </c>
      <c r="X467" s="7" t="str">
        <f t="shared" si="85"/>
        <v>Q1-2025</v>
      </c>
      <c r="Y467" t="str">
        <f t="shared" si="86"/>
        <v>Africa → South Africa → Cape Town</v>
      </c>
      <c r="Z467" t="str">
        <f t="shared" si="87"/>
        <v>Networking</v>
      </c>
      <c r="AA467" t="str" cm="1">
        <f t="array" ref="AA467">_xlfn.IFS(O467&lt;=$AF$2,"Low",AND(O467&gt;$AF$2,O467&lt;$AF$3),"Medium",O467&gt;=$AF$3,"High")</f>
        <v>Medium</v>
      </c>
      <c r="AB467" s="22">
        <f t="shared" si="88"/>
        <v>44927</v>
      </c>
      <c r="AC467">
        <v>24</v>
      </c>
    </row>
    <row r="468" spans="1:29" x14ac:dyDescent="0.35">
      <c r="A468" s="4" t="s">
        <v>148</v>
      </c>
      <c r="B468" s="5" t="str">
        <f>IF(COUNTIF($A$2:A468,A468)=1,"Original","Duplicate")</f>
        <v>Original</v>
      </c>
      <c r="C468" s="7">
        <v>45666</v>
      </c>
      <c r="D468" s="7">
        <v>45672</v>
      </c>
      <c r="E468">
        <f t="shared" si="78"/>
        <v>6</v>
      </c>
      <c r="F468" t="s">
        <v>647</v>
      </c>
      <c r="G468" t="s">
        <v>659</v>
      </c>
      <c r="H468" t="s">
        <v>699</v>
      </c>
      <c r="I468" t="s">
        <v>702</v>
      </c>
      <c r="J468" t="s">
        <v>708</v>
      </c>
      <c r="K468" t="s">
        <v>712</v>
      </c>
      <c r="L468" t="s">
        <v>730</v>
      </c>
      <c r="M468" t="s">
        <v>867</v>
      </c>
      <c r="N468" s="23">
        <v>304.77999999999997</v>
      </c>
      <c r="O468" s="23">
        <v>537.27</v>
      </c>
      <c r="P468" s="8">
        <v>0.187</v>
      </c>
      <c r="Q468">
        <v>8</v>
      </c>
      <c r="R468" s="23">
        <f t="shared" si="79"/>
        <v>3494.4040799999998</v>
      </c>
      <c r="S468" s="23">
        <f t="shared" si="80"/>
        <v>2438.2399999999998</v>
      </c>
      <c r="T468" s="23">
        <f t="shared" si="81"/>
        <v>1056.16408</v>
      </c>
      <c r="U468" s="14">
        <f t="shared" si="82"/>
        <v>0.3022444044307549</v>
      </c>
      <c r="V468" s="7" t="str">
        <f t="shared" si="83"/>
        <v>Jan-2025</v>
      </c>
      <c r="W468" s="22">
        <f t="shared" si="84"/>
        <v>45658</v>
      </c>
      <c r="X468" s="7" t="str">
        <f t="shared" si="85"/>
        <v>Q1-2025</v>
      </c>
      <c r="Y468" t="str">
        <f t="shared" si="86"/>
        <v>Asia → China → Beijing</v>
      </c>
      <c r="Z468" t="str">
        <f t="shared" si="87"/>
        <v>Phones</v>
      </c>
      <c r="AA468" t="str" cm="1">
        <f t="array" ref="AA468">_xlfn.IFS(O468&lt;=$AF$2,"Low",AND(O468&gt;$AF$2,O468&lt;$AF$3),"Medium",O468&gt;=$AF$3,"High")</f>
        <v>Low</v>
      </c>
      <c r="AB468" s="22">
        <f t="shared" si="88"/>
        <v>44927</v>
      </c>
      <c r="AC468">
        <v>24</v>
      </c>
    </row>
    <row r="469" spans="1:29" x14ac:dyDescent="0.35">
      <c r="A469" s="4" t="s">
        <v>549</v>
      </c>
      <c r="B469" s="5" t="str">
        <f>IF(COUNTIF($A$2:A469,A469)=1,"Original","Duplicate")</f>
        <v>Original</v>
      </c>
      <c r="C469" s="7">
        <v>45667</v>
      </c>
      <c r="D469" s="7">
        <v>45694</v>
      </c>
      <c r="E469">
        <f t="shared" si="78"/>
        <v>27</v>
      </c>
      <c r="F469" t="s">
        <v>648</v>
      </c>
      <c r="G469" t="s">
        <v>655</v>
      </c>
      <c r="H469" t="s">
        <v>672</v>
      </c>
      <c r="I469" t="s">
        <v>703</v>
      </c>
      <c r="J469" t="s">
        <v>707</v>
      </c>
      <c r="K469" t="s">
        <v>717</v>
      </c>
      <c r="L469" t="s">
        <v>731</v>
      </c>
      <c r="M469" t="s">
        <v>1268</v>
      </c>
      <c r="N469" s="23">
        <v>725.62</v>
      </c>
      <c r="O469" s="23">
        <v>1559.19</v>
      </c>
      <c r="P469" s="8">
        <v>0.19</v>
      </c>
      <c r="Q469">
        <v>12</v>
      </c>
      <c r="R469" s="23">
        <f t="shared" si="79"/>
        <v>15155.326800000001</v>
      </c>
      <c r="S469" s="23">
        <f t="shared" si="80"/>
        <v>8707.44</v>
      </c>
      <c r="T469" s="23">
        <f t="shared" si="81"/>
        <v>6447.8868000000002</v>
      </c>
      <c r="U469" s="14">
        <f t="shared" si="82"/>
        <v>0.42545349797405885</v>
      </c>
      <c r="V469" s="7" t="str">
        <f t="shared" si="83"/>
        <v>Jan-2025</v>
      </c>
      <c r="W469" s="22">
        <f t="shared" si="84"/>
        <v>45658</v>
      </c>
      <c r="X469" s="7" t="str">
        <f t="shared" si="85"/>
        <v>Q1-2025</v>
      </c>
      <c r="Y469" t="str">
        <f t="shared" si="86"/>
        <v>Americas → Brazil → Brasília</v>
      </c>
      <c r="Z469" t="str">
        <f t="shared" si="87"/>
        <v>Laptops</v>
      </c>
      <c r="AA469" t="str" cm="1">
        <f t="array" ref="AA469">_xlfn.IFS(O469&lt;=$AF$2,"Low",AND(O469&gt;$AF$2,O469&lt;$AF$3),"Medium",O469&gt;=$AF$3,"High")</f>
        <v>Medium</v>
      </c>
      <c r="AB469" s="22">
        <f t="shared" si="88"/>
        <v>44927</v>
      </c>
      <c r="AC469">
        <v>24</v>
      </c>
    </row>
    <row r="470" spans="1:29" x14ac:dyDescent="0.35">
      <c r="A470" s="4" t="s">
        <v>344</v>
      </c>
      <c r="B470" s="5" t="str">
        <f>IF(COUNTIF($A$2:A470,A470)=1,"Original","Duplicate")</f>
        <v>Original</v>
      </c>
      <c r="C470" s="7">
        <v>45668</v>
      </c>
      <c r="D470" s="7">
        <v>45680</v>
      </c>
      <c r="E470">
        <f t="shared" si="78"/>
        <v>12</v>
      </c>
      <c r="F470" t="s">
        <v>648</v>
      </c>
      <c r="G470" t="s">
        <v>660</v>
      </c>
      <c r="H470" t="s">
        <v>697</v>
      </c>
      <c r="I470" t="s">
        <v>704</v>
      </c>
      <c r="J470" t="s">
        <v>710</v>
      </c>
      <c r="K470" t="s">
        <v>722</v>
      </c>
      <c r="L470" t="s">
        <v>730</v>
      </c>
      <c r="M470" t="s">
        <v>1064</v>
      </c>
      <c r="N470" s="23">
        <v>100.69</v>
      </c>
      <c r="O470" s="23">
        <v>226.14</v>
      </c>
      <c r="P470" s="8">
        <v>6.5000000000000002E-2</v>
      </c>
      <c r="Q470">
        <v>12</v>
      </c>
      <c r="R470" s="23">
        <f t="shared" si="79"/>
        <v>2537.2908000000002</v>
      </c>
      <c r="S470" s="23">
        <f t="shared" si="80"/>
        <v>1208.28</v>
      </c>
      <c r="T470" s="23">
        <f t="shared" si="81"/>
        <v>1329.0108000000002</v>
      </c>
      <c r="U470" s="14">
        <f t="shared" si="82"/>
        <v>0.52379128162999689</v>
      </c>
      <c r="V470" s="7" t="str">
        <f t="shared" si="83"/>
        <v>Jan-2025</v>
      </c>
      <c r="W470" s="22">
        <f t="shared" si="84"/>
        <v>45658</v>
      </c>
      <c r="X470" s="7" t="str">
        <f t="shared" si="85"/>
        <v>Q1-2025</v>
      </c>
      <c r="Y470" t="str">
        <f t="shared" si="86"/>
        <v>Americas → USA → Austin</v>
      </c>
      <c r="Z470" t="str">
        <f t="shared" si="87"/>
        <v>Phones</v>
      </c>
      <c r="AA470" t="str" cm="1">
        <f t="array" ref="AA470">_xlfn.IFS(O470&lt;=$AF$2,"Low",AND(O470&gt;$AF$2,O470&lt;$AF$3),"Medium",O470&gt;=$AF$3,"High")</f>
        <v>Low</v>
      </c>
      <c r="AB470" s="22">
        <f t="shared" si="88"/>
        <v>44927</v>
      </c>
      <c r="AC470">
        <v>24</v>
      </c>
    </row>
    <row r="471" spans="1:29" x14ac:dyDescent="0.35">
      <c r="A471" s="4" t="s">
        <v>201</v>
      </c>
      <c r="B471" s="5" t="str">
        <f>IF(COUNTIF($A$2:A471,A471)=1,"Original","Duplicate")</f>
        <v>Original</v>
      </c>
      <c r="C471" s="7">
        <v>45670</v>
      </c>
      <c r="D471" s="7">
        <v>45696</v>
      </c>
      <c r="E471">
        <f t="shared" si="78"/>
        <v>26</v>
      </c>
      <c r="F471" t="s">
        <v>649</v>
      </c>
      <c r="G471" t="s">
        <v>657</v>
      </c>
      <c r="H471" t="s">
        <v>690</v>
      </c>
      <c r="I471" t="s">
        <v>703</v>
      </c>
      <c r="J471" t="s">
        <v>1431</v>
      </c>
      <c r="K471" t="s">
        <v>718</v>
      </c>
      <c r="L471" t="s">
        <v>732</v>
      </c>
      <c r="M471" t="s">
        <v>920</v>
      </c>
      <c r="N471" s="23">
        <v>594.74</v>
      </c>
      <c r="O471" s="23">
        <v>1020.69</v>
      </c>
      <c r="P471" s="8">
        <v>0.21099999999999999</v>
      </c>
      <c r="Q471">
        <v>6</v>
      </c>
      <c r="R471" s="23">
        <f t="shared" si="79"/>
        <v>4831.9464600000001</v>
      </c>
      <c r="S471" s="23">
        <f t="shared" si="80"/>
        <v>3568.44</v>
      </c>
      <c r="T471" s="23">
        <f t="shared" si="81"/>
        <v>1263.5064600000001</v>
      </c>
      <c r="U471" s="14">
        <f t="shared" si="82"/>
        <v>0.26149016146176424</v>
      </c>
      <c r="V471" s="7" t="str">
        <f t="shared" si="83"/>
        <v>Jan-2025</v>
      </c>
      <c r="W471" s="22">
        <f t="shared" si="84"/>
        <v>45658</v>
      </c>
      <c r="X471" s="7" t="str">
        <f t="shared" si="85"/>
        <v>Q1-2025</v>
      </c>
      <c r="Y471" t="str">
        <f t="shared" si="86"/>
        <v>Europe → France → Paris</v>
      </c>
      <c r="Z471" t="str">
        <f t="shared" si="87"/>
        <v>Monitors</v>
      </c>
      <c r="AA471" t="str" cm="1">
        <f t="array" ref="AA471">_xlfn.IFS(O471&lt;=$AF$2,"Low",AND(O471&gt;$AF$2,O471&lt;$AF$3),"Medium",O471&gt;=$AF$3,"High")</f>
        <v>Medium</v>
      </c>
      <c r="AB471" s="22">
        <f t="shared" si="88"/>
        <v>44927</v>
      </c>
      <c r="AC471">
        <v>24</v>
      </c>
    </row>
    <row r="472" spans="1:29" x14ac:dyDescent="0.35">
      <c r="A472" s="4" t="s">
        <v>128</v>
      </c>
      <c r="B472" s="5" t="str">
        <f>IF(COUNTIF($A$2:A472,A472)=1,"Original","Duplicate")</f>
        <v>Original</v>
      </c>
      <c r="C472" s="7">
        <v>45674</v>
      </c>
      <c r="D472" s="7">
        <v>45681</v>
      </c>
      <c r="E472">
        <f t="shared" si="78"/>
        <v>7</v>
      </c>
      <c r="F472" t="s">
        <v>648</v>
      </c>
      <c r="G472" t="s">
        <v>660</v>
      </c>
      <c r="H472" t="s">
        <v>697</v>
      </c>
      <c r="I472" t="s">
        <v>706</v>
      </c>
      <c r="J472" t="s">
        <v>708</v>
      </c>
      <c r="K472" t="s">
        <v>715</v>
      </c>
      <c r="L472" t="s">
        <v>733</v>
      </c>
      <c r="M472" t="s">
        <v>847</v>
      </c>
      <c r="N472" s="23">
        <v>142.09</v>
      </c>
      <c r="O472" s="23">
        <v>218.5</v>
      </c>
      <c r="P472" s="8">
        <v>0.11899999999999999</v>
      </c>
      <c r="Q472">
        <v>11</v>
      </c>
      <c r="R472" s="23">
        <f t="shared" si="79"/>
        <v>2117.4834999999998</v>
      </c>
      <c r="S472" s="23">
        <f t="shared" si="80"/>
        <v>1562.99</v>
      </c>
      <c r="T472" s="23">
        <f t="shared" si="81"/>
        <v>554.49349999999981</v>
      </c>
      <c r="U472" s="14">
        <f t="shared" si="82"/>
        <v>0.26186437816398561</v>
      </c>
      <c r="V472" s="7" t="str">
        <f t="shared" si="83"/>
        <v>Jan-2025</v>
      </c>
      <c r="W472" s="22">
        <f t="shared" si="84"/>
        <v>45658</v>
      </c>
      <c r="X472" s="7" t="str">
        <f t="shared" si="85"/>
        <v>Q1-2025</v>
      </c>
      <c r="Y472" t="str">
        <f t="shared" si="86"/>
        <v>Americas → USA → Austin</v>
      </c>
      <c r="Z472" t="str">
        <f t="shared" si="87"/>
        <v>Accessories</v>
      </c>
      <c r="AA472" t="str" cm="1">
        <f t="array" ref="AA472">_xlfn.IFS(O472&lt;=$AF$2,"Low",AND(O472&gt;$AF$2,O472&lt;$AF$3),"Medium",O472&gt;=$AF$3,"High")</f>
        <v>Low</v>
      </c>
      <c r="AB472" s="22">
        <f t="shared" si="88"/>
        <v>44927</v>
      </c>
      <c r="AC472">
        <v>24</v>
      </c>
    </row>
    <row r="473" spans="1:29" x14ac:dyDescent="0.35">
      <c r="A473" s="4" t="s">
        <v>418</v>
      </c>
      <c r="B473" s="5" t="str">
        <f>IF(COUNTIF($A$2:A473,A473)=1,"Original","Duplicate")</f>
        <v>Original</v>
      </c>
      <c r="C473" s="7">
        <v>45677</v>
      </c>
      <c r="D473" s="7">
        <v>45691</v>
      </c>
      <c r="E473">
        <f t="shared" si="78"/>
        <v>14</v>
      </c>
      <c r="F473" t="s">
        <v>648</v>
      </c>
      <c r="G473" t="s">
        <v>655</v>
      </c>
      <c r="H473" t="s">
        <v>672</v>
      </c>
      <c r="I473" t="s">
        <v>706</v>
      </c>
      <c r="J473" t="s">
        <v>709</v>
      </c>
      <c r="K473" t="s">
        <v>721</v>
      </c>
      <c r="L473" t="s">
        <v>727</v>
      </c>
      <c r="M473" t="s">
        <v>1137</v>
      </c>
      <c r="N473" s="23">
        <v>974.11</v>
      </c>
      <c r="O473" s="23">
        <v>880.99</v>
      </c>
      <c r="P473" s="8">
        <v>0.111</v>
      </c>
      <c r="Q473">
        <v>10</v>
      </c>
      <c r="R473" s="23">
        <f t="shared" si="79"/>
        <v>7832.0010999999995</v>
      </c>
      <c r="S473" s="23">
        <f t="shared" si="80"/>
        <v>9741.1</v>
      </c>
      <c r="T473" s="23">
        <f t="shared" si="81"/>
        <v>-1909.0989000000009</v>
      </c>
      <c r="U473" s="14">
        <f t="shared" si="82"/>
        <v>-0.2437562093805121</v>
      </c>
      <c r="V473" s="7" t="str">
        <f t="shared" si="83"/>
        <v>Jan-2025</v>
      </c>
      <c r="W473" s="22">
        <f t="shared" si="84"/>
        <v>45658</v>
      </c>
      <c r="X473" s="7" t="str">
        <f t="shared" si="85"/>
        <v>Q1-2025</v>
      </c>
      <c r="Y473" t="str">
        <f t="shared" si="86"/>
        <v>Americas → Brazil → Brasília</v>
      </c>
      <c r="Z473" t="str">
        <f t="shared" si="87"/>
        <v>Components</v>
      </c>
      <c r="AA473" t="str" cm="1">
        <f t="array" ref="AA473">_xlfn.IFS(O473&lt;=$AF$2,"Low",AND(O473&gt;$AF$2,O473&lt;$AF$3),"Medium",O473&gt;=$AF$3,"High")</f>
        <v>Medium</v>
      </c>
      <c r="AB473" s="22">
        <f t="shared" si="88"/>
        <v>44927</v>
      </c>
      <c r="AC473">
        <v>24</v>
      </c>
    </row>
    <row r="474" spans="1:29" x14ac:dyDescent="0.35">
      <c r="A474" s="4" t="s">
        <v>68</v>
      </c>
      <c r="B474" s="5" t="str">
        <f>IF(COUNTIF($A$2:A474,A474)=1,"Original","Duplicate")</f>
        <v>Original</v>
      </c>
      <c r="C474" s="7">
        <v>45678</v>
      </c>
      <c r="D474" s="7">
        <v>45704</v>
      </c>
      <c r="E474">
        <f t="shared" si="78"/>
        <v>26</v>
      </c>
      <c r="F474" t="s">
        <v>649</v>
      </c>
      <c r="G474" t="s">
        <v>657</v>
      </c>
      <c r="H474" t="s">
        <v>679</v>
      </c>
      <c r="I474" t="s">
        <v>701</v>
      </c>
      <c r="J474" t="s">
        <v>710</v>
      </c>
      <c r="K474" t="s">
        <v>719</v>
      </c>
      <c r="L474" t="s">
        <v>731</v>
      </c>
      <c r="M474" t="s">
        <v>787</v>
      </c>
      <c r="N474" s="23">
        <v>204.11</v>
      </c>
      <c r="O474" s="23">
        <v>236.87</v>
      </c>
      <c r="P474" s="8">
        <v>0.182</v>
      </c>
      <c r="Q474">
        <v>13</v>
      </c>
      <c r="R474" s="23">
        <f t="shared" si="79"/>
        <v>2518.8755800000004</v>
      </c>
      <c r="S474" s="23">
        <f t="shared" si="80"/>
        <v>2653.4300000000003</v>
      </c>
      <c r="T474" s="23">
        <f t="shared" si="81"/>
        <v>-134.55441999999994</v>
      </c>
      <c r="U474" s="14">
        <f t="shared" si="82"/>
        <v>-5.3418446337075494E-2</v>
      </c>
      <c r="V474" s="7" t="str">
        <f t="shared" si="83"/>
        <v>Jan-2025</v>
      </c>
      <c r="W474" s="22">
        <f t="shared" si="84"/>
        <v>45658</v>
      </c>
      <c r="X474" s="7" t="str">
        <f t="shared" si="85"/>
        <v>Q1-2025</v>
      </c>
      <c r="Y474" t="str">
        <f t="shared" si="86"/>
        <v>Europe → France → Lyon</v>
      </c>
      <c r="Z474" t="str">
        <f t="shared" si="87"/>
        <v>Laptops</v>
      </c>
      <c r="AA474" t="str" cm="1">
        <f t="array" ref="AA474">_xlfn.IFS(O474&lt;=$AF$2,"Low",AND(O474&gt;$AF$2,O474&lt;$AF$3),"Medium",O474&gt;=$AF$3,"High")</f>
        <v>Low</v>
      </c>
      <c r="AB474" s="22">
        <f t="shared" si="88"/>
        <v>44927</v>
      </c>
      <c r="AC474">
        <v>24</v>
      </c>
    </row>
    <row r="475" spans="1:29" x14ac:dyDescent="0.35">
      <c r="A475" s="4" t="s">
        <v>221</v>
      </c>
      <c r="B475" s="5" t="str">
        <f>IF(COUNTIF($A$2:A475,A475)=1,"Original","Duplicate")</f>
        <v>Original</v>
      </c>
      <c r="C475" s="7">
        <v>45678</v>
      </c>
      <c r="D475" s="7">
        <v>45702</v>
      </c>
      <c r="E475">
        <f t="shared" si="78"/>
        <v>24</v>
      </c>
      <c r="F475" t="s">
        <v>646</v>
      </c>
      <c r="G475" t="s">
        <v>650</v>
      </c>
      <c r="H475" t="s">
        <v>664</v>
      </c>
      <c r="I475" t="s">
        <v>705</v>
      </c>
      <c r="J475" t="s">
        <v>707</v>
      </c>
      <c r="K475" t="s">
        <v>713</v>
      </c>
      <c r="L475" t="s">
        <v>733</v>
      </c>
      <c r="M475" t="s">
        <v>941</v>
      </c>
      <c r="N475" s="23">
        <v>1030.44</v>
      </c>
      <c r="O475" s="23">
        <v>2562.84</v>
      </c>
      <c r="P475" s="8">
        <v>0.14799999999999999</v>
      </c>
      <c r="Q475">
        <v>13</v>
      </c>
      <c r="R475" s="23">
        <f t="shared" si="79"/>
        <v>28386.015839999996</v>
      </c>
      <c r="S475" s="23">
        <f t="shared" si="80"/>
        <v>13395.720000000001</v>
      </c>
      <c r="T475" s="23">
        <f t="shared" si="81"/>
        <v>14990.295839999995</v>
      </c>
      <c r="U475" s="14">
        <f t="shared" si="82"/>
        <v>0.52808734852027039</v>
      </c>
      <c r="V475" s="7" t="str">
        <f t="shared" si="83"/>
        <v>Jan-2025</v>
      </c>
      <c r="W475" s="22">
        <f t="shared" si="84"/>
        <v>45658</v>
      </c>
      <c r="X475" s="7" t="str">
        <f t="shared" si="85"/>
        <v>Q1-2025</v>
      </c>
      <c r="Y475" t="str">
        <f t="shared" si="86"/>
        <v>Africa → Kenya → Nairobi</v>
      </c>
      <c r="Z475" t="str">
        <f t="shared" si="87"/>
        <v>Accessories</v>
      </c>
      <c r="AA475" t="str" cm="1">
        <f t="array" ref="AA475">_xlfn.IFS(O475&lt;=$AF$2,"Low",AND(O475&gt;$AF$2,O475&lt;$AF$3),"Medium",O475&gt;=$AF$3,"High")</f>
        <v>High</v>
      </c>
      <c r="AB475" s="22">
        <f t="shared" si="88"/>
        <v>44927</v>
      </c>
      <c r="AC475">
        <v>24</v>
      </c>
    </row>
    <row r="476" spans="1:29" x14ac:dyDescent="0.35">
      <c r="A476" s="4" t="s">
        <v>313</v>
      </c>
      <c r="B476" s="5" t="str">
        <f>IF(COUNTIF($A$2:A476,A476)=1,"Original","Duplicate")</f>
        <v>Original</v>
      </c>
      <c r="C476" s="7">
        <v>45679</v>
      </c>
      <c r="D476" s="7">
        <v>45686</v>
      </c>
      <c r="E476">
        <f t="shared" si="78"/>
        <v>7</v>
      </c>
      <c r="F476" t="s">
        <v>649</v>
      </c>
      <c r="G476" t="s">
        <v>657</v>
      </c>
      <c r="H476" t="s">
        <v>679</v>
      </c>
      <c r="I476" t="s">
        <v>705</v>
      </c>
      <c r="J476" t="s">
        <v>708</v>
      </c>
      <c r="K476" t="s">
        <v>717</v>
      </c>
      <c r="L476" t="s">
        <v>733</v>
      </c>
      <c r="M476" t="s">
        <v>1033</v>
      </c>
      <c r="N476" s="23">
        <v>591.72</v>
      </c>
      <c r="O476" s="23">
        <v>577.24</v>
      </c>
      <c r="P476" s="8">
        <v>0</v>
      </c>
      <c r="Q476">
        <v>22</v>
      </c>
      <c r="R476" s="23">
        <f t="shared" si="79"/>
        <v>12699.28</v>
      </c>
      <c r="S476" s="23">
        <f t="shared" si="80"/>
        <v>13017.84</v>
      </c>
      <c r="T476" s="23">
        <f t="shared" si="81"/>
        <v>-318.55999999999949</v>
      </c>
      <c r="U476" s="14">
        <f t="shared" si="82"/>
        <v>-2.5084886702238195E-2</v>
      </c>
      <c r="V476" s="7" t="str">
        <f t="shared" si="83"/>
        <v>Jan-2025</v>
      </c>
      <c r="W476" s="22">
        <f t="shared" si="84"/>
        <v>45658</v>
      </c>
      <c r="X476" s="7" t="str">
        <f t="shared" si="85"/>
        <v>Q1-2025</v>
      </c>
      <c r="Y476" t="str">
        <f t="shared" si="86"/>
        <v>Europe → France → Lyon</v>
      </c>
      <c r="Z476" t="str">
        <f t="shared" si="87"/>
        <v>Accessories</v>
      </c>
      <c r="AA476" t="str" cm="1">
        <f t="array" ref="AA476">_xlfn.IFS(O476&lt;=$AF$2,"Low",AND(O476&gt;$AF$2,O476&lt;$AF$3),"Medium",O476&gt;=$AF$3,"High")</f>
        <v>Low</v>
      </c>
      <c r="AB476" s="22">
        <f t="shared" si="88"/>
        <v>44927</v>
      </c>
      <c r="AC476">
        <v>24</v>
      </c>
    </row>
    <row r="477" spans="1:29" x14ac:dyDescent="0.35">
      <c r="A477" s="4" t="s">
        <v>322</v>
      </c>
      <c r="B477" s="5" t="str">
        <f>IF(COUNTIF($A$2:A477,A477)=1,"Original","Duplicate")</f>
        <v>Original</v>
      </c>
      <c r="C477" s="7">
        <v>45679</v>
      </c>
      <c r="D477" s="7">
        <v>45692</v>
      </c>
      <c r="E477">
        <f t="shared" si="78"/>
        <v>13</v>
      </c>
      <c r="F477" t="s">
        <v>647</v>
      </c>
      <c r="G477" t="s">
        <v>652</v>
      </c>
      <c r="H477" t="s">
        <v>689</v>
      </c>
      <c r="I477" t="s">
        <v>705</v>
      </c>
      <c r="J477" t="s">
        <v>710</v>
      </c>
      <c r="K477" t="s">
        <v>716</v>
      </c>
      <c r="L477" t="s">
        <v>728</v>
      </c>
      <c r="M477" t="s">
        <v>1042</v>
      </c>
      <c r="N477" s="23">
        <v>122.29</v>
      </c>
      <c r="O477" s="23">
        <v>224.95</v>
      </c>
      <c r="P477" s="8">
        <v>0.153</v>
      </c>
      <c r="Q477">
        <v>28</v>
      </c>
      <c r="R477" s="23">
        <f t="shared" si="79"/>
        <v>5334.9141999999993</v>
      </c>
      <c r="S477" s="23">
        <f t="shared" si="80"/>
        <v>3424.1200000000003</v>
      </c>
      <c r="T477" s="23">
        <f t="shared" si="81"/>
        <v>1910.7941999999989</v>
      </c>
      <c r="U477" s="14">
        <f t="shared" si="82"/>
        <v>0.3581677471026618</v>
      </c>
      <c r="V477" s="7" t="str">
        <f t="shared" si="83"/>
        <v>Jan-2025</v>
      </c>
      <c r="W477" s="22">
        <f t="shared" si="84"/>
        <v>45658</v>
      </c>
      <c r="X477" s="7" t="str">
        <f t="shared" si="85"/>
        <v>Q1-2025</v>
      </c>
      <c r="Y477" t="str">
        <f t="shared" si="86"/>
        <v>Asia → Japan → Tokyo</v>
      </c>
      <c r="Z477" t="str">
        <f t="shared" si="87"/>
        <v>Printers</v>
      </c>
      <c r="AA477" t="str" cm="1">
        <f t="array" ref="AA477">_xlfn.IFS(O477&lt;=$AF$2,"Low",AND(O477&gt;$AF$2,O477&lt;$AF$3),"Medium",O477&gt;=$AF$3,"High")</f>
        <v>Low</v>
      </c>
      <c r="AB477" s="22">
        <f t="shared" si="88"/>
        <v>44986</v>
      </c>
      <c r="AC477">
        <v>22</v>
      </c>
    </row>
    <row r="478" spans="1:29" x14ac:dyDescent="0.35">
      <c r="A478" s="4" t="s">
        <v>115</v>
      </c>
      <c r="B478" s="5" t="str">
        <f>IF(COUNTIF($A$2:A478,A478)=1,"Original","Duplicate")</f>
        <v>Original</v>
      </c>
      <c r="C478" s="7">
        <v>45684</v>
      </c>
      <c r="D478" s="7">
        <v>45703</v>
      </c>
      <c r="E478">
        <f t="shared" si="78"/>
        <v>19</v>
      </c>
      <c r="F478" t="s">
        <v>647</v>
      </c>
      <c r="G478" t="s">
        <v>659</v>
      </c>
      <c r="H478" t="s">
        <v>676</v>
      </c>
      <c r="I478" t="s">
        <v>703</v>
      </c>
      <c r="J478" t="s">
        <v>711</v>
      </c>
      <c r="K478" t="s">
        <v>716</v>
      </c>
      <c r="L478" t="s">
        <v>730</v>
      </c>
      <c r="M478" t="s">
        <v>834</v>
      </c>
      <c r="N478" s="23">
        <v>1253.22</v>
      </c>
      <c r="O478" s="23">
        <v>3104.71</v>
      </c>
      <c r="P478" s="8">
        <v>0</v>
      </c>
      <c r="Q478">
        <v>17</v>
      </c>
      <c r="R478" s="23">
        <f t="shared" si="79"/>
        <v>52780.07</v>
      </c>
      <c r="S478" s="23">
        <f t="shared" si="80"/>
        <v>21304.74</v>
      </c>
      <c r="T478" s="23">
        <f t="shared" si="81"/>
        <v>31475.329999999998</v>
      </c>
      <c r="U478" s="14">
        <f t="shared" si="82"/>
        <v>0.59634877331538205</v>
      </c>
      <c r="V478" s="7" t="str">
        <f t="shared" si="83"/>
        <v>Jan-2025</v>
      </c>
      <c r="W478" s="22">
        <f t="shared" si="84"/>
        <v>45658</v>
      </c>
      <c r="X478" s="7" t="str">
        <f t="shared" si="85"/>
        <v>Q1-2025</v>
      </c>
      <c r="Y478" t="str">
        <f t="shared" si="86"/>
        <v>Asia → China → Shenzhen</v>
      </c>
      <c r="Z478" t="str">
        <f t="shared" si="87"/>
        <v>Phones</v>
      </c>
      <c r="AA478" t="str" cm="1">
        <f t="array" ref="AA478">_xlfn.IFS(O478&lt;=$AF$2,"Low",AND(O478&gt;$AF$2,O478&lt;$AF$3),"Medium",O478&gt;=$AF$3,"High")</f>
        <v>High</v>
      </c>
      <c r="AB478" s="22">
        <f t="shared" si="88"/>
        <v>44927</v>
      </c>
      <c r="AC478">
        <v>24</v>
      </c>
    </row>
    <row r="479" spans="1:29" x14ac:dyDescent="0.35">
      <c r="A479" s="4" t="s">
        <v>227</v>
      </c>
      <c r="B479" s="5" t="str">
        <f>IF(COUNTIF($A$2:A479,A479)=1,"Original","Duplicate")</f>
        <v>Original</v>
      </c>
      <c r="C479" s="7">
        <v>45686</v>
      </c>
      <c r="D479" s="7">
        <v>45694</v>
      </c>
      <c r="E479">
        <f t="shared" si="78"/>
        <v>8</v>
      </c>
      <c r="F479" t="s">
        <v>646</v>
      </c>
      <c r="G479" t="s">
        <v>650</v>
      </c>
      <c r="H479" t="s">
        <v>662</v>
      </c>
      <c r="I479" t="s">
        <v>702</v>
      </c>
      <c r="J479" t="s">
        <v>707</v>
      </c>
      <c r="K479" t="s">
        <v>717</v>
      </c>
      <c r="L479" t="s">
        <v>730</v>
      </c>
      <c r="M479" t="s">
        <v>947</v>
      </c>
      <c r="N479" s="23">
        <v>1445.27</v>
      </c>
      <c r="O479" s="23">
        <v>2691.45</v>
      </c>
      <c r="P479" s="8">
        <v>0</v>
      </c>
      <c r="Q479">
        <v>9</v>
      </c>
      <c r="R479" s="23">
        <f t="shared" si="79"/>
        <v>24223.05</v>
      </c>
      <c r="S479" s="23">
        <f t="shared" si="80"/>
        <v>13007.43</v>
      </c>
      <c r="T479" s="23">
        <f t="shared" si="81"/>
        <v>11215.619999999999</v>
      </c>
      <c r="U479" s="14">
        <f t="shared" si="82"/>
        <v>0.46301436028906351</v>
      </c>
      <c r="V479" s="7" t="str">
        <f t="shared" si="83"/>
        <v>Jan-2025</v>
      </c>
      <c r="W479" s="22">
        <f t="shared" si="84"/>
        <v>45658</v>
      </c>
      <c r="X479" s="7" t="str">
        <f t="shared" si="85"/>
        <v>Q1-2025</v>
      </c>
      <c r="Y479" t="str">
        <f t="shared" si="86"/>
        <v>Africa → Kenya → Kisumu</v>
      </c>
      <c r="Z479" t="str">
        <f t="shared" si="87"/>
        <v>Phones</v>
      </c>
      <c r="AA479" t="str" cm="1">
        <f t="array" ref="AA479">_xlfn.IFS(O479&lt;=$AF$2,"Low",AND(O479&gt;$AF$2,O479&lt;$AF$3),"Medium",O479&gt;=$AF$3,"High")</f>
        <v>High</v>
      </c>
      <c r="AB479" s="22">
        <f t="shared" si="88"/>
        <v>44927</v>
      </c>
      <c r="AC479">
        <v>24</v>
      </c>
    </row>
    <row r="480" spans="1:29" x14ac:dyDescent="0.35">
      <c r="A480" s="4" t="s">
        <v>394</v>
      </c>
      <c r="B480" s="5" t="str">
        <f>IF(COUNTIF($A$2:A480,A480)=1,"Original","Duplicate")</f>
        <v>Original</v>
      </c>
      <c r="C480" s="7">
        <v>45688</v>
      </c>
      <c r="D480" s="7">
        <v>45705</v>
      </c>
      <c r="E480">
        <f t="shared" si="78"/>
        <v>17</v>
      </c>
      <c r="F480" t="s">
        <v>649</v>
      </c>
      <c r="G480" t="s">
        <v>658</v>
      </c>
      <c r="H480" t="s">
        <v>683</v>
      </c>
      <c r="I480" t="s">
        <v>706</v>
      </c>
      <c r="J480" t="s">
        <v>707</v>
      </c>
      <c r="K480" t="s">
        <v>722</v>
      </c>
      <c r="L480" t="s">
        <v>727</v>
      </c>
      <c r="M480" t="s">
        <v>812</v>
      </c>
      <c r="N480" s="23">
        <v>378.26</v>
      </c>
      <c r="O480" s="23">
        <v>541.55999999999995</v>
      </c>
      <c r="P480" s="8">
        <v>0.16300000000000001</v>
      </c>
      <c r="Q480">
        <v>25</v>
      </c>
      <c r="R480" s="23">
        <f t="shared" si="79"/>
        <v>11332.142999999998</v>
      </c>
      <c r="S480" s="23">
        <f t="shared" si="80"/>
        <v>9456.5</v>
      </c>
      <c r="T480" s="23">
        <f t="shared" si="81"/>
        <v>1875.6429999999982</v>
      </c>
      <c r="U480" s="14">
        <f t="shared" si="82"/>
        <v>0.16551529573885526</v>
      </c>
      <c r="V480" s="7" t="str">
        <f t="shared" si="83"/>
        <v>Jan-2025</v>
      </c>
      <c r="W480" s="22">
        <f t="shared" si="84"/>
        <v>45658</v>
      </c>
      <c r="X480" s="7" t="str">
        <f t="shared" si="85"/>
        <v>Q1-2025</v>
      </c>
      <c r="Y480" t="str">
        <f t="shared" si="86"/>
        <v>Europe → United Kingdom → London</v>
      </c>
      <c r="Z480" t="str">
        <f t="shared" si="87"/>
        <v>Components</v>
      </c>
      <c r="AA480" t="str" cm="1">
        <f t="array" ref="AA480">_xlfn.IFS(O480&lt;=$AF$2,"Low",AND(O480&gt;$AF$2,O480&lt;$AF$3),"Medium",O480&gt;=$AF$3,"High")</f>
        <v>Low</v>
      </c>
      <c r="AB480" s="22">
        <f t="shared" si="88"/>
        <v>44927</v>
      </c>
      <c r="AC480">
        <v>24</v>
      </c>
    </row>
    <row r="481" spans="1:29" x14ac:dyDescent="0.35">
      <c r="A481" s="4" t="s">
        <v>197</v>
      </c>
      <c r="B481" s="5" t="str">
        <f>IF(COUNTIF($A$2:A481,A481)=1,"Original","Duplicate")</f>
        <v>Original</v>
      </c>
      <c r="C481" s="7">
        <v>45690</v>
      </c>
      <c r="D481" s="7">
        <v>45720</v>
      </c>
      <c r="E481">
        <f t="shared" si="78"/>
        <v>30</v>
      </c>
      <c r="F481" t="s">
        <v>647</v>
      </c>
      <c r="G481" t="s">
        <v>652</v>
      </c>
      <c r="H481" t="s">
        <v>666</v>
      </c>
      <c r="I481" t="s">
        <v>702</v>
      </c>
      <c r="J481" t="s">
        <v>710</v>
      </c>
      <c r="K481" t="s">
        <v>716</v>
      </c>
      <c r="L481" t="s">
        <v>733</v>
      </c>
      <c r="M481" t="s">
        <v>916</v>
      </c>
      <c r="N481" s="23">
        <v>766.59</v>
      </c>
      <c r="O481" s="23">
        <v>1912.8</v>
      </c>
      <c r="P481" s="8">
        <v>0.19600000000000001</v>
      </c>
      <c r="Q481">
        <v>5</v>
      </c>
      <c r="R481" s="23">
        <f t="shared" si="79"/>
        <v>7689.4560000000001</v>
      </c>
      <c r="S481" s="23">
        <f t="shared" si="80"/>
        <v>3832.9500000000003</v>
      </c>
      <c r="T481" s="23">
        <f t="shared" si="81"/>
        <v>3856.5059999999999</v>
      </c>
      <c r="U481" s="14">
        <f t="shared" si="82"/>
        <v>0.50153170783472845</v>
      </c>
      <c r="V481" s="7" t="str">
        <f t="shared" si="83"/>
        <v>Feb-2025</v>
      </c>
      <c r="W481" s="22">
        <f t="shared" si="84"/>
        <v>45689</v>
      </c>
      <c r="X481" s="7" t="str">
        <f t="shared" si="85"/>
        <v>Q1-2025</v>
      </c>
      <c r="Y481" t="str">
        <f t="shared" si="86"/>
        <v>Asia → Japan → Osaka</v>
      </c>
      <c r="Z481" t="str">
        <f t="shared" si="87"/>
        <v>Accessories</v>
      </c>
      <c r="AA481" t="str" cm="1">
        <f t="array" ref="AA481">_xlfn.IFS(O481&lt;=$AF$2,"Low",AND(O481&gt;$AF$2,O481&lt;$AF$3),"Medium",O481&gt;=$AF$3,"High")</f>
        <v>High</v>
      </c>
      <c r="AB481" s="22">
        <f t="shared" si="88"/>
        <v>44986</v>
      </c>
      <c r="AC481">
        <v>23</v>
      </c>
    </row>
    <row r="482" spans="1:29" x14ac:dyDescent="0.35">
      <c r="A482" s="4" t="s">
        <v>218</v>
      </c>
      <c r="B482" s="5" t="str">
        <f>IF(COUNTIF($A$2:A482,A482)=1,"Original","Duplicate")</f>
        <v>Original</v>
      </c>
      <c r="C482" s="7">
        <v>45692</v>
      </c>
      <c r="D482" s="7">
        <v>45713</v>
      </c>
      <c r="E482">
        <f t="shared" si="78"/>
        <v>21</v>
      </c>
      <c r="F482" t="s">
        <v>649</v>
      </c>
      <c r="G482" t="s">
        <v>658</v>
      </c>
      <c r="H482" t="s">
        <v>674</v>
      </c>
      <c r="I482" t="s">
        <v>701</v>
      </c>
      <c r="J482" t="s">
        <v>709</v>
      </c>
      <c r="K482" t="s">
        <v>726</v>
      </c>
      <c r="L482" t="s">
        <v>732</v>
      </c>
      <c r="M482" t="s">
        <v>938</v>
      </c>
      <c r="N482" s="23">
        <v>1016.32</v>
      </c>
      <c r="O482" s="23">
        <v>2253.42</v>
      </c>
      <c r="P482" s="8">
        <v>5.5E-2</v>
      </c>
      <c r="Q482">
        <v>12</v>
      </c>
      <c r="R482" s="23">
        <f t="shared" si="79"/>
        <v>25553.782800000001</v>
      </c>
      <c r="S482" s="23">
        <f t="shared" si="80"/>
        <v>12195.84</v>
      </c>
      <c r="T482" s="23">
        <f t="shared" si="81"/>
        <v>13357.942800000001</v>
      </c>
      <c r="U482" s="14">
        <f t="shared" si="82"/>
        <v>0.52273837124419797</v>
      </c>
      <c r="V482" s="7" t="str">
        <f t="shared" si="83"/>
        <v>Feb-2025</v>
      </c>
      <c r="W482" s="22">
        <f t="shared" si="84"/>
        <v>45689</v>
      </c>
      <c r="X482" s="7" t="str">
        <f t="shared" si="85"/>
        <v>Q1-2025</v>
      </c>
      <c r="Y482" t="str">
        <f t="shared" si="86"/>
        <v>Europe → United Kingdom → Birmingham</v>
      </c>
      <c r="Z482" t="str">
        <f t="shared" si="87"/>
        <v>Monitors</v>
      </c>
      <c r="AA482" t="str" cm="1">
        <f t="array" ref="AA482">_xlfn.IFS(O482&lt;=$AF$2,"Low",AND(O482&gt;$AF$2,O482&lt;$AF$3),"Medium",O482&gt;=$AF$3,"High")</f>
        <v>High</v>
      </c>
      <c r="AB482" s="22">
        <f t="shared" si="88"/>
        <v>44927</v>
      </c>
      <c r="AC482">
        <v>25</v>
      </c>
    </row>
    <row r="483" spans="1:29" x14ac:dyDescent="0.35">
      <c r="A483" s="4" t="s">
        <v>578</v>
      </c>
      <c r="B483" s="5" t="str">
        <f>IF(COUNTIF($A$2:A483,A483)=1,"Original","Duplicate")</f>
        <v>Original</v>
      </c>
      <c r="C483" s="7">
        <v>45692</v>
      </c>
      <c r="D483" s="7">
        <v>45696</v>
      </c>
      <c r="E483">
        <f t="shared" si="78"/>
        <v>4</v>
      </c>
      <c r="F483" t="s">
        <v>649</v>
      </c>
      <c r="G483" t="s">
        <v>658</v>
      </c>
      <c r="H483" t="s">
        <v>693</v>
      </c>
      <c r="I483" t="s">
        <v>706</v>
      </c>
      <c r="J483" t="s">
        <v>709</v>
      </c>
      <c r="K483" t="s">
        <v>716</v>
      </c>
      <c r="L483" t="s">
        <v>729</v>
      </c>
      <c r="M483" t="s">
        <v>1296</v>
      </c>
      <c r="N483" s="23">
        <v>586.21</v>
      </c>
      <c r="O483" s="23">
        <v>727.22</v>
      </c>
      <c r="P483" s="8">
        <v>6.8000000000000005E-2</v>
      </c>
      <c r="Q483">
        <v>15</v>
      </c>
      <c r="R483" s="23">
        <f t="shared" si="79"/>
        <v>10166.535600000001</v>
      </c>
      <c r="S483" s="23">
        <f t="shared" si="80"/>
        <v>8793.1500000000015</v>
      </c>
      <c r="T483" s="23">
        <f t="shared" si="81"/>
        <v>1373.3855999999996</v>
      </c>
      <c r="U483" s="14">
        <f t="shared" si="82"/>
        <v>0.13508884973559721</v>
      </c>
      <c r="V483" s="7" t="str">
        <f t="shared" si="83"/>
        <v>Feb-2025</v>
      </c>
      <c r="W483" s="22">
        <f t="shared" si="84"/>
        <v>45689</v>
      </c>
      <c r="X483" s="7" t="str">
        <f t="shared" si="85"/>
        <v>Q1-2025</v>
      </c>
      <c r="Y483" t="str">
        <f t="shared" si="86"/>
        <v>Europe → United Kingdom → Manchester</v>
      </c>
      <c r="Z483" t="str">
        <f t="shared" si="87"/>
        <v>Networking</v>
      </c>
      <c r="AA483" t="str" cm="1">
        <f t="array" ref="AA483">_xlfn.IFS(O483&lt;=$AF$2,"Low",AND(O483&gt;$AF$2,O483&lt;$AF$3),"Medium",O483&gt;=$AF$3,"High")</f>
        <v>Low</v>
      </c>
      <c r="AB483" s="22">
        <f t="shared" si="88"/>
        <v>44927</v>
      </c>
      <c r="AC483">
        <v>25</v>
      </c>
    </row>
    <row r="484" spans="1:29" x14ac:dyDescent="0.35">
      <c r="A484" s="4" t="s">
        <v>393</v>
      </c>
      <c r="B484" s="5" t="str">
        <f>IF(COUNTIF($A$2:A484,A484)=1,"Original","Duplicate")</f>
        <v>Original</v>
      </c>
      <c r="C484" s="7">
        <v>45694</v>
      </c>
      <c r="D484" s="7">
        <v>45703</v>
      </c>
      <c r="E484">
        <f t="shared" si="78"/>
        <v>9</v>
      </c>
      <c r="F484" t="s">
        <v>648</v>
      </c>
      <c r="G484" t="s">
        <v>655</v>
      </c>
      <c r="H484" t="s">
        <v>670</v>
      </c>
      <c r="I484" t="s">
        <v>703</v>
      </c>
      <c r="J484" t="s">
        <v>710</v>
      </c>
      <c r="K484" t="s">
        <v>721</v>
      </c>
      <c r="L484" t="s">
        <v>729</v>
      </c>
      <c r="M484" t="s">
        <v>1113</v>
      </c>
      <c r="N484" s="23">
        <v>837.39</v>
      </c>
      <c r="O484" s="23">
        <v>1905.42</v>
      </c>
      <c r="P484" s="8">
        <v>3.2000000000000001E-2</v>
      </c>
      <c r="Q484">
        <v>18</v>
      </c>
      <c r="R484" s="23">
        <f t="shared" si="79"/>
        <v>33200.038079999998</v>
      </c>
      <c r="S484" s="23">
        <f t="shared" si="80"/>
        <v>15073.02</v>
      </c>
      <c r="T484" s="23">
        <f t="shared" si="81"/>
        <v>18127.018079999998</v>
      </c>
      <c r="U484" s="14">
        <f t="shared" si="82"/>
        <v>0.54599389423350919</v>
      </c>
      <c r="V484" s="7" t="str">
        <f t="shared" si="83"/>
        <v>Feb-2025</v>
      </c>
      <c r="W484" s="22">
        <f t="shared" si="84"/>
        <v>45689</v>
      </c>
      <c r="X484" s="7" t="str">
        <f t="shared" si="85"/>
        <v>Q1-2025</v>
      </c>
      <c r="Y484" t="str">
        <f t="shared" si="86"/>
        <v>Americas → Brazil → São Paulo</v>
      </c>
      <c r="Z484" t="str">
        <f t="shared" si="87"/>
        <v>Networking</v>
      </c>
      <c r="AA484" t="str" cm="1">
        <f t="array" ref="AA484">_xlfn.IFS(O484&lt;=$AF$2,"Low",AND(O484&gt;$AF$2,O484&lt;$AF$3),"Medium",O484&gt;=$AF$3,"High")</f>
        <v>High</v>
      </c>
      <c r="AB484" s="22">
        <f t="shared" si="88"/>
        <v>44927</v>
      </c>
      <c r="AC484">
        <v>25</v>
      </c>
    </row>
    <row r="485" spans="1:29" x14ac:dyDescent="0.35">
      <c r="A485" s="4" t="s">
        <v>540</v>
      </c>
      <c r="B485" s="5" t="str">
        <f>IF(COUNTIF($A$2:A485,A485)=1,"Original","Duplicate")</f>
        <v>Original</v>
      </c>
      <c r="C485" s="7">
        <v>45695</v>
      </c>
      <c r="D485" s="7">
        <v>45704</v>
      </c>
      <c r="E485">
        <f t="shared" si="78"/>
        <v>9</v>
      </c>
      <c r="F485" t="s">
        <v>646</v>
      </c>
      <c r="G485" t="s">
        <v>651</v>
      </c>
      <c r="H485" t="s">
        <v>665</v>
      </c>
      <c r="I485" t="s">
        <v>705</v>
      </c>
      <c r="J485" t="s">
        <v>710</v>
      </c>
      <c r="K485" t="s">
        <v>712</v>
      </c>
      <c r="L485" t="s">
        <v>728</v>
      </c>
      <c r="M485" t="s">
        <v>1259</v>
      </c>
      <c r="N485" s="23">
        <v>90.68</v>
      </c>
      <c r="O485" s="23">
        <v>118.17</v>
      </c>
      <c r="P485" s="8">
        <v>0.13500000000000001</v>
      </c>
      <c r="Q485">
        <v>21</v>
      </c>
      <c r="R485" s="23">
        <f t="shared" si="79"/>
        <v>2146.5580500000001</v>
      </c>
      <c r="S485" s="23">
        <f t="shared" si="80"/>
        <v>1904.2800000000002</v>
      </c>
      <c r="T485" s="23">
        <f t="shared" si="81"/>
        <v>242.27804999999989</v>
      </c>
      <c r="U485" s="14">
        <f t="shared" si="82"/>
        <v>0.11286815653552899</v>
      </c>
      <c r="V485" s="7" t="str">
        <f t="shared" si="83"/>
        <v>Feb-2025</v>
      </c>
      <c r="W485" s="22">
        <f t="shared" si="84"/>
        <v>45689</v>
      </c>
      <c r="X485" s="7" t="str">
        <f t="shared" si="85"/>
        <v>Q1-2025</v>
      </c>
      <c r="Y485" t="str">
        <f t="shared" si="86"/>
        <v>Africa → Nigeria → Lagos</v>
      </c>
      <c r="Z485" t="str">
        <f t="shared" si="87"/>
        <v>Printers</v>
      </c>
      <c r="AA485" t="str" cm="1">
        <f t="array" ref="AA485">_xlfn.IFS(O485&lt;=$AF$2,"Low",AND(O485&gt;$AF$2,O485&lt;$AF$3),"Medium",O485&gt;=$AF$3,"High")</f>
        <v>Low</v>
      </c>
      <c r="AB485" s="22">
        <f t="shared" si="88"/>
        <v>44927</v>
      </c>
      <c r="AC485">
        <v>25</v>
      </c>
    </row>
    <row r="486" spans="1:29" x14ac:dyDescent="0.35">
      <c r="A486" s="4" t="s">
        <v>71</v>
      </c>
      <c r="B486" s="5" t="str">
        <f>IF(COUNTIF($A$2:A486,A486)=1,"Original","Duplicate")</f>
        <v>Original</v>
      </c>
      <c r="C486" s="7">
        <v>45697</v>
      </c>
      <c r="D486" s="7">
        <v>45717</v>
      </c>
      <c r="E486">
        <f t="shared" si="78"/>
        <v>20</v>
      </c>
      <c r="F486" t="s">
        <v>648</v>
      </c>
      <c r="G486" t="s">
        <v>655</v>
      </c>
      <c r="H486" t="s">
        <v>670</v>
      </c>
      <c r="I486" t="s">
        <v>701</v>
      </c>
      <c r="J486" t="s">
        <v>710</v>
      </c>
      <c r="K486" t="s">
        <v>717</v>
      </c>
      <c r="L486" t="s">
        <v>731</v>
      </c>
      <c r="M486" t="s">
        <v>790</v>
      </c>
      <c r="N486" s="23">
        <v>1154.6400000000001</v>
      </c>
      <c r="O486" s="23">
        <v>2794.13</v>
      </c>
      <c r="P486" s="8">
        <v>3.5000000000000003E-2</v>
      </c>
      <c r="Q486">
        <v>11</v>
      </c>
      <c r="R486" s="23">
        <f t="shared" si="79"/>
        <v>29659.68995</v>
      </c>
      <c r="S486" s="23">
        <f t="shared" si="80"/>
        <v>12701.04</v>
      </c>
      <c r="T486" s="23">
        <f t="shared" si="81"/>
        <v>16958.649949999999</v>
      </c>
      <c r="U486" s="14">
        <f t="shared" si="82"/>
        <v>0.57177435025749479</v>
      </c>
      <c r="V486" s="7" t="str">
        <f t="shared" si="83"/>
        <v>Feb-2025</v>
      </c>
      <c r="W486" s="22">
        <f t="shared" si="84"/>
        <v>45689</v>
      </c>
      <c r="X486" s="7" t="str">
        <f t="shared" si="85"/>
        <v>Q1-2025</v>
      </c>
      <c r="Y486" t="str">
        <f t="shared" si="86"/>
        <v>Americas → Brazil → São Paulo</v>
      </c>
      <c r="Z486" t="str">
        <f t="shared" si="87"/>
        <v>Laptops</v>
      </c>
      <c r="AA486" t="str" cm="1">
        <f t="array" ref="AA486">_xlfn.IFS(O486&lt;=$AF$2,"Low",AND(O486&gt;$AF$2,O486&lt;$AF$3),"Medium",O486&gt;=$AF$3,"High")</f>
        <v>High</v>
      </c>
      <c r="AB486" s="22">
        <f t="shared" si="88"/>
        <v>44927</v>
      </c>
      <c r="AC486">
        <v>25</v>
      </c>
    </row>
    <row r="487" spans="1:29" x14ac:dyDescent="0.35">
      <c r="A487" s="4" t="s">
        <v>145</v>
      </c>
      <c r="B487" s="5" t="str">
        <f>IF(COUNTIF($A$2:A487,A487)=1,"Original","Duplicate")</f>
        <v>Original</v>
      </c>
      <c r="C487" s="7">
        <v>45700</v>
      </c>
      <c r="D487" s="7">
        <v>45716</v>
      </c>
      <c r="E487">
        <f t="shared" si="78"/>
        <v>16</v>
      </c>
      <c r="F487" t="s">
        <v>648</v>
      </c>
      <c r="G487" t="s">
        <v>655</v>
      </c>
      <c r="H487" t="s">
        <v>670</v>
      </c>
      <c r="I487" t="s">
        <v>703</v>
      </c>
      <c r="J487" t="s">
        <v>711</v>
      </c>
      <c r="K487" t="s">
        <v>717</v>
      </c>
      <c r="L487" t="s">
        <v>732</v>
      </c>
      <c r="M487" t="s">
        <v>864</v>
      </c>
      <c r="N487" s="23">
        <v>414.95</v>
      </c>
      <c r="O487" s="23">
        <v>1027.73</v>
      </c>
      <c r="P487" s="8">
        <v>6.3E-2</v>
      </c>
      <c r="Q487">
        <v>8</v>
      </c>
      <c r="R487" s="23">
        <f t="shared" si="79"/>
        <v>7703.8640800000003</v>
      </c>
      <c r="S487" s="23">
        <f t="shared" si="80"/>
        <v>3319.6</v>
      </c>
      <c r="T487" s="23">
        <f t="shared" si="81"/>
        <v>4384.2640800000008</v>
      </c>
      <c r="U487" s="14">
        <f t="shared" si="82"/>
        <v>0.56909935513815568</v>
      </c>
      <c r="V487" s="7" t="str">
        <f t="shared" si="83"/>
        <v>Feb-2025</v>
      </c>
      <c r="W487" s="22">
        <f t="shared" si="84"/>
        <v>45689</v>
      </c>
      <c r="X487" s="7" t="str">
        <f t="shared" si="85"/>
        <v>Q1-2025</v>
      </c>
      <c r="Y487" t="str">
        <f t="shared" si="86"/>
        <v>Americas → Brazil → São Paulo</v>
      </c>
      <c r="Z487" t="str">
        <f t="shared" si="87"/>
        <v>Monitors</v>
      </c>
      <c r="AA487" t="str" cm="1">
        <f t="array" ref="AA487">_xlfn.IFS(O487&lt;=$AF$2,"Low",AND(O487&gt;$AF$2,O487&lt;$AF$3),"Medium",O487&gt;=$AF$3,"High")</f>
        <v>Medium</v>
      </c>
      <c r="AB487" s="22">
        <f t="shared" si="88"/>
        <v>44927</v>
      </c>
      <c r="AC487">
        <v>25</v>
      </c>
    </row>
    <row r="488" spans="1:29" x14ac:dyDescent="0.35">
      <c r="A488" s="4" t="s">
        <v>173</v>
      </c>
      <c r="B488" s="5" t="str">
        <f>IF(COUNTIF($A$2:A488,A488)=1,"Original","Duplicate")</f>
        <v>Original</v>
      </c>
      <c r="C488" s="7">
        <v>45703</v>
      </c>
      <c r="D488" s="7">
        <v>45709</v>
      </c>
      <c r="E488">
        <f t="shared" si="78"/>
        <v>6</v>
      </c>
      <c r="F488" t="s">
        <v>649</v>
      </c>
      <c r="G488" t="s">
        <v>656</v>
      </c>
      <c r="H488" t="s">
        <v>698</v>
      </c>
      <c r="I488" t="s">
        <v>705</v>
      </c>
      <c r="J488" t="s">
        <v>709</v>
      </c>
      <c r="K488" t="s">
        <v>716</v>
      </c>
      <c r="L488" t="s">
        <v>733</v>
      </c>
      <c r="M488" t="s">
        <v>892</v>
      </c>
      <c r="N488" s="23">
        <v>815.83</v>
      </c>
      <c r="O488" s="23">
        <v>1982.18</v>
      </c>
      <c r="P488" s="8">
        <v>0.127</v>
      </c>
      <c r="Q488">
        <v>6</v>
      </c>
      <c r="R488" s="23">
        <f t="shared" si="79"/>
        <v>10382.65884</v>
      </c>
      <c r="S488" s="23">
        <f t="shared" si="80"/>
        <v>4894.9800000000005</v>
      </c>
      <c r="T488" s="23">
        <f t="shared" si="81"/>
        <v>5487.6788399999996</v>
      </c>
      <c r="U488" s="14">
        <f t="shared" si="82"/>
        <v>0.52854272923408507</v>
      </c>
      <c r="V488" s="7" t="str">
        <f t="shared" si="83"/>
        <v>Feb-2025</v>
      </c>
      <c r="W488" s="22">
        <f t="shared" si="84"/>
        <v>45689</v>
      </c>
      <c r="X488" s="7" t="str">
        <f t="shared" si="85"/>
        <v>Q1-2025</v>
      </c>
      <c r="Y488" t="str">
        <f t="shared" si="86"/>
        <v>Europe → Germany → Frankfurt</v>
      </c>
      <c r="Z488" t="str">
        <f t="shared" si="87"/>
        <v>Accessories</v>
      </c>
      <c r="AA488" t="str" cm="1">
        <f t="array" ref="AA488">_xlfn.IFS(O488&lt;=$AF$2,"Low",AND(O488&gt;$AF$2,O488&lt;$AF$3),"Medium",O488&gt;=$AF$3,"High")</f>
        <v>High</v>
      </c>
      <c r="AB488" s="22">
        <f t="shared" si="88"/>
        <v>44927</v>
      </c>
      <c r="AC488">
        <v>25</v>
      </c>
    </row>
    <row r="489" spans="1:29" x14ac:dyDescent="0.35">
      <c r="A489" s="4" t="s">
        <v>568</v>
      </c>
      <c r="B489" s="5" t="str">
        <f>IF(COUNTIF($A$2:A489,A489)=1,"Original","Duplicate")</f>
        <v>Original</v>
      </c>
      <c r="C489" s="7">
        <v>45703</v>
      </c>
      <c r="D489" s="7">
        <v>45717</v>
      </c>
      <c r="E489">
        <f t="shared" si="78"/>
        <v>14</v>
      </c>
      <c r="F489" t="s">
        <v>646</v>
      </c>
      <c r="G489" t="s">
        <v>650</v>
      </c>
      <c r="H489" t="s">
        <v>675</v>
      </c>
      <c r="I489" t="s">
        <v>702</v>
      </c>
      <c r="J489" t="s">
        <v>711</v>
      </c>
      <c r="K489" t="s">
        <v>716</v>
      </c>
      <c r="L489" t="s">
        <v>733</v>
      </c>
      <c r="M489" t="s">
        <v>1286</v>
      </c>
      <c r="N489" s="23">
        <v>1162.8599999999999</v>
      </c>
      <c r="O489" s="23">
        <v>1447.68</v>
      </c>
      <c r="P489" s="8">
        <v>8.6999999999999994E-2</v>
      </c>
      <c r="Q489">
        <v>12</v>
      </c>
      <c r="R489" s="23">
        <f t="shared" si="79"/>
        <v>15860.782080000001</v>
      </c>
      <c r="S489" s="23">
        <f t="shared" si="80"/>
        <v>13954.32</v>
      </c>
      <c r="T489" s="23">
        <f t="shared" si="81"/>
        <v>1906.4620800000012</v>
      </c>
      <c r="U489" s="14">
        <f t="shared" si="82"/>
        <v>0.12019975247021369</v>
      </c>
      <c r="V489" s="7" t="str">
        <f t="shared" si="83"/>
        <v>Feb-2025</v>
      </c>
      <c r="W489" s="22">
        <f t="shared" si="84"/>
        <v>45689</v>
      </c>
      <c r="X489" s="7" t="str">
        <f t="shared" si="85"/>
        <v>Q1-2025</v>
      </c>
      <c r="Y489" t="str">
        <f t="shared" si="86"/>
        <v>Africa → Kenya → Mombasa</v>
      </c>
      <c r="Z489" t="str">
        <f t="shared" si="87"/>
        <v>Accessories</v>
      </c>
      <c r="AA489" t="str" cm="1">
        <f t="array" ref="AA489">_xlfn.IFS(O489&lt;=$AF$2,"Low",AND(O489&gt;$AF$2,O489&lt;$AF$3),"Medium",O489&gt;=$AF$3,"High")</f>
        <v>Medium</v>
      </c>
      <c r="AB489" s="22">
        <f t="shared" si="88"/>
        <v>44927</v>
      </c>
      <c r="AC489">
        <v>25</v>
      </c>
    </row>
    <row r="490" spans="1:29" x14ac:dyDescent="0.35">
      <c r="A490" s="4" t="s">
        <v>603</v>
      </c>
      <c r="B490" s="5" t="str">
        <f>IF(COUNTIF($A$2:A490,A490)=1,"Original","Duplicate")</f>
        <v>Original</v>
      </c>
      <c r="C490" s="7">
        <v>45703</v>
      </c>
      <c r="D490" s="7">
        <v>45715</v>
      </c>
      <c r="E490">
        <f t="shared" si="78"/>
        <v>12</v>
      </c>
      <c r="F490" t="s">
        <v>649</v>
      </c>
      <c r="G490" t="s">
        <v>657</v>
      </c>
      <c r="H490" t="s">
        <v>679</v>
      </c>
      <c r="I490" t="s">
        <v>703</v>
      </c>
      <c r="J490" t="s">
        <v>711</v>
      </c>
      <c r="K490" t="s">
        <v>723</v>
      </c>
      <c r="L490" t="s">
        <v>733</v>
      </c>
      <c r="M490" t="s">
        <v>1321</v>
      </c>
      <c r="N490" s="23">
        <v>1027.26</v>
      </c>
      <c r="O490" s="23">
        <v>2200.41</v>
      </c>
      <c r="P490" s="8">
        <v>8.7999999999999995E-2</v>
      </c>
      <c r="Q490">
        <v>6</v>
      </c>
      <c r="R490" s="23">
        <f t="shared" si="79"/>
        <v>12040.64352</v>
      </c>
      <c r="S490" s="23">
        <f t="shared" si="80"/>
        <v>6163.5599999999995</v>
      </c>
      <c r="T490" s="23">
        <f t="shared" si="81"/>
        <v>5877.0835200000001</v>
      </c>
      <c r="U490" s="14">
        <f t="shared" si="82"/>
        <v>0.48810377204822358</v>
      </c>
      <c r="V490" s="7" t="str">
        <f t="shared" si="83"/>
        <v>Feb-2025</v>
      </c>
      <c r="W490" s="22">
        <f t="shared" si="84"/>
        <v>45689</v>
      </c>
      <c r="X490" s="7" t="str">
        <f t="shared" si="85"/>
        <v>Q1-2025</v>
      </c>
      <c r="Y490" t="str">
        <f t="shared" si="86"/>
        <v>Europe → France → Lyon</v>
      </c>
      <c r="Z490" t="str">
        <f t="shared" si="87"/>
        <v>Accessories</v>
      </c>
      <c r="AA490" t="str" cm="1">
        <f t="array" ref="AA490">_xlfn.IFS(O490&lt;=$AF$2,"Low",AND(O490&gt;$AF$2,O490&lt;$AF$3),"Medium",O490&gt;=$AF$3,"High")</f>
        <v>High</v>
      </c>
      <c r="AB490" s="22">
        <f t="shared" si="88"/>
        <v>44927</v>
      </c>
      <c r="AC490">
        <v>25</v>
      </c>
    </row>
    <row r="491" spans="1:29" x14ac:dyDescent="0.35">
      <c r="A491" s="4" t="s">
        <v>567</v>
      </c>
      <c r="B491" s="5" t="str">
        <f>IF(COUNTIF($A$2:A491,A491)=1,"Original","Duplicate")</f>
        <v>Original</v>
      </c>
      <c r="C491" s="7">
        <v>45704</v>
      </c>
      <c r="D491" s="7">
        <v>45733</v>
      </c>
      <c r="E491">
        <f t="shared" si="78"/>
        <v>29</v>
      </c>
      <c r="F491" t="s">
        <v>649</v>
      </c>
      <c r="G491" t="s">
        <v>656</v>
      </c>
      <c r="H491" t="s">
        <v>684</v>
      </c>
      <c r="I491" t="s">
        <v>704</v>
      </c>
      <c r="J491" t="s">
        <v>707</v>
      </c>
      <c r="K491" t="s">
        <v>716</v>
      </c>
      <c r="L491" t="s">
        <v>733</v>
      </c>
      <c r="M491" t="s">
        <v>1285</v>
      </c>
      <c r="N491" s="23">
        <v>730.42</v>
      </c>
      <c r="O491" s="23">
        <v>956.7</v>
      </c>
      <c r="P491" s="8">
        <v>4.2000000000000003E-2</v>
      </c>
      <c r="Q491">
        <v>22</v>
      </c>
      <c r="R491" s="23">
        <f t="shared" si="79"/>
        <v>20163.409200000002</v>
      </c>
      <c r="S491" s="23">
        <f t="shared" si="80"/>
        <v>16069.24</v>
      </c>
      <c r="T491" s="23">
        <f t="shared" si="81"/>
        <v>4094.1692000000021</v>
      </c>
      <c r="U491" s="14">
        <f t="shared" si="82"/>
        <v>0.20304945256975698</v>
      </c>
      <c r="V491" s="7" t="str">
        <f t="shared" si="83"/>
        <v>Feb-2025</v>
      </c>
      <c r="W491" s="22">
        <f t="shared" si="84"/>
        <v>45689</v>
      </c>
      <c r="X491" s="7" t="str">
        <f t="shared" si="85"/>
        <v>Q1-2025</v>
      </c>
      <c r="Y491" t="str">
        <f t="shared" si="86"/>
        <v>Europe → Germany → Munich</v>
      </c>
      <c r="Z491" t="str">
        <f t="shared" si="87"/>
        <v>Accessories</v>
      </c>
      <c r="AA491" t="str" cm="1">
        <f t="array" ref="AA491">_xlfn.IFS(O491&lt;=$AF$2,"Low",AND(O491&gt;$AF$2,O491&lt;$AF$3),"Medium",O491&gt;=$AF$3,"High")</f>
        <v>Medium</v>
      </c>
      <c r="AB491" s="22">
        <f t="shared" si="88"/>
        <v>44927</v>
      </c>
      <c r="AC491">
        <v>25</v>
      </c>
    </row>
    <row r="492" spans="1:29" x14ac:dyDescent="0.35">
      <c r="A492" s="4" t="s">
        <v>610</v>
      </c>
      <c r="B492" s="5" t="str">
        <f>IF(COUNTIF($A$2:A492,A492)=1,"Original","Duplicate")</f>
        <v>Original</v>
      </c>
      <c r="C492" s="7">
        <v>45705</v>
      </c>
      <c r="D492" s="7">
        <v>45712</v>
      </c>
      <c r="E492">
        <f t="shared" si="78"/>
        <v>7</v>
      </c>
      <c r="F492" t="s">
        <v>648</v>
      </c>
      <c r="G492" t="s">
        <v>653</v>
      </c>
      <c r="H492" t="s">
        <v>667</v>
      </c>
      <c r="I492" t="s">
        <v>705</v>
      </c>
      <c r="J492" t="s">
        <v>707</v>
      </c>
      <c r="K492" t="s">
        <v>726</v>
      </c>
      <c r="L492" t="s">
        <v>727</v>
      </c>
      <c r="M492" t="s">
        <v>1328</v>
      </c>
      <c r="N492" s="23">
        <v>1133.47</v>
      </c>
      <c r="O492" s="23">
        <v>1698.75</v>
      </c>
      <c r="P492" s="8">
        <v>4.2999999999999997E-2</v>
      </c>
      <c r="Q492">
        <v>5</v>
      </c>
      <c r="R492" s="23">
        <f t="shared" si="79"/>
        <v>8128.5187499999993</v>
      </c>
      <c r="S492" s="23">
        <f t="shared" si="80"/>
        <v>5667.35</v>
      </c>
      <c r="T492" s="23">
        <f t="shared" si="81"/>
        <v>2461.1687499999989</v>
      </c>
      <c r="U492" s="14">
        <f t="shared" si="82"/>
        <v>0.30278194904821976</v>
      </c>
      <c r="V492" s="7" t="str">
        <f t="shared" si="83"/>
        <v>Feb-2025</v>
      </c>
      <c r="W492" s="22">
        <f t="shared" si="84"/>
        <v>45689</v>
      </c>
      <c r="X492" s="7" t="str">
        <f t="shared" si="85"/>
        <v>Q1-2025</v>
      </c>
      <c r="Y492" t="str">
        <f t="shared" si="86"/>
        <v>Americas → Canada → Toronto</v>
      </c>
      <c r="Z492" t="str">
        <f t="shared" si="87"/>
        <v>Components</v>
      </c>
      <c r="AA492" t="str" cm="1">
        <f t="array" ref="AA492">_xlfn.IFS(O492&lt;=$AF$2,"Low",AND(O492&gt;$AF$2,O492&lt;$AF$3),"Medium",O492&gt;=$AF$3,"High")</f>
        <v>High</v>
      </c>
      <c r="AB492" s="22">
        <f t="shared" si="88"/>
        <v>44927</v>
      </c>
      <c r="AC492">
        <v>25</v>
      </c>
    </row>
    <row r="493" spans="1:29" x14ac:dyDescent="0.35">
      <c r="A493" s="4" t="s">
        <v>285</v>
      </c>
      <c r="B493" s="5" t="str">
        <f>IF(COUNTIF($A$2:A493,A493)=1,"Original","Duplicate")</f>
        <v>Original</v>
      </c>
      <c r="C493" s="7">
        <v>45707</v>
      </c>
      <c r="D493" s="7">
        <v>45725</v>
      </c>
      <c r="E493">
        <f t="shared" si="78"/>
        <v>18</v>
      </c>
      <c r="F493" t="s">
        <v>647</v>
      </c>
      <c r="G493" t="s">
        <v>654</v>
      </c>
      <c r="H493" t="s">
        <v>680</v>
      </c>
      <c r="I493" t="s">
        <v>705</v>
      </c>
      <c r="J493" t="s">
        <v>711</v>
      </c>
      <c r="K493" t="s">
        <v>719</v>
      </c>
      <c r="L493" t="s">
        <v>732</v>
      </c>
      <c r="M493" t="s">
        <v>1005</v>
      </c>
      <c r="N493" s="23">
        <v>325.87</v>
      </c>
      <c r="O493" s="23">
        <v>538.79</v>
      </c>
      <c r="P493" s="8">
        <v>0.17399999999999999</v>
      </c>
      <c r="Q493">
        <v>16</v>
      </c>
      <c r="R493" s="23">
        <f t="shared" si="79"/>
        <v>7120.6486400000003</v>
      </c>
      <c r="S493" s="23">
        <f t="shared" si="80"/>
        <v>5213.92</v>
      </c>
      <c r="T493" s="23">
        <f t="shared" si="81"/>
        <v>1906.7286400000003</v>
      </c>
      <c r="U493" s="14">
        <f t="shared" si="82"/>
        <v>0.26777457172778013</v>
      </c>
      <c r="V493" s="7" t="str">
        <f t="shared" si="83"/>
        <v>Feb-2025</v>
      </c>
      <c r="W493" s="22">
        <f t="shared" si="84"/>
        <v>45689</v>
      </c>
      <c r="X493" s="7" t="str">
        <f t="shared" si="85"/>
        <v>Q1-2025</v>
      </c>
      <c r="Y493" t="str">
        <f t="shared" si="86"/>
        <v>Asia → India → Delhi</v>
      </c>
      <c r="Z493" t="str">
        <f t="shared" si="87"/>
        <v>Monitors</v>
      </c>
      <c r="AA493" t="str" cm="1">
        <f t="array" ref="AA493">_xlfn.IFS(O493&lt;=$AF$2,"Low",AND(O493&gt;$AF$2,O493&lt;$AF$3),"Medium",O493&gt;=$AF$3,"High")</f>
        <v>Low</v>
      </c>
      <c r="AB493" s="22">
        <f t="shared" si="88"/>
        <v>44958</v>
      </c>
      <c r="AC493">
        <v>24</v>
      </c>
    </row>
    <row r="494" spans="1:29" x14ac:dyDescent="0.35">
      <c r="A494" s="4" t="s">
        <v>421</v>
      </c>
      <c r="B494" s="5" t="str">
        <f>IF(COUNTIF($A$2:A494,A494)=1,"Original","Duplicate")</f>
        <v>Original</v>
      </c>
      <c r="C494" s="7">
        <v>45709</v>
      </c>
      <c r="D494" s="7">
        <v>45737</v>
      </c>
      <c r="E494">
        <f t="shared" si="78"/>
        <v>28</v>
      </c>
      <c r="F494" t="s">
        <v>646</v>
      </c>
      <c r="G494" t="s">
        <v>651</v>
      </c>
      <c r="H494" t="s">
        <v>669</v>
      </c>
      <c r="I494" t="s">
        <v>706</v>
      </c>
      <c r="J494" t="s">
        <v>709</v>
      </c>
      <c r="K494" t="s">
        <v>714</v>
      </c>
      <c r="L494" t="s">
        <v>730</v>
      </c>
      <c r="M494" t="s">
        <v>1140</v>
      </c>
      <c r="N494" s="23">
        <v>1437.39</v>
      </c>
      <c r="O494" s="23">
        <v>1388.31</v>
      </c>
      <c r="P494" s="8">
        <v>0.13800000000000001</v>
      </c>
      <c r="Q494">
        <v>18</v>
      </c>
      <c r="R494" s="23">
        <f t="shared" si="79"/>
        <v>21541.017959999997</v>
      </c>
      <c r="S494" s="23">
        <f t="shared" si="80"/>
        <v>25873.02</v>
      </c>
      <c r="T494" s="23">
        <f t="shared" si="81"/>
        <v>-4332.002040000003</v>
      </c>
      <c r="U494" s="14">
        <f t="shared" si="82"/>
        <v>-0.20110479681341872</v>
      </c>
      <c r="V494" s="7" t="str">
        <f t="shared" si="83"/>
        <v>Feb-2025</v>
      </c>
      <c r="W494" s="22">
        <f t="shared" si="84"/>
        <v>45689</v>
      </c>
      <c r="X494" s="7" t="str">
        <f t="shared" si="85"/>
        <v>Q1-2025</v>
      </c>
      <c r="Y494" t="str">
        <f t="shared" si="86"/>
        <v>Africa → Nigeria → Abuja</v>
      </c>
      <c r="Z494" t="str">
        <f t="shared" si="87"/>
        <v>Phones</v>
      </c>
      <c r="AA494" t="str" cm="1">
        <f t="array" ref="AA494">_xlfn.IFS(O494&lt;=$AF$2,"Low",AND(O494&gt;$AF$2,O494&lt;$AF$3),"Medium",O494&gt;=$AF$3,"High")</f>
        <v>Medium</v>
      </c>
      <c r="AB494" s="22">
        <f t="shared" si="88"/>
        <v>44927</v>
      </c>
      <c r="AC494">
        <v>25</v>
      </c>
    </row>
    <row r="495" spans="1:29" x14ac:dyDescent="0.35">
      <c r="A495" s="4" t="s">
        <v>435</v>
      </c>
      <c r="B495" s="5" t="str">
        <f>IF(COUNTIF($A$2:A495,A495)=1,"Original","Duplicate")</f>
        <v>Original</v>
      </c>
      <c r="C495" s="7">
        <v>45713</v>
      </c>
      <c r="D495" s="7">
        <v>45733</v>
      </c>
      <c r="E495">
        <f t="shared" si="78"/>
        <v>20</v>
      </c>
      <c r="F495" t="s">
        <v>648</v>
      </c>
      <c r="G495" t="s">
        <v>660</v>
      </c>
      <c r="H495" t="s">
        <v>686</v>
      </c>
      <c r="I495" t="s">
        <v>703</v>
      </c>
      <c r="J495" t="s">
        <v>709</v>
      </c>
      <c r="K495" t="s">
        <v>722</v>
      </c>
      <c r="L495" t="s">
        <v>730</v>
      </c>
      <c r="M495" t="s">
        <v>1154</v>
      </c>
      <c r="N495" s="23">
        <v>1205.26</v>
      </c>
      <c r="O495" s="23">
        <v>1696.35</v>
      </c>
      <c r="P495" s="8">
        <v>1.9E-2</v>
      </c>
      <c r="Q495">
        <v>6</v>
      </c>
      <c r="R495" s="23">
        <f t="shared" si="79"/>
        <v>9984.7160999999978</v>
      </c>
      <c r="S495" s="23">
        <f t="shared" si="80"/>
        <v>7231.5599999999995</v>
      </c>
      <c r="T495" s="23">
        <f t="shared" si="81"/>
        <v>2753.1560999999983</v>
      </c>
      <c r="U495" s="14">
        <f t="shared" si="82"/>
        <v>0.27573704374028213</v>
      </c>
      <c r="V495" s="7" t="str">
        <f t="shared" si="83"/>
        <v>Feb-2025</v>
      </c>
      <c r="W495" s="22">
        <f t="shared" si="84"/>
        <v>45689</v>
      </c>
      <c r="X495" s="7" t="str">
        <f t="shared" si="85"/>
        <v>Q1-2025</v>
      </c>
      <c r="Y495" t="str">
        <f t="shared" si="86"/>
        <v>Americas → USA → San Francisco</v>
      </c>
      <c r="Z495" t="str">
        <f t="shared" si="87"/>
        <v>Phones</v>
      </c>
      <c r="AA495" t="str" cm="1">
        <f t="array" ref="AA495">_xlfn.IFS(O495&lt;=$AF$2,"Low",AND(O495&gt;$AF$2,O495&lt;$AF$3),"Medium",O495&gt;=$AF$3,"High")</f>
        <v>High</v>
      </c>
      <c r="AB495" s="22">
        <f t="shared" si="88"/>
        <v>44927</v>
      </c>
      <c r="AC495">
        <v>25</v>
      </c>
    </row>
    <row r="496" spans="1:29" x14ac:dyDescent="0.35">
      <c r="A496" s="4" t="s">
        <v>645</v>
      </c>
      <c r="B496" s="5" t="str">
        <f>IF(COUNTIF($A$2:A496,A496)=1,"Original","Duplicate")</f>
        <v>Original</v>
      </c>
      <c r="C496" s="7">
        <v>45716</v>
      </c>
      <c r="D496" s="7">
        <v>45726</v>
      </c>
      <c r="E496">
        <f t="shared" si="78"/>
        <v>10</v>
      </c>
      <c r="F496" t="s">
        <v>647</v>
      </c>
      <c r="G496" t="s">
        <v>652</v>
      </c>
      <c r="H496" t="s">
        <v>666</v>
      </c>
      <c r="I496" t="s">
        <v>702</v>
      </c>
      <c r="J496" t="s">
        <v>710</v>
      </c>
      <c r="K496" t="s">
        <v>725</v>
      </c>
      <c r="L496" t="s">
        <v>731</v>
      </c>
      <c r="M496" t="s">
        <v>1363</v>
      </c>
      <c r="N496" s="23">
        <v>51.86</v>
      </c>
      <c r="O496" s="23">
        <v>45.98</v>
      </c>
      <c r="P496" s="8">
        <v>0.17299999999999999</v>
      </c>
      <c r="Q496">
        <v>7</v>
      </c>
      <c r="R496" s="23">
        <f t="shared" si="79"/>
        <v>266.17821999999995</v>
      </c>
      <c r="S496" s="23">
        <f t="shared" si="80"/>
        <v>363.02</v>
      </c>
      <c r="T496" s="23">
        <f t="shared" si="81"/>
        <v>-96.841780000000028</v>
      </c>
      <c r="U496" s="14">
        <f t="shared" si="82"/>
        <v>-0.3638230806412337</v>
      </c>
      <c r="V496" s="7" t="str">
        <f t="shared" si="83"/>
        <v>Feb-2025</v>
      </c>
      <c r="W496" s="22">
        <f t="shared" si="84"/>
        <v>45689</v>
      </c>
      <c r="X496" s="7" t="str">
        <f t="shared" si="85"/>
        <v>Q1-2025</v>
      </c>
      <c r="Y496" t="str">
        <f t="shared" si="86"/>
        <v>Asia → Japan → Osaka</v>
      </c>
      <c r="Z496" t="str">
        <f t="shared" si="87"/>
        <v>Laptops</v>
      </c>
      <c r="AA496" t="str" cm="1">
        <f t="array" ref="AA496">_xlfn.IFS(O496&lt;=$AF$2,"Low",AND(O496&gt;$AF$2,O496&lt;$AF$3),"Medium",O496&gt;=$AF$3,"High")</f>
        <v>Low</v>
      </c>
      <c r="AB496" s="22">
        <f t="shared" si="88"/>
        <v>44986</v>
      </c>
      <c r="AC496">
        <v>23</v>
      </c>
    </row>
    <row r="497" spans="1:29" x14ac:dyDescent="0.35">
      <c r="A497" s="4" t="s">
        <v>146</v>
      </c>
      <c r="B497" s="5" t="str">
        <f>IF(COUNTIF($A$2:A497,A497)=1,"Original","Duplicate")</f>
        <v>Original</v>
      </c>
      <c r="C497" s="7">
        <v>45719</v>
      </c>
      <c r="D497" s="7">
        <v>45740</v>
      </c>
      <c r="E497">
        <f t="shared" si="78"/>
        <v>21</v>
      </c>
      <c r="F497" t="s">
        <v>646</v>
      </c>
      <c r="G497" t="s">
        <v>651</v>
      </c>
      <c r="H497" t="s">
        <v>669</v>
      </c>
      <c r="I497" t="s">
        <v>706</v>
      </c>
      <c r="J497" t="s">
        <v>711</v>
      </c>
      <c r="K497" t="s">
        <v>722</v>
      </c>
      <c r="L497" t="s">
        <v>733</v>
      </c>
      <c r="M497" t="s">
        <v>865</v>
      </c>
      <c r="N497" s="23">
        <v>555.95000000000005</v>
      </c>
      <c r="O497" s="23">
        <v>468.09</v>
      </c>
      <c r="P497" s="8">
        <v>0.14199999999999999</v>
      </c>
      <c r="Q497">
        <v>11</v>
      </c>
      <c r="R497" s="23">
        <f t="shared" si="79"/>
        <v>4417.8334199999999</v>
      </c>
      <c r="S497" s="23">
        <f t="shared" si="80"/>
        <v>6115.4500000000007</v>
      </c>
      <c r="T497" s="23">
        <f t="shared" si="81"/>
        <v>-1697.6165800000008</v>
      </c>
      <c r="U497" s="14">
        <f t="shared" si="82"/>
        <v>-0.38426450674095375</v>
      </c>
      <c r="V497" s="7" t="str">
        <f t="shared" si="83"/>
        <v>Mar-2025</v>
      </c>
      <c r="W497" s="22">
        <f t="shared" si="84"/>
        <v>45717</v>
      </c>
      <c r="X497" s="7" t="str">
        <f t="shared" si="85"/>
        <v>Q1-2025</v>
      </c>
      <c r="Y497" t="str">
        <f t="shared" si="86"/>
        <v>Africa → Nigeria → Abuja</v>
      </c>
      <c r="Z497" t="str">
        <f t="shared" si="87"/>
        <v>Accessories</v>
      </c>
      <c r="AA497" t="str" cm="1">
        <f t="array" ref="AA497">_xlfn.IFS(O497&lt;=$AF$2,"Low",AND(O497&gt;$AF$2,O497&lt;$AF$3),"Medium",O497&gt;=$AF$3,"High")</f>
        <v>Low</v>
      </c>
      <c r="AB497" s="22">
        <f t="shared" si="88"/>
        <v>44927</v>
      </c>
      <c r="AC497">
        <v>26</v>
      </c>
    </row>
    <row r="498" spans="1:29" x14ac:dyDescent="0.35">
      <c r="A498" s="4" t="s">
        <v>27</v>
      </c>
      <c r="B498" s="5" t="str">
        <f>IF(COUNTIF($A$2:A498,A498)=1,"Original","Duplicate")</f>
        <v>Original</v>
      </c>
      <c r="C498" s="7">
        <v>45722</v>
      </c>
      <c r="D498" s="7">
        <v>45747</v>
      </c>
      <c r="E498">
        <f t="shared" si="78"/>
        <v>25</v>
      </c>
      <c r="F498" t="s">
        <v>648</v>
      </c>
      <c r="G498" t="s">
        <v>655</v>
      </c>
      <c r="H498" t="s">
        <v>672</v>
      </c>
      <c r="I498" t="s">
        <v>703</v>
      </c>
      <c r="J498" t="s">
        <v>708</v>
      </c>
      <c r="K498" t="s">
        <v>713</v>
      </c>
      <c r="L498" t="s">
        <v>727</v>
      </c>
      <c r="M498" t="s">
        <v>746</v>
      </c>
      <c r="N498" s="23">
        <v>331.57</v>
      </c>
      <c r="O498" s="23">
        <v>548.4</v>
      </c>
      <c r="P498" s="8">
        <v>9.4E-2</v>
      </c>
      <c r="Q498">
        <v>10</v>
      </c>
      <c r="R498" s="23">
        <f t="shared" si="79"/>
        <v>4968.5039999999999</v>
      </c>
      <c r="S498" s="23">
        <f t="shared" si="80"/>
        <v>3315.7</v>
      </c>
      <c r="T498" s="23">
        <f t="shared" si="81"/>
        <v>1652.8040000000001</v>
      </c>
      <c r="U498" s="14">
        <f t="shared" si="82"/>
        <v>0.33265626836568918</v>
      </c>
      <c r="V498" s="7" t="str">
        <f t="shared" si="83"/>
        <v>Mar-2025</v>
      </c>
      <c r="W498" s="22">
        <f t="shared" si="84"/>
        <v>45717</v>
      </c>
      <c r="X498" s="7" t="str">
        <f t="shared" si="85"/>
        <v>Q1-2025</v>
      </c>
      <c r="Y498" t="str">
        <f t="shared" si="86"/>
        <v>Americas → Brazil → Brasília</v>
      </c>
      <c r="Z498" t="str">
        <f t="shared" si="87"/>
        <v>Components</v>
      </c>
      <c r="AA498" t="str" cm="1">
        <f t="array" ref="AA498">_xlfn.IFS(O498&lt;=$AF$2,"Low",AND(O498&gt;$AF$2,O498&lt;$AF$3),"Medium",O498&gt;=$AF$3,"High")</f>
        <v>Low</v>
      </c>
      <c r="AB498" s="22">
        <f t="shared" si="88"/>
        <v>44927</v>
      </c>
      <c r="AC498">
        <v>26</v>
      </c>
    </row>
    <row r="499" spans="1:29" x14ac:dyDescent="0.35">
      <c r="A499" s="4" t="s">
        <v>422</v>
      </c>
      <c r="B499" s="5" t="str">
        <f>IF(COUNTIF($A$2:A499,A499)=1,"Original","Duplicate")</f>
        <v>Original</v>
      </c>
      <c r="C499" s="7">
        <v>45724</v>
      </c>
      <c r="D499" s="7">
        <v>45731</v>
      </c>
      <c r="E499">
        <f t="shared" si="78"/>
        <v>7</v>
      </c>
      <c r="F499" t="s">
        <v>647</v>
      </c>
      <c r="G499" t="s">
        <v>654</v>
      </c>
      <c r="H499" t="s">
        <v>668</v>
      </c>
      <c r="I499" t="s">
        <v>701</v>
      </c>
      <c r="J499" t="s">
        <v>710</v>
      </c>
      <c r="K499" t="s">
        <v>723</v>
      </c>
      <c r="L499" t="s">
        <v>731</v>
      </c>
      <c r="M499" t="s">
        <v>1141</v>
      </c>
      <c r="N499" s="23">
        <v>475.66</v>
      </c>
      <c r="O499" s="23">
        <v>529.14</v>
      </c>
      <c r="P499" s="8">
        <v>0.19600000000000001</v>
      </c>
      <c r="Q499">
        <v>11</v>
      </c>
      <c r="R499" s="23">
        <f t="shared" si="79"/>
        <v>4679.7141600000004</v>
      </c>
      <c r="S499" s="23">
        <f t="shared" si="80"/>
        <v>5232.26</v>
      </c>
      <c r="T499" s="23">
        <f t="shared" si="81"/>
        <v>-552.54583999999977</v>
      </c>
      <c r="U499" s="14">
        <f t="shared" si="82"/>
        <v>-0.11807256193613323</v>
      </c>
      <c r="V499" s="7" t="str">
        <f t="shared" si="83"/>
        <v>Mar-2025</v>
      </c>
      <c r="W499" s="22">
        <f t="shared" si="84"/>
        <v>45717</v>
      </c>
      <c r="X499" s="7" t="str">
        <f t="shared" si="85"/>
        <v>Q1-2025</v>
      </c>
      <c r="Y499" t="str">
        <f t="shared" si="86"/>
        <v>Asia → India → Bengaluru</v>
      </c>
      <c r="Z499" t="str">
        <f t="shared" si="87"/>
        <v>Laptops</v>
      </c>
      <c r="AA499" t="str" cm="1">
        <f t="array" ref="AA499">_xlfn.IFS(O499&lt;=$AF$2,"Low",AND(O499&gt;$AF$2,O499&lt;$AF$3),"Medium",O499&gt;=$AF$3,"High")</f>
        <v>Low</v>
      </c>
      <c r="AB499" s="22">
        <f t="shared" si="88"/>
        <v>44958</v>
      </c>
      <c r="AC499">
        <v>25</v>
      </c>
    </row>
    <row r="500" spans="1:29" x14ac:dyDescent="0.35">
      <c r="A500" s="4" t="s">
        <v>518</v>
      </c>
      <c r="B500" s="5" t="str">
        <f>IF(COUNTIF($A$2:A500,A500)=1,"Original","Duplicate")</f>
        <v>Original</v>
      </c>
      <c r="C500" s="7">
        <v>45726</v>
      </c>
      <c r="D500" s="7">
        <v>45743</v>
      </c>
      <c r="E500">
        <f t="shared" si="78"/>
        <v>17</v>
      </c>
      <c r="F500" t="s">
        <v>648</v>
      </c>
      <c r="G500" t="s">
        <v>655</v>
      </c>
      <c r="H500" t="s">
        <v>692</v>
      </c>
      <c r="I500" t="s">
        <v>706</v>
      </c>
      <c r="J500" t="s">
        <v>711</v>
      </c>
      <c r="K500" t="s">
        <v>721</v>
      </c>
      <c r="L500" t="s">
        <v>729</v>
      </c>
      <c r="M500" t="s">
        <v>1237</v>
      </c>
      <c r="N500" s="23">
        <v>996.73</v>
      </c>
      <c r="O500" s="23">
        <v>1217.43</v>
      </c>
      <c r="P500" s="8">
        <v>7.0000000000000007E-2</v>
      </c>
      <c r="Q500">
        <v>9</v>
      </c>
      <c r="R500" s="23">
        <f t="shared" si="79"/>
        <v>10189.8891</v>
      </c>
      <c r="S500" s="23">
        <f t="shared" si="80"/>
        <v>8970.57</v>
      </c>
      <c r="T500" s="23">
        <f t="shared" si="81"/>
        <v>1219.3191000000006</v>
      </c>
      <c r="U500" s="14">
        <f t="shared" si="82"/>
        <v>0.11965970267527255</v>
      </c>
      <c r="V500" s="7" t="str">
        <f t="shared" si="83"/>
        <v>Mar-2025</v>
      </c>
      <c r="W500" s="22">
        <f t="shared" si="84"/>
        <v>45717</v>
      </c>
      <c r="X500" s="7" t="str">
        <f t="shared" si="85"/>
        <v>Q1-2025</v>
      </c>
      <c r="Y500" t="str">
        <f t="shared" si="86"/>
        <v>Americas → Brazil → Rio de Janeiro</v>
      </c>
      <c r="Z500" t="str">
        <f t="shared" si="87"/>
        <v>Networking</v>
      </c>
      <c r="AA500" t="str" cm="1">
        <f t="array" ref="AA500">_xlfn.IFS(O500&lt;=$AF$2,"Low",AND(O500&gt;$AF$2,O500&lt;$AF$3),"Medium",O500&gt;=$AF$3,"High")</f>
        <v>Medium</v>
      </c>
      <c r="AB500" s="22">
        <f t="shared" si="88"/>
        <v>44927</v>
      </c>
      <c r="AC500">
        <v>26</v>
      </c>
    </row>
    <row r="501" spans="1:29" x14ac:dyDescent="0.35">
      <c r="A501" s="4" t="s">
        <v>612</v>
      </c>
      <c r="B501" s="5" t="str">
        <f>IF(COUNTIF($A$2:A501,A501)=1,"Original","Duplicate")</f>
        <v>Original</v>
      </c>
      <c r="C501" s="7">
        <v>45726</v>
      </c>
      <c r="D501" s="7">
        <v>45751</v>
      </c>
      <c r="E501">
        <f t="shared" si="78"/>
        <v>25</v>
      </c>
      <c r="F501" t="s">
        <v>647</v>
      </c>
      <c r="G501" t="s">
        <v>652</v>
      </c>
      <c r="H501" t="s">
        <v>666</v>
      </c>
      <c r="I501" t="s">
        <v>701</v>
      </c>
      <c r="J501" t="s">
        <v>711</v>
      </c>
      <c r="K501" t="s">
        <v>722</v>
      </c>
      <c r="L501" t="s">
        <v>728</v>
      </c>
      <c r="M501" t="s">
        <v>1330</v>
      </c>
      <c r="N501" s="23">
        <v>783.72</v>
      </c>
      <c r="O501" s="23">
        <v>1355.94</v>
      </c>
      <c r="P501" s="8">
        <v>0.187</v>
      </c>
      <c r="Q501">
        <v>4</v>
      </c>
      <c r="R501" s="23">
        <f t="shared" si="79"/>
        <v>4409.5168800000001</v>
      </c>
      <c r="S501" s="23">
        <f t="shared" si="80"/>
        <v>3134.88</v>
      </c>
      <c r="T501" s="23">
        <f t="shared" si="81"/>
        <v>1274.63688</v>
      </c>
      <c r="U501" s="14">
        <f t="shared" si="82"/>
        <v>0.28906497348525856</v>
      </c>
      <c r="V501" s="7" t="str">
        <f t="shared" si="83"/>
        <v>Mar-2025</v>
      </c>
      <c r="W501" s="22">
        <f t="shared" si="84"/>
        <v>45717</v>
      </c>
      <c r="X501" s="7" t="str">
        <f t="shared" si="85"/>
        <v>Q1-2025</v>
      </c>
      <c r="Y501" t="str">
        <f t="shared" si="86"/>
        <v>Asia → Japan → Osaka</v>
      </c>
      <c r="Z501" t="str">
        <f t="shared" si="87"/>
        <v>Printers</v>
      </c>
      <c r="AA501" t="str" cm="1">
        <f t="array" ref="AA501">_xlfn.IFS(O501&lt;=$AF$2,"Low",AND(O501&gt;$AF$2,O501&lt;$AF$3),"Medium",O501&gt;=$AF$3,"High")</f>
        <v>Medium</v>
      </c>
      <c r="AB501" s="22">
        <f t="shared" si="88"/>
        <v>44986</v>
      </c>
      <c r="AC501">
        <v>24</v>
      </c>
    </row>
    <row r="502" spans="1:29" x14ac:dyDescent="0.35">
      <c r="A502" s="4" t="s">
        <v>545</v>
      </c>
      <c r="B502" s="5" t="str">
        <f>IF(COUNTIF($A$2:A502,A502)=1,"Original","Duplicate")</f>
        <v>Original</v>
      </c>
      <c r="C502" s="7">
        <v>45727</v>
      </c>
      <c r="D502" s="7">
        <v>45742</v>
      </c>
      <c r="E502">
        <f t="shared" si="78"/>
        <v>15</v>
      </c>
      <c r="F502" t="s">
        <v>649</v>
      </c>
      <c r="G502" t="s">
        <v>656</v>
      </c>
      <c r="H502" t="s">
        <v>671</v>
      </c>
      <c r="I502" t="s">
        <v>705</v>
      </c>
      <c r="J502" t="s">
        <v>708</v>
      </c>
      <c r="K502" t="s">
        <v>714</v>
      </c>
      <c r="L502" t="s">
        <v>730</v>
      </c>
      <c r="M502" t="s">
        <v>1264</v>
      </c>
      <c r="N502" s="23">
        <v>116.97</v>
      </c>
      <c r="O502" s="23">
        <v>140.82</v>
      </c>
      <c r="P502" s="8">
        <v>0.122</v>
      </c>
      <c r="Q502">
        <v>5</v>
      </c>
      <c r="R502" s="23">
        <f t="shared" si="79"/>
        <v>618.19979999999987</v>
      </c>
      <c r="S502" s="23">
        <f t="shared" si="80"/>
        <v>584.85</v>
      </c>
      <c r="T502" s="23">
        <f t="shared" si="81"/>
        <v>33.349799999999846</v>
      </c>
      <c r="U502" s="14">
        <f t="shared" si="82"/>
        <v>5.3946636669891926E-2</v>
      </c>
      <c r="V502" s="7" t="str">
        <f t="shared" si="83"/>
        <v>Mar-2025</v>
      </c>
      <c r="W502" s="22">
        <f t="shared" si="84"/>
        <v>45717</v>
      </c>
      <c r="X502" s="7" t="str">
        <f t="shared" si="85"/>
        <v>Q1-2025</v>
      </c>
      <c r="Y502" t="str">
        <f t="shared" si="86"/>
        <v>Europe → Germany → Berlin</v>
      </c>
      <c r="Z502" t="str">
        <f t="shared" si="87"/>
        <v>Phones</v>
      </c>
      <c r="AA502" t="str" cm="1">
        <f t="array" ref="AA502">_xlfn.IFS(O502&lt;=$AF$2,"Low",AND(O502&gt;$AF$2,O502&lt;$AF$3),"Medium",O502&gt;=$AF$3,"High")</f>
        <v>Low</v>
      </c>
      <c r="AB502" s="22">
        <f t="shared" si="88"/>
        <v>44927</v>
      </c>
      <c r="AC502">
        <v>26</v>
      </c>
    </row>
    <row r="503" spans="1:29" x14ac:dyDescent="0.35">
      <c r="A503" s="4" t="s">
        <v>629</v>
      </c>
      <c r="B503" s="5" t="str">
        <f>IF(COUNTIF($A$2:A503,A503)=1,"Original","Duplicate")</f>
        <v>Original</v>
      </c>
      <c r="C503" s="7">
        <v>45727</v>
      </c>
      <c r="D503" s="7">
        <v>45743</v>
      </c>
      <c r="E503">
        <f t="shared" si="78"/>
        <v>16</v>
      </c>
      <c r="F503" t="s">
        <v>647</v>
      </c>
      <c r="G503" t="s">
        <v>652</v>
      </c>
      <c r="H503" t="s">
        <v>689</v>
      </c>
      <c r="I503" t="s">
        <v>706</v>
      </c>
      <c r="J503" t="s">
        <v>710</v>
      </c>
      <c r="K503" t="s">
        <v>717</v>
      </c>
      <c r="L503" t="s">
        <v>728</v>
      </c>
      <c r="M503" t="s">
        <v>1347</v>
      </c>
      <c r="N503" s="23">
        <v>1317.58</v>
      </c>
      <c r="O503" s="23">
        <v>1897.74</v>
      </c>
      <c r="P503" s="8">
        <v>8.1000000000000003E-2</v>
      </c>
      <c r="Q503">
        <v>6</v>
      </c>
      <c r="R503" s="23">
        <f t="shared" si="79"/>
        <v>10464.138360000001</v>
      </c>
      <c r="S503" s="23">
        <f t="shared" si="80"/>
        <v>7905.48</v>
      </c>
      <c r="T503" s="23">
        <f t="shared" si="81"/>
        <v>2558.6583600000013</v>
      </c>
      <c r="U503" s="14">
        <f t="shared" si="82"/>
        <v>0.24451687009230266</v>
      </c>
      <c r="V503" s="7" t="str">
        <f t="shared" si="83"/>
        <v>Mar-2025</v>
      </c>
      <c r="W503" s="22">
        <f t="shared" si="84"/>
        <v>45717</v>
      </c>
      <c r="X503" s="7" t="str">
        <f t="shared" si="85"/>
        <v>Q1-2025</v>
      </c>
      <c r="Y503" t="str">
        <f t="shared" si="86"/>
        <v>Asia → Japan → Tokyo</v>
      </c>
      <c r="Z503" t="str">
        <f t="shared" si="87"/>
        <v>Printers</v>
      </c>
      <c r="AA503" t="str" cm="1">
        <f t="array" ref="AA503">_xlfn.IFS(O503&lt;=$AF$2,"Low",AND(O503&gt;$AF$2,O503&lt;$AF$3),"Medium",O503&gt;=$AF$3,"High")</f>
        <v>High</v>
      </c>
      <c r="AB503" s="22">
        <f t="shared" si="88"/>
        <v>44986</v>
      </c>
      <c r="AC503">
        <v>24</v>
      </c>
    </row>
    <row r="504" spans="1:29" x14ac:dyDescent="0.35">
      <c r="A504" s="4" t="s">
        <v>295</v>
      </c>
      <c r="B504" s="5" t="str">
        <f>IF(COUNTIF($A$2:A504,A504)=1,"Original","Duplicate")</f>
        <v>Original</v>
      </c>
      <c r="C504" s="7">
        <v>45730</v>
      </c>
      <c r="D504" s="7">
        <v>45745</v>
      </c>
      <c r="E504">
        <f t="shared" si="78"/>
        <v>15</v>
      </c>
      <c r="F504" t="s">
        <v>647</v>
      </c>
      <c r="G504" t="s">
        <v>652</v>
      </c>
      <c r="H504" t="s">
        <v>689</v>
      </c>
      <c r="I504" t="s">
        <v>703</v>
      </c>
      <c r="J504" t="s">
        <v>711</v>
      </c>
      <c r="K504" t="s">
        <v>722</v>
      </c>
      <c r="L504" t="s">
        <v>729</v>
      </c>
      <c r="M504" t="s">
        <v>1015</v>
      </c>
      <c r="N504" s="23">
        <v>1106.96</v>
      </c>
      <c r="O504" s="23">
        <v>2726.62</v>
      </c>
      <c r="P504" s="8">
        <v>0.3</v>
      </c>
      <c r="Q504">
        <v>7</v>
      </c>
      <c r="R504" s="23">
        <f t="shared" si="79"/>
        <v>13360.438</v>
      </c>
      <c r="S504" s="23">
        <f t="shared" si="80"/>
        <v>7748.72</v>
      </c>
      <c r="T504" s="23">
        <f t="shared" si="81"/>
        <v>5611.7179999999998</v>
      </c>
      <c r="U504" s="14">
        <f t="shared" si="82"/>
        <v>0.42002500217432992</v>
      </c>
      <c r="V504" s="7" t="str">
        <f t="shared" si="83"/>
        <v>Mar-2025</v>
      </c>
      <c r="W504" s="22">
        <f t="shared" si="84"/>
        <v>45717</v>
      </c>
      <c r="X504" s="7" t="str">
        <f t="shared" si="85"/>
        <v>Q1-2025</v>
      </c>
      <c r="Y504" t="str">
        <f t="shared" si="86"/>
        <v>Asia → Japan → Tokyo</v>
      </c>
      <c r="Z504" t="str">
        <f t="shared" si="87"/>
        <v>Networking</v>
      </c>
      <c r="AA504" t="str" cm="1">
        <f t="array" ref="AA504">_xlfn.IFS(O504&lt;=$AF$2,"Low",AND(O504&gt;$AF$2,O504&lt;$AF$3),"Medium",O504&gt;=$AF$3,"High")</f>
        <v>High</v>
      </c>
      <c r="AB504" s="22">
        <f t="shared" si="88"/>
        <v>44986</v>
      </c>
      <c r="AC504">
        <v>24</v>
      </c>
    </row>
    <row r="505" spans="1:29" x14ac:dyDescent="0.35">
      <c r="A505" s="4" t="s">
        <v>432</v>
      </c>
      <c r="B505" s="5" t="str">
        <f>IF(COUNTIF($A$2:A505,A505)=1,"Original","Duplicate")</f>
        <v>Original</v>
      </c>
      <c r="C505" s="7">
        <v>45730</v>
      </c>
      <c r="D505" s="7">
        <v>45755</v>
      </c>
      <c r="E505">
        <f t="shared" si="78"/>
        <v>25</v>
      </c>
      <c r="F505" t="s">
        <v>647</v>
      </c>
      <c r="G505" t="s">
        <v>659</v>
      </c>
      <c r="H505" t="s">
        <v>1431</v>
      </c>
      <c r="I505" t="s">
        <v>701</v>
      </c>
      <c r="J505" t="s">
        <v>710</v>
      </c>
      <c r="K505" t="s">
        <v>726</v>
      </c>
      <c r="L505" t="s">
        <v>728</v>
      </c>
      <c r="M505" t="s">
        <v>1151</v>
      </c>
      <c r="N505" s="23">
        <v>80.59</v>
      </c>
      <c r="O505" s="23">
        <v>157.82</v>
      </c>
      <c r="P505" s="8">
        <v>0.217</v>
      </c>
      <c r="Q505">
        <v>6</v>
      </c>
      <c r="R505" s="23">
        <f t="shared" si="79"/>
        <v>741.43835999999999</v>
      </c>
      <c r="S505" s="23">
        <f t="shared" si="80"/>
        <v>483.54</v>
      </c>
      <c r="T505" s="23">
        <f t="shared" si="81"/>
        <v>257.89835999999997</v>
      </c>
      <c r="U505" s="14">
        <f t="shared" si="82"/>
        <v>0.34783519967863541</v>
      </c>
      <c r="V505" s="7" t="str">
        <f t="shared" si="83"/>
        <v>Mar-2025</v>
      </c>
      <c r="W505" s="22">
        <f t="shared" si="84"/>
        <v>45717</v>
      </c>
      <c r="X505" s="7" t="str">
        <f t="shared" si="85"/>
        <v>Q1-2025</v>
      </c>
      <c r="Y505" t="str">
        <f t="shared" si="86"/>
        <v>Asia → China → Unknown</v>
      </c>
      <c r="Z505" t="str">
        <f t="shared" si="87"/>
        <v>Printers</v>
      </c>
      <c r="AA505" t="str" cm="1">
        <f t="array" ref="AA505">_xlfn.IFS(O505&lt;=$AF$2,"Low",AND(O505&gt;$AF$2,O505&lt;$AF$3),"Medium",O505&gt;=$AF$3,"High")</f>
        <v>Low</v>
      </c>
      <c r="AB505" s="22">
        <f t="shared" si="88"/>
        <v>44927</v>
      </c>
      <c r="AC505">
        <v>26</v>
      </c>
    </row>
    <row r="506" spans="1:29" x14ac:dyDescent="0.35">
      <c r="A506" s="4" t="s">
        <v>381</v>
      </c>
      <c r="B506" s="5" t="str">
        <f>IF(COUNTIF($A$2:A506,A506)=1,"Original","Duplicate")</f>
        <v>Original</v>
      </c>
      <c r="C506" s="7">
        <v>45731</v>
      </c>
      <c r="D506" s="7">
        <v>45745</v>
      </c>
      <c r="E506">
        <f t="shared" si="78"/>
        <v>14</v>
      </c>
      <c r="F506" t="s">
        <v>647</v>
      </c>
      <c r="G506" t="s">
        <v>654</v>
      </c>
      <c r="H506" t="s">
        <v>691</v>
      </c>
      <c r="I506" t="s">
        <v>706</v>
      </c>
      <c r="J506" t="s">
        <v>711</v>
      </c>
      <c r="K506" t="s">
        <v>712</v>
      </c>
      <c r="L506" t="s">
        <v>727</v>
      </c>
      <c r="M506" t="s">
        <v>1101</v>
      </c>
      <c r="N506" s="23">
        <v>935.83</v>
      </c>
      <c r="O506" s="23">
        <v>2303.46</v>
      </c>
      <c r="P506" s="8">
        <v>0.105</v>
      </c>
      <c r="Q506">
        <v>9</v>
      </c>
      <c r="R506" s="23">
        <f t="shared" si="79"/>
        <v>18554.370299999999</v>
      </c>
      <c r="S506" s="23">
        <f t="shared" si="80"/>
        <v>8422.4700000000012</v>
      </c>
      <c r="T506" s="23">
        <f t="shared" si="81"/>
        <v>10131.900299999998</v>
      </c>
      <c r="U506" s="14">
        <f t="shared" si="82"/>
        <v>0.54606543559174292</v>
      </c>
      <c r="V506" s="7" t="str">
        <f t="shared" si="83"/>
        <v>Mar-2025</v>
      </c>
      <c r="W506" s="22">
        <f t="shared" si="84"/>
        <v>45717</v>
      </c>
      <c r="X506" s="7" t="str">
        <f t="shared" si="85"/>
        <v>Q1-2025</v>
      </c>
      <c r="Y506" t="str">
        <f t="shared" si="86"/>
        <v>Asia → India → Mumbai</v>
      </c>
      <c r="Z506" t="str">
        <f t="shared" si="87"/>
        <v>Components</v>
      </c>
      <c r="AA506" t="str" cm="1">
        <f t="array" ref="AA506">_xlfn.IFS(O506&lt;=$AF$2,"Low",AND(O506&gt;$AF$2,O506&lt;$AF$3),"Medium",O506&gt;=$AF$3,"High")</f>
        <v>High</v>
      </c>
      <c r="AB506" s="22">
        <f t="shared" si="88"/>
        <v>44958</v>
      </c>
      <c r="AC506">
        <v>25</v>
      </c>
    </row>
    <row r="507" spans="1:29" x14ac:dyDescent="0.35">
      <c r="A507" s="4" t="s">
        <v>379</v>
      </c>
      <c r="B507" s="5" t="str">
        <f>IF(COUNTIF($A$2:A507,A507)=1,"Original","Duplicate")</f>
        <v>Original</v>
      </c>
      <c r="C507" s="7">
        <v>45737</v>
      </c>
      <c r="D507" s="7">
        <v>45756</v>
      </c>
      <c r="E507">
        <f t="shared" si="78"/>
        <v>19</v>
      </c>
      <c r="F507" t="s">
        <v>647</v>
      </c>
      <c r="G507" t="s">
        <v>652</v>
      </c>
      <c r="H507" t="s">
        <v>689</v>
      </c>
      <c r="I507" t="s">
        <v>705</v>
      </c>
      <c r="J507" t="s">
        <v>710</v>
      </c>
      <c r="K507" t="s">
        <v>718</v>
      </c>
      <c r="L507" t="s">
        <v>727</v>
      </c>
      <c r="M507" t="s">
        <v>1099</v>
      </c>
      <c r="N507" s="23">
        <v>1055.45</v>
      </c>
      <c r="O507" s="23">
        <v>1210.04</v>
      </c>
      <c r="P507" s="8">
        <v>8.9999999999999993E-3</v>
      </c>
      <c r="Q507">
        <v>18</v>
      </c>
      <c r="R507" s="23">
        <f t="shared" si="79"/>
        <v>21584.693520000001</v>
      </c>
      <c r="S507" s="23">
        <f t="shared" si="80"/>
        <v>18998.100000000002</v>
      </c>
      <c r="T507" s="23">
        <f t="shared" si="81"/>
        <v>2586.5935199999985</v>
      </c>
      <c r="U507" s="14">
        <f t="shared" si="82"/>
        <v>0.1198346188053727</v>
      </c>
      <c r="V507" s="7" t="str">
        <f t="shared" si="83"/>
        <v>Mar-2025</v>
      </c>
      <c r="W507" s="22">
        <f t="shared" si="84"/>
        <v>45717</v>
      </c>
      <c r="X507" s="7" t="str">
        <f t="shared" si="85"/>
        <v>Q1-2025</v>
      </c>
      <c r="Y507" t="str">
        <f t="shared" si="86"/>
        <v>Asia → Japan → Tokyo</v>
      </c>
      <c r="Z507" t="str">
        <f t="shared" si="87"/>
        <v>Components</v>
      </c>
      <c r="AA507" t="str" cm="1">
        <f t="array" ref="AA507">_xlfn.IFS(O507&lt;=$AF$2,"Low",AND(O507&gt;$AF$2,O507&lt;$AF$3),"Medium",O507&gt;=$AF$3,"High")</f>
        <v>Medium</v>
      </c>
      <c r="AB507" s="22">
        <f t="shared" si="88"/>
        <v>44986</v>
      </c>
      <c r="AC507">
        <v>24</v>
      </c>
    </row>
    <row r="508" spans="1:29" x14ac:dyDescent="0.35">
      <c r="A508" s="4" t="s">
        <v>483</v>
      </c>
      <c r="B508" s="5" t="str">
        <f>IF(COUNTIF($A$2:A508,A508)=1,"Original","Duplicate")</f>
        <v>Original</v>
      </c>
      <c r="C508" s="7">
        <v>45739</v>
      </c>
      <c r="D508" s="7">
        <v>45749</v>
      </c>
      <c r="E508">
        <f t="shared" si="78"/>
        <v>10</v>
      </c>
      <c r="F508" t="s">
        <v>649</v>
      </c>
      <c r="G508" t="s">
        <v>656</v>
      </c>
      <c r="H508" t="s">
        <v>671</v>
      </c>
      <c r="I508" t="s">
        <v>706</v>
      </c>
      <c r="J508" t="s">
        <v>708</v>
      </c>
      <c r="K508" t="s">
        <v>718</v>
      </c>
      <c r="L508" t="s">
        <v>728</v>
      </c>
      <c r="M508" t="s">
        <v>1202</v>
      </c>
      <c r="N508" s="23">
        <v>663.61</v>
      </c>
      <c r="O508" s="23">
        <v>1002.11</v>
      </c>
      <c r="P508" s="8">
        <v>4.5999999999999999E-2</v>
      </c>
      <c r="Q508">
        <v>17</v>
      </c>
      <c r="R508" s="23">
        <f t="shared" si="79"/>
        <v>16252.219979999998</v>
      </c>
      <c r="S508" s="23">
        <f t="shared" si="80"/>
        <v>11281.37</v>
      </c>
      <c r="T508" s="23">
        <f t="shared" si="81"/>
        <v>4970.8499799999972</v>
      </c>
      <c r="U508" s="14">
        <f t="shared" si="82"/>
        <v>0.30585667595670812</v>
      </c>
      <c r="V508" s="7" t="str">
        <f t="shared" si="83"/>
        <v>Mar-2025</v>
      </c>
      <c r="W508" s="22">
        <f t="shared" si="84"/>
        <v>45717</v>
      </c>
      <c r="X508" s="7" t="str">
        <f t="shared" si="85"/>
        <v>Q1-2025</v>
      </c>
      <c r="Y508" t="str">
        <f t="shared" si="86"/>
        <v>Europe → Germany → Berlin</v>
      </c>
      <c r="Z508" t="str">
        <f t="shared" si="87"/>
        <v>Printers</v>
      </c>
      <c r="AA508" t="str" cm="1">
        <f t="array" ref="AA508">_xlfn.IFS(O508&lt;=$AF$2,"Low",AND(O508&gt;$AF$2,O508&lt;$AF$3),"Medium",O508&gt;=$AF$3,"High")</f>
        <v>Medium</v>
      </c>
      <c r="AB508" s="22">
        <f t="shared" si="88"/>
        <v>44927</v>
      </c>
      <c r="AC508">
        <v>26</v>
      </c>
    </row>
    <row r="509" spans="1:29" x14ac:dyDescent="0.35">
      <c r="A509" s="4" t="s">
        <v>517</v>
      </c>
      <c r="B509" s="5" t="str">
        <f>IF(COUNTIF($A$2:A509,A509)=1,"Original","Duplicate")</f>
        <v>Original</v>
      </c>
      <c r="C509" s="7">
        <v>45740</v>
      </c>
      <c r="D509" s="7">
        <v>45741</v>
      </c>
      <c r="E509">
        <f t="shared" si="78"/>
        <v>1</v>
      </c>
      <c r="F509" t="s">
        <v>647</v>
      </c>
      <c r="G509" t="s">
        <v>659</v>
      </c>
      <c r="H509" t="s">
        <v>699</v>
      </c>
      <c r="I509" t="s">
        <v>703</v>
      </c>
      <c r="J509" t="s">
        <v>708</v>
      </c>
      <c r="K509" t="s">
        <v>715</v>
      </c>
      <c r="L509" t="s">
        <v>729</v>
      </c>
      <c r="M509" t="s">
        <v>1236</v>
      </c>
      <c r="N509" s="23">
        <v>1133.03</v>
      </c>
      <c r="O509" s="23">
        <v>1921.51</v>
      </c>
      <c r="P509" s="8">
        <v>0.10100000000000001</v>
      </c>
      <c r="Q509">
        <v>5</v>
      </c>
      <c r="R509" s="23">
        <f t="shared" si="79"/>
        <v>8637.1874499999994</v>
      </c>
      <c r="S509" s="23">
        <f t="shared" si="80"/>
        <v>5665.15</v>
      </c>
      <c r="T509" s="23">
        <f t="shared" si="81"/>
        <v>2972.0374499999998</v>
      </c>
      <c r="U509" s="14">
        <f t="shared" si="82"/>
        <v>0.3440978289755654</v>
      </c>
      <c r="V509" s="7" t="str">
        <f t="shared" si="83"/>
        <v>Mar-2025</v>
      </c>
      <c r="W509" s="22">
        <f t="shared" si="84"/>
        <v>45717</v>
      </c>
      <c r="X509" s="7" t="str">
        <f t="shared" si="85"/>
        <v>Q1-2025</v>
      </c>
      <c r="Y509" t="str">
        <f t="shared" si="86"/>
        <v>Asia → China → Beijing</v>
      </c>
      <c r="Z509" t="str">
        <f t="shared" si="87"/>
        <v>Networking</v>
      </c>
      <c r="AA509" t="str" cm="1">
        <f t="array" ref="AA509">_xlfn.IFS(O509&lt;=$AF$2,"Low",AND(O509&gt;$AF$2,O509&lt;$AF$3),"Medium",O509&gt;=$AF$3,"High")</f>
        <v>High</v>
      </c>
      <c r="AB509" s="22">
        <f t="shared" si="88"/>
        <v>44927</v>
      </c>
      <c r="AC509">
        <v>26</v>
      </c>
    </row>
    <row r="510" spans="1:29" x14ac:dyDescent="0.35">
      <c r="A510" s="4" t="s">
        <v>586</v>
      </c>
      <c r="B510" s="5" t="str">
        <f>IF(COUNTIF($A$2:A510,A510)=1,"Original","Duplicate")</f>
        <v>Original</v>
      </c>
      <c r="C510" s="7">
        <v>45740</v>
      </c>
      <c r="D510" s="7">
        <v>45751</v>
      </c>
      <c r="E510">
        <f t="shared" si="78"/>
        <v>11</v>
      </c>
      <c r="F510" t="s">
        <v>647</v>
      </c>
      <c r="G510" t="s">
        <v>654</v>
      </c>
      <c r="H510" t="s">
        <v>691</v>
      </c>
      <c r="I510" t="s">
        <v>702</v>
      </c>
      <c r="J510" t="s">
        <v>709</v>
      </c>
      <c r="K510" t="s">
        <v>713</v>
      </c>
      <c r="L510" t="s">
        <v>730</v>
      </c>
      <c r="M510" t="s">
        <v>1304</v>
      </c>
      <c r="N510" s="23">
        <v>23.83</v>
      </c>
      <c r="O510" s="23">
        <v>47.29</v>
      </c>
      <c r="P510" s="8">
        <v>6.4000000000000001E-2</v>
      </c>
      <c r="Q510">
        <v>19</v>
      </c>
      <c r="R510" s="23">
        <f t="shared" si="79"/>
        <v>841.00536</v>
      </c>
      <c r="S510" s="23">
        <f t="shared" si="80"/>
        <v>452.77</v>
      </c>
      <c r="T510" s="23">
        <f t="shared" si="81"/>
        <v>388.23536000000001</v>
      </c>
      <c r="U510" s="14">
        <f t="shared" si="82"/>
        <v>0.46163244429262618</v>
      </c>
      <c r="V510" s="7" t="str">
        <f t="shared" si="83"/>
        <v>Mar-2025</v>
      </c>
      <c r="W510" s="22">
        <f t="shared" si="84"/>
        <v>45717</v>
      </c>
      <c r="X510" s="7" t="str">
        <f t="shared" si="85"/>
        <v>Q1-2025</v>
      </c>
      <c r="Y510" t="str">
        <f t="shared" si="86"/>
        <v>Asia → India → Mumbai</v>
      </c>
      <c r="Z510" t="str">
        <f t="shared" si="87"/>
        <v>Phones</v>
      </c>
      <c r="AA510" t="str" cm="1">
        <f t="array" ref="AA510">_xlfn.IFS(O510&lt;=$AF$2,"Low",AND(O510&gt;$AF$2,O510&lt;$AF$3),"Medium",O510&gt;=$AF$3,"High")</f>
        <v>Low</v>
      </c>
      <c r="AB510" s="22">
        <f t="shared" si="88"/>
        <v>44958</v>
      </c>
      <c r="AC510">
        <v>25</v>
      </c>
    </row>
    <row r="511" spans="1:29" x14ac:dyDescent="0.35">
      <c r="A511" s="4" t="s">
        <v>99</v>
      </c>
      <c r="B511" s="5" t="str">
        <f>IF(COUNTIF($A$2:A511,A511)=1,"Original","Duplicate")</f>
        <v>Original</v>
      </c>
      <c r="C511" s="7">
        <v>45741</v>
      </c>
      <c r="D511" s="7">
        <v>45764</v>
      </c>
      <c r="E511">
        <f t="shared" si="78"/>
        <v>23</v>
      </c>
      <c r="F511" t="s">
        <v>649</v>
      </c>
      <c r="G511" t="s">
        <v>658</v>
      </c>
      <c r="H511" t="s">
        <v>683</v>
      </c>
      <c r="I511" t="s">
        <v>704</v>
      </c>
      <c r="J511" t="s">
        <v>707</v>
      </c>
      <c r="K511" t="s">
        <v>722</v>
      </c>
      <c r="L511" t="s">
        <v>729</v>
      </c>
      <c r="M511" t="s">
        <v>818</v>
      </c>
      <c r="N511" s="23">
        <v>1421.19</v>
      </c>
      <c r="O511" s="23">
        <v>1808.26</v>
      </c>
      <c r="P511" s="8">
        <v>0.104</v>
      </c>
      <c r="Q511">
        <v>13</v>
      </c>
      <c r="R511" s="23">
        <f t="shared" si="79"/>
        <v>21062.61248</v>
      </c>
      <c r="S511" s="23">
        <f t="shared" si="80"/>
        <v>18475.47</v>
      </c>
      <c r="T511" s="23">
        <f t="shared" si="81"/>
        <v>2587.1424799999986</v>
      </c>
      <c r="U511" s="14">
        <f t="shared" si="82"/>
        <v>0.12283103449093123</v>
      </c>
      <c r="V511" s="7" t="str">
        <f t="shared" si="83"/>
        <v>Mar-2025</v>
      </c>
      <c r="W511" s="22">
        <f t="shared" si="84"/>
        <v>45717</v>
      </c>
      <c r="X511" s="7" t="str">
        <f t="shared" si="85"/>
        <v>Q1-2025</v>
      </c>
      <c r="Y511" t="str">
        <f t="shared" si="86"/>
        <v>Europe → United Kingdom → London</v>
      </c>
      <c r="Z511" t="str">
        <f t="shared" si="87"/>
        <v>Networking</v>
      </c>
      <c r="AA511" t="str" cm="1">
        <f t="array" ref="AA511">_xlfn.IFS(O511&lt;=$AF$2,"Low",AND(O511&gt;$AF$2,O511&lt;$AF$3),"Medium",O511&gt;=$AF$3,"High")</f>
        <v>High</v>
      </c>
      <c r="AB511" s="22">
        <f t="shared" si="88"/>
        <v>44927</v>
      </c>
      <c r="AC511">
        <v>26</v>
      </c>
    </row>
    <row r="512" spans="1:29" x14ac:dyDescent="0.35">
      <c r="A512" s="4" t="s">
        <v>320</v>
      </c>
      <c r="B512" s="5" t="str">
        <f>IF(COUNTIF($A$2:A512,A512)=1,"Original","Duplicate")</f>
        <v>Original</v>
      </c>
      <c r="C512" s="7">
        <v>45741</v>
      </c>
      <c r="D512" s="7">
        <v>45742</v>
      </c>
      <c r="E512">
        <f t="shared" si="78"/>
        <v>1</v>
      </c>
      <c r="F512" t="s">
        <v>646</v>
      </c>
      <c r="G512" t="s">
        <v>651</v>
      </c>
      <c r="H512" t="s">
        <v>665</v>
      </c>
      <c r="I512" t="s">
        <v>702</v>
      </c>
      <c r="J512" t="s">
        <v>710</v>
      </c>
      <c r="K512" t="s">
        <v>715</v>
      </c>
      <c r="L512" t="s">
        <v>733</v>
      </c>
      <c r="M512" t="s">
        <v>1040</v>
      </c>
      <c r="N512" s="23">
        <v>1450.43</v>
      </c>
      <c r="O512" s="23">
        <v>1994.67</v>
      </c>
      <c r="P512" s="8">
        <v>0.1</v>
      </c>
      <c r="Q512">
        <v>24</v>
      </c>
      <c r="R512" s="23">
        <f t="shared" si="79"/>
        <v>43084.872000000003</v>
      </c>
      <c r="S512" s="23">
        <f t="shared" si="80"/>
        <v>34810.32</v>
      </c>
      <c r="T512" s="23">
        <f t="shared" si="81"/>
        <v>8274.5520000000033</v>
      </c>
      <c r="U512" s="14">
        <f t="shared" si="82"/>
        <v>0.19205237513529116</v>
      </c>
      <c r="V512" s="7" t="str">
        <f t="shared" si="83"/>
        <v>Mar-2025</v>
      </c>
      <c r="W512" s="22">
        <f t="shared" si="84"/>
        <v>45717</v>
      </c>
      <c r="X512" s="7" t="str">
        <f t="shared" si="85"/>
        <v>Q1-2025</v>
      </c>
      <c r="Y512" t="str">
        <f t="shared" si="86"/>
        <v>Africa → Nigeria → Lagos</v>
      </c>
      <c r="Z512" t="str">
        <f t="shared" si="87"/>
        <v>Accessories</v>
      </c>
      <c r="AA512" t="str" cm="1">
        <f t="array" ref="AA512">_xlfn.IFS(O512&lt;=$AF$2,"Low",AND(O512&gt;$AF$2,O512&lt;$AF$3),"Medium",O512&gt;=$AF$3,"High")</f>
        <v>High</v>
      </c>
      <c r="AB512" s="22">
        <f t="shared" si="88"/>
        <v>44927</v>
      </c>
      <c r="AC512">
        <v>26</v>
      </c>
    </row>
    <row r="513" spans="1:29" x14ac:dyDescent="0.35">
      <c r="A513" s="4" t="s">
        <v>18</v>
      </c>
      <c r="B513" s="5" t="str">
        <f>IF(COUNTIF($A$2:A513,A513)=1,"Original","Duplicate")</f>
        <v>Original</v>
      </c>
      <c r="C513" s="7">
        <v>45745</v>
      </c>
      <c r="D513" s="7">
        <v>45749</v>
      </c>
      <c r="E513">
        <f t="shared" si="78"/>
        <v>4</v>
      </c>
      <c r="F513" t="s">
        <v>646</v>
      </c>
      <c r="G513" t="s">
        <v>651</v>
      </c>
      <c r="H513" t="s">
        <v>665</v>
      </c>
      <c r="I513" t="s">
        <v>703</v>
      </c>
      <c r="J513" t="s">
        <v>709</v>
      </c>
      <c r="K513" t="s">
        <v>715</v>
      </c>
      <c r="L513" t="s">
        <v>730</v>
      </c>
      <c r="M513" t="s">
        <v>737</v>
      </c>
      <c r="N513" s="23">
        <v>259.93</v>
      </c>
      <c r="O513" s="23">
        <v>255.94</v>
      </c>
      <c r="P513" s="8">
        <v>7.1999999999999995E-2</v>
      </c>
      <c r="Q513">
        <v>22</v>
      </c>
      <c r="R513" s="23">
        <f t="shared" si="79"/>
        <v>5225.2710400000005</v>
      </c>
      <c r="S513" s="23">
        <f t="shared" si="80"/>
        <v>5718.46</v>
      </c>
      <c r="T513" s="23">
        <f t="shared" si="81"/>
        <v>-493.1889599999995</v>
      </c>
      <c r="U513" s="14">
        <f t="shared" si="82"/>
        <v>-9.4385335463861311E-2</v>
      </c>
      <c r="V513" s="7" t="str">
        <f t="shared" si="83"/>
        <v>Mar-2025</v>
      </c>
      <c r="W513" s="22">
        <f t="shared" si="84"/>
        <v>45717</v>
      </c>
      <c r="X513" s="7" t="str">
        <f t="shared" si="85"/>
        <v>Q1-2025</v>
      </c>
      <c r="Y513" t="str">
        <f t="shared" si="86"/>
        <v>Africa → Nigeria → Lagos</v>
      </c>
      <c r="Z513" t="str">
        <f t="shared" si="87"/>
        <v>Phones</v>
      </c>
      <c r="AA513" t="str" cm="1">
        <f t="array" ref="AA513">_xlfn.IFS(O513&lt;=$AF$2,"Low",AND(O513&gt;$AF$2,O513&lt;$AF$3),"Medium",O513&gt;=$AF$3,"High")</f>
        <v>Low</v>
      </c>
      <c r="AB513" s="22">
        <f t="shared" si="88"/>
        <v>44927</v>
      </c>
      <c r="AC513">
        <v>26</v>
      </c>
    </row>
    <row r="514" spans="1:29" x14ac:dyDescent="0.35">
      <c r="A514" s="4" t="s">
        <v>305</v>
      </c>
      <c r="B514" s="5" t="str">
        <f>IF(COUNTIF($A$2:A514,A514)=1,"Original","Duplicate")</f>
        <v>Original</v>
      </c>
      <c r="C514" s="7">
        <v>45746</v>
      </c>
      <c r="D514" s="7">
        <v>45754</v>
      </c>
      <c r="E514">
        <f t="shared" ref="E514:E577" si="89">D514-C514</f>
        <v>8</v>
      </c>
      <c r="F514" t="s">
        <v>648</v>
      </c>
      <c r="G514" t="s">
        <v>655</v>
      </c>
      <c r="H514" t="s">
        <v>670</v>
      </c>
      <c r="I514" t="s">
        <v>703</v>
      </c>
      <c r="J514" t="s">
        <v>711</v>
      </c>
      <c r="K514" t="s">
        <v>716</v>
      </c>
      <c r="L514" t="s">
        <v>728</v>
      </c>
      <c r="M514" t="s">
        <v>1025</v>
      </c>
      <c r="N514" s="23">
        <v>71.62</v>
      </c>
      <c r="O514" s="23">
        <v>118.37</v>
      </c>
      <c r="P514" s="8">
        <v>0.156</v>
      </c>
      <c r="Q514">
        <v>11</v>
      </c>
      <c r="R514" s="23">
        <f t="shared" si="79"/>
        <v>1098.9470800000001</v>
      </c>
      <c r="S514" s="23">
        <f t="shared" si="80"/>
        <v>787.82</v>
      </c>
      <c r="T514" s="23">
        <f t="shared" si="81"/>
        <v>311.12708000000009</v>
      </c>
      <c r="U514" s="14">
        <f t="shared" si="82"/>
        <v>0.28311379652603474</v>
      </c>
      <c r="V514" s="7" t="str">
        <f t="shared" si="83"/>
        <v>Mar-2025</v>
      </c>
      <c r="W514" s="22">
        <f t="shared" si="84"/>
        <v>45717</v>
      </c>
      <c r="X514" s="7" t="str">
        <f t="shared" si="85"/>
        <v>Q1-2025</v>
      </c>
      <c r="Y514" t="str">
        <f t="shared" si="86"/>
        <v>Americas → Brazil → São Paulo</v>
      </c>
      <c r="Z514" t="str">
        <f t="shared" si="87"/>
        <v>Printers</v>
      </c>
      <c r="AA514" t="str" cm="1">
        <f t="array" ref="AA514">_xlfn.IFS(O514&lt;=$AF$2,"Low",AND(O514&gt;$AF$2,O514&lt;$AF$3),"Medium",O514&gt;=$AF$3,"High")</f>
        <v>Low</v>
      </c>
      <c r="AB514" s="22">
        <f t="shared" si="88"/>
        <v>44927</v>
      </c>
      <c r="AC514">
        <v>26</v>
      </c>
    </row>
    <row r="515" spans="1:29" x14ac:dyDescent="0.35">
      <c r="A515" s="4" t="s">
        <v>461</v>
      </c>
      <c r="B515" s="5" t="str">
        <f>IF(COUNTIF($A$2:A515,A515)=1,"Original","Duplicate")</f>
        <v>Original</v>
      </c>
      <c r="C515" s="7">
        <v>45746</v>
      </c>
      <c r="D515" s="7">
        <v>45776</v>
      </c>
      <c r="E515">
        <f t="shared" si="89"/>
        <v>30</v>
      </c>
      <c r="F515" t="s">
        <v>646</v>
      </c>
      <c r="G515" t="s">
        <v>661</v>
      </c>
      <c r="H515" t="s">
        <v>687</v>
      </c>
      <c r="I515" t="s">
        <v>704</v>
      </c>
      <c r="J515" t="s">
        <v>709</v>
      </c>
      <c r="K515" t="s">
        <v>713</v>
      </c>
      <c r="L515" t="s">
        <v>732</v>
      </c>
      <c r="M515" t="s">
        <v>1180</v>
      </c>
      <c r="N515" s="23">
        <v>194.6</v>
      </c>
      <c r="O515" s="23">
        <v>314.87</v>
      </c>
      <c r="P515" s="8">
        <v>0.29299999999999998</v>
      </c>
      <c r="Q515">
        <v>25</v>
      </c>
      <c r="R515" s="23">
        <f t="shared" ref="R515:R578" si="90">(O515*Q515)*(1-P515)</f>
        <v>5565.3272500000003</v>
      </c>
      <c r="S515" s="23">
        <f t="shared" ref="S515:S578" si="91">N515*Q515</f>
        <v>4865</v>
      </c>
      <c r="T515" s="23">
        <f t="shared" ref="T515:T578" si="92">R515-S515</f>
        <v>700.32725000000028</v>
      </c>
      <c r="U515" s="14">
        <f t="shared" ref="U515:U578" si="93">IF(R515=0,0,T515/R515)</f>
        <v>0.1258375686712763</v>
      </c>
      <c r="V515" s="7" t="str">
        <f t="shared" ref="V515:V578" si="94">TEXT(C515,"MMM-YYYY")</f>
        <v>Mar-2025</v>
      </c>
      <c r="W515" s="22">
        <f t="shared" ref="W515:W578" si="95">DATEVALUE(V515)</f>
        <v>45717</v>
      </c>
      <c r="X515" s="7" t="str">
        <f t="shared" ref="X515:X578" si="96">"Q"&amp;ROUNDUP(MONTH(C515)/3,0)&amp;"-"&amp;YEAR(C515)</f>
        <v>Q1-2025</v>
      </c>
      <c r="Y515" t="str">
        <f t="shared" ref="Y515:Y578" si="97">_xlfn.CONCAT(F515," ","→"," ",G515," ","→"," ",H515)</f>
        <v>Africa → South Africa → Durban</v>
      </c>
      <c r="Z515" t="str">
        <f t="shared" ref="Z515:Z578" si="98">TRIM(L515)</f>
        <v>Monitors</v>
      </c>
      <c r="AA515" t="str" cm="1">
        <f t="array" ref="AA515">_xlfn.IFS(O515&lt;=$AF$2,"Low",AND(O515&gt;$AF$2,O515&lt;$AF$3),"Medium",O515&gt;=$AF$3,"High")</f>
        <v>Low</v>
      </c>
      <c r="AB515" s="22">
        <f t="shared" ref="AB515:AB578" si="99">_xlfn.MINIFS($W$2:$W$632,$G$2:$G$632,G515)</f>
        <v>44927</v>
      </c>
      <c r="AC515">
        <v>26</v>
      </c>
    </row>
    <row r="516" spans="1:29" x14ac:dyDescent="0.35">
      <c r="A516" s="4" t="s">
        <v>117</v>
      </c>
      <c r="B516" s="5" t="str">
        <f>IF(COUNTIF($A$2:A516,A516)=1,"Original","Duplicate")</f>
        <v>Original</v>
      </c>
      <c r="C516" s="7">
        <v>45747</v>
      </c>
      <c r="D516" s="7">
        <v>45751</v>
      </c>
      <c r="E516">
        <f t="shared" si="89"/>
        <v>4</v>
      </c>
      <c r="F516" t="s">
        <v>646</v>
      </c>
      <c r="G516" t="s">
        <v>650</v>
      </c>
      <c r="H516" t="s">
        <v>678</v>
      </c>
      <c r="I516" t="s">
        <v>701</v>
      </c>
      <c r="J516" t="s">
        <v>711</v>
      </c>
      <c r="K516" t="s">
        <v>712</v>
      </c>
      <c r="L516" t="s">
        <v>731</v>
      </c>
      <c r="M516" t="s">
        <v>836</v>
      </c>
      <c r="N516" s="23">
        <v>862.08</v>
      </c>
      <c r="O516" s="23">
        <v>1952.83</v>
      </c>
      <c r="P516" s="8">
        <v>0</v>
      </c>
      <c r="Q516">
        <v>7</v>
      </c>
      <c r="R516" s="23">
        <f t="shared" si="90"/>
        <v>13669.81</v>
      </c>
      <c r="S516" s="23">
        <f t="shared" si="91"/>
        <v>6034.56</v>
      </c>
      <c r="T516" s="23">
        <f t="shared" si="92"/>
        <v>7635.2499999999991</v>
      </c>
      <c r="U516" s="14">
        <f t="shared" si="93"/>
        <v>0.5585483631447693</v>
      </c>
      <c r="V516" s="7" t="str">
        <f t="shared" si="94"/>
        <v>Mar-2025</v>
      </c>
      <c r="W516" s="22">
        <f t="shared" si="95"/>
        <v>45717</v>
      </c>
      <c r="X516" s="7" t="str">
        <f t="shared" si="96"/>
        <v>Q1-2025</v>
      </c>
      <c r="Y516" t="str">
        <f t="shared" si="97"/>
        <v>Africa → Kenya → Nakuru</v>
      </c>
      <c r="Z516" t="str">
        <f t="shared" si="98"/>
        <v>Laptops</v>
      </c>
      <c r="AA516" t="str" cm="1">
        <f t="array" ref="AA516">_xlfn.IFS(O516&lt;=$AF$2,"Low",AND(O516&gt;$AF$2,O516&lt;$AF$3),"Medium",O516&gt;=$AF$3,"High")</f>
        <v>High</v>
      </c>
      <c r="AB516" s="22">
        <f t="shared" si="99"/>
        <v>44927</v>
      </c>
      <c r="AC516">
        <v>26</v>
      </c>
    </row>
    <row r="517" spans="1:29" x14ac:dyDescent="0.35">
      <c r="A517" s="4" t="s">
        <v>332</v>
      </c>
      <c r="B517" s="5" t="str">
        <f>IF(COUNTIF($A$2:A517,A517)=1,"Original","Duplicate")</f>
        <v>Original</v>
      </c>
      <c r="C517" s="7">
        <v>45748</v>
      </c>
      <c r="D517" s="7">
        <v>45774</v>
      </c>
      <c r="E517">
        <f t="shared" si="89"/>
        <v>26</v>
      </c>
      <c r="F517" t="s">
        <v>648</v>
      </c>
      <c r="G517" t="s">
        <v>660</v>
      </c>
      <c r="H517" t="s">
        <v>686</v>
      </c>
      <c r="I517" t="s">
        <v>701</v>
      </c>
      <c r="J517" t="s">
        <v>711</v>
      </c>
      <c r="K517" t="s">
        <v>714</v>
      </c>
      <c r="L517" t="s">
        <v>732</v>
      </c>
      <c r="M517" t="s">
        <v>1052</v>
      </c>
      <c r="N517" s="23">
        <v>156.55000000000001</v>
      </c>
      <c r="O517" s="23">
        <v>227.45</v>
      </c>
      <c r="P517" s="8">
        <v>1.4E-2</v>
      </c>
      <c r="Q517">
        <v>13</v>
      </c>
      <c r="R517" s="23">
        <f t="shared" si="90"/>
        <v>2915.4540999999999</v>
      </c>
      <c r="S517" s="23">
        <f t="shared" si="91"/>
        <v>2035.15</v>
      </c>
      <c r="T517" s="23">
        <f t="shared" si="92"/>
        <v>880.30409999999983</v>
      </c>
      <c r="U517" s="14">
        <f t="shared" si="93"/>
        <v>0.3019440779396938</v>
      </c>
      <c r="V517" s="7" t="str">
        <f t="shared" si="94"/>
        <v>Apr-2025</v>
      </c>
      <c r="W517" s="22">
        <f t="shared" si="95"/>
        <v>45748</v>
      </c>
      <c r="X517" s="7" t="str">
        <f t="shared" si="96"/>
        <v>Q2-2025</v>
      </c>
      <c r="Y517" t="str">
        <f t="shared" si="97"/>
        <v>Americas → USA → San Francisco</v>
      </c>
      <c r="Z517" t="str">
        <f t="shared" si="98"/>
        <v>Monitors</v>
      </c>
      <c r="AA517" t="str" cm="1">
        <f t="array" ref="AA517">_xlfn.IFS(O517&lt;=$AF$2,"Low",AND(O517&gt;$AF$2,O517&lt;$AF$3),"Medium",O517&gt;=$AF$3,"High")</f>
        <v>Low</v>
      </c>
      <c r="AB517" s="22">
        <f t="shared" si="99"/>
        <v>44927</v>
      </c>
      <c r="AC517">
        <v>27</v>
      </c>
    </row>
    <row r="518" spans="1:29" x14ac:dyDescent="0.35">
      <c r="A518" s="4" t="s">
        <v>300</v>
      </c>
      <c r="B518" s="5" t="str">
        <f>IF(COUNTIF($A$2:A518,A518)=1,"Original","Duplicate")</f>
        <v>Original</v>
      </c>
      <c r="C518" s="7">
        <v>45751</v>
      </c>
      <c r="D518" s="7">
        <v>45760</v>
      </c>
      <c r="E518">
        <f t="shared" si="89"/>
        <v>9</v>
      </c>
      <c r="F518" t="s">
        <v>649</v>
      </c>
      <c r="G518" t="s">
        <v>656</v>
      </c>
      <c r="H518" t="s">
        <v>684</v>
      </c>
      <c r="I518" t="s">
        <v>704</v>
      </c>
      <c r="J518" t="s">
        <v>709</v>
      </c>
      <c r="K518" t="s">
        <v>721</v>
      </c>
      <c r="L518" t="s">
        <v>730</v>
      </c>
      <c r="M518" t="s">
        <v>1020</v>
      </c>
      <c r="N518" s="23">
        <v>7.02</v>
      </c>
      <c r="O518" s="23">
        <v>6.28</v>
      </c>
      <c r="P518" s="8">
        <v>0.13400000000000001</v>
      </c>
      <c r="Q518">
        <v>14</v>
      </c>
      <c r="R518" s="23">
        <f t="shared" si="90"/>
        <v>76.138720000000006</v>
      </c>
      <c r="S518" s="23">
        <f t="shared" si="91"/>
        <v>98.28</v>
      </c>
      <c r="T518" s="23">
        <f t="shared" si="92"/>
        <v>-22.141279999999995</v>
      </c>
      <c r="U518" s="14">
        <f t="shared" si="93"/>
        <v>-0.29080184169106066</v>
      </c>
      <c r="V518" s="7" t="str">
        <f t="shared" si="94"/>
        <v>Apr-2025</v>
      </c>
      <c r="W518" s="22">
        <f t="shared" si="95"/>
        <v>45748</v>
      </c>
      <c r="X518" s="7" t="str">
        <f t="shared" si="96"/>
        <v>Q2-2025</v>
      </c>
      <c r="Y518" t="str">
        <f t="shared" si="97"/>
        <v>Europe → Germany → Munich</v>
      </c>
      <c r="Z518" t="str">
        <f t="shared" si="98"/>
        <v>Phones</v>
      </c>
      <c r="AA518" t="str" cm="1">
        <f t="array" ref="AA518">_xlfn.IFS(O518&lt;=$AF$2,"Low",AND(O518&gt;$AF$2,O518&lt;$AF$3),"Medium",O518&gt;=$AF$3,"High")</f>
        <v>Low</v>
      </c>
      <c r="AB518" s="22">
        <f t="shared" si="99"/>
        <v>44927</v>
      </c>
      <c r="AC518">
        <v>27</v>
      </c>
    </row>
    <row r="519" spans="1:29" x14ac:dyDescent="0.35">
      <c r="A519" s="4" t="s">
        <v>387</v>
      </c>
      <c r="B519" s="5" t="str">
        <f>IF(COUNTIF($A$2:A519,A519)=1,"Original","Duplicate")</f>
        <v>Original</v>
      </c>
      <c r="C519" s="7">
        <v>45751</v>
      </c>
      <c r="D519" s="7">
        <v>45757</v>
      </c>
      <c r="E519">
        <f t="shared" si="89"/>
        <v>6</v>
      </c>
      <c r="F519" t="s">
        <v>649</v>
      </c>
      <c r="G519" t="s">
        <v>658</v>
      </c>
      <c r="H519" t="s">
        <v>674</v>
      </c>
      <c r="I519" t="s">
        <v>703</v>
      </c>
      <c r="J519" t="s">
        <v>711</v>
      </c>
      <c r="K519" t="s">
        <v>725</v>
      </c>
      <c r="L519" t="s">
        <v>728</v>
      </c>
      <c r="M519" t="s">
        <v>1107</v>
      </c>
      <c r="N519" s="23">
        <v>290.14</v>
      </c>
      <c r="O519" s="23">
        <v>250.73</v>
      </c>
      <c r="P519" s="8">
        <v>3.4000000000000002E-2</v>
      </c>
      <c r="Q519">
        <v>17</v>
      </c>
      <c r="R519" s="23">
        <f t="shared" si="90"/>
        <v>4117.4880599999997</v>
      </c>
      <c r="S519" s="23">
        <f t="shared" si="91"/>
        <v>4932.38</v>
      </c>
      <c r="T519" s="23">
        <f t="shared" si="92"/>
        <v>-814.89194000000043</v>
      </c>
      <c r="U519" s="14">
        <f t="shared" si="93"/>
        <v>-0.19790997038131072</v>
      </c>
      <c r="V519" s="7" t="str">
        <f t="shared" si="94"/>
        <v>Apr-2025</v>
      </c>
      <c r="W519" s="22">
        <f t="shared" si="95"/>
        <v>45748</v>
      </c>
      <c r="X519" s="7" t="str">
        <f t="shared" si="96"/>
        <v>Q2-2025</v>
      </c>
      <c r="Y519" t="str">
        <f t="shared" si="97"/>
        <v>Europe → United Kingdom → Birmingham</v>
      </c>
      <c r="Z519" t="str">
        <f t="shared" si="98"/>
        <v>Printers</v>
      </c>
      <c r="AA519" t="str" cm="1">
        <f t="array" ref="AA519">_xlfn.IFS(O519&lt;=$AF$2,"Low",AND(O519&gt;$AF$2,O519&lt;$AF$3),"Medium",O519&gt;=$AF$3,"High")</f>
        <v>Low</v>
      </c>
      <c r="AB519" s="22">
        <f t="shared" si="99"/>
        <v>44927</v>
      </c>
      <c r="AC519">
        <v>27</v>
      </c>
    </row>
    <row r="520" spans="1:29" x14ac:dyDescent="0.35">
      <c r="A520" s="4" t="s">
        <v>70</v>
      </c>
      <c r="B520" s="5" t="str">
        <f>IF(COUNTIF($A$2:A520,A520)=1,"Original","Duplicate")</f>
        <v>Original</v>
      </c>
      <c r="C520" s="7">
        <v>45753</v>
      </c>
      <c r="D520" s="7">
        <v>45777</v>
      </c>
      <c r="E520">
        <f t="shared" si="89"/>
        <v>24</v>
      </c>
      <c r="F520" t="s">
        <v>648</v>
      </c>
      <c r="G520" t="s">
        <v>655</v>
      </c>
      <c r="H520" t="s">
        <v>672</v>
      </c>
      <c r="I520" t="s">
        <v>702</v>
      </c>
      <c r="J520" t="s">
        <v>708</v>
      </c>
      <c r="K520" t="s">
        <v>723</v>
      </c>
      <c r="L520" t="s">
        <v>732</v>
      </c>
      <c r="M520" t="s">
        <v>789</v>
      </c>
      <c r="N520" s="23">
        <v>855.78</v>
      </c>
      <c r="O520" s="23">
        <v>977.38</v>
      </c>
      <c r="P520" s="8">
        <v>0.14699999999999999</v>
      </c>
      <c r="Q520">
        <v>38</v>
      </c>
      <c r="R520" s="23">
        <f t="shared" si="90"/>
        <v>31680.795320000001</v>
      </c>
      <c r="S520" s="23">
        <f t="shared" si="91"/>
        <v>32519.64</v>
      </c>
      <c r="T520" s="23">
        <f t="shared" si="92"/>
        <v>-838.84467999999833</v>
      </c>
      <c r="U520" s="14">
        <f t="shared" si="93"/>
        <v>-2.6478018355506307E-2</v>
      </c>
      <c r="V520" s="7" t="str">
        <f t="shared" si="94"/>
        <v>Apr-2025</v>
      </c>
      <c r="W520" s="22">
        <f t="shared" si="95"/>
        <v>45748</v>
      </c>
      <c r="X520" s="7" t="str">
        <f t="shared" si="96"/>
        <v>Q2-2025</v>
      </c>
      <c r="Y520" t="str">
        <f t="shared" si="97"/>
        <v>Americas → Brazil → Brasília</v>
      </c>
      <c r="Z520" t="str">
        <f t="shared" si="98"/>
        <v>Monitors</v>
      </c>
      <c r="AA520" t="str" cm="1">
        <f t="array" ref="AA520">_xlfn.IFS(O520&lt;=$AF$2,"Low",AND(O520&gt;$AF$2,O520&lt;$AF$3),"Medium",O520&gt;=$AF$3,"High")</f>
        <v>Medium</v>
      </c>
      <c r="AB520" s="22">
        <f t="shared" si="99"/>
        <v>44927</v>
      </c>
      <c r="AC520">
        <v>27</v>
      </c>
    </row>
    <row r="521" spans="1:29" x14ac:dyDescent="0.35">
      <c r="A521" s="4" t="s">
        <v>44</v>
      </c>
      <c r="B521" s="5" t="str">
        <f>IF(COUNTIF($A$2:A521,A521)=1,"Original","Duplicate")</f>
        <v>Original</v>
      </c>
      <c r="C521" s="7">
        <v>45754</v>
      </c>
      <c r="D521" s="7">
        <v>45758</v>
      </c>
      <c r="E521">
        <f t="shared" si="89"/>
        <v>4</v>
      </c>
      <c r="F521" t="s">
        <v>649</v>
      </c>
      <c r="G521" t="s">
        <v>657</v>
      </c>
      <c r="H521" t="s">
        <v>679</v>
      </c>
      <c r="I521" t="s">
        <v>702</v>
      </c>
      <c r="J521" t="s">
        <v>707</v>
      </c>
      <c r="K521" t="s">
        <v>718</v>
      </c>
      <c r="L521" t="s">
        <v>729</v>
      </c>
      <c r="M521" t="s">
        <v>763</v>
      </c>
      <c r="N521" s="23">
        <v>754.77</v>
      </c>
      <c r="O521" s="23">
        <v>1666.18</v>
      </c>
      <c r="P521" s="8">
        <v>0.13900000000000001</v>
      </c>
      <c r="Q521">
        <v>14</v>
      </c>
      <c r="R521" s="23">
        <f t="shared" si="90"/>
        <v>20084.133720000002</v>
      </c>
      <c r="S521" s="23">
        <f t="shared" si="91"/>
        <v>10566.779999999999</v>
      </c>
      <c r="T521" s="23">
        <f t="shared" si="92"/>
        <v>9517.3537200000028</v>
      </c>
      <c r="U521" s="14">
        <f t="shared" si="93"/>
        <v>0.47387424584424653</v>
      </c>
      <c r="V521" s="7" t="str">
        <f t="shared" si="94"/>
        <v>Apr-2025</v>
      </c>
      <c r="W521" s="22">
        <f t="shared" si="95"/>
        <v>45748</v>
      </c>
      <c r="X521" s="7" t="str">
        <f t="shared" si="96"/>
        <v>Q2-2025</v>
      </c>
      <c r="Y521" t="str">
        <f t="shared" si="97"/>
        <v>Europe → France → Lyon</v>
      </c>
      <c r="Z521" t="str">
        <f t="shared" si="98"/>
        <v>Networking</v>
      </c>
      <c r="AA521" t="str" cm="1">
        <f t="array" ref="AA521">_xlfn.IFS(O521&lt;=$AF$2,"Low",AND(O521&gt;$AF$2,O521&lt;$AF$3),"Medium",O521&gt;=$AF$3,"High")</f>
        <v>High</v>
      </c>
      <c r="AB521" s="22">
        <f t="shared" si="99"/>
        <v>44927</v>
      </c>
      <c r="AC521">
        <v>27</v>
      </c>
    </row>
    <row r="522" spans="1:29" x14ac:dyDescent="0.35">
      <c r="A522" s="4" t="s">
        <v>86</v>
      </c>
      <c r="B522" s="5" t="str">
        <f>IF(COUNTIF($A$2:A522,A522)=1,"Original","Duplicate")</f>
        <v>Original</v>
      </c>
      <c r="C522" s="7">
        <v>45756</v>
      </c>
      <c r="D522" s="7">
        <v>45783</v>
      </c>
      <c r="E522">
        <f t="shared" si="89"/>
        <v>27</v>
      </c>
      <c r="F522" t="s">
        <v>648</v>
      </c>
      <c r="G522" t="s">
        <v>655</v>
      </c>
      <c r="H522" t="s">
        <v>672</v>
      </c>
      <c r="I522" t="s">
        <v>706</v>
      </c>
      <c r="J522" t="s">
        <v>709</v>
      </c>
      <c r="K522" t="s">
        <v>721</v>
      </c>
      <c r="L522" t="s">
        <v>731</v>
      </c>
      <c r="M522" t="s">
        <v>805</v>
      </c>
      <c r="N522" s="23">
        <v>264.19</v>
      </c>
      <c r="O522" s="23">
        <v>620.92999999999995</v>
      </c>
      <c r="P522" s="8">
        <v>0.14199999999999999</v>
      </c>
      <c r="Q522">
        <v>12</v>
      </c>
      <c r="R522" s="23">
        <f t="shared" si="90"/>
        <v>6393.0952799999995</v>
      </c>
      <c r="S522" s="23">
        <f t="shared" si="91"/>
        <v>3170.2799999999997</v>
      </c>
      <c r="T522" s="23">
        <f t="shared" si="92"/>
        <v>3222.8152799999998</v>
      </c>
      <c r="U522" s="14">
        <f t="shared" si="93"/>
        <v>0.50410875152794532</v>
      </c>
      <c r="V522" s="7" t="str">
        <f t="shared" si="94"/>
        <v>Apr-2025</v>
      </c>
      <c r="W522" s="22">
        <f t="shared" si="95"/>
        <v>45748</v>
      </c>
      <c r="X522" s="7" t="str">
        <f t="shared" si="96"/>
        <v>Q2-2025</v>
      </c>
      <c r="Y522" t="str">
        <f t="shared" si="97"/>
        <v>Americas → Brazil → Brasília</v>
      </c>
      <c r="Z522" t="str">
        <f t="shared" si="98"/>
        <v>Laptops</v>
      </c>
      <c r="AA522" t="str" cm="1">
        <f t="array" ref="AA522">_xlfn.IFS(O522&lt;=$AF$2,"Low",AND(O522&gt;$AF$2,O522&lt;$AF$3),"Medium",O522&gt;=$AF$3,"High")</f>
        <v>Low</v>
      </c>
      <c r="AB522" s="22">
        <f t="shared" si="99"/>
        <v>44927</v>
      </c>
      <c r="AC522">
        <v>27</v>
      </c>
    </row>
    <row r="523" spans="1:29" x14ac:dyDescent="0.35">
      <c r="A523" s="4" t="s">
        <v>319</v>
      </c>
      <c r="B523" s="5" t="str">
        <f>IF(COUNTIF($A$2:A523,A523)=1,"Original","Duplicate")</f>
        <v>Original</v>
      </c>
      <c r="C523" s="7">
        <v>45756</v>
      </c>
      <c r="D523" s="7">
        <v>45759</v>
      </c>
      <c r="E523">
        <f t="shared" si="89"/>
        <v>3</v>
      </c>
      <c r="F523" t="s">
        <v>649</v>
      </c>
      <c r="G523" t="s">
        <v>657</v>
      </c>
      <c r="H523" t="s">
        <v>679</v>
      </c>
      <c r="I523" t="s">
        <v>705</v>
      </c>
      <c r="J523" t="s">
        <v>710</v>
      </c>
      <c r="K523" t="s">
        <v>722</v>
      </c>
      <c r="L523" t="s">
        <v>732</v>
      </c>
      <c r="M523" t="s">
        <v>1039</v>
      </c>
      <c r="N523" s="23">
        <v>86.68</v>
      </c>
      <c r="O523" s="23">
        <v>213.32</v>
      </c>
      <c r="P523" s="8">
        <v>3.7999999999999999E-2</v>
      </c>
      <c r="Q523">
        <v>8</v>
      </c>
      <c r="R523" s="23">
        <f t="shared" si="90"/>
        <v>1641.7107199999998</v>
      </c>
      <c r="S523" s="23">
        <f t="shared" si="91"/>
        <v>693.44</v>
      </c>
      <c r="T523" s="23">
        <f t="shared" si="92"/>
        <v>948.27071999999976</v>
      </c>
      <c r="U523" s="14">
        <f t="shared" si="93"/>
        <v>0.57761133459614611</v>
      </c>
      <c r="V523" s="7" t="str">
        <f t="shared" si="94"/>
        <v>Apr-2025</v>
      </c>
      <c r="W523" s="22">
        <f t="shared" si="95"/>
        <v>45748</v>
      </c>
      <c r="X523" s="7" t="str">
        <f t="shared" si="96"/>
        <v>Q2-2025</v>
      </c>
      <c r="Y523" t="str">
        <f t="shared" si="97"/>
        <v>Europe → France → Lyon</v>
      </c>
      <c r="Z523" t="str">
        <f t="shared" si="98"/>
        <v>Monitors</v>
      </c>
      <c r="AA523" t="str" cm="1">
        <f t="array" ref="AA523">_xlfn.IFS(O523&lt;=$AF$2,"Low",AND(O523&gt;$AF$2,O523&lt;$AF$3),"Medium",O523&gt;=$AF$3,"High")</f>
        <v>Low</v>
      </c>
      <c r="AB523" s="22">
        <f t="shared" si="99"/>
        <v>44927</v>
      </c>
      <c r="AC523">
        <v>27</v>
      </c>
    </row>
    <row r="524" spans="1:29" x14ac:dyDescent="0.35">
      <c r="A524" s="4" t="s">
        <v>477</v>
      </c>
      <c r="B524" s="5" t="str">
        <f>IF(COUNTIF($A$2:A524,A524)=1,"Original","Duplicate")</f>
        <v>Original</v>
      </c>
      <c r="C524" s="7">
        <v>45757</v>
      </c>
      <c r="D524" s="7">
        <v>45766</v>
      </c>
      <c r="E524">
        <f t="shared" si="89"/>
        <v>9</v>
      </c>
      <c r="F524" t="s">
        <v>646</v>
      </c>
      <c r="G524" t="s">
        <v>661</v>
      </c>
      <c r="H524" t="s">
        <v>687</v>
      </c>
      <c r="I524" t="s">
        <v>706</v>
      </c>
      <c r="J524" t="s">
        <v>1431</v>
      </c>
      <c r="K524" t="s">
        <v>715</v>
      </c>
      <c r="L524" t="s">
        <v>729</v>
      </c>
      <c r="M524" t="s">
        <v>1196</v>
      </c>
      <c r="N524" s="23">
        <v>113.74</v>
      </c>
      <c r="O524" s="23">
        <v>165.7</v>
      </c>
      <c r="P524" s="8">
        <v>0.124</v>
      </c>
      <c r="Q524">
        <v>13</v>
      </c>
      <c r="R524" s="23">
        <f t="shared" si="90"/>
        <v>1886.9915999999998</v>
      </c>
      <c r="S524" s="23">
        <f t="shared" si="91"/>
        <v>1478.62</v>
      </c>
      <c r="T524" s="23">
        <f t="shared" si="92"/>
        <v>408.37159999999994</v>
      </c>
      <c r="U524" s="14">
        <f t="shared" si="93"/>
        <v>0.21641410592394794</v>
      </c>
      <c r="V524" s="7" t="str">
        <f t="shared" si="94"/>
        <v>Apr-2025</v>
      </c>
      <c r="W524" s="22">
        <f t="shared" si="95"/>
        <v>45748</v>
      </c>
      <c r="X524" s="7" t="str">
        <f t="shared" si="96"/>
        <v>Q2-2025</v>
      </c>
      <c r="Y524" t="str">
        <f t="shared" si="97"/>
        <v>Africa → South Africa → Durban</v>
      </c>
      <c r="Z524" t="str">
        <f t="shared" si="98"/>
        <v>Networking</v>
      </c>
      <c r="AA524" t="str" cm="1">
        <f t="array" ref="AA524">_xlfn.IFS(O524&lt;=$AF$2,"Low",AND(O524&gt;$AF$2,O524&lt;$AF$3),"Medium",O524&gt;=$AF$3,"High")</f>
        <v>Low</v>
      </c>
      <c r="AB524" s="22">
        <f t="shared" si="99"/>
        <v>44927</v>
      </c>
      <c r="AC524">
        <v>27</v>
      </c>
    </row>
    <row r="525" spans="1:29" x14ac:dyDescent="0.35">
      <c r="A525" s="4" t="s">
        <v>308</v>
      </c>
      <c r="B525" s="5" t="str">
        <f>IF(COUNTIF($A$2:A525,A525)=1,"Original","Duplicate")</f>
        <v>Original</v>
      </c>
      <c r="C525" s="7">
        <v>45758</v>
      </c>
      <c r="D525" s="7">
        <v>45781</v>
      </c>
      <c r="E525">
        <f t="shared" si="89"/>
        <v>23</v>
      </c>
      <c r="F525" t="s">
        <v>647</v>
      </c>
      <c r="G525" t="s">
        <v>652</v>
      </c>
      <c r="H525" t="s">
        <v>666</v>
      </c>
      <c r="I525" t="s">
        <v>705</v>
      </c>
      <c r="J525" t="s">
        <v>708</v>
      </c>
      <c r="K525" t="s">
        <v>724</v>
      </c>
      <c r="L525" t="s">
        <v>727</v>
      </c>
      <c r="M525" t="s">
        <v>1028</v>
      </c>
      <c r="N525" s="23">
        <v>786.2</v>
      </c>
      <c r="O525" s="23">
        <v>1075.3</v>
      </c>
      <c r="P525" s="8">
        <v>0.08</v>
      </c>
      <c r="Q525">
        <v>9</v>
      </c>
      <c r="R525" s="23">
        <f t="shared" si="90"/>
        <v>8903.4839999999986</v>
      </c>
      <c r="S525" s="23">
        <f t="shared" si="91"/>
        <v>7075.8</v>
      </c>
      <c r="T525" s="23">
        <f t="shared" si="92"/>
        <v>1827.6839999999984</v>
      </c>
      <c r="U525" s="14">
        <f t="shared" si="93"/>
        <v>0.20527739478163815</v>
      </c>
      <c r="V525" s="7" t="str">
        <f t="shared" si="94"/>
        <v>Apr-2025</v>
      </c>
      <c r="W525" s="22">
        <f t="shared" si="95"/>
        <v>45748</v>
      </c>
      <c r="X525" s="7" t="str">
        <f t="shared" si="96"/>
        <v>Q2-2025</v>
      </c>
      <c r="Y525" t="str">
        <f t="shared" si="97"/>
        <v>Asia → Japan → Osaka</v>
      </c>
      <c r="Z525" t="str">
        <f t="shared" si="98"/>
        <v>Components</v>
      </c>
      <c r="AA525" t="str" cm="1">
        <f t="array" ref="AA525">_xlfn.IFS(O525&lt;=$AF$2,"Low",AND(O525&gt;$AF$2,O525&lt;$AF$3),"Medium",O525&gt;=$AF$3,"High")</f>
        <v>Medium</v>
      </c>
      <c r="AB525" s="22">
        <f t="shared" si="99"/>
        <v>44986</v>
      </c>
      <c r="AC525">
        <v>25</v>
      </c>
    </row>
    <row r="526" spans="1:29" x14ac:dyDescent="0.35">
      <c r="A526" s="4" t="s">
        <v>414</v>
      </c>
      <c r="B526" s="5" t="str">
        <f>IF(COUNTIF($A$2:A526,A526)=1,"Original","Duplicate")</f>
        <v>Original</v>
      </c>
      <c r="C526" s="7">
        <v>45759</v>
      </c>
      <c r="D526" s="7">
        <v>45777</v>
      </c>
      <c r="E526">
        <f t="shared" si="89"/>
        <v>18</v>
      </c>
      <c r="F526" t="s">
        <v>646</v>
      </c>
      <c r="G526" t="s">
        <v>650</v>
      </c>
      <c r="H526" t="s">
        <v>662</v>
      </c>
      <c r="I526" t="s">
        <v>701</v>
      </c>
      <c r="J526" t="s">
        <v>709</v>
      </c>
      <c r="K526" t="s">
        <v>721</v>
      </c>
      <c r="L526" t="s">
        <v>729</v>
      </c>
      <c r="M526" t="s">
        <v>1133</v>
      </c>
      <c r="N526" s="23">
        <v>1119.04</v>
      </c>
      <c r="O526" s="23">
        <v>1299.02</v>
      </c>
      <c r="P526" s="8">
        <v>2.5000000000000001E-2</v>
      </c>
      <c r="Q526">
        <v>14</v>
      </c>
      <c r="R526" s="23">
        <f t="shared" si="90"/>
        <v>17731.623</v>
      </c>
      <c r="S526" s="23">
        <f t="shared" si="91"/>
        <v>15666.56</v>
      </c>
      <c r="T526" s="23">
        <f t="shared" si="92"/>
        <v>2065.0630000000001</v>
      </c>
      <c r="U526" s="14">
        <f t="shared" si="93"/>
        <v>0.11646215352085933</v>
      </c>
      <c r="V526" s="7" t="str">
        <f t="shared" si="94"/>
        <v>Apr-2025</v>
      </c>
      <c r="W526" s="22">
        <f t="shared" si="95"/>
        <v>45748</v>
      </c>
      <c r="X526" s="7" t="str">
        <f t="shared" si="96"/>
        <v>Q2-2025</v>
      </c>
      <c r="Y526" t="str">
        <f t="shared" si="97"/>
        <v>Africa → Kenya → Kisumu</v>
      </c>
      <c r="Z526" t="str">
        <f t="shared" si="98"/>
        <v>Networking</v>
      </c>
      <c r="AA526" t="str" cm="1">
        <f t="array" ref="AA526">_xlfn.IFS(O526&lt;=$AF$2,"Low",AND(O526&gt;$AF$2,O526&lt;$AF$3),"Medium",O526&gt;=$AF$3,"High")</f>
        <v>Medium</v>
      </c>
      <c r="AB526" s="22">
        <f t="shared" si="99"/>
        <v>44927</v>
      </c>
      <c r="AC526">
        <v>27</v>
      </c>
    </row>
    <row r="527" spans="1:29" x14ac:dyDescent="0.35">
      <c r="A527" s="4" t="s">
        <v>584</v>
      </c>
      <c r="B527" s="5" t="str">
        <f>IF(COUNTIF($A$2:A527,A527)=1,"Original","Duplicate")</f>
        <v>Original</v>
      </c>
      <c r="C527" s="7">
        <v>45760</v>
      </c>
      <c r="D527" s="7">
        <v>45761</v>
      </c>
      <c r="E527">
        <f t="shared" si="89"/>
        <v>1</v>
      </c>
      <c r="F527" t="s">
        <v>647</v>
      </c>
      <c r="G527" t="s">
        <v>652</v>
      </c>
      <c r="H527" t="s">
        <v>666</v>
      </c>
      <c r="I527" t="s">
        <v>706</v>
      </c>
      <c r="J527" t="s">
        <v>708</v>
      </c>
      <c r="K527" t="s">
        <v>715</v>
      </c>
      <c r="L527" t="s">
        <v>727</v>
      </c>
      <c r="M527" t="s">
        <v>1302</v>
      </c>
      <c r="N527" s="23">
        <v>138.9</v>
      </c>
      <c r="O527" s="23">
        <v>289.92</v>
      </c>
      <c r="P527" s="8">
        <v>2.9000000000000001E-2</v>
      </c>
      <c r="Q527">
        <v>12</v>
      </c>
      <c r="R527" s="23">
        <f t="shared" si="90"/>
        <v>3378.1478400000001</v>
      </c>
      <c r="S527" s="23">
        <f t="shared" si="91"/>
        <v>1666.8000000000002</v>
      </c>
      <c r="T527" s="23">
        <f t="shared" si="92"/>
        <v>1711.3478399999999</v>
      </c>
      <c r="U527" s="14">
        <f t="shared" si="93"/>
        <v>0.50659353025828491</v>
      </c>
      <c r="V527" s="7" t="str">
        <f t="shared" si="94"/>
        <v>Apr-2025</v>
      </c>
      <c r="W527" s="22">
        <f t="shared" si="95"/>
        <v>45748</v>
      </c>
      <c r="X527" s="7" t="str">
        <f t="shared" si="96"/>
        <v>Q2-2025</v>
      </c>
      <c r="Y527" t="str">
        <f t="shared" si="97"/>
        <v>Asia → Japan → Osaka</v>
      </c>
      <c r="Z527" t="str">
        <f t="shared" si="98"/>
        <v>Components</v>
      </c>
      <c r="AA527" t="str" cm="1">
        <f t="array" ref="AA527">_xlfn.IFS(O527&lt;=$AF$2,"Low",AND(O527&gt;$AF$2,O527&lt;$AF$3),"Medium",O527&gt;=$AF$3,"High")</f>
        <v>Low</v>
      </c>
      <c r="AB527" s="22">
        <f t="shared" si="99"/>
        <v>44986</v>
      </c>
      <c r="AC527">
        <v>25</v>
      </c>
    </row>
    <row r="528" spans="1:29" x14ac:dyDescent="0.35">
      <c r="A528" s="4" t="s">
        <v>190</v>
      </c>
      <c r="B528" s="5" t="str">
        <f>IF(COUNTIF($A$2:A528,A528)=1,"Original","Duplicate")</f>
        <v>Original</v>
      </c>
      <c r="C528" s="7">
        <v>45761</v>
      </c>
      <c r="D528" s="7">
        <v>45781</v>
      </c>
      <c r="E528">
        <f t="shared" si="89"/>
        <v>20</v>
      </c>
      <c r="F528" t="s">
        <v>649</v>
      </c>
      <c r="G528" t="s">
        <v>658</v>
      </c>
      <c r="H528" t="s">
        <v>674</v>
      </c>
      <c r="I528" t="s">
        <v>706</v>
      </c>
      <c r="J528" t="s">
        <v>709</v>
      </c>
      <c r="K528" t="s">
        <v>723</v>
      </c>
      <c r="L528" t="s">
        <v>732</v>
      </c>
      <c r="M528" t="s">
        <v>909</v>
      </c>
      <c r="N528" s="23">
        <v>1413.87</v>
      </c>
      <c r="O528" s="23">
        <v>3275</v>
      </c>
      <c r="P528" s="8">
        <v>0.255</v>
      </c>
      <c r="Q528">
        <v>38</v>
      </c>
      <c r="R528" s="23">
        <f t="shared" si="90"/>
        <v>92715.25</v>
      </c>
      <c r="S528" s="23">
        <f t="shared" si="91"/>
        <v>53727.06</v>
      </c>
      <c r="T528" s="23">
        <f t="shared" si="92"/>
        <v>38988.19</v>
      </c>
      <c r="U528" s="14">
        <f t="shared" si="93"/>
        <v>0.42051539525590453</v>
      </c>
      <c r="V528" s="7" t="str">
        <f t="shared" si="94"/>
        <v>Apr-2025</v>
      </c>
      <c r="W528" s="22">
        <f t="shared" si="95"/>
        <v>45748</v>
      </c>
      <c r="X528" s="7" t="str">
        <f t="shared" si="96"/>
        <v>Q2-2025</v>
      </c>
      <c r="Y528" t="str">
        <f t="shared" si="97"/>
        <v>Europe → United Kingdom → Birmingham</v>
      </c>
      <c r="Z528" t="str">
        <f t="shared" si="98"/>
        <v>Monitors</v>
      </c>
      <c r="AA528" t="str" cm="1">
        <f t="array" ref="AA528">_xlfn.IFS(O528&lt;=$AF$2,"Low",AND(O528&gt;$AF$2,O528&lt;$AF$3),"Medium",O528&gt;=$AF$3,"High")</f>
        <v>High</v>
      </c>
      <c r="AB528" s="22">
        <f t="shared" si="99"/>
        <v>44927</v>
      </c>
      <c r="AC528">
        <v>27</v>
      </c>
    </row>
    <row r="529" spans="1:29" x14ac:dyDescent="0.35">
      <c r="A529" s="4" t="s">
        <v>165</v>
      </c>
      <c r="B529" s="5" t="str">
        <f>IF(COUNTIF($A$2:A529,A529)=1,"Original","Duplicate")</f>
        <v>Original</v>
      </c>
      <c r="C529" s="7">
        <v>45763</v>
      </c>
      <c r="D529" s="7">
        <v>45793</v>
      </c>
      <c r="E529">
        <f t="shared" si="89"/>
        <v>30</v>
      </c>
      <c r="F529" t="s">
        <v>648</v>
      </c>
      <c r="G529" t="s">
        <v>653</v>
      </c>
      <c r="H529" t="s">
        <v>681</v>
      </c>
      <c r="I529" t="s">
        <v>706</v>
      </c>
      <c r="J529" t="s">
        <v>710</v>
      </c>
      <c r="K529" t="s">
        <v>723</v>
      </c>
      <c r="L529" t="s">
        <v>728</v>
      </c>
      <c r="M529" t="s">
        <v>884</v>
      </c>
      <c r="N529" s="23">
        <v>763.32</v>
      </c>
      <c r="O529" s="23">
        <v>568.29</v>
      </c>
      <c r="P529" s="8">
        <v>0.13100000000000001</v>
      </c>
      <c r="Q529">
        <v>16</v>
      </c>
      <c r="R529" s="23">
        <f t="shared" si="90"/>
        <v>7901.5041599999995</v>
      </c>
      <c r="S529" s="23">
        <f t="shared" si="91"/>
        <v>12213.12</v>
      </c>
      <c r="T529" s="23">
        <f t="shared" si="92"/>
        <v>-4311.6158400000013</v>
      </c>
      <c r="U529" s="14">
        <f t="shared" si="93"/>
        <v>-0.54567026134426555</v>
      </c>
      <c r="V529" s="7" t="str">
        <f t="shared" si="94"/>
        <v>Apr-2025</v>
      </c>
      <c r="W529" s="22">
        <f t="shared" si="95"/>
        <v>45748</v>
      </c>
      <c r="X529" s="7" t="str">
        <f t="shared" si="96"/>
        <v>Q2-2025</v>
      </c>
      <c r="Y529" t="str">
        <f t="shared" si="97"/>
        <v>Americas → Canada → Montreal</v>
      </c>
      <c r="Z529" t="str">
        <f t="shared" si="98"/>
        <v>Printers</v>
      </c>
      <c r="AA529" t="str" cm="1">
        <f t="array" ref="AA529">_xlfn.IFS(O529&lt;=$AF$2,"Low",AND(O529&gt;$AF$2,O529&lt;$AF$3),"Medium",O529&gt;=$AF$3,"High")</f>
        <v>Low</v>
      </c>
      <c r="AB529" s="22">
        <f t="shared" si="99"/>
        <v>44927</v>
      </c>
      <c r="AC529">
        <v>27</v>
      </c>
    </row>
    <row r="530" spans="1:29" x14ac:dyDescent="0.35">
      <c r="A530" s="4" t="s">
        <v>278</v>
      </c>
      <c r="B530" s="5" t="str">
        <f>IF(COUNTIF($A$2:A530,A530)=1,"Original","Duplicate")</f>
        <v>Original</v>
      </c>
      <c r="C530" s="7">
        <v>45763</v>
      </c>
      <c r="D530" s="7">
        <v>45773</v>
      </c>
      <c r="E530">
        <f t="shared" si="89"/>
        <v>10</v>
      </c>
      <c r="F530" t="s">
        <v>646</v>
      </c>
      <c r="G530" t="s">
        <v>651</v>
      </c>
      <c r="H530" t="s">
        <v>663</v>
      </c>
      <c r="I530" t="s">
        <v>706</v>
      </c>
      <c r="J530" t="s">
        <v>709</v>
      </c>
      <c r="K530" t="s">
        <v>721</v>
      </c>
      <c r="L530" t="s">
        <v>731</v>
      </c>
      <c r="M530" t="s">
        <v>998</v>
      </c>
      <c r="N530" s="23">
        <v>1457.44</v>
      </c>
      <c r="O530" s="23">
        <v>1996.81</v>
      </c>
      <c r="P530" s="8">
        <v>0.126</v>
      </c>
      <c r="Q530">
        <v>23</v>
      </c>
      <c r="R530" s="23">
        <f t="shared" si="90"/>
        <v>40139.874619999995</v>
      </c>
      <c r="S530" s="23">
        <f t="shared" si="91"/>
        <v>33521.120000000003</v>
      </c>
      <c r="T530" s="23">
        <f t="shared" si="92"/>
        <v>6618.7546199999924</v>
      </c>
      <c r="U530" s="14">
        <f t="shared" si="93"/>
        <v>0.16489225944672353</v>
      </c>
      <c r="V530" s="7" t="str">
        <f t="shared" si="94"/>
        <v>Apr-2025</v>
      </c>
      <c r="W530" s="22">
        <f t="shared" si="95"/>
        <v>45748</v>
      </c>
      <c r="X530" s="7" t="str">
        <f t="shared" si="96"/>
        <v>Q2-2025</v>
      </c>
      <c r="Y530" t="str">
        <f t="shared" si="97"/>
        <v>Africa → Nigeria → Port Harcourt</v>
      </c>
      <c r="Z530" t="str">
        <f t="shared" si="98"/>
        <v>Laptops</v>
      </c>
      <c r="AA530" t="str" cm="1">
        <f t="array" ref="AA530">_xlfn.IFS(O530&lt;=$AF$2,"Low",AND(O530&gt;$AF$2,O530&lt;$AF$3),"Medium",O530&gt;=$AF$3,"High")</f>
        <v>High</v>
      </c>
      <c r="AB530" s="22">
        <f t="shared" si="99"/>
        <v>44927</v>
      </c>
      <c r="AC530">
        <v>27</v>
      </c>
    </row>
    <row r="531" spans="1:29" x14ac:dyDescent="0.35">
      <c r="A531" s="4" t="s">
        <v>599</v>
      </c>
      <c r="B531" s="5" t="str">
        <f>IF(COUNTIF($A$2:A531,A531)=1,"Original","Duplicate")</f>
        <v>Original</v>
      </c>
      <c r="C531" s="7">
        <v>45764</v>
      </c>
      <c r="D531" s="7">
        <v>45771</v>
      </c>
      <c r="E531">
        <f t="shared" si="89"/>
        <v>7</v>
      </c>
      <c r="F531" t="s">
        <v>648</v>
      </c>
      <c r="G531" t="s">
        <v>655</v>
      </c>
      <c r="H531" t="s">
        <v>670</v>
      </c>
      <c r="I531" t="s">
        <v>701</v>
      </c>
      <c r="J531" t="s">
        <v>710</v>
      </c>
      <c r="K531" t="s">
        <v>716</v>
      </c>
      <c r="L531" t="s">
        <v>730</v>
      </c>
      <c r="M531" t="s">
        <v>1317</v>
      </c>
      <c r="N531" s="23">
        <v>719.41</v>
      </c>
      <c r="O531" s="23">
        <v>1125.99</v>
      </c>
      <c r="P531" s="8">
        <v>4.1000000000000002E-2</v>
      </c>
      <c r="Q531">
        <v>21</v>
      </c>
      <c r="R531" s="23">
        <f t="shared" si="90"/>
        <v>22676.312610000001</v>
      </c>
      <c r="S531" s="23">
        <f t="shared" si="91"/>
        <v>15107.609999999999</v>
      </c>
      <c r="T531" s="23">
        <f t="shared" si="92"/>
        <v>7568.7026100000021</v>
      </c>
      <c r="U531" s="14">
        <f t="shared" si="93"/>
        <v>0.33377131194876403</v>
      </c>
      <c r="V531" s="7" t="str">
        <f t="shared" si="94"/>
        <v>Apr-2025</v>
      </c>
      <c r="W531" s="22">
        <f t="shared" si="95"/>
        <v>45748</v>
      </c>
      <c r="X531" s="7" t="str">
        <f t="shared" si="96"/>
        <v>Q2-2025</v>
      </c>
      <c r="Y531" t="str">
        <f t="shared" si="97"/>
        <v>Americas → Brazil → São Paulo</v>
      </c>
      <c r="Z531" t="str">
        <f t="shared" si="98"/>
        <v>Phones</v>
      </c>
      <c r="AA531" t="str" cm="1">
        <f t="array" ref="AA531">_xlfn.IFS(O531&lt;=$AF$2,"Low",AND(O531&gt;$AF$2,O531&lt;$AF$3),"Medium",O531&gt;=$AF$3,"High")</f>
        <v>Medium</v>
      </c>
      <c r="AB531" s="22">
        <f t="shared" si="99"/>
        <v>44927</v>
      </c>
      <c r="AC531">
        <v>27</v>
      </c>
    </row>
    <row r="532" spans="1:29" x14ac:dyDescent="0.35">
      <c r="A532" s="4" t="s">
        <v>635</v>
      </c>
      <c r="B532" s="5" t="str">
        <f>IF(COUNTIF($A$2:A532,A532)=1,"Original","Duplicate")</f>
        <v>Original</v>
      </c>
      <c r="C532" s="7">
        <v>45764</v>
      </c>
      <c r="D532" s="7">
        <v>45780</v>
      </c>
      <c r="E532">
        <f t="shared" si="89"/>
        <v>16</v>
      </c>
      <c r="F532" t="s">
        <v>648</v>
      </c>
      <c r="G532" t="s">
        <v>655</v>
      </c>
      <c r="H532" t="s">
        <v>692</v>
      </c>
      <c r="I532" t="s">
        <v>704</v>
      </c>
      <c r="J532" t="s">
        <v>709</v>
      </c>
      <c r="K532" t="s">
        <v>713</v>
      </c>
      <c r="L532" t="s">
        <v>729</v>
      </c>
      <c r="M532" t="s">
        <v>1353</v>
      </c>
      <c r="N532" s="23">
        <v>168.68</v>
      </c>
      <c r="O532" s="23">
        <v>413.34</v>
      </c>
      <c r="P532" s="8">
        <v>0.186</v>
      </c>
      <c r="Q532">
        <v>7</v>
      </c>
      <c r="R532" s="23">
        <f t="shared" si="90"/>
        <v>2355.2113199999999</v>
      </c>
      <c r="S532" s="23">
        <f t="shared" si="91"/>
        <v>1180.76</v>
      </c>
      <c r="T532" s="23">
        <f t="shared" si="92"/>
        <v>1174.4513199999999</v>
      </c>
      <c r="U532" s="14">
        <f t="shared" si="93"/>
        <v>0.49866069767361682</v>
      </c>
      <c r="V532" s="7" t="str">
        <f t="shared" si="94"/>
        <v>Apr-2025</v>
      </c>
      <c r="W532" s="22">
        <f t="shared" si="95"/>
        <v>45748</v>
      </c>
      <c r="X532" s="7" t="str">
        <f t="shared" si="96"/>
        <v>Q2-2025</v>
      </c>
      <c r="Y532" t="str">
        <f t="shared" si="97"/>
        <v>Americas → Brazil → Rio de Janeiro</v>
      </c>
      <c r="Z532" t="str">
        <f t="shared" si="98"/>
        <v>Networking</v>
      </c>
      <c r="AA532" t="str" cm="1">
        <f t="array" ref="AA532">_xlfn.IFS(O532&lt;=$AF$2,"Low",AND(O532&gt;$AF$2,O532&lt;$AF$3),"Medium",O532&gt;=$AF$3,"High")</f>
        <v>Low</v>
      </c>
      <c r="AB532" s="22">
        <f t="shared" si="99"/>
        <v>44927</v>
      </c>
      <c r="AC532">
        <v>27</v>
      </c>
    </row>
    <row r="533" spans="1:29" x14ac:dyDescent="0.35">
      <c r="A533" s="4" t="s">
        <v>261</v>
      </c>
      <c r="B533" s="5" t="str">
        <f>IF(COUNTIF($A$2:A533,A533)=1,"Original","Duplicate")</f>
        <v>Original</v>
      </c>
      <c r="C533" s="7">
        <v>45769</v>
      </c>
      <c r="D533" s="7">
        <v>45779</v>
      </c>
      <c r="E533">
        <f t="shared" si="89"/>
        <v>10</v>
      </c>
      <c r="F533" t="s">
        <v>649</v>
      </c>
      <c r="G533" t="s">
        <v>656</v>
      </c>
      <c r="H533" t="s">
        <v>671</v>
      </c>
      <c r="I533" t="s">
        <v>701</v>
      </c>
      <c r="J533" t="s">
        <v>709</v>
      </c>
      <c r="K533" t="s">
        <v>712</v>
      </c>
      <c r="L533" t="s">
        <v>732</v>
      </c>
      <c r="M533" t="s">
        <v>981</v>
      </c>
      <c r="N533" s="23">
        <v>20.149999999999999</v>
      </c>
      <c r="O533" s="23">
        <v>39.74</v>
      </c>
      <c r="P533" s="8">
        <v>0.151</v>
      </c>
      <c r="Q533">
        <v>18</v>
      </c>
      <c r="R533" s="23">
        <f t="shared" si="90"/>
        <v>607.30668000000003</v>
      </c>
      <c r="S533" s="23">
        <f t="shared" si="91"/>
        <v>362.7</v>
      </c>
      <c r="T533" s="23">
        <f t="shared" si="92"/>
        <v>244.60668000000004</v>
      </c>
      <c r="U533" s="14">
        <f t="shared" si="93"/>
        <v>0.4027729120318585</v>
      </c>
      <c r="V533" s="7" t="str">
        <f t="shared" si="94"/>
        <v>Apr-2025</v>
      </c>
      <c r="W533" s="22">
        <f t="shared" si="95"/>
        <v>45748</v>
      </c>
      <c r="X533" s="7" t="str">
        <f t="shared" si="96"/>
        <v>Q2-2025</v>
      </c>
      <c r="Y533" t="str">
        <f t="shared" si="97"/>
        <v>Europe → Germany → Berlin</v>
      </c>
      <c r="Z533" t="str">
        <f t="shared" si="98"/>
        <v>Monitors</v>
      </c>
      <c r="AA533" t="str" cm="1">
        <f t="array" ref="AA533">_xlfn.IFS(O533&lt;=$AF$2,"Low",AND(O533&gt;$AF$2,O533&lt;$AF$3),"Medium",O533&gt;=$AF$3,"High")</f>
        <v>Low</v>
      </c>
      <c r="AB533" s="22">
        <f t="shared" si="99"/>
        <v>44927</v>
      </c>
      <c r="AC533">
        <v>27</v>
      </c>
    </row>
    <row r="534" spans="1:29" x14ac:dyDescent="0.35">
      <c r="A534" s="4" t="s">
        <v>546</v>
      </c>
      <c r="B534" s="5" t="str">
        <f>IF(COUNTIF($A$2:A534,A534)=1,"Original","Duplicate")</f>
        <v>Original</v>
      </c>
      <c r="C534" s="7">
        <v>45769</v>
      </c>
      <c r="D534" s="7">
        <v>45789</v>
      </c>
      <c r="E534">
        <f t="shared" si="89"/>
        <v>20</v>
      </c>
      <c r="F534" t="s">
        <v>649</v>
      </c>
      <c r="G534" t="s">
        <v>657</v>
      </c>
      <c r="H534" t="s">
        <v>679</v>
      </c>
      <c r="I534" t="s">
        <v>706</v>
      </c>
      <c r="J534" t="s">
        <v>709</v>
      </c>
      <c r="K534" t="s">
        <v>723</v>
      </c>
      <c r="L534" t="s">
        <v>732</v>
      </c>
      <c r="M534" t="s">
        <v>1265</v>
      </c>
      <c r="N534" s="23">
        <v>59.51</v>
      </c>
      <c r="O534" s="23">
        <v>67.040000000000006</v>
      </c>
      <c r="P534" s="8">
        <v>0.114</v>
      </c>
      <c r="Q534">
        <v>9</v>
      </c>
      <c r="R534" s="23">
        <f t="shared" si="90"/>
        <v>534.57695999999999</v>
      </c>
      <c r="S534" s="23">
        <f t="shared" si="91"/>
        <v>535.59</v>
      </c>
      <c r="T534" s="23">
        <f t="shared" si="92"/>
        <v>-1.0130400000000463</v>
      </c>
      <c r="U534" s="14">
        <f t="shared" si="93"/>
        <v>-1.8950311663264469E-3</v>
      </c>
      <c r="V534" s="7" t="str">
        <f t="shared" si="94"/>
        <v>Apr-2025</v>
      </c>
      <c r="W534" s="22">
        <f t="shared" si="95"/>
        <v>45748</v>
      </c>
      <c r="X534" s="7" t="str">
        <f t="shared" si="96"/>
        <v>Q2-2025</v>
      </c>
      <c r="Y534" t="str">
        <f t="shared" si="97"/>
        <v>Europe → France → Lyon</v>
      </c>
      <c r="Z534" t="str">
        <f t="shared" si="98"/>
        <v>Monitors</v>
      </c>
      <c r="AA534" t="str" cm="1">
        <f t="array" ref="AA534">_xlfn.IFS(O534&lt;=$AF$2,"Low",AND(O534&gt;$AF$2,O534&lt;$AF$3),"Medium",O534&gt;=$AF$3,"High")</f>
        <v>Low</v>
      </c>
      <c r="AB534" s="22">
        <f t="shared" si="99"/>
        <v>44927</v>
      </c>
      <c r="AC534">
        <v>27</v>
      </c>
    </row>
    <row r="535" spans="1:29" x14ac:dyDescent="0.35">
      <c r="A535" s="4" t="s">
        <v>98</v>
      </c>
      <c r="B535" s="5" t="str">
        <f>IF(COUNTIF($A$2:A535,A535)=1,"Original","Duplicate")</f>
        <v>Original</v>
      </c>
      <c r="C535" s="7">
        <v>45770</v>
      </c>
      <c r="D535" s="7">
        <v>45777</v>
      </c>
      <c r="E535">
        <f t="shared" si="89"/>
        <v>7</v>
      </c>
      <c r="F535" t="s">
        <v>648</v>
      </c>
      <c r="G535" t="s">
        <v>660</v>
      </c>
      <c r="H535" t="s">
        <v>686</v>
      </c>
      <c r="I535" t="s">
        <v>703</v>
      </c>
      <c r="J535" t="s">
        <v>710</v>
      </c>
      <c r="K535" t="s">
        <v>726</v>
      </c>
      <c r="L535" t="s">
        <v>732</v>
      </c>
      <c r="M535" t="s">
        <v>817</v>
      </c>
      <c r="N535" s="23">
        <v>23.24</v>
      </c>
      <c r="O535" s="23">
        <v>44.57</v>
      </c>
      <c r="P535" s="8">
        <v>0.215</v>
      </c>
      <c r="Q535">
        <v>15</v>
      </c>
      <c r="R535" s="23">
        <f t="shared" si="90"/>
        <v>524.81174999999996</v>
      </c>
      <c r="S535" s="23">
        <f t="shared" si="91"/>
        <v>348.59999999999997</v>
      </c>
      <c r="T535" s="23">
        <f t="shared" si="92"/>
        <v>176.21174999999999</v>
      </c>
      <c r="U535" s="14">
        <f t="shared" si="93"/>
        <v>0.33576182316802167</v>
      </c>
      <c r="V535" s="7" t="str">
        <f t="shared" si="94"/>
        <v>Apr-2025</v>
      </c>
      <c r="W535" s="22">
        <f t="shared" si="95"/>
        <v>45748</v>
      </c>
      <c r="X535" s="7" t="str">
        <f t="shared" si="96"/>
        <v>Q2-2025</v>
      </c>
      <c r="Y535" t="str">
        <f t="shared" si="97"/>
        <v>Americas → USA → San Francisco</v>
      </c>
      <c r="Z535" t="str">
        <f t="shared" si="98"/>
        <v>Monitors</v>
      </c>
      <c r="AA535" t="str" cm="1">
        <f t="array" ref="AA535">_xlfn.IFS(O535&lt;=$AF$2,"Low",AND(O535&gt;$AF$2,O535&lt;$AF$3),"Medium",O535&gt;=$AF$3,"High")</f>
        <v>Low</v>
      </c>
      <c r="AB535" s="22">
        <f t="shared" si="99"/>
        <v>44927</v>
      </c>
      <c r="AC535">
        <v>27</v>
      </c>
    </row>
    <row r="536" spans="1:29" x14ac:dyDescent="0.35">
      <c r="A536" s="4" t="s">
        <v>245</v>
      </c>
      <c r="B536" s="5" t="str">
        <f>IF(COUNTIF($A$2:A536,A536)=1,"Original","Duplicate")</f>
        <v>Original</v>
      </c>
      <c r="C536" s="7">
        <v>45771</v>
      </c>
      <c r="D536" s="7">
        <v>45783</v>
      </c>
      <c r="E536">
        <f t="shared" si="89"/>
        <v>12</v>
      </c>
      <c r="F536" t="s">
        <v>648</v>
      </c>
      <c r="G536" t="s">
        <v>655</v>
      </c>
      <c r="H536" t="s">
        <v>672</v>
      </c>
      <c r="I536" t="s">
        <v>704</v>
      </c>
      <c r="J536" t="s">
        <v>708</v>
      </c>
      <c r="K536" t="s">
        <v>712</v>
      </c>
      <c r="L536" t="s">
        <v>730</v>
      </c>
      <c r="M536" t="s">
        <v>965</v>
      </c>
      <c r="N536" s="23">
        <v>394.13</v>
      </c>
      <c r="O536" s="23">
        <v>932.29</v>
      </c>
      <c r="P536" s="8">
        <v>0.109</v>
      </c>
      <c r="Q536">
        <v>7</v>
      </c>
      <c r="R536" s="23">
        <f t="shared" si="90"/>
        <v>5814.6927299999998</v>
      </c>
      <c r="S536" s="23">
        <f t="shared" si="91"/>
        <v>2758.91</v>
      </c>
      <c r="T536" s="23">
        <f t="shared" si="92"/>
        <v>3055.7827299999999</v>
      </c>
      <c r="U536" s="14">
        <f t="shared" si="93"/>
        <v>0.5255278089303268</v>
      </c>
      <c r="V536" s="7" t="str">
        <f t="shared" si="94"/>
        <v>Apr-2025</v>
      </c>
      <c r="W536" s="22">
        <f t="shared" si="95"/>
        <v>45748</v>
      </c>
      <c r="X536" s="7" t="str">
        <f t="shared" si="96"/>
        <v>Q2-2025</v>
      </c>
      <c r="Y536" t="str">
        <f t="shared" si="97"/>
        <v>Americas → Brazil → Brasília</v>
      </c>
      <c r="Z536" t="str">
        <f t="shared" si="98"/>
        <v>Phones</v>
      </c>
      <c r="AA536" t="str" cm="1">
        <f t="array" ref="AA536">_xlfn.IFS(O536&lt;=$AF$2,"Low",AND(O536&gt;$AF$2,O536&lt;$AF$3),"Medium",O536&gt;=$AF$3,"High")</f>
        <v>Medium</v>
      </c>
      <c r="AB536" s="22">
        <f t="shared" si="99"/>
        <v>44927</v>
      </c>
      <c r="AC536">
        <v>27</v>
      </c>
    </row>
    <row r="537" spans="1:29" x14ac:dyDescent="0.35">
      <c r="A537" s="4" t="s">
        <v>77</v>
      </c>
      <c r="B537" s="5" t="str">
        <f>IF(COUNTIF($A$2:A537,A537)=1,"Original","Duplicate")</f>
        <v>Original</v>
      </c>
      <c r="C537" s="7">
        <v>45774</v>
      </c>
      <c r="D537" s="7">
        <v>45802</v>
      </c>
      <c r="E537">
        <f t="shared" si="89"/>
        <v>28</v>
      </c>
      <c r="F537" t="s">
        <v>649</v>
      </c>
      <c r="G537" t="s">
        <v>657</v>
      </c>
      <c r="H537" t="s">
        <v>690</v>
      </c>
      <c r="I537" t="s">
        <v>705</v>
      </c>
      <c r="J537" t="s">
        <v>709</v>
      </c>
      <c r="K537" t="s">
        <v>714</v>
      </c>
      <c r="L537" t="s">
        <v>730</v>
      </c>
      <c r="M537" t="s">
        <v>796</v>
      </c>
      <c r="N537" s="23">
        <v>603.45000000000005</v>
      </c>
      <c r="O537" s="23">
        <v>1244.08</v>
      </c>
      <c r="P537" s="8">
        <v>0.2</v>
      </c>
      <c r="Q537">
        <v>11</v>
      </c>
      <c r="R537" s="23">
        <f t="shared" si="90"/>
        <v>10947.904</v>
      </c>
      <c r="S537" s="23">
        <f t="shared" si="91"/>
        <v>6637.9500000000007</v>
      </c>
      <c r="T537" s="23">
        <f t="shared" si="92"/>
        <v>4309.9539999999997</v>
      </c>
      <c r="U537" s="14">
        <f t="shared" si="93"/>
        <v>0.39367846119220623</v>
      </c>
      <c r="V537" s="7" t="str">
        <f t="shared" si="94"/>
        <v>Apr-2025</v>
      </c>
      <c r="W537" s="22">
        <f t="shared" si="95"/>
        <v>45748</v>
      </c>
      <c r="X537" s="7" t="str">
        <f t="shared" si="96"/>
        <v>Q2-2025</v>
      </c>
      <c r="Y537" t="str">
        <f t="shared" si="97"/>
        <v>Europe → France → Paris</v>
      </c>
      <c r="Z537" t="str">
        <f t="shared" si="98"/>
        <v>Phones</v>
      </c>
      <c r="AA537" t="str" cm="1">
        <f t="array" ref="AA537">_xlfn.IFS(O537&lt;=$AF$2,"Low",AND(O537&gt;$AF$2,O537&lt;$AF$3),"Medium",O537&gt;=$AF$3,"High")</f>
        <v>Medium</v>
      </c>
      <c r="AB537" s="22">
        <f t="shared" si="99"/>
        <v>44927</v>
      </c>
      <c r="AC537">
        <v>27</v>
      </c>
    </row>
    <row r="538" spans="1:29" x14ac:dyDescent="0.35">
      <c r="A538" s="4" t="s">
        <v>348</v>
      </c>
      <c r="B538" s="5" t="str">
        <f>IF(COUNTIF($A$2:A538,A538)=1,"Original","Duplicate")</f>
        <v>Original</v>
      </c>
      <c r="C538" s="7">
        <v>45774</v>
      </c>
      <c r="D538" s="7">
        <v>45804</v>
      </c>
      <c r="E538">
        <f t="shared" si="89"/>
        <v>30</v>
      </c>
      <c r="F538" t="s">
        <v>647</v>
      </c>
      <c r="G538" t="s">
        <v>654</v>
      </c>
      <c r="H538" t="s">
        <v>1431</v>
      </c>
      <c r="I538" t="s">
        <v>706</v>
      </c>
      <c r="J538" t="s">
        <v>709</v>
      </c>
      <c r="K538" t="s">
        <v>722</v>
      </c>
      <c r="L538" t="s">
        <v>730</v>
      </c>
      <c r="M538" t="s">
        <v>1068</v>
      </c>
      <c r="N538" s="23">
        <v>481.32</v>
      </c>
      <c r="O538" s="23">
        <v>1135.99</v>
      </c>
      <c r="P538" s="8">
        <v>0.14499999999999999</v>
      </c>
      <c r="Q538">
        <v>5</v>
      </c>
      <c r="R538" s="23">
        <f t="shared" si="90"/>
        <v>4856.35725</v>
      </c>
      <c r="S538" s="23">
        <f t="shared" si="91"/>
        <v>2406.6</v>
      </c>
      <c r="T538" s="23">
        <f t="shared" si="92"/>
        <v>2449.7572500000001</v>
      </c>
      <c r="U538" s="14">
        <f t="shared" si="93"/>
        <v>0.50444337677175621</v>
      </c>
      <c r="V538" s="7" t="str">
        <f t="shared" si="94"/>
        <v>Apr-2025</v>
      </c>
      <c r="W538" s="22">
        <f t="shared" si="95"/>
        <v>45748</v>
      </c>
      <c r="X538" s="7" t="str">
        <f t="shared" si="96"/>
        <v>Q2-2025</v>
      </c>
      <c r="Y538" t="str">
        <f t="shared" si="97"/>
        <v>Asia → India → Unknown</v>
      </c>
      <c r="Z538" t="str">
        <f t="shared" si="98"/>
        <v>Phones</v>
      </c>
      <c r="AA538" t="str" cm="1">
        <f t="array" ref="AA538">_xlfn.IFS(O538&lt;=$AF$2,"Low",AND(O538&gt;$AF$2,O538&lt;$AF$3),"Medium",O538&gt;=$AF$3,"High")</f>
        <v>Medium</v>
      </c>
      <c r="AB538" s="22">
        <f t="shared" si="99"/>
        <v>44958</v>
      </c>
      <c r="AC538">
        <v>26</v>
      </c>
    </row>
    <row r="539" spans="1:29" x14ac:dyDescent="0.35">
      <c r="A539" s="4" t="s">
        <v>520</v>
      </c>
      <c r="B539" s="5" t="str">
        <f>IF(COUNTIF($A$2:A539,A539)=1,"Original","Duplicate")</f>
        <v>Original</v>
      </c>
      <c r="C539" s="7">
        <v>45774</v>
      </c>
      <c r="D539" s="7">
        <v>45794</v>
      </c>
      <c r="E539">
        <f t="shared" si="89"/>
        <v>20</v>
      </c>
      <c r="F539" t="s">
        <v>648</v>
      </c>
      <c r="G539" t="s">
        <v>660</v>
      </c>
      <c r="H539" t="s">
        <v>697</v>
      </c>
      <c r="I539" t="s">
        <v>701</v>
      </c>
      <c r="J539" t="s">
        <v>711</v>
      </c>
      <c r="K539" t="s">
        <v>725</v>
      </c>
      <c r="L539" t="s">
        <v>730</v>
      </c>
      <c r="M539" t="s">
        <v>1239</v>
      </c>
      <c r="N539" s="23">
        <v>932.26</v>
      </c>
      <c r="O539" s="23">
        <v>1624.67</v>
      </c>
      <c r="P539" s="8">
        <v>0.23499999999999999</v>
      </c>
      <c r="Q539">
        <v>28</v>
      </c>
      <c r="R539" s="23">
        <f t="shared" si="90"/>
        <v>34800.431400000001</v>
      </c>
      <c r="S539" s="23">
        <f t="shared" si="91"/>
        <v>26103.279999999999</v>
      </c>
      <c r="T539" s="23">
        <f t="shared" si="92"/>
        <v>8697.1514000000025</v>
      </c>
      <c r="U539" s="14">
        <f t="shared" si="93"/>
        <v>0.24991504559337163</v>
      </c>
      <c r="V539" s="7" t="str">
        <f t="shared" si="94"/>
        <v>Apr-2025</v>
      </c>
      <c r="W539" s="22">
        <f t="shared" si="95"/>
        <v>45748</v>
      </c>
      <c r="X539" s="7" t="str">
        <f t="shared" si="96"/>
        <v>Q2-2025</v>
      </c>
      <c r="Y539" t="str">
        <f t="shared" si="97"/>
        <v>Americas → USA → Austin</v>
      </c>
      <c r="Z539" t="str">
        <f t="shared" si="98"/>
        <v>Phones</v>
      </c>
      <c r="AA539" t="str" cm="1">
        <f t="array" ref="AA539">_xlfn.IFS(O539&lt;=$AF$2,"Low",AND(O539&gt;$AF$2,O539&lt;$AF$3),"Medium",O539&gt;=$AF$3,"High")</f>
        <v>High</v>
      </c>
      <c r="AB539" s="22">
        <f t="shared" si="99"/>
        <v>44927</v>
      </c>
      <c r="AC539">
        <v>27</v>
      </c>
    </row>
    <row r="540" spans="1:29" x14ac:dyDescent="0.35">
      <c r="A540" s="4" t="s">
        <v>105</v>
      </c>
      <c r="B540" s="5" t="str">
        <f>IF(COUNTIF($A$2:A540,A540)=1,"Original","Duplicate")</f>
        <v>Original</v>
      </c>
      <c r="C540" s="7">
        <v>45775</v>
      </c>
      <c r="D540" s="7">
        <v>45792</v>
      </c>
      <c r="E540">
        <f t="shared" si="89"/>
        <v>17</v>
      </c>
      <c r="F540" t="s">
        <v>647</v>
      </c>
      <c r="G540" t="s">
        <v>652</v>
      </c>
      <c r="H540" t="s">
        <v>694</v>
      </c>
      <c r="I540" t="s">
        <v>702</v>
      </c>
      <c r="J540" t="s">
        <v>711</v>
      </c>
      <c r="K540" t="s">
        <v>725</v>
      </c>
      <c r="L540" t="s">
        <v>729</v>
      </c>
      <c r="M540" t="s">
        <v>824</v>
      </c>
      <c r="N540" s="23">
        <v>691.19</v>
      </c>
      <c r="O540" s="23">
        <v>1284.3</v>
      </c>
      <c r="P540" s="8">
        <v>7.3999999999999996E-2</v>
      </c>
      <c r="Q540">
        <v>7</v>
      </c>
      <c r="R540" s="23">
        <f t="shared" si="90"/>
        <v>8324.8326000000015</v>
      </c>
      <c r="S540" s="23">
        <f t="shared" si="91"/>
        <v>4838.33</v>
      </c>
      <c r="T540" s="23">
        <f t="shared" si="92"/>
        <v>3486.5026000000016</v>
      </c>
      <c r="U540" s="14">
        <f t="shared" si="93"/>
        <v>0.41880753253825198</v>
      </c>
      <c r="V540" s="7" t="str">
        <f t="shared" si="94"/>
        <v>Apr-2025</v>
      </c>
      <c r="W540" s="22">
        <f t="shared" si="95"/>
        <v>45748</v>
      </c>
      <c r="X540" s="7" t="str">
        <f t="shared" si="96"/>
        <v>Q2-2025</v>
      </c>
      <c r="Y540" t="str">
        <f t="shared" si="97"/>
        <v>Asia → Japan → Nagoya</v>
      </c>
      <c r="Z540" t="str">
        <f t="shared" si="98"/>
        <v>Networking</v>
      </c>
      <c r="AA540" t="str" cm="1">
        <f t="array" ref="AA540">_xlfn.IFS(O540&lt;=$AF$2,"Low",AND(O540&gt;$AF$2,O540&lt;$AF$3),"Medium",O540&gt;=$AF$3,"High")</f>
        <v>Medium</v>
      </c>
      <c r="AB540" s="22">
        <f t="shared" si="99"/>
        <v>44986</v>
      </c>
      <c r="AC540">
        <v>25</v>
      </c>
    </row>
    <row r="541" spans="1:29" x14ac:dyDescent="0.35">
      <c r="A541" s="4" t="s">
        <v>497</v>
      </c>
      <c r="B541" s="5" t="str">
        <f>IF(COUNTIF($A$2:A541,A541)=1,"Original","Duplicate")</f>
        <v>Original</v>
      </c>
      <c r="C541" s="7">
        <v>45775</v>
      </c>
      <c r="D541" s="7">
        <v>45796</v>
      </c>
      <c r="E541">
        <f t="shared" si="89"/>
        <v>21</v>
      </c>
      <c r="F541" t="s">
        <v>649</v>
      </c>
      <c r="G541" t="s">
        <v>656</v>
      </c>
      <c r="H541" t="s">
        <v>671</v>
      </c>
      <c r="I541" t="s">
        <v>701</v>
      </c>
      <c r="J541" t="s">
        <v>710</v>
      </c>
      <c r="K541" t="s">
        <v>717</v>
      </c>
      <c r="L541" t="s">
        <v>730</v>
      </c>
      <c r="M541" t="s">
        <v>1216</v>
      </c>
      <c r="N541" s="23">
        <v>350.76</v>
      </c>
      <c r="O541" s="23">
        <v>492.18</v>
      </c>
      <c r="P541" s="8">
        <v>5.2999999999999999E-2</v>
      </c>
      <c r="Q541">
        <v>11</v>
      </c>
      <c r="R541" s="23">
        <f t="shared" si="90"/>
        <v>5127.0390600000001</v>
      </c>
      <c r="S541" s="23">
        <f t="shared" si="91"/>
        <v>3858.3599999999997</v>
      </c>
      <c r="T541" s="23">
        <f t="shared" si="92"/>
        <v>1268.6790600000004</v>
      </c>
      <c r="U541" s="14">
        <f t="shared" si="93"/>
        <v>0.24744868239798437</v>
      </c>
      <c r="V541" s="7" t="str">
        <f t="shared" si="94"/>
        <v>Apr-2025</v>
      </c>
      <c r="W541" s="22">
        <f t="shared" si="95"/>
        <v>45748</v>
      </c>
      <c r="X541" s="7" t="str">
        <f t="shared" si="96"/>
        <v>Q2-2025</v>
      </c>
      <c r="Y541" t="str">
        <f t="shared" si="97"/>
        <v>Europe → Germany → Berlin</v>
      </c>
      <c r="Z541" t="str">
        <f t="shared" si="98"/>
        <v>Phones</v>
      </c>
      <c r="AA541" t="str" cm="1">
        <f t="array" ref="AA541">_xlfn.IFS(O541&lt;=$AF$2,"Low",AND(O541&gt;$AF$2,O541&lt;$AF$3),"Medium",O541&gt;=$AF$3,"High")</f>
        <v>Low</v>
      </c>
      <c r="AB541" s="22">
        <f t="shared" si="99"/>
        <v>44927</v>
      </c>
      <c r="AC541">
        <v>27</v>
      </c>
    </row>
    <row r="542" spans="1:29" x14ac:dyDescent="0.35">
      <c r="A542" s="4" t="s">
        <v>74</v>
      </c>
      <c r="B542" s="5" t="str">
        <f>IF(COUNTIF($A$2:A542,A542)=1,"Original","Duplicate")</f>
        <v>Original</v>
      </c>
      <c r="C542" s="7">
        <v>45779</v>
      </c>
      <c r="D542" s="7">
        <v>45790</v>
      </c>
      <c r="E542">
        <f t="shared" si="89"/>
        <v>11</v>
      </c>
      <c r="F542" t="s">
        <v>646</v>
      </c>
      <c r="G542" t="s">
        <v>650</v>
      </c>
      <c r="H542" t="s">
        <v>678</v>
      </c>
      <c r="I542" t="s">
        <v>705</v>
      </c>
      <c r="J542" t="s">
        <v>708</v>
      </c>
      <c r="K542" t="s">
        <v>720</v>
      </c>
      <c r="L542" t="s">
        <v>733</v>
      </c>
      <c r="M542" t="s">
        <v>793</v>
      </c>
      <c r="N542" s="23">
        <v>1057.5999999999999</v>
      </c>
      <c r="O542" s="23">
        <v>1437.06</v>
      </c>
      <c r="P542" s="8">
        <v>0.20499999999999999</v>
      </c>
      <c r="Q542">
        <v>4</v>
      </c>
      <c r="R542" s="23">
        <f t="shared" si="90"/>
        <v>4569.8508000000002</v>
      </c>
      <c r="S542" s="23">
        <f t="shared" si="91"/>
        <v>4230.3999999999996</v>
      </c>
      <c r="T542" s="23">
        <f t="shared" si="92"/>
        <v>339.45080000000053</v>
      </c>
      <c r="U542" s="14">
        <f t="shared" si="93"/>
        <v>7.4280499485891424E-2</v>
      </c>
      <c r="V542" s="7" t="str">
        <f t="shared" si="94"/>
        <v>May-2025</v>
      </c>
      <c r="W542" s="22">
        <f t="shared" si="95"/>
        <v>45778</v>
      </c>
      <c r="X542" s="7" t="str">
        <f t="shared" si="96"/>
        <v>Q2-2025</v>
      </c>
      <c r="Y542" t="str">
        <f t="shared" si="97"/>
        <v>Africa → Kenya → Nakuru</v>
      </c>
      <c r="Z542" t="str">
        <f t="shared" si="98"/>
        <v>Accessories</v>
      </c>
      <c r="AA542" t="str" cm="1">
        <f t="array" ref="AA542">_xlfn.IFS(O542&lt;=$AF$2,"Low",AND(O542&gt;$AF$2,O542&lt;$AF$3),"Medium",O542&gt;=$AF$3,"High")</f>
        <v>Medium</v>
      </c>
      <c r="AB542" s="22">
        <f t="shared" si="99"/>
        <v>44927</v>
      </c>
      <c r="AC542">
        <v>28</v>
      </c>
    </row>
    <row r="543" spans="1:29" x14ac:dyDescent="0.35">
      <c r="A543" s="4" t="s">
        <v>443</v>
      </c>
      <c r="B543" s="5" t="str">
        <f>IF(COUNTIF($A$2:A543,A543)=1,"Original","Duplicate")</f>
        <v>Original</v>
      </c>
      <c r="C543" s="7">
        <v>45784</v>
      </c>
      <c r="D543" s="7">
        <v>45790</v>
      </c>
      <c r="E543">
        <f t="shared" si="89"/>
        <v>6</v>
      </c>
      <c r="F543" t="s">
        <v>647</v>
      </c>
      <c r="G543" t="s">
        <v>654</v>
      </c>
      <c r="H543" t="s">
        <v>668</v>
      </c>
      <c r="I543" t="s">
        <v>706</v>
      </c>
      <c r="J543" t="s">
        <v>711</v>
      </c>
      <c r="K543" t="s">
        <v>713</v>
      </c>
      <c r="L543" t="s">
        <v>730</v>
      </c>
      <c r="M543" t="s">
        <v>1162</v>
      </c>
      <c r="N543" s="23">
        <v>935.98</v>
      </c>
      <c r="O543" s="23">
        <v>2077.69</v>
      </c>
      <c r="P543" s="8">
        <v>0.17499999999999999</v>
      </c>
      <c r="Q543">
        <v>24</v>
      </c>
      <c r="R543" s="23">
        <f t="shared" si="90"/>
        <v>41138.261999999995</v>
      </c>
      <c r="S543" s="23">
        <f t="shared" si="91"/>
        <v>22463.52</v>
      </c>
      <c r="T543" s="23">
        <f t="shared" si="92"/>
        <v>18674.741999999995</v>
      </c>
      <c r="U543" s="14">
        <f t="shared" si="93"/>
        <v>0.45395067978321491</v>
      </c>
      <c r="V543" s="7" t="str">
        <f t="shared" si="94"/>
        <v>May-2025</v>
      </c>
      <c r="W543" s="22">
        <f t="shared" si="95"/>
        <v>45778</v>
      </c>
      <c r="X543" s="7" t="str">
        <f t="shared" si="96"/>
        <v>Q2-2025</v>
      </c>
      <c r="Y543" t="str">
        <f t="shared" si="97"/>
        <v>Asia → India → Bengaluru</v>
      </c>
      <c r="Z543" t="str">
        <f t="shared" si="98"/>
        <v>Phones</v>
      </c>
      <c r="AA543" t="str" cm="1">
        <f t="array" ref="AA543">_xlfn.IFS(O543&lt;=$AF$2,"Low",AND(O543&gt;$AF$2,O543&lt;$AF$3),"Medium",O543&gt;=$AF$3,"High")</f>
        <v>High</v>
      </c>
      <c r="AB543" s="22">
        <f t="shared" si="99"/>
        <v>44958</v>
      </c>
      <c r="AC543">
        <v>27</v>
      </c>
    </row>
    <row r="544" spans="1:29" x14ac:dyDescent="0.35">
      <c r="A544" s="4" t="s">
        <v>314</v>
      </c>
      <c r="B544" s="5" t="str">
        <f>IF(COUNTIF($A$2:A544,A544)=1,"Original","Duplicate")</f>
        <v>Original</v>
      </c>
      <c r="C544" s="7">
        <v>45787</v>
      </c>
      <c r="D544" s="7">
        <v>45804</v>
      </c>
      <c r="E544">
        <f t="shared" si="89"/>
        <v>17</v>
      </c>
      <c r="F544" t="s">
        <v>648</v>
      </c>
      <c r="G544" t="s">
        <v>653</v>
      </c>
      <c r="H544" t="s">
        <v>688</v>
      </c>
      <c r="I544" t="s">
        <v>702</v>
      </c>
      <c r="J544" t="s">
        <v>711</v>
      </c>
      <c r="K544" t="s">
        <v>712</v>
      </c>
      <c r="L544" t="s">
        <v>727</v>
      </c>
      <c r="M544" t="s">
        <v>1034</v>
      </c>
      <c r="N544" s="23">
        <v>862.89</v>
      </c>
      <c r="O544" s="23">
        <v>1426.03</v>
      </c>
      <c r="P544" s="8">
        <v>5.6000000000000001E-2</v>
      </c>
      <c r="Q544">
        <v>19</v>
      </c>
      <c r="R544" s="23">
        <f t="shared" si="90"/>
        <v>25577.274079999999</v>
      </c>
      <c r="S544" s="23">
        <f t="shared" si="91"/>
        <v>16394.91</v>
      </c>
      <c r="T544" s="23">
        <f t="shared" si="92"/>
        <v>9182.3640799999994</v>
      </c>
      <c r="U544" s="14">
        <f t="shared" si="93"/>
        <v>0.35900479665188778</v>
      </c>
      <c r="V544" s="7" t="str">
        <f t="shared" si="94"/>
        <v>May-2025</v>
      </c>
      <c r="W544" s="22">
        <f t="shared" si="95"/>
        <v>45778</v>
      </c>
      <c r="X544" s="7" t="str">
        <f t="shared" si="96"/>
        <v>Q2-2025</v>
      </c>
      <c r="Y544" t="str">
        <f t="shared" si="97"/>
        <v>Americas → Canada → Vancouver</v>
      </c>
      <c r="Z544" t="str">
        <f t="shared" si="98"/>
        <v>Components</v>
      </c>
      <c r="AA544" t="str" cm="1">
        <f t="array" ref="AA544">_xlfn.IFS(O544&lt;=$AF$2,"Low",AND(O544&gt;$AF$2,O544&lt;$AF$3),"Medium",O544&gt;=$AF$3,"High")</f>
        <v>Medium</v>
      </c>
      <c r="AB544" s="22">
        <f t="shared" si="99"/>
        <v>44927</v>
      </c>
      <c r="AC544">
        <v>28</v>
      </c>
    </row>
    <row r="545" spans="1:29" x14ac:dyDescent="0.35">
      <c r="A545" s="4" t="s">
        <v>400</v>
      </c>
      <c r="B545" s="5" t="str">
        <f>IF(COUNTIF($A$2:A545,A545)=1,"Original","Duplicate")</f>
        <v>Original</v>
      </c>
      <c r="C545" s="7">
        <v>45789</v>
      </c>
      <c r="D545" s="7">
        <v>45803</v>
      </c>
      <c r="E545">
        <f t="shared" si="89"/>
        <v>14</v>
      </c>
      <c r="F545" t="s">
        <v>647</v>
      </c>
      <c r="G545" t="s">
        <v>654</v>
      </c>
      <c r="H545" t="s">
        <v>696</v>
      </c>
      <c r="I545" t="s">
        <v>701</v>
      </c>
      <c r="J545" t="s">
        <v>709</v>
      </c>
      <c r="K545" t="s">
        <v>715</v>
      </c>
      <c r="L545" t="s">
        <v>728</v>
      </c>
      <c r="M545" t="s">
        <v>1119</v>
      </c>
      <c r="N545" s="23">
        <v>320.12</v>
      </c>
      <c r="O545" s="23">
        <v>594.41999999999996</v>
      </c>
      <c r="P545" s="8">
        <v>0.104</v>
      </c>
      <c r="Q545">
        <v>18</v>
      </c>
      <c r="R545" s="23">
        <f t="shared" si="90"/>
        <v>9586.8057599999993</v>
      </c>
      <c r="S545" s="23">
        <f t="shared" si="91"/>
        <v>5762.16</v>
      </c>
      <c r="T545" s="23">
        <f t="shared" si="92"/>
        <v>3824.6457599999994</v>
      </c>
      <c r="U545" s="14">
        <f t="shared" si="93"/>
        <v>0.39894891538931104</v>
      </c>
      <c r="V545" s="7" t="str">
        <f t="shared" si="94"/>
        <v>May-2025</v>
      </c>
      <c r="W545" s="22">
        <f t="shared" si="95"/>
        <v>45778</v>
      </c>
      <c r="X545" s="7" t="str">
        <f t="shared" si="96"/>
        <v>Q2-2025</v>
      </c>
      <c r="Y545" t="str">
        <f t="shared" si="97"/>
        <v>Asia → India → Hyderabad</v>
      </c>
      <c r="Z545" t="str">
        <f t="shared" si="98"/>
        <v>Printers</v>
      </c>
      <c r="AA545" t="str" cm="1">
        <f t="array" ref="AA545">_xlfn.IFS(O545&lt;=$AF$2,"Low",AND(O545&gt;$AF$2,O545&lt;$AF$3),"Medium",O545&gt;=$AF$3,"High")</f>
        <v>Low</v>
      </c>
      <c r="AB545" s="22">
        <f t="shared" si="99"/>
        <v>44958</v>
      </c>
      <c r="AC545">
        <v>27</v>
      </c>
    </row>
    <row r="546" spans="1:29" x14ac:dyDescent="0.35">
      <c r="A546" s="4" t="s">
        <v>97</v>
      </c>
      <c r="B546" s="5" t="str">
        <f>IF(COUNTIF($A$2:A546,A546)=1,"Original","Duplicate")</f>
        <v>Original</v>
      </c>
      <c r="C546" s="7">
        <v>45791</v>
      </c>
      <c r="D546" s="7">
        <v>45801</v>
      </c>
      <c r="E546">
        <f t="shared" si="89"/>
        <v>10</v>
      </c>
      <c r="F546" t="s">
        <v>649</v>
      </c>
      <c r="G546" t="s">
        <v>657</v>
      </c>
      <c r="H546" t="s">
        <v>690</v>
      </c>
      <c r="I546" t="s">
        <v>705</v>
      </c>
      <c r="J546" t="s">
        <v>709</v>
      </c>
      <c r="K546" t="s">
        <v>723</v>
      </c>
      <c r="L546" t="s">
        <v>727</v>
      </c>
      <c r="M546" t="s">
        <v>816</v>
      </c>
      <c r="N546" s="23">
        <v>170.39</v>
      </c>
      <c r="O546" s="23">
        <v>388.04</v>
      </c>
      <c r="P546" s="8">
        <v>8.4000000000000005E-2</v>
      </c>
      <c r="Q546">
        <v>15</v>
      </c>
      <c r="R546" s="23">
        <f t="shared" si="90"/>
        <v>5331.6696000000002</v>
      </c>
      <c r="S546" s="23">
        <f t="shared" si="91"/>
        <v>2555.85</v>
      </c>
      <c r="T546" s="23">
        <f t="shared" si="92"/>
        <v>2775.8196000000003</v>
      </c>
      <c r="U546" s="14">
        <f t="shared" si="93"/>
        <v>0.52062858508711796</v>
      </c>
      <c r="V546" s="7" t="str">
        <f t="shared" si="94"/>
        <v>May-2025</v>
      </c>
      <c r="W546" s="22">
        <f t="shared" si="95"/>
        <v>45778</v>
      </c>
      <c r="X546" s="7" t="str">
        <f t="shared" si="96"/>
        <v>Q2-2025</v>
      </c>
      <c r="Y546" t="str">
        <f t="shared" si="97"/>
        <v>Europe → France → Paris</v>
      </c>
      <c r="Z546" t="str">
        <f t="shared" si="98"/>
        <v>Components</v>
      </c>
      <c r="AA546" t="str" cm="1">
        <f t="array" ref="AA546">_xlfn.IFS(O546&lt;=$AF$2,"Low",AND(O546&gt;$AF$2,O546&lt;$AF$3),"Medium",O546&gt;=$AF$3,"High")</f>
        <v>Low</v>
      </c>
      <c r="AB546" s="22">
        <f t="shared" si="99"/>
        <v>44927</v>
      </c>
      <c r="AC546">
        <v>28</v>
      </c>
    </row>
    <row r="547" spans="1:29" x14ac:dyDescent="0.35">
      <c r="A547" s="4" t="s">
        <v>571</v>
      </c>
      <c r="B547" s="5" t="str">
        <f>IF(COUNTIF($A$2:A547,A547)=1,"Original","Duplicate")</f>
        <v>Original</v>
      </c>
      <c r="C547" s="7">
        <v>45791</v>
      </c>
      <c r="D547" s="7">
        <v>45798</v>
      </c>
      <c r="E547">
        <f t="shared" si="89"/>
        <v>7</v>
      </c>
      <c r="F547" t="s">
        <v>648</v>
      </c>
      <c r="G547" t="s">
        <v>653</v>
      </c>
      <c r="H547" t="s">
        <v>688</v>
      </c>
      <c r="I547" t="s">
        <v>703</v>
      </c>
      <c r="J547" t="s">
        <v>710</v>
      </c>
      <c r="K547" t="s">
        <v>721</v>
      </c>
      <c r="L547" t="s">
        <v>728</v>
      </c>
      <c r="M547" t="s">
        <v>1289</v>
      </c>
      <c r="N547" s="23">
        <v>883.5</v>
      </c>
      <c r="O547" s="23">
        <v>1978.91</v>
      </c>
      <c r="P547" s="8">
        <v>5.3999999999999999E-2</v>
      </c>
      <c r="Q547">
        <v>27</v>
      </c>
      <c r="R547" s="23">
        <f t="shared" si="90"/>
        <v>50545.319219999998</v>
      </c>
      <c r="S547" s="23">
        <f t="shared" si="91"/>
        <v>23854.5</v>
      </c>
      <c r="T547" s="23">
        <f t="shared" si="92"/>
        <v>26690.819219999998</v>
      </c>
      <c r="U547" s="14">
        <f t="shared" si="93"/>
        <v>0.52805718970390547</v>
      </c>
      <c r="V547" s="7" t="str">
        <f t="shared" si="94"/>
        <v>May-2025</v>
      </c>
      <c r="W547" s="22">
        <f t="shared" si="95"/>
        <v>45778</v>
      </c>
      <c r="X547" s="7" t="str">
        <f t="shared" si="96"/>
        <v>Q2-2025</v>
      </c>
      <c r="Y547" t="str">
        <f t="shared" si="97"/>
        <v>Americas → Canada → Vancouver</v>
      </c>
      <c r="Z547" t="str">
        <f t="shared" si="98"/>
        <v>Printers</v>
      </c>
      <c r="AA547" t="str" cm="1">
        <f t="array" ref="AA547">_xlfn.IFS(O547&lt;=$AF$2,"Low",AND(O547&gt;$AF$2,O547&lt;$AF$3),"Medium",O547&gt;=$AF$3,"High")</f>
        <v>High</v>
      </c>
      <c r="AB547" s="22">
        <f t="shared" si="99"/>
        <v>44927</v>
      </c>
      <c r="AC547">
        <v>28</v>
      </c>
    </row>
    <row r="548" spans="1:29" x14ac:dyDescent="0.35">
      <c r="A548" s="4" t="s">
        <v>503</v>
      </c>
      <c r="B548" s="5" t="str">
        <f>IF(COUNTIF($A$2:A548,A548)=1,"Original","Duplicate")</f>
        <v>Original</v>
      </c>
      <c r="C548" s="7">
        <v>45792</v>
      </c>
      <c r="D548" s="7">
        <v>45813</v>
      </c>
      <c r="E548">
        <f t="shared" si="89"/>
        <v>21</v>
      </c>
      <c r="F548" t="s">
        <v>647</v>
      </c>
      <c r="G548" t="s">
        <v>652</v>
      </c>
      <c r="H548" t="s">
        <v>666</v>
      </c>
      <c r="I548" t="s">
        <v>706</v>
      </c>
      <c r="J548" t="s">
        <v>711</v>
      </c>
      <c r="K548" t="s">
        <v>722</v>
      </c>
      <c r="L548" t="s">
        <v>730</v>
      </c>
      <c r="M548" t="s">
        <v>1222</v>
      </c>
      <c r="N548" s="23">
        <v>1466.5</v>
      </c>
      <c r="O548" s="23">
        <v>2778.74</v>
      </c>
      <c r="P548" s="8">
        <v>0.13500000000000001</v>
      </c>
      <c r="Q548">
        <v>4</v>
      </c>
      <c r="R548" s="23">
        <f t="shared" si="90"/>
        <v>9614.4403999999995</v>
      </c>
      <c r="S548" s="23">
        <f t="shared" si="91"/>
        <v>5866</v>
      </c>
      <c r="T548" s="23">
        <f t="shared" si="92"/>
        <v>3748.4403999999995</v>
      </c>
      <c r="U548" s="14">
        <f t="shared" si="93"/>
        <v>0.38987608680792279</v>
      </c>
      <c r="V548" s="7" t="str">
        <f t="shared" si="94"/>
        <v>May-2025</v>
      </c>
      <c r="W548" s="22">
        <f t="shared" si="95"/>
        <v>45778</v>
      </c>
      <c r="X548" s="7" t="str">
        <f t="shared" si="96"/>
        <v>Q2-2025</v>
      </c>
      <c r="Y548" t="str">
        <f t="shared" si="97"/>
        <v>Asia → Japan → Osaka</v>
      </c>
      <c r="Z548" t="str">
        <f t="shared" si="98"/>
        <v>Phones</v>
      </c>
      <c r="AA548" t="str" cm="1">
        <f t="array" ref="AA548">_xlfn.IFS(O548&lt;=$AF$2,"Low",AND(O548&gt;$AF$2,O548&lt;$AF$3),"Medium",O548&gt;=$AF$3,"High")</f>
        <v>High</v>
      </c>
      <c r="AB548" s="22">
        <f t="shared" si="99"/>
        <v>44986</v>
      </c>
      <c r="AC548">
        <v>26</v>
      </c>
    </row>
    <row r="549" spans="1:29" x14ac:dyDescent="0.35">
      <c r="A549" s="4" t="s">
        <v>255</v>
      </c>
      <c r="B549" s="5" t="str">
        <f>IF(COUNTIF($A$2:A549,A549)=1,"Original","Duplicate")</f>
        <v>Original</v>
      </c>
      <c r="C549" s="7">
        <v>45793</v>
      </c>
      <c r="D549" s="7">
        <v>45804</v>
      </c>
      <c r="E549">
        <f t="shared" si="89"/>
        <v>11</v>
      </c>
      <c r="F549" t="s">
        <v>647</v>
      </c>
      <c r="G549" t="s">
        <v>659</v>
      </c>
      <c r="H549" t="s">
        <v>699</v>
      </c>
      <c r="I549" t="s">
        <v>706</v>
      </c>
      <c r="J549" t="s">
        <v>708</v>
      </c>
      <c r="K549" t="s">
        <v>721</v>
      </c>
      <c r="L549" t="s">
        <v>730</v>
      </c>
      <c r="M549" t="s">
        <v>975</v>
      </c>
      <c r="N549" s="23">
        <v>918.12</v>
      </c>
      <c r="O549" s="23">
        <v>1337.69</v>
      </c>
      <c r="P549" s="8">
        <v>9.5000000000000001E-2</v>
      </c>
      <c r="Q549">
        <v>8</v>
      </c>
      <c r="R549" s="23">
        <f t="shared" si="90"/>
        <v>9684.8756000000012</v>
      </c>
      <c r="S549" s="23">
        <f t="shared" si="91"/>
        <v>7344.96</v>
      </c>
      <c r="T549" s="23">
        <f t="shared" si="92"/>
        <v>2339.9156000000012</v>
      </c>
      <c r="U549" s="14">
        <f t="shared" si="93"/>
        <v>0.24160512707050164</v>
      </c>
      <c r="V549" s="7" t="str">
        <f t="shared" si="94"/>
        <v>May-2025</v>
      </c>
      <c r="W549" s="22">
        <f t="shared" si="95"/>
        <v>45778</v>
      </c>
      <c r="X549" s="7" t="str">
        <f t="shared" si="96"/>
        <v>Q2-2025</v>
      </c>
      <c r="Y549" t="str">
        <f t="shared" si="97"/>
        <v>Asia → China → Beijing</v>
      </c>
      <c r="Z549" t="str">
        <f t="shared" si="98"/>
        <v>Phones</v>
      </c>
      <c r="AA549" t="str" cm="1">
        <f t="array" ref="AA549">_xlfn.IFS(O549&lt;=$AF$2,"Low",AND(O549&gt;$AF$2,O549&lt;$AF$3),"Medium",O549&gt;=$AF$3,"High")</f>
        <v>Medium</v>
      </c>
      <c r="AB549" s="22">
        <f t="shared" si="99"/>
        <v>44927</v>
      </c>
      <c r="AC549">
        <v>28</v>
      </c>
    </row>
    <row r="550" spans="1:29" x14ac:dyDescent="0.35">
      <c r="A550" s="4" t="s">
        <v>617</v>
      </c>
      <c r="B550" s="5" t="str">
        <f>IF(COUNTIF($A$2:A550,A550)=1,"Original","Duplicate")</f>
        <v>Original</v>
      </c>
      <c r="C550" s="7">
        <v>45793</v>
      </c>
      <c r="D550" s="7">
        <v>45795</v>
      </c>
      <c r="E550">
        <f t="shared" si="89"/>
        <v>2</v>
      </c>
      <c r="F550" t="s">
        <v>647</v>
      </c>
      <c r="G550" t="s">
        <v>652</v>
      </c>
      <c r="H550" t="s">
        <v>689</v>
      </c>
      <c r="I550" t="s">
        <v>706</v>
      </c>
      <c r="J550" t="s">
        <v>707</v>
      </c>
      <c r="K550" t="s">
        <v>713</v>
      </c>
      <c r="L550" t="s">
        <v>728</v>
      </c>
      <c r="M550" t="s">
        <v>1335</v>
      </c>
      <c r="N550" s="23">
        <v>1144.3800000000001</v>
      </c>
      <c r="O550" s="23">
        <v>2755.04</v>
      </c>
      <c r="P550" s="8">
        <v>0.15</v>
      </c>
      <c r="Q550">
        <v>17</v>
      </c>
      <c r="R550" s="23">
        <f t="shared" si="90"/>
        <v>39810.328000000001</v>
      </c>
      <c r="S550" s="23">
        <f t="shared" si="91"/>
        <v>19454.460000000003</v>
      </c>
      <c r="T550" s="23">
        <f t="shared" si="92"/>
        <v>20355.867999999999</v>
      </c>
      <c r="U550" s="14">
        <f t="shared" si="93"/>
        <v>0.51132128326096682</v>
      </c>
      <c r="V550" s="7" t="str">
        <f t="shared" si="94"/>
        <v>May-2025</v>
      </c>
      <c r="W550" s="22">
        <f t="shared" si="95"/>
        <v>45778</v>
      </c>
      <c r="X550" s="7" t="str">
        <f t="shared" si="96"/>
        <v>Q2-2025</v>
      </c>
      <c r="Y550" t="str">
        <f t="shared" si="97"/>
        <v>Asia → Japan → Tokyo</v>
      </c>
      <c r="Z550" t="str">
        <f t="shared" si="98"/>
        <v>Printers</v>
      </c>
      <c r="AA550" t="str" cm="1">
        <f t="array" ref="AA550">_xlfn.IFS(O550&lt;=$AF$2,"Low",AND(O550&gt;$AF$2,O550&lt;$AF$3),"Medium",O550&gt;=$AF$3,"High")</f>
        <v>High</v>
      </c>
      <c r="AB550" s="22">
        <f t="shared" si="99"/>
        <v>44986</v>
      </c>
      <c r="AC550">
        <v>26</v>
      </c>
    </row>
    <row r="551" spans="1:29" x14ac:dyDescent="0.35">
      <c r="A551" s="4" t="s">
        <v>297</v>
      </c>
      <c r="B551" s="5" t="str">
        <f>IF(COUNTIF($A$2:A551,A551)=1,"Original","Duplicate")</f>
        <v>Original</v>
      </c>
      <c r="C551" s="7">
        <v>45794</v>
      </c>
      <c r="D551" s="7">
        <v>45805</v>
      </c>
      <c r="E551">
        <f t="shared" si="89"/>
        <v>11</v>
      </c>
      <c r="F551" t="s">
        <v>647</v>
      </c>
      <c r="G551" t="s">
        <v>654</v>
      </c>
      <c r="H551" t="s">
        <v>668</v>
      </c>
      <c r="I551" t="s">
        <v>701</v>
      </c>
      <c r="J551" t="s">
        <v>710</v>
      </c>
      <c r="K551" t="s">
        <v>717</v>
      </c>
      <c r="L551" t="s">
        <v>731</v>
      </c>
      <c r="M551" t="s">
        <v>1017</v>
      </c>
      <c r="N551" s="23">
        <v>623.4</v>
      </c>
      <c r="O551" s="23">
        <v>1100.0899999999999</v>
      </c>
      <c r="P551" s="8">
        <v>0.114</v>
      </c>
      <c r="Q551">
        <v>12</v>
      </c>
      <c r="R551" s="23">
        <f t="shared" si="90"/>
        <v>11696.156879999999</v>
      </c>
      <c r="S551" s="23">
        <f t="shared" si="91"/>
        <v>7480.7999999999993</v>
      </c>
      <c r="T551" s="23">
        <f t="shared" si="92"/>
        <v>4215.3568799999994</v>
      </c>
      <c r="U551" s="14">
        <f t="shared" si="93"/>
        <v>0.36040529579490388</v>
      </c>
      <c r="V551" s="7" t="str">
        <f t="shared" si="94"/>
        <v>May-2025</v>
      </c>
      <c r="W551" s="22">
        <f t="shared" si="95"/>
        <v>45778</v>
      </c>
      <c r="X551" s="7" t="str">
        <f t="shared" si="96"/>
        <v>Q2-2025</v>
      </c>
      <c r="Y551" t="str">
        <f t="shared" si="97"/>
        <v>Asia → India → Bengaluru</v>
      </c>
      <c r="Z551" t="str">
        <f t="shared" si="98"/>
        <v>Laptops</v>
      </c>
      <c r="AA551" t="str" cm="1">
        <f t="array" ref="AA551">_xlfn.IFS(O551&lt;=$AF$2,"Low",AND(O551&gt;$AF$2,O551&lt;$AF$3),"Medium",O551&gt;=$AF$3,"High")</f>
        <v>Medium</v>
      </c>
      <c r="AB551" s="22">
        <f t="shared" si="99"/>
        <v>44958</v>
      </c>
      <c r="AC551">
        <v>27</v>
      </c>
    </row>
    <row r="552" spans="1:29" x14ac:dyDescent="0.35">
      <c r="A552" s="4" t="s">
        <v>531</v>
      </c>
      <c r="B552" s="5" t="str">
        <f>IF(COUNTIF($A$2:A552,A552)=1,"Original","Duplicate")</f>
        <v>Original</v>
      </c>
      <c r="C552" s="7">
        <v>45794</v>
      </c>
      <c r="D552" s="7">
        <v>45807</v>
      </c>
      <c r="E552">
        <f t="shared" si="89"/>
        <v>13</v>
      </c>
      <c r="F552" t="s">
        <v>646</v>
      </c>
      <c r="G552" t="s">
        <v>651</v>
      </c>
      <c r="H552" t="s">
        <v>665</v>
      </c>
      <c r="I552" t="s">
        <v>704</v>
      </c>
      <c r="J552" t="s">
        <v>710</v>
      </c>
      <c r="K552" t="s">
        <v>721</v>
      </c>
      <c r="L552" t="s">
        <v>733</v>
      </c>
      <c r="M552" t="s">
        <v>1250</v>
      </c>
      <c r="N552" s="23">
        <v>66.400000000000006</v>
      </c>
      <c r="O552" s="23">
        <v>141.43</v>
      </c>
      <c r="P552" s="8">
        <v>0.107</v>
      </c>
      <c r="Q552">
        <v>8</v>
      </c>
      <c r="R552" s="23">
        <f t="shared" si="90"/>
        <v>1010.3759200000001</v>
      </c>
      <c r="S552" s="23">
        <f t="shared" si="91"/>
        <v>531.20000000000005</v>
      </c>
      <c r="T552" s="23">
        <f t="shared" si="92"/>
        <v>479.17592000000002</v>
      </c>
      <c r="U552" s="14">
        <f t="shared" si="93"/>
        <v>0.47425508715607551</v>
      </c>
      <c r="V552" s="7" t="str">
        <f t="shared" si="94"/>
        <v>May-2025</v>
      </c>
      <c r="W552" s="22">
        <f t="shared" si="95"/>
        <v>45778</v>
      </c>
      <c r="X552" s="7" t="str">
        <f t="shared" si="96"/>
        <v>Q2-2025</v>
      </c>
      <c r="Y552" t="str">
        <f t="shared" si="97"/>
        <v>Africa → Nigeria → Lagos</v>
      </c>
      <c r="Z552" t="str">
        <f t="shared" si="98"/>
        <v>Accessories</v>
      </c>
      <c r="AA552" t="str" cm="1">
        <f t="array" ref="AA552">_xlfn.IFS(O552&lt;=$AF$2,"Low",AND(O552&gt;$AF$2,O552&lt;$AF$3),"Medium",O552&gt;=$AF$3,"High")</f>
        <v>Low</v>
      </c>
      <c r="AB552" s="22">
        <f t="shared" si="99"/>
        <v>44927</v>
      </c>
      <c r="AC552">
        <v>28</v>
      </c>
    </row>
    <row r="553" spans="1:29" x14ac:dyDescent="0.35">
      <c r="A553" s="4" t="s">
        <v>321</v>
      </c>
      <c r="B553" s="5" t="str">
        <f>IF(COUNTIF($A$2:A553,A553)=1,"Original","Duplicate")</f>
        <v>Original</v>
      </c>
      <c r="C553" s="7">
        <v>45795</v>
      </c>
      <c r="D553" s="7">
        <v>45817</v>
      </c>
      <c r="E553">
        <f t="shared" si="89"/>
        <v>22</v>
      </c>
      <c r="F553" t="s">
        <v>648</v>
      </c>
      <c r="G553" t="s">
        <v>660</v>
      </c>
      <c r="H553" t="s">
        <v>700</v>
      </c>
      <c r="I553" t="s">
        <v>704</v>
      </c>
      <c r="J553" t="s">
        <v>707</v>
      </c>
      <c r="K553" t="s">
        <v>722</v>
      </c>
      <c r="L553" t="s">
        <v>729</v>
      </c>
      <c r="M553" t="s">
        <v>1041</v>
      </c>
      <c r="N553" s="23">
        <v>382.96</v>
      </c>
      <c r="O553" s="23">
        <v>552.84</v>
      </c>
      <c r="P553" s="8">
        <v>0.17599999999999999</v>
      </c>
      <c r="Q553">
        <v>8</v>
      </c>
      <c r="R553" s="23">
        <f t="shared" si="90"/>
        <v>3644.3212800000006</v>
      </c>
      <c r="S553" s="23">
        <f t="shared" si="91"/>
        <v>3063.68</v>
      </c>
      <c r="T553" s="23">
        <f t="shared" si="92"/>
        <v>580.64128000000073</v>
      </c>
      <c r="U553" s="14">
        <f t="shared" si="93"/>
        <v>0.15932768693763483</v>
      </c>
      <c r="V553" s="7" t="str">
        <f t="shared" si="94"/>
        <v>May-2025</v>
      </c>
      <c r="W553" s="22">
        <f t="shared" si="95"/>
        <v>45778</v>
      </c>
      <c r="X553" s="7" t="str">
        <f t="shared" si="96"/>
        <v>Q2-2025</v>
      </c>
      <c r="Y553" t="str">
        <f t="shared" si="97"/>
        <v>Americas → USA → New York</v>
      </c>
      <c r="Z553" t="str">
        <f t="shared" si="98"/>
        <v>Networking</v>
      </c>
      <c r="AA553" t="str" cm="1">
        <f t="array" ref="AA553">_xlfn.IFS(O553&lt;=$AF$2,"Low",AND(O553&gt;$AF$2,O553&lt;$AF$3),"Medium",O553&gt;=$AF$3,"High")</f>
        <v>Low</v>
      </c>
      <c r="AB553" s="22">
        <f t="shared" si="99"/>
        <v>44927</v>
      </c>
      <c r="AC553">
        <v>28</v>
      </c>
    </row>
    <row r="554" spans="1:29" x14ac:dyDescent="0.35">
      <c r="A554" s="4" t="s">
        <v>342</v>
      </c>
      <c r="B554" s="5" t="str">
        <f>IF(COUNTIF($A$2:A554,A554)=1,"Original","Duplicate")</f>
        <v>Original</v>
      </c>
      <c r="C554" s="7">
        <v>45796</v>
      </c>
      <c r="D554" s="7">
        <v>45803</v>
      </c>
      <c r="E554">
        <f t="shared" si="89"/>
        <v>7</v>
      </c>
      <c r="F554" t="s">
        <v>648</v>
      </c>
      <c r="G554" t="s">
        <v>655</v>
      </c>
      <c r="H554" t="s">
        <v>670</v>
      </c>
      <c r="I554" t="s">
        <v>705</v>
      </c>
      <c r="J554" t="s">
        <v>710</v>
      </c>
      <c r="K554" t="s">
        <v>716</v>
      </c>
      <c r="L554" t="s">
        <v>732</v>
      </c>
      <c r="M554" t="s">
        <v>1062</v>
      </c>
      <c r="N554" s="23">
        <v>383.77</v>
      </c>
      <c r="O554" s="23">
        <v>952.56</v>
      </c>
      <c r="P554" s="8">
        <v>0.3</v>
      </c>
      <c r="Q554">
        <v>10</v>
      </c>
      <c r="R554" s="23">
        <f t="shared" si="90"/>
        <v>6667.9199999999983</v>
      </c>
      <c r="S554" s="23">
        <f t="shared" si="91"/>
        <v>3837.7</v>
      </c>
      <c r="T554" s="23">
        <f t="shared" si="92"/>
        <v>2830.2199999999984</v>
      </c>
      <c r="U554" s="14">
        <f t="shared" si="93"/>
        <v>0.42445320279787385</v>
      </c>
      <c r="V554" s="7" t="str">
        <f t="shared" si="94"/>
        <v>May-2025</v>
      </c>
      <c r="W554" s="22">
        <f t="shared" si="95"/>
        <v>45778</v>
      </c>
      <c r="X554" s="7" t="str">
        <f t="shared" si="96"/>
        <v>Q2-2025</v>
      </c>
      <c r="Y554" t="str">
        <f t="shared" si="97"/>
        <v>Americas → Brazil → São Paulo</v>
      </c>
      <c r="Z554" t="str">
        <f t="shared" si="98"/>
        <v>Monitors</v>
      </c>
      <c r="AA554" t="str" cm="1">
        <f t="array" ref="AA554">_xlfn.IFS(O554&lt;=$AF$2,"Low",AND(O554&gt;$AF$2,O554&lt;$AF$3),"Medium",O554&gt;=$AF$3,"High")</f>
        <v>Medium</v>
      </c>
      <c r="AB554" s="22">
        <f t="shared" si="99"/>
        <v>44927</v>
      </c>
      <c r="AC554">
        <v>28</v>
      </c>
    </row>
    <row r="555" spans="1:29" x14ac:dyDescent="0.35">
      <c r="A555" s="4" t="s">
        <v>24</v>
      </c>
      <c r="B555" s="5" t="str">
        <f>IF(COUNTIF($A$2:A555,A555)=1,"Original","Duplicate")</f>
        <v>Original</v>
      </c>
      <c r="C555" s="7">
        <v>45798</v>
      </c>
      <c r="D555" s="7">
        <v>45817</v>
      </c>
      <c r="E555">
        <f t="shared" si="89"/>
        <v>19</v>
      </c>
      <c r="F555" t="s">
        <v>648</v>
      </c>
      <c r="G555" t="s">
        <v>655</v>
      </c>
      <c r="H555" t="s">
        <v>670</v>
      </c>
      <c r="I555" t="s">
        <v>703</v>
      </c>
      <c r="J555" t="s">
        <v>708</v>
      </c>
      <c r="K555" t="s">
        <v>720</v>
      </c>
      <c r="L555" t="s">
        <v>727</v>
      </c>
      <c r="M555" t="s">
        <v>743</v>
      </c>
      <c r="N555" s="23">
        <v>1331.38</v>
      </c>
      <c r="O555" s="23">
        <v>2309.56</v>
      </c>
      <c r="P555" s="8">
        <v>0.14899999999999999</v>
      </c>
      <c r="Q555">
        <v>31</v>
      </c>
      <c r="R555" s="23">
        <f t="shared" si="90"/>
        <v>60928.502359999999</v>
      </c>
      <c r="S555" s="23">
        <f t="shared" si="91"/>
        <v>41272.780000000006</v>
      </c>
      <c r="T555" s="23">
        <f t="shared" si="92"/>
        <v>19655.722359999992</v>
      </c>
      <c r="U555" s="14">
        <f t="shared" si="93"/>
        <v>0.32260307735553528</v>
      </c>
      <c r="V555" s="7" t="str">
        <f t="shared" si="94"/>
        <v>May-2025</v>
      </c>
      <c r="W555" s="22">
        <f t="shared" si="95"/>
        <v>45778</v>
      </c>
      <c r="X555" s="7" t="str">
        <f t="shared" si="96"/>
        <v>Q2-2025</v>
      </c>
      <c r="Y555" t="str">
        <f t="shared" si="97"/>
        <v>Americas → Brazil → São Paulo</v>
      </c>
      <c r="Z555" t="str">
        <f t="shared" si="98"/>
        <v>Components</v>
      </c>
      <c r="AA555" t="str" cm="1">
        <f t="array" ref="AA555">_xlfn.IFS(O555&lt;=$AF$2,"Low",AND(O555&gt;$AF$2,O555&lt;$AF$3),"Medium",O555&gt;=$AF$3,"High")</f>
        <v>High</v>
      </c>
      <c r="AB555" s="22">
        <f t="shared" si="99"/>
        <v>44927</v>
      </c>
      <c r="AC555">
        <v>28</v>
      </c>
    </row>
    <row r="556" spans="1:29" x14ac:dyDescent="0.35">
      <c r="A556" s="4" t="s">
        <v>34</v>
      </c>
      <c r="B556" s="5" t="str">
        <f>IF(COUNTIF($A$2:A556,A556)=1,"Original","Duplicate")</f>
        <v>Original</v>
      </c>
      <c r="C556" s="7">
        <v>45798</v>
      </c>
      <c r="D556" s="7">
        <v>45805</v>
      </c>
      <c r="E556">
        <f t="shared" si="89"/>
        <v>7</v>
      </c>
      <c r="F556" t="s">
        <v>649</v>
      </c>
      <c r="G556" t="s">
        <v>658</v>
      </c>
      <c r="H556" t="s">
        <v>674</v>
      </c>
      <c r="I556" t="s">
        <v>706</v>
      </c>
      <c r="J556" t="s">
        <v>708</v>
      </c>
      <c r="K556" t="s">
        <v>724</v>
      </c>
      <c r="L556" t="s">
        <v>731</v>
      </c>
      <c r="M556" t="s">
        <v>753</v>
      </c>
      <c r="N556" s="23">
        <v>1015.16</v>
      </c>
      <c r="O556" s="23">
        <v>2148.14</v>
      </c>
      <c r="P556" s="8">
        <v>3.7999999999999999E-2</v>
      </c>
      <c r="Q556">
        <v>19</v>
      </c>
      <c r="R556" s="23">
        <f t="shared" si="90"/>
        <v>39263.702919999996</v>
      </c>
      <c r="S556" s="23">
        <f t="shared" si="91"/>
        <v>19288.04</v>
      </c>
      <c r="T556" s="23">
        <f t="shared" si="92"/>
        <v>19975.662919999995</v>
      </c>
      <c r="U556" s="14">
        <f t="shared" si="93"/>
        <v>0.50875647059322227</v>
      </c>
      <c r="V556" s="7" t="str">
        <f t="shared" si="94"/>
        <v>May-2025</v>
      </c>
      <c r="W556" s="22">
        <f t="shared" si="95"/>
        <v>45778</v>
      </c>
      <c r="X556" s="7" t="str">
        <f t="shared" si="96"/>
        <v>Q2-2025</v>
      </c>
      <c r="Y556" t="str">
        <f t="shared" si="97"/>
        <v>Europe → United Kingdom → Birmingham</v>
      </c>
      <c r="Z556" t="str">
        <f t="shared" si="98"/>
        <v>Laptops</v>
      </c>
      <c r="AA556" t="str" cm="1">
        <f t="array" ref="AA556">_xlfn.IFS(O556&lt;=$AF$2,"Low",AND(O556&gt;$AF$2,O556&lt;$AF$3),"Medium",O556&gt;=$AF$3,"High")</f>
        <v>High</v>
      </c>
      <c r="AB556" s="22">
        <f t="shared" si="99"/>
        <v>44927</v>
      </c>
      <c r="AC556">
        <v>28</v>
      </c>
    </row>
    <row r="557" spans="1:29" x14ac:dyDescent="0.35">
      <c r="A557" s="4" t="s">
        <v>188</v>
      </c>
      <c r="B557" s="5" t="str">
        <f>IF(COUNTIF($A$2:A557,A557)=1,"Original","Duplicate")</f>
        <v>Original</v>
      </c>
      <c r="C557" s="7">
        <v>45798</v>
      </c>
      <c r="D557" s="7">
        <v>45805</v>
      </c>
      <c r="E557">
        <f t="shared" si="89"/>
        <v>7</v>
      </c>
      <c r="F557" t="s">
        <v>646</v>
      </c>
      <c r="G557" t="s">
        <v>661</v>
      </c>
      <c r="H557" t="s">
        <v>682</v>
      </c>
      <c r="I557" t="s">
        <v>703</v>
      </c>
      <c r="J557" t="s">
        <v>710</v>
      </c>
      <c r="K557" t="s">
        <v>719</v>
      </c>
      <c r="L557" t="s">
        <v>731</v>
      </c>
      <c r="M557" t="s">
        <v>907</v>
      </c>
      <c r="N557" s="23">
        <v>1263.8399999999999</v>
      </c>
      <c r="O557" s="23">
        <v>2281.7199999999998</v>
      </c>
      <c r="P557" s="8">
        <v>7.8E-2</v>
      </c>
      <c r="Q557">
        <v>15</v>
      </c>
      <c r="R557" s="23">
        <f t="shared" si="90"/>
        <v>31556.187599999997</v>
      </c>
      <c r="S557" s="23">
        <f t="shared" si="91"/>
        <v>18957.599999999999</v>
      </c>
      <c r="T557" s="23">
        <f t="shared" si="92"/>
        <v>12598.587599999999</v>
      </c>
      <c r="U557" s="14">
        <f t="shared" si="93"/>
        <v>0.39924301882398494</v>
      </c>
      <c r="V557" s="7" t="str">
        <f t="shared" si="94"/>
        <v>May-2025</v>
      </c>
      <c r="W557" s="22">
        <f t="shared" si="95"/>
        <v>45778</v>
      </c>
      <c r="X557" s="7" t="str">
        <f t="shared" si="96"/>
        <v>Q2-2025</v>
      </c>
      <c r="Y557" t="str">
        <f t="shared" si="97"/>
        <v>Africa → South Africa → Johannesburg</v>
      </c>
      <c r="Z557" t="str">
        <f t="shared" si="98"/>
        <v>Laptops</v>
      </c>
      <c r="AA557" t="str" cm="1">
        <f t="array" ref="AA557">_xlfn.IFS(O557&lt;=$AF$2,"Low",AND(O557&gt;$AF$2,O557&lt;$AF$3),"Medium",O557&gt;=$AF$3,"High")</f>
        <v>High</v>
      </c>
      <c r="AB557" s="22">
        <f t="shared" si="99"/>
        <v>44927</v>
      </c>
      <c r="AC557">
        <v>28</v>
      </c>
    </row>
    <row r="558" spans="1:29" x14ac:dyDescent="0.35">
      <c r="A558" s="4" t="s">
        <v>409</v>
      </c>
      <c r="B558" s="5" t="str">
        <f>IF(COUNTIF($A$2:A558,A558)=1,"Original","Duplicate")</f>
        <v>Original</v>
      </c>
      <c r="C558" s="7">
        <v>45804</v>
      </c>
      <c r="D558" s="7">
        <v>45816</v>
      </c>
      <c r="E558">
        <f t="shared" si="89"/>
        <v>12</v>
      </c>
      <c r="F558" t="s">
        <v>647</v>
      </c>
      <c r="G558" t="s">
        <v>652</v>
      </c>
      <c r="H558" t="s">
        <v>666</v>
      </c>
      <c r="I558" t="s">
        <v>701</v>
      </c>
      <c r="J558" t="s">
        <v>707</v>
      </c>
      <c r="K558" t="s">
        <v>722</v>
      </c>
      <c r="L558" t="s">
        <v>733</v>
      </c>
      <c r="M558" t="s">
        <v>1128</v>
      </c>
      <c r="N558" s="23">
        <v>653.6</v>
      </c>
      <c r="O558" s="23">
        <v>842.09</v>
      </c>
      <c r="P558" s="8">
        <v>9.8000000000000004E-2</v>
      </c>
      <c r="Q558">
        <v>19</v>
      </c>
      <c r="R558" s="23">
        <f t="shared" si="90"/>
        <v>14431.738420000001</v>
      </c>
      <c r="S558" s="23">
        <f t="shared" si="91"/>
        <v>12418.4</v>
      </c>
      <c r="T558" s="23">
        <f t="shared" si="92"/>
        <v>2013.3384200000019</v>
      </c>
      <c r="U558" s="14">
        <f t="shared" si="93"/>
        <v>0.13950768517324622</v>
      </c>
      <c r="V558" s="7" t="str">
        <f t="shared" si="94"/>
        <v>May-2025</v>
      </c>
      <c r="W558" s="22">
        <f t="shared" si="95"/>
        <v>45778</v>
      </c>
      <c r="X558" s="7" t="str">
        <f t="shared" si="96"/>
        <v>Q2-2025</v>
      </c>
      <c r="Y558" t="str">
        <f t="shared" si="97"/>
        <v>Asia → Japan → Osaka</v>
      </c>
      <c r="Z558" t="str">
        <f t="shared" si="98"/>
        <v>Accessories</v>
      </c>
      <c r="AA558" t="str" cm="1">
        <f t="array" ref="AA558">_xlfn.IFS(O558&lt;=$AF$2,"Low",AND(O558&gt;$AF$2,O558&lt;$AF$3),"Medium",O558&gt;=$AF$3,"High")</f>
        <v>Medium</v>
      </c>
      <c r="AB558" s="22">
        <f t="shared" si="99"/>
        <v>44986</v>
      </c>
      <c r="AC558">
        <v>26</v>
      </c>
    </row>
    <row r="559" spans="1:29" x14ac:dyDescent="0.35">
      <c r="A559" s="4" t="s">
        <v>58</v>
      </c>
      <c r="B559" s="5" t="str">
        <f>IF(COUNTIF($A$2:A559,A559)=1,"Original","Duplicate")</f>
        <v>Original</v>
      </c>
      <c r="C559" s="7">
        <v>45806</v>
      </c>
      <c r="D559" s="7">
        <v>45828</v>
      </c>
      <c r="E559">
        <f t="shared" si="89"/>
        <v>22</v>
      </c>
      <c r="F559" t="s">
        <v>649</v>
      </c>
      <c r="G559" t="s">
        <v>656</v>
      </c>
      <c r="H559" t="s">
        <v>671</v>
      </c>
      <c r="I559" t="s">
        <v>701</v>
      </c>
      <c r="J559" t="s">
        <v>711</v>
      </c>
      <c r="K559" t="s">
        <v>720</v>
      </c>
      <c r="L559" t="s">
        <v>728</v>
      </c>
      <c r="M559" t="s">
        <v>777</v>
      </c>
      <c r="N559" s="23">
        <v>483.47</v>
      </c>
      <c r="O559" s="23">
        <v>1135.43</v>
      </c>
      <c r="P559" s="8">
        <v>0.14599999999999999</v>
      </c>
      <c r="Q559">
        <v>11</v>
      </c>
      <c r="R559" s="23">
        <f t="shared" si="90"/>
        <v>10666.229420000001</v>
      </c>
      <c r="S559" s="23">
        <f t="shared" si="91"/>
        <v>5318.17</v>
      </c>
      <c r="T559" s="23">
        <f t="shared" si="92"/>
        <v>5348.0594200000014</v>
      </c>
      <c r="U559" s="14">
        <f t="shared" si="93"/>
        <v>0.50140112399719983</v>
      </c>
      <c r="V559" s="7" t="str">
        <f t="shared" si="94"/>
        <v>May-2025</v>
      </c>
      <c r="W559" s="22">
        <f t="shared" si="95"/>
        <v>45778</v>
      </c>
      <c r="X559" s="7" t="str">
        <f t="shared" si="96"/>
        <v>Q2-2025</v>
      </c>
      <c r="Y559" t="str">
        <f t="shared" si="97"/>
        <v>Europe → Germany → Berlin</v>
      </c>
      <c r="Z559" t="str">
        <f t="shared" si="98"/>
        <v>Printers</v>
      </c>
      <c r="AA559" t="str" cm="1">
        <f t="array" ref="AA559">_xlfn.IFS(O559&lt;=$AF$2,"Low",AND(O559&gt;$AF$2,O559&lt;$AF$3),"Medium",O559&gt;=$AF$3,"High")</f>
        <v>Medium</v>
      </c>
      <c r="AB559" s="22">
        <f t="shared" si="99"/>
        <v>44927</v>
      </c>
      <c r="AC559">
        <v>28</v>
      </c>
    </row>
    <row r="560" spans="1:29" x14ac:dyDescent="0.35">
      <c r="A560" s="4" t="s">
        <v>309</v>
      </c>
      <c r="B560" s="5" t="str">
        <f>IF(COUNTIF($A$2:A560,A560)=1,"Original","Duplicate")</f>
        <v>Original</v>
      </c>
      <c r="C560" s="7">
        <v>45809</v>
      </c>
      <c r="D560" s="7">
        <v>45835</v>
      </c>
      <c r="E560">
        <f t="shared" si="89"/>
        <v>26</v>
      </c>
      <c r="F560" t="s">
        <v>649</v>
      </c>
      <c r="G560" t="s">
        <v>656</v>
      </c>
      <c r="H560" t="s">
        <v>684</v>
      </c>
      <c r="I560" t="s">
        <v>704</v>
      </c>
      <c r="J560" t="s">
        <v>710</v>
      </c>
      <c r="K560" t="s">
        <v>718</v>
      </c>
      <c r="L560" t="s">
        <v>731</v>
      </c>
      <c r="M560" t="s">
        <v>1029</v>
      </c>
      <c r="N560" s="23">
        <v>1362.31</v>
      </c>
      <c r="O560" s="23">
        <v>3294.57</v>
      </c>
      <c r="P560" s="8">
        <v>0.113</v>
      </c>
      <c r="Q560">
        <v>7</v>
      </c>
      <c r="R560" s="23">
        <f t="shared" si="90"/>
        <v>20455.985130000001</v>
      </c>
      <c r="S560" s="23">
        <f t="shared" si="91"/>
        <v>9536.17</v>
      </c>
      <c r="T560" s="23">
        <f t="shared" si="92"/>
        <v>10919.815130000001</v>
      </c>
      <c r="U560" s="14">
        <f t="shared" si="93"/>
        <v>0.5338200561157721</v>
      </c>
      <c r="V560" s="7" t="str">
        <f t="shared" si="94"/>
        <v>Jun-2025</v>
      </c>
      <c r="W560" s="22">
        <f t="shared" si="95"/>
        <v>45809</v>
      </c>
      <c r="X560" s="7" t="str">
        <f t="shared" si="96"/>
        <v>Q2-2025</v>
      </c>
      <c r="Y560" t="str">
        <f t="shared" si="97"/>
        <v>Europe → Germany → Munich</v>
      </c>
      <c r="Z560" t="str">
        <f t="shared" si="98"/>
        <v>Laptops</v>
      </c>
      <c r="AA560" t="str" cm="1">
        <f t="array" ref="AA560">_xlfn.IFS(O560&lt;=$AF$2,"Low",AND(O560&gt;$AF$2,O560&lt;$AF$3),"Medium",O560&gt;=$AF$3,"High")</f>
        <v>High</v>
      </c>
      <c r="AB560" s="22">
        <f t="shared" si="99"/>
        <v>44927</v>
      </c>
      <c r="AC560">
        <v>29</v>
      </c>
    </row>
    <row r="561" spans="1:29" x14ac:dyDescent="0.35">
      <c r="A561" s="4" t="s">
        <v>329</v>
      </c>
      <c r="B561" s="5" t="str">
        <f>IF(COUNTIF($A$2:A561,A561)=1,"Original","Duplicate")</f>
        <v>Original</v>
      </c>
      <c r="C561" s="7">
        <v>45809</v>
      </c>
      <c r="D561" s="7">
        <v>45814</v>
      </c>
      <c r="E561">
        <f t="shared" si="89"/>
        <v>5</v>
      </c>
      <c r="F561" t="s">
        <v>649</v>
      </c>
      <c r="G561" t="s">
        <v>657</v>
      </c>
      <c r="H561" t="s">
        <v>690</v>
      </c>
      <c r="I561" t="s">
        <v>704</v>
      </c>
      <c r="J561" t="s">
        <v>710</v>
      </c>
      <c r="K561" t="s">
        <v>715</v>
      </c>
      <c r="L561" t="s">
        <v>727</v>
      </c>
      <c r="M561" t="s">
        <v>1049</v>
      </c>
      <c r="N561" s="23">
        <v>379.45</v>
      </c>
      <c r="O561" s="23">
        <v>742.23</v>
      </c>
      <c r="P561" s="8">
        <v>0.09</v>
      </c>
      <c r="Q561">
        <v>13</v>
      </c>
      <c r="R561" s="23">
        <f t="shared" si="90"/>
        <v>8780.5809000000008</v>
      </c>
      <c r="S561" s="23">
        <f t="shared" si="91"/>
        <v>4932.8499999999995</v>
      </c>
      <c r="T561" s="23">
        <f t="shared" si="92"/>
        <v>3847.7309000000014</v>
      </c>
      <c r="U561" s="14">
        <f t="shared" si="93"/>
        <v>0.43820915083192286</v>
      </c>
      <c r="V561" s="7" t="str">
        <f t="shared" si="94"/>
        <v>Jun-2025</v>
      </c>
      <c r="W561" s="22">
        <f t="shared" si="95"/>
        <v>45809</v>
      </c>
      <c r="X561" s="7" t="str">
        <f t="shared" si="96"/>
        <v>Q2-2025</v>
      </c>
      <c r="Y561" t="str">
        <f t="shared" si="97"/>
        <v>Europe → France → Paris</v>
      </c>
      <c r="Z561" t="str">
        <f t="shared" si="98"/>
        <v>Components</v>
      </c>
      <c r="AA561" t="str" cm="1">
        <f t="array" ref="AA561">_xlfn.IFS(O561&lt;=$AF$2,"Low",AND(O561&gt;$AF$2,O561&lt;$AF$3),"Medium",O561&gt;=$AF$3,"High")</f>
        <v>Low</v>
      </c>
      <c r="AB561" s="22">
        <f t="shared" si="99"/>
        <v>44927</v>
      </c>
      <c r="AC561">
        <v>29</v>
      </c>
    </row>
    <row r="562" spans="1:29" x14ac:dyDescent="0.35">
      <c r="A562" s="4" t="s">
        <v>482</v>
      </c>
      <c r="B562" s="5" t="str">
        <f>IF(COUNTIF($A$2:A562,A562)=1,"Original","Duplicate")</f>
        <v>Original</v>
      </c>
      <c r="C562" s="7">
        <v>45809</v>
      </c>
      <c r="D562" s="7">
        <v>45813</v>
      </c>
      <c r="E562">
        <f t="shared" si="89"/>
        <v>4</v>
      </c>
      <c r="F562" t="s">
        <v>649</v>
      </c>
      <c r="G562" t="s">
        <v>656</v>
      </c>
      <c r="H562" t="s">
        <v>684</v>
      </c>
      <c r="I562" t="s">
        <v>706</v>
      </c>
      <c r="J562" t="s">
        <v>711</v>
      </c>
      <c r="K562" t="s">
        <v>724</v>
      </c>
      <c r="L562" t="s">
        <v>727</v>
      </c>
      <c r="M562" t="s">
        <v>1201</v>
      </c>
      <c r="N562" s="23">
        <v>1171.42</v>
      </c>
      <c r="O562" s="23">
        <v>2187.8000000000002</v>
      </c>
      <c r="P562" s="8">
        <v>0.23</v>
      </c>
      <c r="Q562">
        <v>15</v>
      </c>
      <c r="R562" s="23">
        <f t="shared" si="90"/>
        <v>25269.09</v>
      </c>
      <c r="S562" s="23">
        <f t="shared" si="91"/>
        <v>17571.300000000003</v>
      </c>
      <c r="T562" s="23">
        <f t="shared" si="92"/>
        <v>7697.7899999999972</v>
      </c>
      <c r="U562" s="14">
        <f t="shared" si="93"/>
        <v>0.30463265594447592</v>
      </c>
      <c r="V562" s="7" t="str">
        <f t="shared" si="94"/>
        <v>Jun-2025</v>
      </c>
      <c r="W562" s="22">
        <f t="shared" si="95"/>
        <v>45809</v>
      </c>
      <c r="X562" s="7" t="str">
        <f t="shared" si="96"/>
        <v>Q2-2025</v>
      </c>
      <c r="Y562" t="str">
        <f t="shared" si="97"/>
        <v>Europe → Germany → Munich</v>
      </c>
      <c r="Z562" t="str">
        <f t="shared" si="98"/>
        <v>Components</v>
      </c>
      <c r="AA562" t="str" cm="1">
        <f t="array" ref="AA562">_xlfn.IFS(O562&lt;=$AF$2,"Low",AND(O562&gt;$AF$2,O562&lt;$AF$3),"Medium",O562&gt;=$AF$3,"High")</f>
        <v>High</v>
      </c>
      <c r="AB562" s="22">
        <f t="shared" si="99"/>
        <v>44927</v>
      </c>
      <c r="AC562">
        <v>29</v>
      </c>
    </row>
    <row r="563" spans="1:29" x14ac:dyDescent="0.35">
      <c r="A563" s="4" t="s">
        <v>131</v>
      </c>
      <c r="B563" s="5" t="str">
        <f>IF(COUNTIF($A$2:A563,A563)=1,"Original","Duplicate")</f>
        <v>Original</v>
      </c>
      <c r="C563" s="7">
        <v>45811</v>
      </c>
      <c r="D563" s="7">
        <v>45818</v>
      </c>
      <c r="E563">
        <f t="shared" si="89"/>
        <v>7</v>
      </c>
      <c r="F563" t="s">
        <v>648</v>
      </c>
      <c r="G563" t="s">
        <v>653</v>
      </c>
      <c r="H563" t="s">
        <v>667</v>
      </c>
      <c r="I563" t="s">
        <v>704</v>
      </c>
      <c r="J563" t="s">
        <v>710</v>
      </c>
      <c r="K563" t="s">
        <v>719</v>
      </c>
      <c r="L563" t="s">
        <v>728</v>
      </c>
      <c r="M563" t="s">
        <v>850</v>
      </c>
      <c r="N563" s="23">
        <v>75.180000000000007</v>
      </c>
      <c r="O563" s="23">
        <v>53.45</v>
      </c>
      <c r="P563" s="8">
        <v>0.157</v>
      </c>
      <c r="Q563">
        <v>17</v>
      </c>
      <c r="R563" s="23">
        <f t="shared" si="90"/>
        <v>765.99195000000009</v>
      </c>
      <c r="S563" s="23">
        <f t="shared" si="91"/>
        <v>1278.0600000000002</v>
      </c>
      <c r="T563" s="23">
        <f t="shared" si="92"/>
        <v>-512.06805000000008</v>
      </c>
      <c r="U563" s="14">
        <f t="shared" si="93"/>
        <v>-0.66850317421743144</v>
      </c>
      <c r="V563" s="7" t="str">
        <f t="shared" si="94"/>
        <v>Jun-2025</v>
      </c>
      <c r="W563" s="22">
        <f t="shared" si="95"/>
        <v>45809</v>
      </c>
      <c r="X563" s="7" t="str">
        <f t="shared" si="96"/>
        <v>Q2-2025</v>
      </c>
      <c r="Y563" t="str">
        <f t="shared" si="97"/>
        <v>Americas → Canada → Toronto</v>
      </c>
      <c r="Z563" t="str">
        <f t="shared" si="98"/>
        <v>Printers</v>
      </c>
      <c r="AA563" t="str" cm="1">
        <f t="array" ref="AA563">_xlfn.IFS(O563&lt;=$AF$2,"Low",AND(O563&gt;$AF$2,O563&lt;$AF$3),"Medium",O563&gt;=$AF$3,"High")</f>
        <v>Low</v>
      </c>
      <c r="AB563" s="22">
        <f t="shared" si="99"/>
        <v>44927</v>
      </c>
      <c r="AC563">
        <v>29</v>
      </c>
    </row>
    <row r="564" spans="1:29" x14ac:dyDescent="0.35">
      <c r="A564" s="4" t="s">
        <v>431</v>
      </c>
      <c r="B564" s="5" t="str">
        <f>IF(COUNTIF($A$2:A564,A564)=1,"Original","Duplicate")</f>
        <v>Original</v>
      </c>
      <c r="C564" s="7">
        <v>45813</v>
      </c>
      <c r="D564" s="7">
        <v>45822</v>
      </c>
      <c r="E564">
        <f t="shared" si="89"/>
        <v>9</v>
      </c>
      <c r="F564" t="s">
        <v>647</v>
      </c>
      <c r="G564" t="s">
        <v>654</v>
      </c>
      <c r="H564" t="s">
        <v>680</v>
      </c>
      <c r="I564" t="s">
        <v>703</v>
      </c>
      <c r="J564" t="s">
        <v>707</v>
      </c>
      <c r="K564" t="s">
        <v>720</v>
      </c>
      <c r="L564" t="s">
        <v>733</v>
      </c>
      <c r="M564" t="s">
        <v>1150</v>
      </c>
      <c r="N564" s="23">
        <v>618.69000000000005</v>
      </c>
      <c r="O564" s="23">
        <v>796.15</v>
      </c>
      <c r="P564" s="8">
        <v>0.09</v>
      </c>
      <c r="Q564">
        <v>11</v>
      </c>
      <c r="R564" s="23">
        <f t="shared" si="90"/>
        <v>7969.4615000000003</v>
      </c>
      <c r="S564" s="23">
        <f t="shared" si="91"/>
        <v>6805.59</v>
      </c>
      <c r="T564" s="23">
        <f t="shared" si="92"/>
        <v>1163.8715000000002</v>
      </c>
      <c r="U564" s="14">
        <f t="shared" si="93"/>
        <v>0.14604142325049191</v>
      </c>
      <c r="V564" s="7" t="str">
        <f t="shared" si="94"/>
        <v>Jun-2025</v>
      </c>
      <c r="W564" s="22">
        <f t="shared" si="95"/>
        <v>45809</v>
      </c>
      <c r="X564" s="7" t="str">
        <f t="shared" si="96"/>
        <v>Q2-2025</v>
      </c>
      <c r="Y564" t="str">
        <f t="shared" si="97"/>
        <v>Asia → India → Delhi</v>
      </c>
      <c r="Z564" t="str">
        <f t="shared" si="98"/>
        <v>Accessories</v>
      </c>
      <c r="AA564" t="str" cm="1">
        <f t="array" ref="AA564">_xlfn.IFS(O564&lt;=$AF$2,"Low",AND(O564&gt;$AF$2,O564&lt;$AF$3),"Medium",O564&gt;=$AF$3,"High")</f>
        <v>Low</v>
      </c>
      <c r="AB564" s="22">
        <f t="shared" si="99"/>
        <v>44958</v>
      </c>
      <c r="AC564">
        <v>28</v>
      </c>
    </row>
    <row r="565" spans="1:29" x14ac:dyDescent="0.35">
      <c r="A565" s="4" t="s">
        <v>73</v>
      </c>
      <c r="B565" s="5" t="str">
        <f>IF(COUNTIF($A$2:A565,A565)=1,"Original","Duplicate")</f>
        <v>Original</v>
      </c>
      <c r="C565" s="7">
        <v>45817</v>
      </c>
      <c r="D565" s="7">
        <v>45826</v>
      </c>
      <c r="E565">
        <f t="shared" si="89"/>
        <v>9</v>
      </c>
      <c r="F565" t="s">
        <v>649</v>
      </c>
      <c r="G565" t="s">
        <v>657</v>
      </c>
      <c r="H565" t="s">
        <v>673</v>
      </c>
      <c r="I565" t="s">
        <v>705</v>
      </c>
      <c r="J565" t="s">
        <v>709</v>
      </c>
      <c r="K565" t="s">
        <v>722</v>
      </c>
      <c r="L565" t="s">
        <v>733</v>
      </c>
      <c r="M565" t="s">
        <v>792</v>
      </c>
      <c r="N565" s="23">
        <v>1225.5</v>
      </c>
      <c r="O565" s="23">
        <v>1470.6</v>
      </c>
      <c r="P565" s="8">
        <v>7.4999999999999997E-2</v>
      </c>
      <c r="Q565">
        <v>56</v>
      </c>
      <c r="R565" s="23">
        <f t="shared" si="90"/>
        <v>76177.08</v>
      </c>
      <c r="S565" s="23">
        <f t="shared" si="91"/>
        <v>68628</v>
      </c>
      <c r="T565" s="23">
        <f t="shared" si="92"/>
        <v>7549.0800000000017</v>
      </c>
      <c r="U565" s="14">
        <f t="shared" si="93"/>
        <v>9.9099099099099114E-2</v>
      </c>
      <c r="V565" s="7" t="str">
        <f t="shared" si="94"/>
        <v>Jun-2025</v>
      </c>
      <c r="W565" s="22">
        <f t="shared" si="95"/>
        <v>45809</v>
      </c>
      <c r="X565" s="7" t="str">
        <f t="shared" si="96"/>
        <v>Q2-2025</v>
      </c>
      <c r="Y565" t="str">
        <f t="shared" si="97"/>
        <v>Europe → France → Marseille</v>
      </c>
      <c r="Z565" t="str">
        <f t="shared" si="98"/>
        <v>Accessories</v>
      </c>
      <c r="AA565" t="str" cm="1">
        <f t="array" ref="AA565">_xlfn.IFS(O565&lt;=$AF$2,"Low",AND(O565&gt;$AF$2,O565&lt;$AF$3),"Medium",O565&gt;=$AF$3,"High")</f>
        <v>Medium</v>
      </c>
      <c r="AB565" s="22">
        <f t="shared" si="99"/>
        <v>44927</v>
      </c>
      <c r="AC565">
        <v>29</v>
      </c>
    </row>
    <row r="566" spans="1:29" x14ac:dyDescent="0.35">
      <c r="A566" s="4" t="s">
        <v>106</v>
      </c>
      <c r="B566" s="5" t="str">
        <f>IF(COUNTIF($A$2:A566,A566)=1,"Original","Duplicate")</f>
        <v>Original</v>
      </c>
      <c r="C566" s="7">
        <v>45817</v>
      </c>
      <c r="D566" s="7">
        <v>45833</v>
      </c>
      <c r="E566">
        <f t="shared" si="89"/>
        <v>16</v>
      </c>
      <c r="F566" t="s">
        <v>647</v>
      </c>
      <c r="G566" t="s">
        <v>654</v>
      </c>
      <c r="H566" t="s">
        <v>696</v>
      </c>
      <c r="I566" t="s">
        <v>706</v>
      </c>
      <c r="J566" t="s">
        <v>710</v>
      </c>
      <c r="K566" t="s">
        <v>724</v>
      </c>
      <c r="L566" t="s">
        <v>730</v>
      </c>
      <c r="M566" t="s">
        <v>825</v>
      </c>
      <c r="N566" s="23">
        <v>527.33000000000004</v>
      </c>
      <c r="O566" s="23">
        <v>911.72</v>
      </c>
      <c r="P566" s="8">
        <v>0.14399999999999999</v>
      </c>
      <c r="Q566">
        <v>25</v>
      </c>
      <c r="R566" s="23">
        <f t="shared" si="90"/>
        <v>19510.808000000001</v>
      </c>
      <c r="S566" s="23">
        <f t="shared" si="91"/>
        <v>13183.250000000002</v>
      </c>
      <c r="T566" s="23">
        <f t="shared" si="92"/>
        <v>6327.5579999999991</v>
      </c>
      <c r="U566" s="14">
        <f t="shared" si="93"/>
        <v>0.32431040272652978</v>
      </c>
      <c r="V566" s="7" t="str">
        <f t="shared" si="94"/>
        <v>Jun-2025</v>
      </c>
      <c r="W566" s="22">
        <f t="shared" si="95"/>
        <v>45809</v>
      </c>
      <c r="X566" s="7" t="str">
        <f t="shared" si="96"/>
        <v>Q2-2025</v>
      </c>
      <c r="Y566" t="str">
        <f t="shared" si="97"/>
        <v>Asia → India → Hyderabad</v>
      </c>
      <c r="Z566" t="str">
        <f t="shared" si="98"/>
        <v>Phones</v>
      </c>
      <c r="AA566" t="str" cm="1">
        <f t="array" ref="AA566">_xlfn.IFS(O566&lt;=$AF$2,"Low",AND(O566&gt;$AF$2,O566&lt;$AF$3),"Medium",O566&gt;=$AF$3,"High")</f>
        <v>Medium</v>
      </c>
      <c r="AB566" s="22">
        <f t="shared" si="99"/>
        <v>44958</v>
      </c>
      <c r="AC566">
        <v>28</v>
      </c>
    </row>
    <row r="567" spans="1:29" x14ac:dyDescent="0.35">
      <c r="A567" s="4" t="s">
        <v>467</v>
      </c>
      <c r="B567" s="5" t="str">
        <f>IF(COUNTIF($A$2:A567,A567)=1,"Original","Duplicate")</f>
        <v>Original</v>
      </c>
      <c r="C567" s="7">
        <v>45817</v>
      </c>
      <c r="D567" s="7">
        <v>45832</v>
      </c>
      <c r="E567">
        <f t="shared" si="89"/>
        <v>15</v>
      </c>
      <c r="F567" t="s">
        <v>647</v>
      </c>
      <c r="G567" t="s">
        <v>652</v>
      </c>
      <c r="H567" t="s">
        <v>694</v>
      </c>
      <c r="I567" t="s">
        <v>701</v>
      </c>
      <c r="J567" t="s">
        <v>711</v>
      </c>
      <c r="K567" t="s">
        <v>717</v>
      </c>
      <c r="L567" t="s">
        <v>730</v>
      </c>
      <c r="M567" t="s">
        <v>1186</v>
      </c>
      <c r="N567" s="23">
        <v>400.39</v>
      </c>
      <c r="O567" s="23">
        <v>712.75</v>
      </c>
      <c r="P567" s="8">
        <v>0.115</v>
      </c>
      <c r="Q567">
        <v>19</v>
      </c>
      <c r="R567" s="23">
        <f t="shared" si="90"/>
        <v>11984.891250000001</v>
      </c>
      <c r="S567" s="23">
        <f t="shared" si="91"/>
        <v>7607.41</v>
      </c>
      <c r="T567" s="23">
        <f t="shared" si="92"/>
        <v>4377.4812500000007</v>
      </c>
      <c r="U567" s="14">
        <f t="shared" si="93"/>
        <v>0.36524997671547504</v>
      </c>
      <c r="V567" s="7" t="str">
        <f t="shared" si="94"/>
        <v>Jun-2025</v>
      </c>
      <c r="W567" s="22">
        <f t="shared" si="95"/>
        <v>45809</v>
      </c>
      <c r="X567" s="7" t="str">
        <f t="shared" si="96"/>
        <v>Q2-2025</v>
      </c>
      <c r="Y567" t="str">
        <f t="shared" si="97"/>
        <v>Asia → Japan → Nagoya</v>
      </c>
      <c r="Z567" t="str">
        <f t="shared" si="98"/>
        <v>Phones</v>
      </c>
      <c r="AA567" t="str" cm="1">
        <f t="array" ref="AA567">_xlfn.IFS(O567&lt;=$AF$2,"Low",AND(O567&gt;$AF$2,O567&lt;$AF$3),"Medium",O567&gt;=$AF$3,"High")</f>
        <v>Low</v>
      </c>
      <c r="AB567" s="22">
        <f t="shared" si="99"/>
        <v>44986</v>
      </c>
      <c r="AC567">
        <v>27</v>
      </c>
    </row>
    <row r="568" spans="1:29" x14ac:dyDescent="0.35">
      <c r="A568" s="4" t="s">
        <v>37</v>
      </c>
      <c r="B568" s="5" t="str">
        <f>IF(COUNTIF($A$2:A568,A568)=1,"Original","Duplicate")</f>
        <v>Original</v>
      </c>
      <c r="C568" s="7">
        <v>45822</v>
      </c>
      <c r="D568" s="7">
        <v>45837</v>
      </c>
      <c r="E568">
        <f t="shared" si="89"/>
        <v>15</v>
      </c>
      <c r="F568" t="s">
        <v>646</v>
      </c>
      <c r="G568" t="s">
        <v>651</v>
      </c>
      <c r="H568" t="s">
        <v>663</v>
      </c>
      <c r="I568" t="s">
        <v>704</v>
      </c>
      <c r="J568" t="s">
        <v>709</v>
      </c>
      <c r="K568" t="s">
        <v>724</v>
      </c>
      <c r="L568" t="s">
        <v>733</v>
      </c>
      <c r="M568" t="s">
        <v>756</v>
      </c>
      <c r="N568" s="23">
        <v>730.99</v>
      </c>
      <c r="O568" s="23">
        <v>1242.8399999999999</v>
      </c>
      <c r="P568" s="8">
        <v>0.12</v>
      </c>
      <c r="Q568">
        <v>10</v>
      </c>
      <c r="R568" s="23">
        <f t="shared" si="90"/>
        <v>10936.992</v>
      </c>
      <c r="S568" s="23">
        <f t="shared" si="91"/>
        <v>7309.9</v>
      </c>
      <c r="T568" s="23">
        <f t="shared" si="92"/>
        <v>3627.0920000000006</v>
      </c>
      <c r="U568" s="14">
        <f t="shared" si="93"/>
        <v>0.33163524303574515</v>
      </c>
      <c r="V568" s="7" t="str">
        <f t="shared" si="94"/>
        <v>Jun-2025</v>
      </c>
      <c r="W568" s="22">
        <f t="shared" si="95"/>
        <v>45809</v>
      </c>
      <c r="X568" s="7" t="str">
        <f t="shared" si="96"/>
        <v>Q2-2025</v>
      </c>
      <c r="Y568" t="str">
        <f t="shared" si="97"/>
        <v>Africa → Nigeria → Port Harcourt</v>
      </c>
      <c r="Z568" t="str">
        <f t="shared" si="98"/>
        <v>Accessories</v>
      </c>
      <c r="AA568" t="str" cm="1">
        <f t="array" ref="AA568">_xlfn.IFS(O568&lt;=$AF$2,"Low",AND(O568&gt;$AF$2,O568&lt;$AF$3),"Medium",O568&gt;=$AF$3,"High")</f>
        <v>Medium</v>
      </c>
      <c r="AB568" s="22">
        <f t="shared" si="99"/>
        <v>44927</v>
      </c>
      <c r="AC568">
        <v>29</v>
      </c>
    </row>
    <row r="569" spans="1:29" x14ac:dyDescent="0.35">
      <c r="A569" s="4" t="s">
        <v>404</v>
      </c>
      <c r="B569" s="5" t="str">
        <f>IF(COUNTIF($A$2:A569,A569)=1,"Original","Duplicate")</f>
        <v>Original</v>
      </c>
      <c r="C569" s="7">
        <v>45823</v>
      </c>
      <c r="D569" s="7">
        <v>45838</v>
      </c>
      <c r="E569">
        <f t="shared" si="89"/>
        <v>15</v>
      </c>
      <c r="F569" t="s">
        <v>646</v>
      </c>
      <c r="G569" t="s">
        <v>661</v>
      </c>
      <c r="H569" t="s">
        <v>682</v>
      </c>
      <c r="I569" t="s">
        <v>705</v>
      </c>
      <c r="J569" t="s">
        <v>711</v>
      </c>
      <c r="K569" t="s">
        <v>712</v>
      </c>
      <c r="L569" t="s">
        <v>732</v>
      </c>
      <c r="M569" t="s">
        <v>1123</v>
      </c>
      <c r="N569" s="23">
        <v>1487.59</v>
      </c>
      <c r="O569" s="23">
        <v>1480.83</v>
      </c>
      <c r="P569" s="8">
        <v>8.9999999999999993E-3</v>
      </c>
      <c r="Q569">
        <v>11</v>
      </c>
      <c r="R569" s="23">
        <f t="shared" si="90"/>
        <v>16142.527829999999</v>
      </c>
      <c r="S569" s="23">
        <f t="shared" si="91"/>
        <v>16363.49</v>
      </c>
      <c r="T569" s="23">
        <f t="shared" si="92"/>
        <v>-220.9621700000007</v>
      </c>
      <c r="U569" s="14">
        <f t="shared" si="93"/>
        <v>-1.3688201273492908E-2</v>
      </c>
      <c r="V569" s="7" t="str">
        <f t="shared" si="94"/>
        <v>Jun-2025</v>
      </c>
      <c r="W569" s="22">
        <f t="shared" si="95"/>
        <v>45809</v>
      </c>
      <c r="X569" s="7" t="str">
        <f t="shared" si="96"/>
        <v>Q2-2025</v>
      </c>
      <c r="Y569" t="str">
        <f t="shared" si="97"/>
        <v>Africa → South Africa → Johannesburg</v>
      </c>
      <c r="Z569" t="str">
        <f t="shared" si="98"/>
        <v>Monitors</v>
      </c>
      <c r="AA569" t="str" cm="1">
        <f t="array" ref="AA569">_xlfn.IFS(O569&lt;=$AF$2,"Low",AND(O569&gt;$AF$2,O569&lt;$AF$3),"Medium",O569&gt;=$AF$3,"High")</f>
        <v>Medium</v>
      </c>
      <c r="AB569" s="22">
        <f t="shared" si="99"/>
        <v>44927</v>
      </c>
      <c r="AC569">
        <v>29</v>
      </c>
    </row>
    <row r="570" spans="1:29" x14ac:dyDescent="0.35">
      <c r="A570" s="4" t="s">
        <v>608</v>
      </c>
      <c r="B570" s="5" t="str">
        <f>IF(COUNTIF($A$2:A570,A570)=1,"Original","Duplicate")</f>
        <v>Original</v>
      </c>
      <c r="C570" s="7">
        <v>45823</v>
      </c>
      <c r="D570" s="7">
        <v>45850</v>
      </c>
      <c r="E570">
        <f t="shared" si="89"/>
        <v>27</v>
      </c>
      <c r="F570" t="s">
        <v>649</v>
      </c>
      <c r="G570" t="s">
        <v>657</v>
      </c>
      <c r="H570" t="s">
        <v>673</v>
      </c>
      <c r="I570" t="s">
        <v>704</v>
      </c>
      <c r="J570" t="s">
        <v>711</v>
      </c>
      <c r="K570" t="s">
        <v>712</v>
      </c>
      <c r="L570" t="s">
        <v>733</v>
      </c>
      <c r="M570" t="s">
        <v>1326</v>
      </c>
      <c r="N570" s="23">
        <v>318.83</v>
      </c>
      <c r="O570" s="23">
        <v>699.5</v>
      </c>
      <c r="P570" s="8">
        <v>0.08</v>
      </c>
      <c r="Q570">
        <v>13</v>
      </c>
      <c r="R570" s="23">
        <f t="shared" si="90"/>
        <v>8366.02</v>
      </c>
      <c r="S570" s="23">
        <f t="shared" si="91"/>
        <v>4144.79</v>
      </c>
      <c r="T570" s="23">
        <f t="shared" si="92"/>
        <v>4221.2300000000005</v>
      </c>
      <c r="U570" s="14">
        <f t="shared" si="93"/>
        <v>0.50456848059172699</v>
      </c>
      <c r="V570" s="7" t="str">
        <f t="shared" si="94"/>
        <v>Jun-2025</v>
      </c>
      <c r="W570" s="22">
        <f t="shared" si="95"/>
        <v>45809</v>
      </c>
      <c r="X570" s="7" t="str">
        <f t="shared" si="96"/>
        <v>Q2-2025</v>
      </c>
      <c r="Y570" t="str">
        <f t="shared" si="97"/>
        <v>Europe → France → Marseille</v>
      </c>
      <c r="Z570" t="str">
        <f t="shared" si="98"/>
        <v>Accessories</v>
      </c>
      <c r="AA570" t="str" cm="1">
        <f t="array" ref="AA570">_xlfn.IFS(O570&lt;=$AF$2,"Low",AND(O570&gt;$AF$2,O570&lt;$AF$3),"Medium",O570&gt;=$AF$3,"High")</f>
        <v>Low</v>
      </c>
      <c r="AB570" s="22">
        <f t="shared" si="99"/>
        <v>44927</v>
      </c>
      <c r="AC570">
        <v>29</v>
      </c>
    </row>
    <row r="571" spans="1:29" x14ac:dyDescent="0.35">
      <c r="A571" s="4" t="s">
        <v>363</v>
      </c>
      <c r="B571" s="5" t="str">
        <f>IF(COUNTIF($A$2:A571,A571)=1,"Original","Duplicate")</f>
        <v>Original</v>
      </c>
      <c r="C571" s="7">
        <v>45825</v>
      </c>
      <c r="D571" s="7">
        <v>45843</v>
      </c>
      <c r="E571">
        <f t="shared" si="89"/>
        <v>18</v>
      </c>
      <c r="F571" t="s">
        <v>647</v>
      </c>
      <c r="G571" t="s">
        <v>654</v>
      </c>
      <c r="H571" t="s">
        <v>680</v>
      </c>
      <c r="I571" t="s">
        <v>704</v>
      </c>
      <c r="J571" t="s">
        <v>709</v>
      </c>
      <c r="K571" t="s">
        <v>716</v>
      </c>
      <c r="L571" t="s">
        <v>731</v>
      </c>
      <c r="M571" t="s">
        <v>1083</v>
      </c>
      <c r="N571" s="23">
        <v>982.93</v>
      </c>
      <c r="O571" s="23">
        <v>2299.3000000000002</v>
      </c>
      <c r="P571" s="8">
        <v>0.113</v>
      </c>
      <c r="Q571">
        <v>6</v>
      </c>
      <c r="R571" s="23">
        <f t="shared" si="90"/>
        <v>12236.874600000001</v>
      </c>
      <c r="S571" s="23">
        <f t="shared" si="91"/>
        <v>5897.58</v>
      </c>
      <c r="T571" s="23">
        <f t="shared" si="92"/>
        <v>6339.2946000000011</v>
      </c>
      <c r="U571" s="14">
        <f t="shared" si="93"/>
        <v>0.51804850562087157</v>
      </c>
      <c r="V571" s="7" t="str">
        <f t="shared" si="94"/>
        <v>Jun-2025</v>
      </c>
      <c r="W571" s="22">
        <f t="shared" si="95"/>
        <v>45809</v>
      </c>
      <c r="X571" s="7" t="str">
        <f t="shared" si="96"/>
        <v>Q2-2025</v>
      </c>
      <c r="Y571" t="str">
        <f t="shared" si="97"/>
        <v>Asia → India → Delhi</v>
      </c>
      <c r="Z571" t="str">
        <f t="shared" si="98"/>
        <v>Laptops</v>
      </c>
      <c r="AA571" t="str" cm="1">
        <f t="array" ref="AA571">_xlfn.IFS(O571&lt;=$AF$2,"Low",AND(O571&gt;$AF$2,O571&lt;$AF$3),"Medium",O571&gt;=$AF$3,"High")</f>
        <v>High</v>
      </c>
      <c r="AB571" s="22">
        <f t="shared" si="99"/>
        <v>44958</v>
      </c>
      <c r="AC571">
        <v>28</v>
      </c>
    </row>
    <row r="572" spans="1:29" x14ac:dyDescent="0.35">
      <c r="A572" s="4" t="s">
        <v>135</v>
      </c>
      <c r="B572" s="5" t="str">
        <f>IF(COUNTIF($A$2:A572,A572)=1,"Original","Duplicate")</f>
        <v>Original</v>
      </c>
      <c r="C572" s="7">
        <v>45827</v>
      </c>
      <c r="D572" s="7">
        <v>45850</v>
      </c>
      <c r="E572">
        <f t="shared" si="89"/>
        <v>23</v>
      </c>
      <c r="F572" t="s">
        <v>649</v>
      </c>
      <c r="G572" t="s">
        <v>658</v>
      </c>
      <c r="H572" t="s">
        <v>1431</v>
      </c>
      <c r="I572" t="s">
        <v>703</v>
      </c>
      <c r="J572" t="s">
        <v>711</v>
      </c>
      <c r="K572" t="s">
        <v>1432</v>
      </c>
      <c r="L572" t="s">
        <v>729</v>
      </c>
      <c r="M572" t="s">
        <v>854</v>
      </c>
      <c r="N572" s="23">
        <v>801.24</v>
      </c>
      <c r="O572" s="23">
        <v>1959.09</v>
      </c>
      <c r="P572" s="8">
        <v>0.123</v>
      </c>
      <c r="Q572">
        <v>23</v>
      </c>
      <c r="R572" s="23">
        <f t="shared" si="90"/>
        <v>39516.804389999998</v>
      </c>
      <c r="S572" s="23">
        <f t="shared" si="91"/>
        <v>18428.52</v>
      </c>
      <c r="T572" s="23">
        <f t="shared" si="92"/>
        <v>21088.284389999997</v>
      </c>
      <c r="U572" s="14">
        <f t="shared" si="93"/>
        <v>0.53365358650651762</v>
      </c>
      <c r="V572" s="7" t="str">
        <f t="shared" si="94"/>
        <v>Jun-2025</v>
      </c>
      <c r="W572" s="22">
        <f t="shared" si="95"/>
        <v>45809</v>
      </c>
      <c r="X572" s="7" t="str">
        <f t="shared" si="96"/>
        <v>Q2-2025</v>
      </c>
      <c r="Y572" t="str">
        <f t="shared" si="97"/>
        <v>Europe → United Kingdom → Unknown</v>
      </c>
      <c r="Z572" t="str">
        <f t="shared" si="98"/>
        <v>Networking</v>
      </c>
      <c r="AA572" t="str" cm="1">
        <f t="array" ref="AA572">_xlfn.IFS(O572&lt;=$AF$2,"Low",AND(O572&gt;$AF$2,O572&lt;$AF$3),"Medium",O572&gt;=$AF$3,"High")</f>
        <v>High</v>
      </c>
      <c r="AB572" s="22">
        <f t="shared" si="99"/>
        <v>44927</v>
      </c>
      <c r="AC572">
        <v>29</v>
      </c>
    </row>
    <row r="573" spans="1:29" x14ac:dyDescent="0.35">
      <c r="A573" s="4" t="s">
        <v>621</v>
      </c>
      <c r="B573" s="5" t="str">
        <f>IF(COUNTIF($A$2:A573,A573)=1,"Original","Duplicate")</f>
        <v>Original</v>
      </c>
      <c r="C573" s="7">
        <v>45827</v>
      </c>
      <c r="D573" s="7">
        <v>45829</v>
      </c>
      <c r="E573">
        <f t="shared" si="89"/>
        <v>2</v>
      </c>
      <c r="F573" t="s">
        <v>646</v>
      </c>
      <c r="G573" t="s">
        <v>661</v>
      </c>
      <c r="H573" t="s">
        <v>682</v>
      </c>
      <c r="I573" t="s">
        <v>705</v>
      </c>
      <c r="J573" t="s">
        <v>1431</v>
      </c>
      <c r="K573" t="s">
        <v>722</v>
      </c>
      <c r="L573" t="s">
        <v>730</v>
      </c>
      <c r="M573" t="s">
        <v>1339</v>
      </c>
      <c r="N573" s="23">
        <v>1466.27</v>
      </c>
      <c r="O573" s="23">
        <v>3589.89</v>
      </c>
      <c r="P573" s="8">
        <v>9.7000000000000003E-2</v>
      </c>
      <c r="Q573">
        <v>9</v>
      </c>
      <c r="R573" s="23">
        <f t="shared" si="90"/>
        <v>29175.036029999999</v>
      </c>
      <c r="S573" s="23">
        <f t="shared" si="91"/>
        <v>13196.43</v>
      </c>
      <c r="T573" s="23">
        <f t="shared" si="92"/>
        <v>15978.606029999999</v>
      </c>
      <c r="U573" s="14">
        <f t="shared" si="93"/>
        <v>0.54768076425234147</v>
      </c>
      <c r="V573" s="7" t="str">
        <f t="shared" si="94"/>
        <v>Jun-2025</v>
      </c>
      <c r="W573" s="22">
        <f t="shared" si="95"/>
        <v>45809</v>
      </c>
      <c r="X573" s="7" t="str">
        <f t="shared" si="96"/>
        <v>Q2-2025</v>
      </c>
      <c r="Y573" t="str">
        <f t="shared" si="97"/>
        <v>Africa → South Africa → Johannesburg</v>
      </c>
      <c r="Z573" t="str">
        <f t="shared" si="98"/>
        <v>Phones</v>
      </c>
      <c r="AA573" t="str" cm="1">
        <f t="array" ref="AA573">_xlfn.IFS(O573&lt;=$AF$2,"Low",AND(O573&gt;$AF$2,O573&lt;$AF$3),"Medium",O573&gt;=$AF$3,"High")</f>
        <v>High</v>
      </c>
      <c r="AB573" s="22">
        <f t="shared" si="99"/>
        <v>44927</v>
      </c>
      <c r="AC573">
        <v>29</v>
      </c>
    </row>
    <row r="574" spans="1:29" x14ac:dyDescent="0.35">
      <c r="A574" s="4" t="s">
        <v>277</v>
      </c>
      <c r="B574" s="5" t="str">
        <f>IF(COUNTIF($A$2:A574,A574)=1,"Original","Duplicate")</f>
        <v>Original</v>
      </c>
      <c r="C574" s="7">
        <v>45829</v>
      </c>
      <c r="D574" s="7">
        <v>45835</v>
      </c>
      <c r="E574">
        <f t="shared" si="89"/>
        <v>6</v>
      </c>
      <c r="F574" t="s">
        <v>646</v>
      </c>
      <c r="G574" t="s">
        <v>661</v>
      </c>
      <c r="H574" t="s">
        <v>687</v>
      </c>
      <c r="I574" t="s">
        <v>706</v>
      </c>
      <c r="J574" t="s">
        <v>710</v>
      </c>
      <c r="K574" t="s">
        <v>725</v>
      </c>
      <c r="L574" t="s">
        <v>730</v>
      </c>
      <c r="M574" t="s">
        <v>997</v>
      </c>
      <c r="N574" s="23">
        <v>93.91</v>
      </c>
      <c r="O574" s="23">
        <v>99.04</v>
      </c>
      <c r="P574" s="8">
        <v>5.7000000000000002E-2</v>
      </c>
      <c r="Q574">
        <v>6</v>
      </c>
      <c r="R574" s="23">
        <f t="shared" si="90"/>
        <v>560.36831999999993</v>
      </c>
      <c r="S574" s="23">
        <f t="shared" si="91"/>
        <v>563.46</v>
      </c>
      <c r="T574" s="23">
        <f t="shared" si="92"/>
        <v>-3.0916800000001103</v>
      </c>
      <c r="U574" s="14">
        <f t="shared" si="93"/>
        <v>-5.5172283829323376E-3</v>
      </c>
      <c r="V574" s="7" t="str">
        <f t="shared" si="94"/>
        <v>Jun-2025</v>
      </c>
      <c r="W574" s="22">
        <f t="shared" si="95"/>
        <v>45809</v>
      </c>
      <c r="X574" s="7" t="str">
        <f t="shared" si="96"/>
        <v>Q2-2025</v>
      </c>
      <c r="Y574" t="str">
        <f t="shared" si="97"/>
        <v>Africa → South Africa → Durban</v>
      </c>
      <c r="Z574" t="str">
        <f t="shared" si="98"/>
        <v>Phones</v>
      </c>
      <c r="AA574" t="str" cm="1">
        <f t="array" ref="AA574">_xlfn.IFS(O574&lt;=$AF$2,"Low",AND(O574&gt;$AF$2,O574&lt;$AF$3),"Medium",O574&gt;=$AF$3,"High")</f>
        <v>Low</v>
      </c>
      <c r="AB574" s="22">
        <f t="shared" si="99"/>
        <v>44927</v>
      </c>
      <c r="AC574">
        <v>29</v>
      </c>
    </row>
    <row r="575" spans="1:29" x14ac:dyDescent="0.35">
      <c r="A575" s="4" t="s">
        <v>317</v>
      </c>
      <c r="B575" s="5" t="str">
        <f>IF(COUNTIF($A$2:A575,A575)=1,"Original","Duplicate")</f>
        <v>Original</v>
      </c>
      <c r="C575" s="7">
        <v>45830</v>
      </c>
      <c r="D575" s="7">
        <v>45846</v>
      </c>
      <c r="E575">
        <f t="shared" si="89"/>
        <v>16</v>
      </c>
      <c r="F575" t="s">
        <v>649</v>
      </c>
      <c r="G575" t="s">
        <v>658</v>
      </c>
      <c r="H575" t="s">
        <v>683</v>
      </c>
      <c r="I575" t="s">
        <v>702</v>
      </c>
      <c r="J575" t="s">
        <v>711</v>
      </c>
      <c r="K575" t="s">
        <v>720</v>
      </c>
      <c r="L575" t="s">
        <v>730</v>
      </c>
      <c r="M575" t="s">
        <v>1037</v>
      </c>
      <c r="N575" s="23">
        <v>892.73</v>
      </c>
      <c r="O575" s="23">
        <v>979.84</v>
      </c>
      <c r="P575" s="8">
        <v>0.17399999999999999</v>
      </c>
      <c r="Q575">
        <v>10</v>
      </c>
      <c r="R575" s="23">
        <f t="shared" si="90"/>
        <v>8093.4784</v>
      </c>
      <c r="S575" s="23">
        <f t="shared" si="91"/>
        <v>8927.2999999999993</v>
      </c>
      <c r="T575" s="23">
        <f t="shared" si="92"/>
        <v>-833.82159999999931</v>
      </c>
      <c r="U575" s="14">
        <f t="shared" si="93"/>
        <v>-0.10302388649112838</v>
      </c>
      <c r="V575" s="7" t="str">
        <f t="shared" si="94"/>
        <v>Jun-2025</v>
      </c>
      <c r="W575" s="22">
        <f t="shared" si="95"/>
        <v>45809</v>
      </c>
      <c r="X575" s="7" t="str">
        <f t="shared" si="96"/>
        <v>Q2-2025</v>
      </c>
      <c r="Y575" t="str">
        <f t="shared" si="97"/>
        <v>Europe → United Kingdom → London</v>
      </c>
      <c r="Z575" t="str">
        <f t="shared" si="98"/>
        <v>Phones</v>
      </c>
      <c r="AA575" t="str" cm="1">
        <f t="array" ref="AA575">_xlfn.IFS(O575&lt;=$AF$2,"Low",AND(O575&gt;$AF$2,O575&lt;$AF$3),"Medium",O575&gt;=$AF$3,"High")</f>
        <v>Medium</v>
      </c>
      <c r="AB575" s="22">
        <f t="shared" si="99"/>
        <v>44927</v>
      </c>
      <c r="AC575">
        <v>29</v>
      </c>
    </row>
    <row r="576" spans="1:29" x14ac:dyDescent="0.35">
      <c r="A576" s="4" t="s">
        <v>52</v>
      </c>
      <c r="B576" s="5" t="str">
        <f>IF(COUNTIF($A$2:A576,A576)=1,"Original","Duplicate")</f>
        <v>Original</v>
      </c>
      <c r="C576" s="7">
        <v>45832</v>
      </c>
      <c r="D576" s="7">
        <v>45848</v>
      </c>
      <c r="E576">
        <f t="shared" si="89"/>
        <v>16</v>
      </c>
      <c r="F576" t="s">
        <v>647</v>
      </c>
      <c r="G576" t="s">
        <v>659</v>
      </c>
      <c r="H576" t="s">
        <v>685</v>
      </c>
      <c r="I576" t="s">
        <v>706</v>
      </c>
      <c r="J576" t="s">
        <v>711</v>
      </c>
      <c r="K576" t="s">
        <v>725</v>
      </c>
      <c r="L576" t="s">
        <v>727</v>
      </c>
      <c r="M576" t="s">
        <v>771</v>
      </c>
      <c r="N576" s="23">
        <v>757.19</v>
      </c>
      <c r="O576" s="23">
        <v>1735.41</v>
      </c>
      <c r="P576" s="8">
        <v>0.13600000000000001</v>
      </c>
      <c r="Q576">
        <v>8</v>
      </c>
      <c r="R576" s="23">
        <f t="shared" si="90"/>
        <v>11995.153920000001</v>
      </c>
      <c r="S576" s="23">
        <f t="shared" si="91"/>
        <v>6057.52</v>
      </c>
      <c r="T576" s="23">
        <f t="shared" si="92"/>
        <v>5937.6339200000002</v>
      </c>
      <c r="U576" s="14">
        <f t="shared" si="93"/>
        <v>0.4950027285685718</v>
      </c>
      <c r="V576" s="7" t="str">
        <f t="shared" si="94"/>
        <v>Jun-2025</v>
      </c>
      <c r="W576" s="22">
        <f t="shared" si="95"/>
        <v>45809</v>
      </c>
      <c r="X576" s="7" t="str">
        <f t="shared" si="96"/>
        <v>Q2-2025</v>
      </c>
      <c r="Y576" t="str">
        <f t="shared" si="97"/>
        <v>Asia → China → Shanghai</v>
      </c>
      <c r="Z576" t="str">
        <f t="shared" si="98"/>
        <v>Components</v>
      </c>
      <c r="AA576" t="str" cm="1">
        <f t="array" ref="AA576">_xlfn.IFS(O576&lt;=$AF$2,"Low",AND(O576&gt;$AF$2,O576&lt;$AF$3),"Medium",O576&gt;=$AF$3,"High")</f>
        <v>High</v>
      </c>
      <c r="AB576" s="22">
        <f t="shared" si="99"/>
        <v>44927</v>
      </c>
      <c r="AC576">
        <v>29</v>
      </c>
    </row>
    <row r="577" spans="1:29" x14ac:dyDescent="0.35">
      <c r="A577" s="4" t="s">
        <v>291</v>
      </c>
      <c r="B577" s="5" t="str">
        <f>IF(COUNTIF($A$2:A577,A577)=1,"Original","Duplicate")</f>
        <v>Original</v>
      </c>
      <c r="C577" s="7">
        <v>45832</v>
      </c>
      <c r="D577" s="7">
        <v>45852</v>
      </c>
      <c r="E577">
        <f t="shared" si="89"/>
        <v>20</v>
      </c>
      <c r="F577" t="s">
        <v>649</v>
      </c>
      <c r="G577" t="s">
        <v>656</v>
      </c>
      <c r="H577" t="s">
        <v>671</v>
      </c>
      <c r="I577" t="s">
        <v>701</v>
      </c>
      <c r="J577" t="s">
        <v>711</v>
      </c>
      <c r="K577" t="s">
        <v>719</v>
      </c>
      <c r="L577" t="s">
        <v>733</v>
      </c>
      <c r="M577" t="s">
        <v>1011</v>
      </c>
      <c r="N577" s="23">
        <v>385.08</v>
      </c>
      <c r="O577" s="23">
        <v>893.19</v>
      </c>
      <c r="P577" s="8">
        <v>0.151</v>
      </c>
      <c r="Q577">
        <v>8</v>
      </c>
      <c r="R577" s="23">
        <f t="shared" si="90"/>
        <v>6066.54648</v>
      </c>
      <c r="S577" s="23">
        <f t="shared" si="91"/>
        <v>3080.64</v>
      </c>
      <c r="T577" s="23">
        <f t="shared" si="92"/>
        <v>2985.9064800000001</v>
      </c>
      <c r="U577" s="14">
        <f t="shared" si="93"/>
        <v>0.49219213762621666</v>
      </c>
      <c r="V577" s="7" t="str">
        <f t="shared" si="94"/>
        <v>Jun-2025</v>
      </c>
      <c r="W577" s="22">
        <f t="shared" si="95"/>
        <v>45809</v>
      </c>
      <c r="X577" s="7" t="str">
        <f t="shared" si="96"/>
        <v>Q2-2025</v>
      </c>
      <c r="Y577" t="str">
        <f t="shared" si="97"/>
        <v>Europe → Germany → Berlin</v>
      </c>
      <c r="Z577" t="str">
        <f t="shared" si="98"/>
        <v>Accessories</v>
      </c>
      <c r="AA577" t="str" cm="1">
        <f t="array" ref="AA577">_xlfn.IFS(O577&lt;=$AF$2,"Low",AND(O577&gt;$AF$2,O577&lt;$AF$3),"Medium",O577&gt;=$AF$3,"High")</f>
        <v>Medium</v>
      </c>
      <c r="AB577" s="22">
        <f t="shared" si="99"/>
        <v>44927</v>
      </c>
      <c r="AC577">
        <v>29</v>
      </c>
    </row>
    <row r="578" spans="1:29" x14ac:dyDescent="0.35">
      <c r="A578" s="4" t="s">
        <v>383</v>
      </c>
      <c r="B578" s="5" t="str">
        <f>IF(COUNTIF($A$2:A578,A578)=1,"Original","Duplicate")</f>
        <v>Original</v>
      </c>
      <c r="C578" s="7">
        <v>45832</v>
      </c>
      <c r="D578" s="7">
        <v>45861</v>
      </c>
      <c r="E578">
        <f t="shared" ref="E578:E632" si="100">D578-C578</f>
        <v>29</v>
      </c>
      <c r="F578" t="s">
        <v>648</v>
      </c>
      <c r="G578" t="s">
        <v>653</v>
      </c>
      <c r="H578" t="s">
        <v>688</v>
      </c>
      <c r="I578" t="s">
        <v>703</v>
      </c>
      <c r="J578" t="s">
        <v>709</v>
      </c>
      <c r="K578" t="s">
        <v>714</v>
      </c>
      <c r="L578" t="s">
        <v>728</v>
      </c>
      <c r="M578" t="s">
        <v>1103</v>
      </c>
      <c r="N578" s="23">
        <v>255.4</v>
      </c>
      <c r="O578" s="23">
        <v>322.70999999999998</v>
      </c>
      <c r="P578" s="8">
        <v>0.115</v>
      </c>
      <c r="Q578">
        <v>16</v>
      </c>
      <c r="R578" s="23">
        <f t="shared" si="90"/>
        <v>4569.5735999999997</v>
      </c>
      <c r="S578" s="23">
        <f t="shared" si="91"/>
        <v>4086.4</v>
      </c>
      <c r="T578" s="23">
        <f t="shared" si="92"/>
        <v>483.17359999999962</v>
      </c>
      <c r="U578" s="14">
        <f t="shared" si="93"/>
        <v>0.10573713048412212</v>
      </c>
      <c r="V578" s="7" t="str">
        <f t="shared" si="94"/>
        <v>Jun-2025</v>
      </c>
      <c r="W578" s="22">
        <f t="shared" si="95"/>
        <v>45809</v>
      </c>
      <c r="X578" s="7" t="str">
        <f t="shared" si="96"/>
        <v>Q2-2025</v>
      </c>
      <c r="Y578" t="str">
        <f t="shared" si="97"/>
        <v>Americas → Canada → Vancouver</v>
      </c>
      <c r="Z578" t="str">
        <f t="shared" si="98"/>
        <v>Printers</v>
      </c>
      <c r="AA578" t="str" cm="1">
        <f t="array" ref="AA578">_xlfn.IFS(O578&lt;=$AF$2,"Low",AND(O578&gt;$AF$2,O578&lt;$AF$3),"Medium",O578&gt;=$AF$3,"High")</f>
        <v>Low</v>
      </c>
      <c r="AB578" s="22">
        <f t="shared" si="99"/>
        <v>44927</v>
      </c>
      <c r="AC578">
        <v>29</v>
      </c>
    </row>
    <row r="579" spans="1:29" x14ac:dyDescent="0.35">
      <c r="A579" s="4" t="s">
        <v>548</v>
      </c>
      <c r="B579" s="5" t="str">
        <f>IF(COUNTIF($A$2:A579,A579)=1,"Original","Duplicate")</f>
        <v>Original</v>
      </c>
      <c r="C579" s="7">
        <v>45832</v>
      </c>
      <c r="D579" s="7">
        <v>45852</v>
      </c>
      <c r="E579">
        <f t="shared" si="100"/>
        <v>20</v>
      </c>
      <c r="F579" t="s">
        <v>646</v>
      </c>
      <c r="G579" t="s">
        <v>661</v>
      </c>
      <c r="H579" t="s">
        <v>682</v>
      </c>
      <c r="I579" t="s">
        <v>706</v>
      </c>
      <c r="J579" t="s">
        <v>709</v>
      </c>
      <c r="K579" t="s">
        <v>713</v>
      </c>
      <c r="L579" t="s">
        <v>731</v>
      </c>
      <c r="M579" t="s">
        <v>1267</v>
      </c>
      <c r="N579" s="23">
        <v>1151.06</v>
      </c>
      <c r="O579" s="23">
        <v>2821.36</v>
      </c>
      <c r="P579" s="8">
        <v>0.248</v>
      </c>
      <c r="Q579">
        <v>20</v>
      </c>
      <c r="R579" s="23">
        <f t="shared" ref="R579:R632" si="101">(O579*Q579)*(1-P579)</f>
        <v>42433.254400000005</v>
      </c>
      <c r="S579" s="23">
        <f t="shared" ref="S579:S632" si="102">N579*Q579</f>
        <v>23021.199999999997</v>
      </c>
      <c r="T579" s="23">
        <f t="shared" ref="T579:T632" si="103">R579-S579</f>
        <v>19412.054400000008</v>
      </c>
      <c r="U579" s="14">
        <f t="shared" ref="U579:U631" si="104">IF(R579=0,0,T579/R579)</f>
        <v>0.45747267501594235</v>
      </c>
      <c r="V579" s="7" t="str">
        <f t="shared" ref="V579:V632" si="105">TEXT(C579,"MMM-YYYY")</f>
        <v>Jun-2025</v>
      </c>
      <c r="W579" s="22">
        <f t="shared" ref="W579:W632" si="106">DATEVALUE(V579)</f>
        <v>45809</v>
      </c>
      <c r="X579" s="7" t="str">
        <f t="shared" ref="X579:X632" si="107">"Q"&amp;ROUNDUP(MONTH(C579)/3,0)&amp;"-"&amp;YEAR(C579)</f>
        <v>Q2-2025</v>
      </c>
      <c r="Y579" t="str">
        <f t="shared" ref="Y579:Y632" si="108">_xlfn.CONCAT(F579," ","→"," ",G579," ","→"," ",H579)</f>
        <v>Africa → South Africa → Johannesburg</v>
      </c>
      <c r="Z579" t="str">
        <f t="shared" ref="Z579:Z632" si="109">TRIM(L579)</f>
        <v>Laptops</v>
      </c>
      <c r="AA579" t="str" cm="1">
        <f t="array" ref="AA579">_xlfn.IFS(O579&lt;=$AF$2,"Low",AND(O579&gt;$AF$2,O579&lt;$AF$3),"Medium",O579&gt;=$AF$3,"High")</f>
        <v>High</v>
      </c>
      <c r="AB579" s="22">
        <f t="shared" ref="AB579:AB632" si="110">_xlfn.MINIFS($W$2:$W$632,$G$2:$G$632,G579)</f>
        <v>44927</v>
      </c>
      <c r="AC579">
        <v>29</v>
      </c>
    </row>
    <row r="580" spans="1:29" x14ac:dyDescent="0.35">
      <c r="A580" s="4" t="s">
        <v>375</v>
      </c>
      <c r="B580" s="5" t="str">
        <f>IF(COUNTIF($A$2:A580,A580)=1,"Original","Duplicate")</f>
        <v>Original</v>
      </c>
      <c r="C580" s="7">
        <v>45833</v>
      </c>
      <c r="D580" s="7">
        <v>45848</v>
      </c>
      <c r="E580">
        <f t="shared" si="100"/>
        <v>15</v>
      </c>
      <c r="F580" t="s">
        <v>649</v>
      </c>
      <c r="G580" t="s">
        <v>658</v>
      </c>
      <c r="H580" t="s">
        <v>674</v>
      </c>
      <c r="I580" t="s">
        <v>703</v>
      </c>
      <c r="J580" t="s">
        <v>709</v>
      </c>
      <c r="K580" t="s">
        <v>726</v>
      </c>
      <c r="L580" t="s">
        <v>730</v>
      </c>
      <c r="M580" t="s">
        <v>1095</v>
      </c>
      <c r="N580" s="23">
        <v>546.83000000000004</v>
      </c>
      <c r="O580" s="23">
        <v>400.84</v>
      </c>
      <c r="P580" s="8">
        <v>7.8E-2</v>
      </c>
      <c r="Q580">
        <v>13</v>
      </c>
      <c r="R580" s="23">
        <f t="shared" si="101"/>
        <v>4804.4682400000002</v>
      </c>
      <c r="S580" s="23">
        <f t="shared" si="102"/>
        <v>7108.7900000000009</v>
      </c>
      <c r="T580" s="23">
        <f t="shared" si="103"/>
        <v>-2304.3217600000007</v>
      </c>
      <c r="U580" s="14">
        <f t="shared" si="104"/>
        <v>-0.47962056254533608</v>
      </c>
      <c r="V580" s="7" t="str">
        <f t="shared" si="105"/>
        <v>Jun-2025</v>
      </c>
      <c r="W580" s="22">
        <f t="shared" si="106"/>
        <v>45809</v>
      </c>
      <c r="X580" s="7" t="str">
        <f t="shared" si="107"/>
        <v>Q2-2025</v>
      </c>
      <c r="Y580" t="str">
        <f t="shared" si="108"/>
        <v>Europe → United Kingdom → Birmingham</v>
      </c>
      <c r="Z580" t="str">
        <f t="shared" si="109"/>
        <v>Phones</v>
      </c>
      <c r="AA580" t="str" cm="1">
        <f t="array" ref="AA580">_xlfn.IFS(O580&lt;=$AF$2,"Low",AND(O580&gt;$AF$2,O580&lt;$AF$3),"Medium",O580&gt;=$AF$3,"High")</f>
        <v>Low</v>
      </c>
      <c r="AB580" s="22">
        <f t="shared" si="110"/>
        <v>44927</v>
      </c>
      <c r="AC580">
        <v>29</v>
      </c>
    </row>
    <row r="581" spans="1:29" x14ac:dyDescent="0.35">
      <c r="A581" s="4" t="s">
        <v>581</v>
      </c>
      <c r="B581" s="5" t="str">
        <f>IF(COUNTIF($A$2:A581,A581)=1,"Original","Duplicate")</f>
        <v>Original</v>
      </c>
      <c r="C581" s="7">
        <v>45834</v>
      </c>
      <c r="D581" s="7">
        <v>45849</v>
      </c>
      <c r="E581">
        <f t="shared" si="100"/>
        <v>15</v>
      </c>
      <c r="F581" t="s">
        <v>646</v>
      </c>
      <c r="G581" t="s">
        <v>651</v>
      </c>
      <c r="H581" t="s">
        <v>663</v>
      </c>
      <c r="I581" t="s">
        <v>705</v>
      </c>
      <c r="J581" t="s">
        <v>708</v>
      </c>
      <c r="K581" t="s">
        <v>720</v>
      </c>
      <c r="L581" t="s">
        <v>731</v>
      </c>
      <c r="M581" t="s">
        <v>1299</v>
      </c>
      <c r="N581" s="23">
        <v>1170.1500000000001</v>
      </c>
      <c r="O581" s="23">
        <v>2115.19</v>
      </c>
      <c r="P581" s="8">
        <v>9.1999999999999998E-2</v>
      </c>
      <c r="Q581">
        <v>23</v>
      </c>
      <c r="R581" s="23">
        <f t="shared" si="101"/>
        <v>44173.627960000005</v>
      </c>
      <c r="S581" s="23">
        <f t="shared" si="102"/>
        <v>26913.45</v>
      </c>
      <c r="T581" s="23">
        <f t="shared" si="103"/>
        <v>17260.177960000005</v>
      </c>
      <c r="U581" s="14">
        <f t="shared" si="104"/>
        <v>0.39073489674946776</v>
      </c>
      <c r="V581" s="7" t="str">
        <f t="shared" si="105"/>
        <v>Jun-2025</v>
      </c>
      <c r="W581" s="22">
        <f t="shared" si="106"/>
        <v>45809</v>
      </c>
      <c r="X581" s="7" t="str">
        <f t="shared" si="107"/>
        <v>Q2-2025</v>
      </c>
      <c r="Y581" t="str">
        <f t="shared" si="108"/>
        <v>Africa → Nigeria → Port Harcourt</v>
      </c>
      <c r="Z581" t="str">
        <f t="shared" si="109"/>
        <v>Laptops</v>
      </c>
      <c r="AA581" t="str" cm="1">
        <f t="array" ref="AA581">_xlfn.IFS(O581&lt;=$AF$2,"Low",AND(O581&gt;$AF$2,O581&lt;$AF$3),"Medium",O581&gt;=$AF$3,"High")</f>
        <v>High</v>
      </c>
      <c r="AB581" s="22">
        <f t="shared" si="110"/>
        <v>44927</v>
      </c>
      <c r="AC581">
        <v>29</v>
      </c>
    </row>
    <row r="582" spans="1:29" x14ac:dyDescent="0.35">
      <c r="A582" s="4" t="s">
        <v>272</v>
      </c>
      <c r="B582" s="5" t="str">
        <f>IF(COUNTIF($A$2:A582,A582)=1,"Original","Duplicate")</f>
        <v>Original</v>
      </c>
      <c r="C582" s="7">
        <v>45835</v>
      </c>
      <c r="D582" s="7">
        <v>45843</v>
      </c>
      <c r="E582">
        <f t="shared" si="100"/>
        <v>8</v>
      </c>
      <c r="F582" t="s">
        <v>649</v>
      </c>
      <c r="G582" t="s">
        <v>656</v>
      </c>
      <c r="H582" t="s">
        <v>684</v>
      </c>
      <c r="I582" t="s">
        <v>705</v>
      </c>
      <c r="J582" t="s">
        <v>711</v>
      </c>
      <c r="K582" t="s">
        <v>715</v>
      </c>
      <c r="L582" t="s">
        <v>732</v>
      </c>
      <c r="M582" t="s">
        <v>992</v>
      </c>
      <c r="N582" s="23">
        <v>314.93</v>
      </c>
      <c r="O582" s="23">
        <v>687.95</v>
      </c>
      <c r="P582" s="8">
        <v>0.20499999999999999</v>
      </c>
      <c r="Q582">
        <v>8</v>
      </c>
      <c r="R582" s="23">
        <f t="shared" si="101"/>
        <v>4375.3620000000001</v>
      </c>
      <c r="S582" s="23">
        <f t="shared" si="102"/>
        <v>2519.44</v>
      </c>
      <c r="T582" s="23">
        <f t="shared" si="103"/>
        <v>1855.922</v>
      </c>
      <c r="U582" s="14">
        <f t="shared" si="104"/>
        <v>0.424175645352316</v>
      </c>
      <c r="V582" s="7" t="str">
        <f t="shared" si="105"/>
        <v>Jun-2025</v>
      </c>
      <c r="W582" s="22">
        <f t="shared" si="106"/>
        <v>45809</v>
      </c>
      <c r="X582" s="7" t="str">
        <f t="shared" si="107"/>
        <v>Q2-2025</v>
      </c>
      <c r="Y582" t="str">
        <f t="shared" si="108"/>
        <v>Europe → Germany → Munich</v>
      </c>
      <c r="Z582" t="str">
        <f t="shared" si="109"/>
        <v>Monitors</v>
      </c>
      <c r="AA582" t="str" cm="1">
        <f t="array" ref="AA582">_xlfn.IFS(O582&lt;=$AF$2,"Low",AND(O582&gt;$AF$2,O582&lt;$AF$3),"Medium",O582&gt;=$AF$3,"High")</f>
        <v>Low</v>
      </c>
      <c r="AB582" s="22">
        <f t="shared" si="110"/>
        <v>44927</v>
      </c>
      <c r="AC582">
        <v>29</v>
      </c>
    </row>
    <row r="583" spans="1:29" x14ac:dyDescent="0.35">
      <c r="A583" s="4" t="s">
        <v>390</v>
      </c>
      <c r="B583" s="5" t="str">
        <f>IF(COUNTIF($A$2:A583,A583)=1,"Original","Duplicate")</f>
        <v>Original</v>
      </c>
      <c r="C583" s="7">
        <v>45835</v>
      </c>
      <c r="D583" s="7">
        <v>45849</v>
      </c>
      <c r="E583">
        <f t="shared" si="100"/>
        <v>14</v>
      </c>
      <c r="F583" t="s">
        <v>647</v>
      </c>
      <c r="G583" t="s">
        <v>659</v>
      </c>
      <c r="H583" t="s">
        <v>685</v>
      </c>
      <c r="I583" t="s">
        <v>705</v>
      </c>
      <c r="J583" t="s">
        <v>709</v>
      </c>
      <c r="K583" t="s">
        <v>716</v>
      </c>
      <c r="L583" t="s">
        <v>729</v>
      </c>
      <c r="M583" t="s">
        <v>1110</v>
      </c>
      <c r="N583" s="23">
        <v>1227.7</v>
      </c>
      <c r="O583" s="23">
        <v>2197.23</v>
      </c>
      <c r="P583" s="8">
        <v>9.9000000000000005E-2</v>
      </c>
      <c r="Q583">
        <v>22</v>
      </c>
      <c r="R583" s="23">
        <f t="shared" si="101"/>
        <v>43553.493060000001</v>
      </c>
      <c r="S583" s="23">
        <f t="shared" si="102"/>
        <v>27009.4</v>
      </c>
      <c r="T583" s="23">
        <f t="shared" si="103"/>
        <v>16544.093059999999</v>
      </c>
      <c r="U583" s="14">
        <f t="shared" si="104"/>
        <v>0.37985685871873898</v>
      </c>
      <c r="V583" s="7" t="str">
        <f t="shared" si="105"/>
        <v>Jun-2025</v>
      </c>
      <c r="W583" s="22">
        <f t="shared" si="106"/>
        <v>45809</v>
      </c>
      <c r="X583" s="7" t="str">
        <f t="shared" si="107"/>
        <v>Q2-2025</v>
      </c>
      <c r="Y583" t="str">
        <f t="shared" si="108"/>
        <v>Asia → China → Shanghai</v>
      </c>
      <c r="Z583" t="str">
        <f t="shared" si="109"/>
        <v>Networking</v>
      </c>
      <c r="AA583" t="str" cm="1">
        <f t="array" ref="AA583">_xlfn.IFS(O583&lt;=$AF$2,"Low",AND(O583&gt;$AF$2,O583&lt;$AF$3),"Medium",O583&gt;=$AF$3,"High")</f>
        <v>High</v>
      </c>
      <c r="AB583" s="22">
        <f t="shared" si="110"/>
        <v>44927</v>
      </c>
      <c r="AC583">
        <v>29</v>
      </c>
    </row>
    <row r="584" spans="1:29" x14ac:dyDescent="0.35">
      <c r="A584" s="4" t="s">
        <v>436</v>
      </c>
      <c r="B584" s="5" t="str">
        <f>IF(COUNTIF($A$2:A584,A584)=1,"Original","Duplicate")</f>
        <v>Original</v>
      </c>
      <c r="C584" s="7">
        <v>45841</v>
      </c>
      <c r="D584" s="7">
        <v>45844</v>
      </c>
      <c r="E584">
        <f t="shared" si="100"/>
        <v>3</v>
      </c>
      <c r="F584" t="s">
        <v>646</v>
      </c>
      <c r="G584" t="s">
        <v>651</v>
      </c>
      <c r="H584" t="s">
        <v>665</v>
      </c>
      <c r="I584" t="s">
        <v>704</v>
      </c>
      <c r="J584" t="s">
        <v>708</v>
      </c>
      <c r="K584" t="s">
        <v>1432</v>
      </c>
      <c r="L584" t="s">
        <v>731</v>
      </c>
      <c r="M584" t="s">
        <v>1155</v>
      </c>
      <c r="N584" s="23">
        <v>1313.3</v>
      </c>
      <c r="O584" s="23">
        <v>2884.34</v>
      </c>
      <c r="P584" s="8">
        <v>0.157</v>
      </c>
      <c r="Q584">
        <v>42</v>
      </c>
      <c r="R584" s="23">
        <f t="shared" si="101"/>
        <v>102122.94203999999</v>
      </c>
      <c r="S584" s="23">
        <f t="shared" si="102"/>
        <v>55158.6</v>
      </c>
      <c r="T584" s="23">
        <f t="shared" si="103"/>
        <v>46964.342039999996</v>
      </c>
      <c r="U584" s="14">
        <f t="shared" si="104"/>
        <v>0.45988042551305253</v>
      </c>
      <c r="V584" s="7" t="str">
        <f t="shared" si="105"/>
        <v>Jul-2025</v>
      </c>
      <c r="W584" s="22">
        <f t="shared" si="106"/>
        <v>45839</v>
      </c>
      <c r="X584" s="7" t="str">
        <f t="shared" si="107"/>
        <v>Q3-2025</v>
      </c>
      <c r="Y584" t="str">
        <f t="shared" si="108"/>
        <v>Africa → Nigeria → Lagos</v>
      </c>
      <c r="Z584" t="str">
        <f t="shared" si="109"/>
        <v>Laptops</v>
      </c>
      <c r="AA584" t="str" cm="1">
        <f t="array" ref="AA584">_xlfn.IFS(O584&lt;=$AF$2,"Low",AND(O584&gt;$AF$2,O584&lt;$AF$3),"Medium",O584&gt;=$AF$3,"High")</f>
        <v>High</v>
      </c>
      <c r="AB584" s="22">
        <f t="shared" si="110"/>
        <v>44927</v>
      </c>
      <c r="AC584">
        <v>30</v>
      </c>
    </row>
    <row r="585" spans="1:29" x14ac:dyDescent="0.35">
      <c r="A585" s="4" t="s">
        <v>486</v>
      </c>
      <c r="B585" s="5" t="str">
        <f>IF(COUNTIF($A$2:A585,A585)=1,"Original","Duplicate")</f>
        <v>Original</v>
      </c>
      <c r="C585" s="7">
        <v>45841</v>
      </c>
      <c r="D585" s="7">
        <v>45861</v>
      </c>
      <c r="E585">
        <f t="shared" si="100"/>
        <v>20</v>
      </c>
      <c r="F585" t="s">
        <v>647</v>
      </c>
      <c r="G585" t="s">
        <v>659</v>
      </c>
      <c r="H585" t="s">
        <v>699</v>
      </c>
      <c r="I585" t="s">
        <v>705</v>
      </c>
      <c r="J585" t="s">
        <v>708</v>
      </c>
      <c r="K585" t="s">
        <v>724</v>
      </c>
      <c r="L585" t="s">
        <v>727</v>
      </c>
      <c r="M585" t="s">
        <v>1205</v>
      </c>
      <c r="N585" s="23">
        <v>647.36</v>
      </c>
      <c r="O585" s="23">
        <v>1383.6</v>
      </c>
      <c r="P585" s="8">
        <v>7.3999999999999996E-2</v>
      </c>
      <c r="Q585">
        <v>12</v>
      </c>
      <c r="R585" s="23">
        <f t="shared" si="101"/>
        <v>15374.563199999999</v>
      </c>
      <c r="S585" s="23">
        <f t="shared" si="102"/>
        <v>7768.32</v>
      </c>
      <c r="T585" s="23">
        <f t="shared" si="103"/>
        <v>7606.243199999999</v>
      </c>
      <c r="U585" s="14">
        <f t="shared" si="104"/>
        <v>0.49472906000997802</v>
      </c>
      <c r="V585" s="7" t="str">
        <f t="shared" si="105"/>
        <v>Jul-2025</v>
      </c>
      <c r="W585" s="22">
        <f t="shared" si="106"/>
        <v>45839</v>
      </c>
      <c r="X585" s="7" t="str">
        <f t="shared" si="107"/>
        <v>Q3-2025</v>
      </c>
      <c r="Y585" t="str">
        <f t="shared" si="108"/>
        <v>Asia → China → Beijing</v>
      </c>
      <c r="Z585" t="str">
        <f t="shared" si="109"/>
        <v>Components</v>
      </c>
      <c r="AA585" t="str" cm="1">
        <f t="array" ref="AA585">_xlfn.IFS(O585&lt;=$AF$2,"Low",AND(O585&gt;$AF$2,O585&lt;$AF$3),"Medium",O585&gt;=$AF$3,"High")</f>
        <v>Medium</v>
      </c>
      <c r="AB585" s="22">
        <f t="shared" si="110"/>
        <v>44927</v>
      </c>
      <c r="AC585">
        <v>30</v>
      </c>
    </row>
    <row r="586" spans="1:29" x14ac:dyDescent="0.35">
      <c r="A586" s="4" t="s">
        <v>134</v>
      </c>
      <c r="B586" s="5" t="str">
        <f>IF(COUNTIF($A$2:A586,A586)=1,"Original","Duplicate")</f>
        <v>Original</v>
      </c>
      <c r="C586" s="7">
        <v>45847</v>
      </c>
      <c r="D586" s="7">
        <v>45856</v>
      </c>
      <c r="E586">
        <f t="shared" si="100"/>
        <v>9</v>
      </c>
      <c r="F586" t="s">
        <v>648</v>
      </c>
      <c r="G586" t="s">
        <v>653</v>
      </c>
      <c r="H586" t="s">
        <v>688</v>
      </c>
      <c r="I586" t="s">
        <v>702</v>
      </c>
      <c r="J586" t="s">
        <v>710</v>
      </c>
      <c r="K586" t="s">
        <v>714</v>
      </c>
      <c r="L586" t="s">
        <v>731</v>
      </c>
      <c r="M586" t="s">
        <v>853</v>
      </c>
      <c r="N586" s="23">
        <v>57.96</v>
      </c>
      <c r="O586" s="23">
        <v>88.51</v>
      </c>
      <c r="P586" s="8">
        <v>4.2999999999999997E-2</v>
      </c>
      <c r="Q586">
        <v>7</v>
      </c>
      <c r="R586" s="23">
        <f t="shared" si="101"/>
        <v>592.92849000000001</v>
      </c>
      <c r="S586" s="23">
        <f t="shared" si="102"/>
        <v>405.72</v>
      </c>
      <c r="T586" s="23">
        <f t="shared" si="103"/>
        <v>187.20848999999998</v>
      </c>
      <c r="U586" s="14">
        <f t="shared" si="104"/>
        <v>0.3157353595877978</v>
      </c>
      <c r="V586" s="7" t="str">
        <f t="shared" si="105"/>
        <v>Jul-2025</v>
      </c>
      <c r="W586" s="22">
        <f t="shared" si="106"/>
        <v>45839</v>
      </c>
      <c r="X586" s="7" t="str">
        <f t="shared" si="107"/>
        <v>Q3-2025</v>
      </c>
      <c r="Y586" t="str">
        <f t="shared" si="108"/>
        <v>Americas → Canada → Vancouver</v>
      </c>
      <c r="Z586" t="str">
        <f t="shared" si="109"/>
        <v>Laptops</v>
      </c>
      <c r="AA586" t="str" cm="1">
        <f t="array" ref="AA586">_xlfn.IFS(O586&lt;=$AF$2,"Low",AND(O586&gt;$AF$2,O586&lt;$AF$3),"Medium",O586&gt;=$AF$3,"High")</f>
        <v>Low</v>
      </c>
      <c r="AB586" s="22">
        <f t="shared" si="110"/>
        <v>44927</v>
      </c>
      <c r="AC586">
        <v>30</v>
      </c>
    </row>
    <row r="587" spans="1:29" x14ac:dyDescent="0.35">
      <c r="A587" s="4" t="s">
        <v>594</v>
      </c>
      <c r="B587" s="5" t="str">
        <f>IF(COUNTIF($A$2:A587,A587)=1,"Original","Duplicate")</f>
        <v>Original</v>
      </c>
      <c r="C587" s="7">
        <v>45849</v>
      </c>
      <c r="D587" s="7">
        <v>45872</v>
      </c>
      <c r="E587">
        <f t="shared" si="100"/>
        <v>23</v>
      </c>
      <c r="F587" t="s">
        <v>646</v>
      </c>
      <c r="G587" t="s">
        <v>650</v>
      </c>
      <c r="H587" t="s">
        <v>678</v>
      </c>
      <c r="I587" t="s">
        <v>705</v>
      </c>
      <c r="J587" t="s">
        <v>707</v>
      </c>
      <c r="K587" t="s">
        <v>712</v>
      </c>
      <c r="L587" t="s">
        <v>730</v>
      </c>
      <c r="M587" t="s">
        <v>1312</v>
      </c>
      <c r="N587" s="23">
        <v>389.93</v>
      </c>
      <c r="O587" s="23">
        <v>486.13</v>
      </c>
      <c r="P587" s="8">
        <v>0.13200000000000001</v>
      </c>
      <c r="Q587">
        <v>17</v>
      </c>
      <c r="R587" s="23">
        <f t="shared" si="101"/>
        <v>7173.3342799999991</v>
      </c>
      <c r="S587" s="23">
        <f t="shared" si="102"/>
        <v>6628.81</v>
      </c>
      <c r="T587" s="23">
        <f t="shared" si="103"/>
        <v>544.52427999999873</v>
      </c>
      <c r="U587" s="14">
        <f t="shared" si="104"/>
        <v>7.5909508569562828E-2</v>
      </c>
      <c r="V587" s="7" t="str">
        <f t="shared" si="105"/>
        <v>Jul-2025</v>
      </c>
      <c r="W587" s="22">
        <f t="shared" si="106"/>
        <v>45839</v>
      </c>
      <c r="X587" s="7" t="str">
        <f t="shared" si="107"/>
        <v>Q3-2025</v>
      </c>
      <c r="Y587" t="str">
        <f t="shared" si="108"/>
        <v>Africa → Kenya → Nakuru</v>
      </c>
      <c r="Z587" t="str">
        <f t="shared" si="109"/>
        <v>Phones</v>
      </c>
      <c r="AA587" t="str" cm="1">
        <f t="array" ref="AA587">_xlfn.IFS(O587&lt;=$AF$2,"Low",AND(O587&gt;$AF$2,O587&lt;$AF$3),"Medium",O587&gt;=$AF$3,"High")</f>
        <v>Low</v>
      </c>
      <c r="AB587" s="22">
        <f t="shared" si="110"/>
        <v>44927</v>
      </c>
      <c r="AC587">
        <v>30</v>
      </c>
    </row>
    <row r="588" spans="1:29" x14ac:dyDescent="0.35">
      <c r="A588" s="4" t="s">
        <v>632</v>
      </c>
      <c r="B588" s="5" t="str">
        <f>IF(COUNTIF($A$2:A588,A588)=1,"Original","Duplicate")</f>
        <v>Original</v>
      </c>
      <c r="C588" s="7">
        <v>45849</v>
      </c>
      <c r="D588" s="7">
        <v>45854</v>
      </c>
      <c r="E588">
        <f t="shared" si="100"/>
        <v>5</v>
      </c>
      <c r="F588" t="s">
        <v>649</v>
      </c>
      <c r="G588" t="s">
        <v>658</v>
      </c>
      <c r="H588" t="s">
        <v>683</v>
      </c>
      <c r="I588" t="s">
        <v>706</v>
      </c>
      <c r="J588" t="s">
        <v>708</v>
      </c>
      <c r="K588" t="s">
        <v>723</v>
      </c>
      <c r="L588" t="s">
        <v>728</v>
      </c>
      <c r="M588" t="s">
        <v>1350</v>
      </c>
      <c r="N588" s="23">
        <v>930.03</v>
      </c>
      <c r="O588" s="23">
        <v>1086.68</v>
      </c>
      <c r="P588" s="8">
        <v>0.109</v>
      </c>
      <c r="Q588">
        <v>26</v>
      </c>
      <c r="R588" s="23">
        <f t="shared" si="101"/>
        <v>25174.028880000002</v>
      </c>
      <c r="S588" s="23">
        <f t="shared" si="102"/>
        <v>24180.78</v>
      </c>
      <c r="T588" s="23">
        <f t="shared" si="103"/>
        <v>993.24888000000283</v>
      </c>
      <c r="U588" s="14">
        <f t="shared" si="104"/>
        <v>3.9455300728168656E-2</v>
      </c>
      <c r="V588" s="7" t="str">
        <f t="shared" si="105"/>
        <v>Jul-2025</v>
      </c>
      <c r="W588" s="22">
        <f t="shared" si="106"/>
        <v>45839</v>
      </c>
      <c r="X588" s="7" t="str">
        <f t="shared" si="107"/>
        <v>Q3-2025</v>
      </c>
      <c r="Y588" t="str">
        <f t="shared" si="108"/>
        <v>Europe → United Kingdom → London</v>
      </c>
      <c r="Z588" t="str">
        <f t="shared" si="109"/>
        <v>Printers</v>
      </c>
      <c r="AA588" t="str" cm="1">
        <f t="array" ref="AA588">_xlfn.IFS(O588&lt;=$AF$2,"Low",AND(O588&gt;$AF$2,O588&lt;$AF$3),"Medium",O588&gt;=$AF$3,"High")</f>
        <v>Medium</v>
      </c>
      <c r="AB588" s="22">
        <f t="shared" si="110"/>
        <v>44927</v>
      </c>
      <c r="AC588">
        <v>30</v>
      </c>
    </row>
    <row r="589" spans="1:29" x14ac:dyDescent="0.35">
      <c r="A589" s="4" t="s">
        <v>225</v>
      </c>
      <c r="B589" s="5" t="str">
        <f>IF(COUNTIF($A$2:A589,A589)=1,"Original","Duplicate")</f>
        <v>Original</v>
      </c>
      <c r="C589" s="7">
        <v>45852</v>
      </c>
      <c r="D589" s="7">
        <v>45873</v>
      </c>
      <c r="E589">
        <f t="shared" si="100"/>
        <v>21</v>
      </c>
      <c r="F589" t="s">
        <v>648</v>
      </c>
      <c r="G589" t="s">
        <v>653</v>
      </c>
      <c r="H589" t="s">
        <v>681</v>
      </c>
      <c r="I589" t="s">
        <v>704</v>
      </c>
      <c r="J589" t="s">
        <v>708</v>
      </c>
      <c r="K589" t="s">
        <v>722</v>
      </c>
      <c r="L589" t="s">
        <v>732</v>
      </c>
      <c r="M589" t="s">
        <v>945</v>
      </c>
      <c r="N589" s="23">
        <v>90.3</v>
      </c>
      <c r="O589" s="23">
        <v>131.76</v>
      </c>
      <c r="P589" s="8">
        <v>0.10199999999999999</v>
      </c>
      <c r="Q589">
        <v>15</v>
      </c>
      <c r="R589" s="23">
        <f t="shared" si="101"/>
        <v>1774.8072</v>
      </c>
      <c r="S589" s="23">
        <f t="shared" si="102"/>
        <v>1354.5</v>
      </c>
      <c r="T589" s="23">
        <f t="shared" si="103"/>
        <v>420.30719999999997</v>
      </c>
      <c r="U589" s="14">
        <f t="shared" si="104"/>
        <v>0.23681851189244668</v>
      </c>
      <c r="V589" s="7" t="str">
        <f t="shared" si="105"/>
        <v>Jul-2025</v>
      </c>
      <c r="W589" s="22">
        <f t="shared" si="106"/>
        <v>45839</v>
      </c>
      <c r="X589" s="7" t="str">
        <f t="shared" si="107"/>
        <v>Q3-2025</v>
      </c>
      <c r="Y589" t="str">
        <f t="shared" si="108"/>
        <v>Americas → Canada → Montreal</v>
      </c>
      <c r="Z589" t="str">
        <f t="shared" si="109"/>
        <v>Monitors</v>
      </c>
      <c r="AA589" t="str" cm="1">
        <f t="array" ref="AA589">_xlfn.IFS(O589&lt;=$AF$2,"Low",AND(O589&gt;$AF$2,O589&lt;$AF$3),"Medium",O589&gt;=$AF$3,"High")</f>
        <v>Low</v>
      </c>
      <c r="AB589" s="22">
        <f t="shared" si="110"/>
        <v>44927</v>
      </c>
      <c r="AC589">
        <v>30</v>
      </c>
    </row>
    <row r="590" spans="1:29" x14ac:dyDescent="0.35">
      <c r="A590" s="4" t="s">
        <v>237</v>
      </c>
      <c r="B590" s="5" t="str">
        <f>IF(COUNTIF($A$2:A590,A590)=1,"Original","Duplicate")</f>
        <v>Original</v>
      </c>
      <c r="C590" s="7">
        <v>45854</v>
      </c>
      <c r="D590" s="7">
        <v>45855</v>
      </c>
      <c r="E590">
        <f t="shared" si="100"/>
        <v>1</v>
      </c>
      <c r="F590" t="s">
        <v>646</v>
      </c>
      <c r="G590" t="s">
        <v>661</v>
      </c>
      <c r="H590" t="s">
        <v>687</v>
      </c>
      <c r="I590" t="s">
        <v>705</v>
      </c>
      <c r="J590" t="s">
        <v>710</v>
      </c>
      <c r="K590" t="s">
        <v>717</v>
      </c>
      <c r="L590" t="s">
        <v>729</v>
      </c>
      <c r="M590" t="s">
        <v>957</v>
      </c>
      <c r="N590" s="23">
        <v>1198.9000000000001</v>
      </c>
      <c r="O590" s="23">
        <v>2941.2</v>
      </c>
      <c r="P590" s="8">
        <v>5.0999999999999997E-2</v>
      </c>
      <c r="Q590">
        <v>24</v>
      </c>
      <c r="R590" s="23">
        <f t="shared" si="101"/>
        <v>66988.771199999988</v>
      </c>
      <c r="S590" s="23">
        <f t="shared" si="102"/>
        <v>28773.600000000002</v>
      </c>
      <c r="T590" s="23">
        <f t="shared" si="103"/>
        <v>38215.171199999982</v>
      </c>
      <c r="U590" s="14">
        <f t="shared" si="104"/>
        <v>0.57047129713583977</v>
      </c>
      <c r="V590" s="7" t="str">
        <f t="shared" si="105"/>
        <v>Jul-2025</v>
      </c>
      <c r="W590" s="22">
        <f t="shared" si="106"/>
        <v>45839</v>
      </c>
      <c r="X590" s="7" t="str">
        <f t="shared" si="107"/>
        <v>Q3-2025</v>
      </c>
      <c r="Y590" t="str">
        <f t="shared" si="108"/>
        <v>Africa → South Africa → Durban</v>
      </c>
      <c r="Z590" t="str">
        <f t="shared" si="109"/>
        <v>Networking</v>
      </c>
      <c r="AA590" t="str" cm="1">
        <f t="array" ref="AA590">_xlfn.IFS(O590&lt;=$AF$2,"Low",AND(O590&gt;$AF$2,O590&lt;$AF$3),"Medium",O590&gt;=$AF$3,"High")</f>
        <v>High</v>
      </c>
      <c r="AB590" s="22">
        <f t="shared" si="110"/>
        <v>44927</v>
      </c>
      <c r="AC590">
        <v>30</v>
      </c>
    </row>
    <row r="591" spans="1:29" x14ac:dyDescent="0.35">
      <c r="A591" s="4" t="s">
        <v>251</v>
      </c>
      <c r="B591" s="5" t="str">
        <f>IF(COUNTIF($A$2:A591,A591)=1,"Original","Duplicate")</f>
        <v>Original</v>
      </c>
      <c r="C591" s="7">
        <v>45855</v>
      </c>
      <c r="D591" s="7">
        <v>45861</v>
      </c>
      <c r="E591">
        <f t="shared" si="100"/>
        <v>6</v>
      </c>
      <c r="F591" t="s">
        <v>648</v>
      </c>
      <c r="G591" t="s">
        <v>653</v>
      </c>
      <c r="H591" t="s">
        <v>688</v>
      </c>
      <c r="I591" t="s">
        <v>704</v>
      </c>
      <c r="J591" t="s">
        <v>708</v>
      </c>
      <c r="K591" t="s">
        <v>722</v>
      </c>
      <c r="L591" t="s">
        <v>727</v>
      </c>
      <c r="M591" t="s">
        <v>971</v>
      </c>
      <c r="N591" s="23">
        <v>1364.89</v>
      </c>
      <c r="O591" s="23">
        <v>2757.54</v>
      </c>
      <c r="P591" s="8">
        <v>0.17199999999999999</v>
      </c>
      <c r="Q591">
        <v>61</v>
      </c>
      <c r="R591" s="23">
        <f t="shared" si="101"/>
        <v>139277.83032000001</v>
      </c>
      <c r="S591" s="23">
        <f t="shared" si="102"/>
        <v>83258.290000000008</v>
      </c>
      <c r="T591" s="23">
        <f t="shared" si="103"/>
        <v>56019.54032</v>
      </c>
      <c r="U591" s="14">
        <f t="shared" si="104"/>
        <v>0.4022143379983118</v>
      </c>
      <c r="V591" s="7" t="str">
        <f t="shared" si="105"/>
        <v>Jul-2025</v>
      </c>
      <c r="W591" s="22">
        <f t="shared" si="106"/>
        <v>45839</v>
      </c>
      <c r="X591" s="7" t="str">
        <f t="shared" si="107"/>
        <v>Q3-2025</v>
      </c>
      <c r="Y591" t="str">
        <f t="shared" si="108"/>
        <v>Americas → Canada → Vancouver</v>
      </c>
      <c r="Z591" t="str">
        <f t="shared" si="109"/>
        <v>Components</v>
      </c>
      <c r="AA591" t="str" cm="1">
        <f t="array" ref="AA591">_xlfn.IFS(O591&lt;=$AF$2,"Low",AND(O591&gt;$AF$2,O591&lt;$AF$3),"Medium",O591&gt;=$AF$3,"High")</f>
        <v>High</v>
      </c>
      <c r="AB591" s="22">
        <f t="shared" si="110"/>
        <v>44927</v>
      </c>
      <c r="AC591">
        <v>30</v>
      </c>
    </row>
    <row r="592" spans="1:29" x14ac:dyDescent="0.35">
      <c r="A592" s="4" t="s">
        <v>637</v>
      </c>
      <c r="B592" s="5" t="str">
        <f>IF(COUNTIF($A$2:A592,A592)=1,"Original","Duplicate")</f>
        <v>Original</v>
      </c>
      <c r="C592" s="7">
        <v>45857</v>
      </c>
      <c r="D592" s="7">
        <v>45869</v>
      </c>
      <c r="E592">
        <f t="shared" si="100"/>
        <v>12</v>
      </c>
      <c r="F592" t="s">
        <v>646</v>
      </c>
      <c r="G592" t="s">
        <v>650</v>
      </c>
      <c r="H592" t="s">
        <v>664</v>
      </c>
      <c r="I592" t="s">
        <v>705</v>
      </c>
      <c r="J592" t="s">
        <v>709</v>
      </c>
      <c r="K592" t="s">
        <v>719</v>
      </c>
      <c r="L592" t="s">
        <v>733</v>
      </c>
      <c r="M592" t="s">
        <v>1355</v>
      </c>
      <c r="N592" s="23">
        <v>619.64</v>
      </c>
      <c r="O592" s="23">
        <v>861.16</v>
      </c>
      <c r="P592" s="8">
        <v>0.113</v>
      </c>
      <c r="Q592">
        <v>14</v>
      </c>
      <c r="R592" s="23">
        <f t="shared" si="101"/>
        <v>10693.88488</v>
      </c>
      <c r="S592" s="23">
        <f t="shared" si="102"/>
        <v>8674.9599999999991</v>
      </c>
      <c r="T592" s="23">
        <f t="shared" si="103"/>
        <v>2018.9248800000005</v>
      </c>
      <c r="U592" s="14">
        <f t="shared" si="104"/>
        <v>0.18879246435276761</v>
      </c>
      <c r="V592" s="7" t="str">
        <f t="shared" si="105"/>
        <v>Jul-2025</v>
      </c>
      <c r="W592" s="22">
        <f t="shared" si="106"/>
        <v>45839</v>
      </c>
      <c r="X592" s="7" t="str">
        <f t="shared" si="107"/>
        <v>Q3-2025</v>
      </c>
      <c r="Y592" t="str">
        <f t="shared" si="108"/>
        <v>Africa → Kenya → Nairobi</v>
      </c>
      <c r="Z592" t="str">
        <f t="shared" si="109"/>
        <v>Accessories</v>
      </c>
      <c r="AA592" t="str" cm="1">
        <f t="array" ref="AA592">_xlfn.IFS(O592&lt;=$AF$2,"Low",AND(O592&gt;$AF$2,O592&lt;$AF$3),"Medium",O592&gt;=$AF$3,"High")</f>
        <v>Medium</v>
      </c>
      <c r="AB592" s="22">
        <f t="shared" si="110"/>
        <v>44927</v>
      </c>
      <c r="AC592">
        <v>30</v>
      </c>
    </row>
    <row r="593" spans="1:29" x14ac:dyDescent="0.35">
      <c r="A593" s="4" t="s">
        <v>33</v>
      </c>
      <c r="B593" s="5" t="str">
        <f>IF(COUNTIF($A$2:A593,A593)=1,"Original","Duplicate")</f>
        <v>Original</v>
      </c>
      <c r="C593" s="7">
        <v>45858</v>
      </c>
      <c r="D593" s="7">
        <v>45874</v>
      </c>
      <c r="E593">
        <f t="shared" si="100"/>
        <v>16</v>
      </c>
      <c r="F593" t="s">
        <v>648</v>
      </c>
      <c r="G593" t="s">
        <v>655</v>
      </c>
      <c r="H593" t="s">
        <v>672</v>
      </c>
      <c r="I593" t="s">
        <v>706</v>
      </c>
      <c r="J593" t="s">
        <v>709</v>
      </c>
      <c r="K593" t="s">
        <v>715</v>
      </c>
      <c r="L593" t="s">
        <v>733</v>
      </c>
      <c r="M593" t="s">
        <v>752</v>
      </c>
      <c r="N593" s="23">
        <v>1068.17</v>
      </c>
      <c r="O593" s="23">
        <v>2375.37</v>
      </c>
      <c r="P593" s="8">
        <v>0.109</v>
      </c>
      <c r="Q593">
        <v>18</v>
      </c>
      <c r="R593" s="23">
        <f t="shared" si="101"/>
        <v>38096.18406</v>
      </c>
      <c r="S593" s="23">
        <f t="shared" si="102"/>
        <v>19227.060000000001</v>
      </c>
      <c r="T593" s="23">
        <f t="shared" si="103"/>
        <v>18869.124059999998</v>
      </c>
      <c r="U593" s="14">
        <f t="shared" si="104"/>
        <v>0.49530220744108822</v>
      </c>
      <c r="V593" s="7" t="str">
        <f t="shared" si="105"/>
        <v>Jul-2025</v>
      </c>
      <c r="W593" s="22">
        <f t="shared" si="106"/>
        <v>45839</v>
      </c>
      <c r="X593" s="7" t="str">
        <f t="shared" si="107"/>
        <v>Q3-2025</v>
      </c>
      <c r="Y593" t="str">
        <f t="shared" si="108"/>
        <v>Americas → Brazil → Brasília</v>
      </c>
      <c r="Z593" t="str">
        <f t="shared" si="109"/>
        <v>Accessories</v>
      </c>
      <c r="AA593" t="str" cm="1">
        <f t="array" ref="AA593">_xlfn.IFS(O593&lt;=$AF$2,"Low",AND(O593&gt;$AF$2,O593&lt;$AF$3),"Medium",O593&gt;=$AF$3,"High")</f>
        <v>High</v>
      </c>
      <c r="AB593" s="22">
        <f t="shared" si="110"/>
        <v>44927</v>
      </c>
      <c r="AC593">
        <v>30</v>
      </c>
    </row>
    <row r="594" spans="1:29" x14ac:dyDescent="0.35">
      <c r="A594" s="4" t="s">
        <v>223</v>
      </c>
      <c r="B594" s="5" t="str">
        <f>IF(COUNTIF($A$2:A594,A594)=1,"Original","Duplicate")</f>
        <v>Original</v>
      </c>
      <c r="C594" s="7">
        <v>45859</v>
      </c>
      <c r="D594" s="7">
        <v>45876</v>
      </c>
      <c r="E594">
        <f t="shared" si="100"/>
        <v>17</v>
      </c>
      <c r="F594" t="s">
        <v>646</v>
      </c>
      <c r="G594" t="s">
        <v>651</v>
      </c>
      <c r="H594" t="s">
        <v>665</v>
      </c>
      <c r="I594" t="s">
        <v>706</v>
      </c>
      <c r="J594" t="s">
        <v>711</v>
      </c>
      <c r="K594" t="s">
        <v>724</v>
      </c>
      <c r="L594" t="s">
        <v>733</v>
      </c>
      <c r="M594" t="s">
        <v>943</v>
      </c>
      <c r="N594" s="23">
        <v>1204.95</v>
      </c>
      <c r="O594" s="23">
        <v>2065.73</v>
      </c>
      <c r="P594" s="8">
        <v>0.13600000000000001</v>
      </c>
      <c r="Q594">
        <v>10</v>
      </c>
      <c r="R594" s="23">
        <f t="shared" si="101"/>
        <v>17847.907199999998</v>
      </c>
      <c r="S594" s="23">
        <f t="shared" si="102"/>
        <v>12049.5</v>
      </c>
      <c r="T594" s="23">
        <f t="shared" si="103"/>
        <v>5798.4071999999978</v>
      </c>
      <c r="U594" s="14">
        <f t="shared" si="104"/>
        <v>0.32487882949100039</v>
      </c>
      <c r="V594" s="7" t="str">
        <f t="shared" si="105"/>
        <v>Jul-2025</v>
      </c>
      <c r="W594" s="22">
        <f t="shared" si="106"/>
        <v>45839</v>
      </c>
      <c r="X594" s="7" t="str">
        <f t="shared" si="107"/>
        <v>Q3-2025</v>
      </c>
      <c r="Y594" t="str">
        <f t="shared" si="108"/>
        <v>Africa → Nigeria → Lagos</v>
      </c>
      <c r="Z594" t="str">
        <f t="shared" si="109"/>
        <v>Accessories</v>
      </c>
      <c r="AA594" t="str" cm="1">
        <f t="array" ref="AA594">_xlfn.IFS(O594&lt;=$AF$2,"Low",AND(O594&gt;$AF$2,O594&lt;$AF$3),"Medium",O594&gt;=$AF$3,"High")</f>
        <v>High</v>
      </c>
      <c r="AB594" s="22">
        <f t="shared" si="110"/>
        <v>44927</v>
      </c>
      <c r="AC594">
        <v>30</v>
      </c>
    </row>
    <row r="595" spans="1:29" x14ac:dyDescent="0.35">
      <c r="A595" s="4" t="s">
        <v>113</v>
      </c>
      <c r="B595" s="5" t="str">
        <f>IF(COUNTIF($A$2:A595,A595)=1,"Original","Duplicate")</f>
        <v>Original</v>
      </c>
      <c r="C595" s="7">
        <v>45860</v>
      </c>
      <c r="D595" s="7">
        <v>45887</v>
      </c>
      <c r="E595">
        <f t="shared" si="100"/>
        <v>27</v>
      </c>
      <c r="F595" t="s">
        <v>647</v>
      </c>
      <c r="G595" t="s">
        <v>659</v>
      </c>
      <c r="H595" t="s">
        <v>676</v>
      </c>
      <c r="I595" t="s">
        <v>703</v>
      </c>
      <c r="J595" t="s">
        <v>709</v>
      </c>
      <c r="K595" t="s">
        <v>724</v>
      </c>
      <c r="L595" t="s">
        <v>729</v>
      </c>
      <c r="M595" t="s">
        <v>832</v>
      </c>
      <c r="N595" s="23">
        <v>547.32000000000005</v>
      </c>
      <c r="O595" s="23">
        <v>419.17</v>
      </c>
      <c r="P595" s="8">
        <v>9.1999999999999998E-2</v>
      </c>
      <c r="Q595">
        <v>14</v>
      </c>
      <c r="R595" s="23">
        <f t="shared" si="101"/>
        <v>5328.4890400000004</v>
      </c>
      <c r="S595" s="23">
        <f t="shared" si="102"/>
        <v>7662.4800000000005</v>
      </c>
      <c r="T595" s="23">
        <f t="shared" si="103"/>
        <v>-2333.9909600000001</v>
      </c>
      <c r="U595" s="14">
        <f t="shared" si="104"/>
        <v>-0.43802116181137907</v>
      </c>
      <c r="V595" s="7" t="str">
        <f t="shared" si="105"/>
        <v>Jul-2025</v>
      </c>
      <c r="W595" s="22">
        <f t="shared" si="106"/>
        <v>45839</v>
      </c>
      <c r="X595" s="7" t="str">
        <f t="shared" si="107"/>
        <v>Q3-2025</v>
      </c>
      <c r="Y595" t="str">
        <f t="shared" si="108"/>
        <v>Asia → China → Shenzhen</v>
      </c>
      <c r="Z595" t="str">
        <f t="shared" si="109"/>
        <v>Networking</v>
      </c>
      <c r="AA595" t="str" cm="1">
        <f t="array" ref="AA595">_xlfn.IFS(O595&lt;=$AF$2,"Low",AND(O595&gt;$AF$2,O595&lt;$AF$3),"Medium",O595&gt;=$AF$3,"High")</f>
        <v>Low</v>
      </c>
      <c r="AB595" s="22">
        <f t="shared" si="110"/>
        <v>44927</v>
      </c>
      <c r="AC595">
        <v>30</v>
      </c>
    </row>
    <row r="596" spans="1:29" x14ac:dyDescent="0.35">
      <c r="A596" s="4" t="s">
        <v>396</v>
      </c>
      <c r="B596" s="5" t="str">
        <f>IF(COUNTIF($A$2:A596,A596)=1,"Original","Duplicate")</f>
        <v>Original</v>
      </c>
      <c r="C596" s="7">
        <v>45861</v>
      </c>
      <c r="D596" s="7">
        <v>45886</v>
      </c>
      <c r="E596">
        <f t="shared" si="100"/>
        <v>25</v>
      </c>
      <c r="F596" t="s">
        <v>649</v>
      </c>
      <c r="G596" t="s">
        <v>658</v>
      </c>
      <c r="H596" t="s">
        <v>674</v>
      </c>
      <c r="I596" t="s">
        <v>702</v>
      </c>
      <c r="J596" t="s">
        <v>708</v>
      </c>
      <c r="K596" t="s">
        <v>714</v>
      </c>
      <c r="L596" t="s">
        <v>728</v>
      </c>
      <c r="M596" t="s">
        <v>1115</v>
      </c>
      <c r="N596" s="23">
        <v>1142.06</v>
      </c>
      <c r="O596" s="23">
        <v>1455</v>
      </c>
      <c r="P596" s="8">
        <v>7.8E-2</v>
      </c>
      <c r="Q596">
        <v>28</v>
      </c>
      <c r="R596" s="23">
        <f t="shared" si="101"/>
        <v>37562.28</v>
      </c>
      <c r="S596" s="23">
        <f t="shared" si="102"/>
        <v>31977.68</v>
      </c>
      <c r="T596" s="23">
        <f t="shared" si="103"/>
        <v>5584.5999999999985</v>
      </c>
      <c r="U596" s="14">
        <f t="shared" si="104"/>
        <v>0.1486757459877302</v>
      </c>
      <c r="V596" s="7" t="str">
        <f t="shared" si="105"/>
        <v>Jul-2025</v>
      </c>
      <c r="W596" s="22">
        <f t="shared" si="106"/>
        <v>45839</v>
      </c>
      <c r="X596" s="7" t="str">
        <f t="shared" si="107"/>
        <v>Q3-2025</v>
      </c>
      <c r="Y596" t="str">
        <f t="shared" si="108"/>
        <v>Europe → United Kingdom → Birmingham</v>
      </c>
      <c r="Z596" t="str">
        <f t="shared" si="109"/>
        <v>Printers</v>
      </c>
      <c r="AA596" t="str" cm="1">
        <f t="array" ref="AA596">_xlfn.IFS(O596&lt;=$AF$2,"Low",AND(O596&gt;$AF$2,O596&lt;$AF$3),"Medium",O596&gt;=$AF$3,"High")</f>
        <v>Medium</v>
      </c>
      <c r="AB596" s="22">
        <f t="shared" si="110"/>
        <v>44927</v>
      </c>
      <c r="AC596">
        <v>30</v>
      </c>
    </row>
    <row r="597" spans="1:29" x14ac:dyDescent="0.35">
      <c r="A597" s="4" t="s">
        <v>506</v>
      </c>
      <c r="B597" s="5" t="str">
        <f>IF(COUNTIF($A$2:A597,A597)=1,"Original","Duplicate")</f>
        <v>Original</v>
      </c>
      <c r="C597" s="7">
        <v>45861</v>
      </c>
      <c r="D597" s="7">
        <v>45888</v>
      </c>
      <c r="E597">
        <f t="shared" si="100"/>
        <v>27</v>
      </c>
      <c r="F597" t="s">
        <v>647</v>
      </c>
      <c r="G597" t="s">
        <v>652</v>
      </c>
      <c r="H597" t="s">
        <v>694</v>
      </c>
      <c r="I597" t="s">
        <v>704</v>
      </c>
      <c r="J597" t="s">
        <v>709</v>
      </c>
      <c r="K597" t="s">
        <v>717</v>
      </c>
      <c r="L597" t="s">
        <v>733</v>
      </c>
      <c r="M597" t="s">
        <v>1225</v>
      </c>
      <c r="N597" s="23">
        <v>896.09</v>
      </c>
      <c r="O597" s="23">
        <v>744.27</v>
      </c>
      <c r="P597" s="8">
        <v>8.3000000000000004E-2</v>
      </c>
      <c r="Q597">
        <v>11</v>
      </c>
      <c r="R597" s="23">
        <f t="shared" si="101"/>
        <v>7507.4514899999995</v>
      </c>
      <c r="S597" s="23">
        <f t="shared" si="102"/>
        <v>9856.99</v>
      </c>
      <c r="T597" s="23">
        <f t="shared" si="103"/>
        <v>-2349.5385100000003</v>
      </c>
      <c r="U597" s="14">
        <f t="shared" si="104"/>
        <v>-0.31296086469950679</v>
      </c>
      <c r="V597" s="7" t="str">
        <f t="shared" si="105"/>
        <v>Jul-2025</v>
      </c>
      <c r="W597" s="22">
        <f t="shared" si="106"/>
        <v>45839</v>
      </c>
      <c r="X597" s="7" t="str">
        <f t="shared" si="107"/>
        <v>Q3-2025</v>
      </c>
      <c r="Y597" t="str">
        <f t="shared" si="108"/>
        <v>Asia → Japan → Nagoya</v>
      </c>
      <c r="Z597" t="str">
        <f t="shared" si="109"/>
        <v>Accessories</v>
      </c>
      <c r="AA597" t="str" cm="1">
        <f t="array" ref="AA597">_xlfn.IFS(O597&lt;=$AF$2,"Low",AND(O597&gt;$AF$2,O597&lt;$AF$3),"Medium",O597&gt;=$AF$3,"High")</f>
        <v>Low</v>
      </c>
      <c r="AB597" s="22">
        <f t="shared" si="110"/>
        <v>44986</v>
      </c>
      <c r="AC597">
        <v>28</v>
      </c>
    </row>
    <row r="598" spans="1:29" x14ac:dyDescent="0.35">
      <c r="A598" s="4" t="s">
        <v>47</v>
      </c>
      <c r="B598" s="5" t="str">
        <f>IF(COUNTIF($A$2:A598,A598)=1,"Original","Duplicate")</f>
        <v>Original</v>
      </c>
      <c r="C598" s="7">
        <v>45862</v>
      </c>
      <c r="D598" s="7">
        <v>45875</v>
      </c>
      <c r="E598">
        <f t="shared" si="100"/>
        <v>13</v>
      </c>
      <c r="F598" t="s">
        <v>646</v>
      </c>
      <c r="G598" t="s">
        <v>661</v>
      </c>
      <c r="H598" t="s">
        <v>682</v>
      </c>
      <c r="I598" t="s">
        <v>702</v>
      </c>
      <c r="J598" t="s">
        <v>709</v>
      </c>
      <c r="K598" t="s">
        <v>726</v>
      </c>
      <c r="L598" t="s">
        <v>729</v>
      </c>
      <c r="M598" t="s">
        <v>766</v>
      </c>
      <c r="N598" s="23">
        <v>1463.9</v>
      </c>
      <c r="O598" s="23">
        <v>2633.02</v>
      </c>
      <c r="P598" s="8">
        <v>8.4000000000000005E-2</v>
      </c>
      <c r="Q598">
        <v>4</v>
      </c>
      <c r="R598" s="23">
        <f t="shared" si="101"/>
        <v>9647.3852800000004</v>
      </c>
      <c r="S598" s="23">
        <f t="shared" si="102"/>
        <v>5855.6</v>
      </c>
      <c r="T598" s="23">
        <f t="shared" si="103"/>
        <v>3791.7852800000001</v>
      </c>
      <c r="U598" s="14">
        <f t="shared" si="104"/>
        <v>0.39303761277791527</v>
      </c>
      <c r="V598" s="7" t="str">
        <f t="shared" si="105"/>
        <v>Jul-2025</v>
      </c>
      <c r="W598" s="22">
        <f t="shared" si="106"/>
        <v>45839</v>
      </c>
      <c r="X598" s="7" t="str">
        <f t="shared" si="107"/>
        <v>Q3-2025</v>
      </c>
      <c r="Y598" t="str">
        <f t="shared" si="108"/>
        <v>Africa → South Africa → Johannesburg</v>
      </c>
      <c r="Z598" t="str">
        <f t="shared" si="109"/>
        <v>Networking</v>
      </c>
      <c r="AA598" t="str" cm="1">
        <f t="array" ref="AA598">_xlfn.IFS(O598&lt;=$AF$2,"Low",AND(O598&gt;$AF$2,O598&lt;$AF$3),"Medium",O598&gt;=$AF$3,"High")</f>
        <v>High</v>
      </c>
      <c r="AB598" s="22">
        <f t="shared" si="110"/>
        <v>44927</v>
      </c>
      <c r="AC598">
        <v>30</v>
      </c>
    </row>
    <row r="599" spans="1:29" x14ac:dyDescent="0.35">
      <c r="A599" s="4" t="s">
        <v>478</v>
      </c>
      <c r="B599" s="5" t="str">
        <f>IF(COUNTIF($A$2:A599,A599)=1,"Original","Duplicate")</f>
        <v>Original</v>
      </c>
      <c r="C599" s="7">
        <v>45865</v>
      </c>
      <c r="D599" s="7">
        <v>45884</v>
      </c>
      <c r="E599">
        <f t="shared" si="100"/>
        <v>19</v>
      </c>
      <c r="F599" t="s">
        <v>647</v>
      </c>
      <c r="G599" t="s">
        <v>652</v>
      </c>
      <c r="H599" t="s">
        <v>689</v>
      </c>
      <c r="I599" t="s">
        <v>705</v>
      </c>
      <c r="J599" t="s">
        <v>709</v>
      </c>
      <c r="K599" t="s">
        <v>713</v>
      </c>
      <c r="L599" t="s">
        <v>727</v>
      </c>
      <c r="M599" t="s">
        <v>1197</v>
      </c>
      <c r="N599" s="23">
        <v>275.43</v>
      </c>
      <c r="O599" s="23">
        <v>608.36</v>
      </c>
      <c r="P599" s="8">
        <v>0.25700000000000001</v>
      </c>
      <c r="Q599">
        <v>4</v>
      </c>
      <c r="R599" s="23">
        <f t="shared" si="101"/>
        <v>1808.04592</v>
      </c>
      <c r="S599" s="23">
        <f t="shared" si="102"/>
        <v>1101.72</v>
      </c>
      <c r="T599" s="23">
        <f t="shared" si="103"/>
        <v>706.32592</v>
      </c>
      <c r="U599" s="14">
        <f t="shared" si="104"/>
        <v>0.39065706915231446</v>
      </c>
      <c r="V599" s="7" t="str">
        <f t="shared" si="105"/>
        <v>Jul-2025</v>
      </c>
      <c r="W599" s="22">
        <f t="shared" si="106"/>
        <v>45839</v>
      </c>
      <c r="X599" s="7" t="str">
        <f t="shared" si="107"/>
        <v>Q3-2025</v>
      </c>
      <c r="Y599" t="str">
        <f t="shared" si="108"/>
        <v>Asia → Japan → Tokyo</v>
      </c>
      <c r="Z599" t="str">
        <f t="shared" si="109"/>
        <v>Components</v>
      </c>
      <c r="AA599" t="str" cm="1">
        <f t="array" ref="AA599">_xlfn.IFS(O599&lt;=$AF$2,"Low",AND(O599&gt;$AF$2,O599&lt;$AF$3),"Medium",O599&gt;=$AF$3,"High")</f>
        <v>Low</v>
      </c>
      <c r="AB599" s="22">
        <f t="shared" si="110"/>
        <v>44986</v>
      </c>
      <c r="AC599">
        <v>28</v>
      </c>
    </row>
    <row r="600" spans="1:29" x14ac:dyDescent="0.35">
      <c r="A600" s="4" t="s">
        <v>111</v>
      </c>
      <c r="B600" s="5" t="str">
        <f>IF(COUNTIF($A$2:A600,A600)=1,"Original","Duplicate")</f>
        <v>Original</v>
      </c>
      <c r="C600" s="7">
        <v>45870</v>
      </c>
      <c r="D600" s="7">
        <v>45885</v>
      </c>
      <c r="E600">
        <f t="shared" si="100"/>
        <v>15</v>
      </c>
      <c r="F600" t="s">
        <v>647</v>
      </c>
      <c r="G600" t="s">
        <v>654</v>
      </c>
      <c r="H600" t="s">
        <v>1431</v>
      </c>
      <c r="I600" t="s">
        <v>706</v>
      </c>
      <c r="J600" t="s">
        <v>711</v>
      </c>
      <c r="K600" t="s">
        <v>719</v>
      </c>
      <c r="L600" t="s">
        <v>732</v>
      </c>
      <c r="M600" t="s">
        <v>830</v>
      </c>
      <c r="N600" s="23">
        <v>24.44</v>
      </c>
      <c r="O600" s="23">
        <v>28.69</v>
      </c>
      <c r="P600" s="8">
        <v>0.14599999999999999</v>
      </c>
      <c r="Q600">
        <v>6</v>
      </c>
      <c r="R600" s="23">
        <f t="shared" si="101"/>
        <v>147.00756000000001</v>
      </c>
      <c r="S600" s="23">
        <f t="shared" si="102"/>
        <v>146.64000000000001</v>
      </c>
      <c r="T600" s="23">
        <f t="shared" si="103"/>
        <v>0.36755999999999744</v>
      </c>
      <c r="U600" s="14">
        <f t="shared" si="104"/>
        <v>2.5002795774584476E-3</v>
      </c>
      <c r="V600" s="7" t="str">
        <f t="shared" si="105"/>
        <v>Aug-2025</v>
      </c>
      <c r="W600" s="22">
        <f t="shared" si="106"/>
        <v>45870</v>
      </c>
      <c r="X600" s="7" t="str">
        <f t="shared" si="107"/>
        <v>Q3-2025</v>
      </c>
      <c r="Y600" t="str">
        <f t="shared" si="108"/>
        <v>Asia → India → Unknown</v>
      </c>
      <c r="Z600" t="str">
        <f t="shared" si="109"/>
        <v>Monitors</v>
      </c>
      <c r="AA600" t="str" cm="1">
        <f t="array" ref="AA600">_xlfn.IFS(O600&lt;=$AF$2,"Low",AND(O600&gt;$AF$2,O600&lt;$AF$3),"Medium",O600&gt;=$AF$3,"High")</f>
        <v>Low</v>
      </c>
      <c r="AB600" s="22">
        <f t="shared" si="110"/>
        <v>44958</v>
      </c>
      <c r="AC600">
        <v>30</v>
      </c>
    </row>
    <row r="601" spans="1:29" x14ac:dyDescent="0.35">
      <c r="A601" s="4" t="s">
        <v>174</v>
      </c>
      <c r="B601" s="5" t="str">
        <f>IF(COUNTIF($A$2:A601,A601)=1,"Original","Duplicate")</f>
        <v>Original</v>
      </c>
      <c r="C601" s="7">
        <v>45870</v>
      </c>
      <c r="D601" s="7">
        <v>45890</v>
      </c>
      <c r="E601">
        <f t="shared" si="100"/>
        <v>20</v>
      </c>
      <c r="F601" t="s">
        <v>647</v>
      </c>
      <c r="G601" t="s">
        <v>659</v>
      </c>
      <c r="H601" t="s">
        <v>685</v>
      </c>
      <c r="I601" t="s">
        <v>701</v>
      </c>
      <c r="J601" t="s">
        <v>711</v>
      </c>
      <c r="K601" t="s">
        <v>714</v>
      </c>
      <c r="L601" t="s">
        <v>730</v>
      </c>
      <c r="M601" t="s">
        <v>893</v>
      </c>
      <c r="N601" s="23">
        <v>1220.4100000000001</v>
      </c>
      <c r="O601" s="23">
        <v>2552.2199999999998</v>
      </c>
      <c r="P601" s="8">
        <v>0.18099999999999999</v>
      </c>
      <c r="Q601">
        <v>14</v>
      </c>
      <c r="R601" s="23">
        <f t="shared" si="101"/>
        <v>29263.754519999995</v>
      </c>
      <c r="S601" s="23">
        <f t="shared" si="102"/>
        <v>17085.740000000002</v>
      </c>
      <c r="T601" s="23">
        <f t="shared" si="103"/>
        <v>12178.014519999993</v>
      </c>
      <c r="U601" s="14">
        <f t="shared" si="104"/>
        <v>0.41614668793360271</v>
      </c>
      <c r="V601" s="7" t="str">
        <f t="shared" si="105"/>
        <v>Aug-2025</v>
      </c>
      <c r="W601" s="22">
        <f t="shared" si="106"/>
        <v>45870</v>
      </c>
      <c r="X601" s="7" t="str">
        <f t="shared" si="107"/>
        <v>Q3-2025</v>
      </c>
      <c r="Y601" t="str">
        <f t="shared" si="108"/>
        <v>Asia → China → Shanghai</v>
      </c>
      <c r="Z601" t="str">
        <f t="shared" si="109"/>
        <v>Phones</v>
      </c>
      <c r="AA601" t="str" cm="1">
        <f t="array" ref="AA601">_xlfn.IFS(O601&lt;=$AF$2,"Low",AND(O601&gt;$AF$2,O601&lt;$AF$3),"Medium",O601&gt;=$AF$3,"High")</f>
        <v>High</v>
      </c>
      <c r="AB601" s="22">
        <f t="shared" si="110"/>
        <v>44927</v>
      </c>
      <c r="AC601">
        <v>31</v>
      </c>
    </row>
    <row r="602" spans="1:29" x14ac:dyDescent="0.35">
      <c r="A602" s="4" t="s">
        <v>256</v>
      </c>
      <c r="B602" s="5" t="str">
        <f>IF(COUNTIF($A$2:A602,A602)=1,"Original","Duplicate")</f>
        <v>Original</v>
      </c>
      <c r="C602" s="7">
        <v>45871</v>
      </c>
      <c r="D602" s="7">
        <v>45877</v>
      </c>
      <c r="E602">
        <f t="shared" si="100"/>
        <v>6</v>
      </c>
      <c r="F602" t="s">
        <v>647</v>
      </c>
      <c r="G602" t="s">
        <v>652</v>
      </c>
      <c r="H602" t="s">
        <v>666</v>
      </c>
      <c r="I602" t="s">
        <v>704</v>
      </c>
      <c r="J602" t="s">
        <v>711</v>
      </c>
      <c r="K602" t="s">
        <v>725</v>
      </c>
      <c r="L602" t="s">
        <v>731</v>
      </c>
      <c r="M602" t="s">
        <v>976</v>
      </c>
      <c r="N602" s="23">
        <v>1225.94</v>
      </c>
      <c r="O602" s="23">
        <v>1793.08</v>
      </c>
      <c r="P602" s="8">
        <v>0.13600000000000001</v>
      </c>
      <c r="Q602">
        <v>22</v>
      </c>
      <c r="R602" s="23">
        <f t="shared" si="101"/>
        <v>34082.864639999993</v>
      </c>
      <c r="S602" s="23">
        <f t="shared" si="102"/>
        <v>26970.68</v>
      </c>
      <c r="T602" s="23">
        <f t="shared" si="103"/>
        <v>7112.1846399999922</v>
      </c>
      <c r="U602" s="14">
        <f t="shared" si="104"/>
        <v>0.20867332353434462</v>
      </c>
      <c r="V602" s="7" t="str">
        <f t="shared" si="105"/>
        <v>Aug-2025</v>
      </c>
      <c r="W602" s="22">
        <f t="shared" si="106"/>
        <v>45870</v>
      </c>
      <c r="X602" s="7" t="str">
        <f t="shared" si="107"/>
        <v>Q3-2025</v>
      </c>
      <c r="Y602" t="str">
        <f t="shared" si="108"/>
        <v>Asia → Japan → Osaka</v>
      </c>
      <c r="Z602" t="str">
        <f t="shared" si="109"/>
        <v>Laptops</v>
      </c>
      <c r="AA602" t="str" cm="1">
        <f t="array" ref="AA602">_xlfn.IFS(O602&lt;=$AF$2,"Low",AND(O602&gt;$AF$2,O602&lt;$AF$3),"Medium",O602&gt;=$AF$3,"High")</f>
        <v>High</v>
      </c>
      <c r="AB602" s="22">
        <f t="shared" si="110"/>
        <v>44986</v>
      </c>
      <c r="AC602">
        <v>29</v>
      </c>
    </row>
    <row r="603" spans="1:29" x14ac:dyDescent="0.35">
      <c r="A603" s="4" t="s">
        <v>590</v>
      </c>
      <c r="B603" s="5" t="str">
        <f>IF(COUNTIF($A$2:A603,A603)=1,"Original","Duplicate")</f>
        <v>Original</v>
      </c>
      <c r="C603" s="7">
        <v>45872</v>
      </c>
      <c r="D603" s="7">
        <v>45885</v>
      </c>
      <c r="E603">
        <f t="shared" si="100"/>
        <v>13</v>
      </c>
      <c r="F603" t="s">
        <v>648</v>
      </c>
      <c r="G603" t="s">
        <v>653</v>
      </c>
      <c r="H603" t="s">
        <v>681</v>
      </c>
      <c r="I603" t="s">
        <v>706</v>
      </c>
      <c r="J603" t="s">
        <v>710</v>
      </c>
      <c r="K603" t="s">
        <v>719</v>
      </c>
      <c r="L603" t="s">
        <v>729</v>
      </c>
      <c r="M603" t="s">
        <v>1308</v>
      </c>
      <c r="N603" s="23">
        <v>698.66</v>
      </c>
      <c r="O603" s="23">
        <v>868.62</v>
      </c>
      <c r="P603" s="8">
        <v>7.1999999999999995E-2</v>
      </c>
      <c r="Q603">
        <v>15</v>
      </c>
      <c r="R603" s="23">
        <f t="shared" si="101"/>
        <v>12091.190399999999</v>
      </c>
      <c r="S603" s="23">
        <f t="shared" si="102"/>
        <v>10479.9</v>
      </c>
      <c r="T603" s="23">
        <f t="shared" si="103"/>
        <v>1611.2903999999999</v>
      </c>
      <c r="U603" s="14">
        <f t="shared" si="104"/>
        <v>0.13326151906432637</v>
      </c>
      <c r="V603" s="7" t="str">
        <f t="shared" si="105"/>
        <v>Aug-2025</v>
      </c>
      <c r="W603" s="22">
        <f t="shared" si="106"/>
        <v>45870</v>
      </c>
      <c r="X603" s="7" t="str">
        <f t="shared" si="107"/>
        <v>Q3-2025</v>
      </c>
      <c r="Y603" t="str">
        <f t="shared" si="108"/>
        <v>Americas → Canada → Montreal</v>
      </c>
      <c r="Z603" t="str">
        <f t="shared" si="109"/>
        <v>Networking</v>
      </c>
      <c r="AA603" t="str" cm="1">
        <f t="array" ref="AA603">_xlfn.IFS(O603&lt;=$AF$2,"Low",AND(O603&gt;$AF$2,O603&lt;$AF$3),"Medium",O603&gt;=$AF$3,"High")</f>
        <v>Medium</v>
      </c>
      <c r="AB603" s="22">
        <f t="shared" si="110"/>
        <v>44927</v>
      </c>
      <c r="AC603">
        <v>31</v>
      </c>
    </row>
    <row r="604" spans="1:29" x14ac:dyDescent="0.35">
      <c r="A604" s="4" t="s">
        <v>142</v>
      </c>
      <c r="B604" s="5" t="str">
        <f>IF(COUNTIF($A$2:A604,A604)=1,"Original","Duplicate")</f>
        <v>Original</v>
      </c>
      <c r="C604" s="7">
        <v>45874</v>
      </c>
      <c r="D604" s="7">
        <v>45883</v>
      </c>
      <c r="E604">
        <f t="shared" si="100"/>
        <v>9</v>
      </c>
      <c r="F604" t="s">
        <v>649</v>
      </c>
      <c r="G604" t="s">
        <v>658</v>
      </c>
      <c r="H604" t="s">
        <v>683</v>
      </c>
      <c r="I604" t="s">
        <v>703</v>
      </c>
      <c r="J604" t="s">
        <v>711</v>
      </c>
      <c r="K604" t="s">
        <v>718</v>
      </c>
      <c r="L604" t="s">
        <v>727</v>
      </c>
      <c r="M604" t="s">
        <v>861</v>
      </c>
      <c r="N604" s="23">
        <v>41.76</v>
      </c>
      <c r="O604" s="23">
        <v>45.19</v>
      </c>
      <c r="P604" s="8">
        <v>0.17899999999999999</v>
      </c>
      <c r="Q604">
        <v>23</v>
      </c>
      <c r="R604" s="23">
        <f t="shared" si="101"/>
        <v>853.32276999999988</v>
      </c>
      <c r="S604" s="23">
        <f t="shared" si="102"/>
        <v>960.4799999999999</v>
      </c>
      <c r="T604" s="23">
        <f t="shared" si="103"/>
        <v>-107.15723000000003</v>
      </c>
      <c r="U604" s="14">
        <f t="shared" si="104"/>
        <v>-0.12557643340514638</v>
      </c>
      <c r="V604" s="7" t="str">
        <f t="shared" si="105"/>
        <v>Aug-2025</v>
      </c>
      <c r="W604" s="22">
        <f t="shared" si="106"/>
        <v>45870</v>
      </c>
      <c r="X604" s="7" t="str">
        <f t="shared" si="107"/>
        <v>Q3-2025</v>
      </c>
      <c r="Y604" t="str">
        <f t="shared" si="108"/>
        <v>Europe → United Kingdom → London</v>
      </c>
      <c r="Z604" t="str">
        <f t="shared" si="109"/>
        <v>Components</v>
      </c>
      <c r="AA604" t="str" cm="1">
        <f t="array" ref="AA604">_xlfn.IFS(O604&lt;=$AF$2,"Low",AND(O604&gt;$AF$2,O604&lt;$AF$3),"Medium",O604&gt;=$AF$3,"High")</f>
        <v>Low</v>
      </c>
      <c r="AB604" s="22">
        <f t="shared" si="110"/>
        <v>44927</v>
      </c>
      <c r="AC604">
        <v>31</v>
      </c>
    </row>
    <row r="605" spans="1:29" x14ac:dyDescent="0.35">
      <c r="A605" s="4" t="s">
        <v>529</v>
      </c>
      <c r="B605" s="5" t="str">
        <f>IF(COUNTIF($A$2:A605,A605)=1,"Original","Duplicate")</f>
        <v>Original</v>
      </c>
      <c r="C605" s="7">
        <v>45874</v>
      </c>
      <c r="D605" s="7">
        <v>45897</v>
      </c>
      <c r="E605">
        <f t="shared" si="100"/>
        <v>23</v>
      </c>
      <c r="F605" t="s">
        <v>647</v>
      </c>
      <c r="G605" t="s">
        <v>654</v>
      </c>
      <c r="H605" t="s">
        <v>691</v>
      </c>
      <c r="I605" t="s">
        <v>703</v>
      </c>
      <c r="J605" t="s">
        <v>710</v>
      </c>
      <c r="K605" t="s">
        <v>725</v>
      </c>
      <c r="L605" t="s">
        <v>731</v>
      </c>
      <c r="M605" t="s">
        <v>1248</v>
      </c>
      <c r="N605" s="23">
        <v>638.54</v>
      </c>
      <c r="O605" s="23">
        <v>987.24</v>
      </c>
      <c r="P605" s="8">
        <v>0</v>
      </c>
      <c r="Q605">
        <v>11</v>
      </c>
      <c r="R605" s="23">
        <f t="shared" si="101"/>
        <v>10859.64</v>
      </c>
      <c r="S605" s="23">
        <f t="shared" si="102"/>
        <v>7023.94</v>
      </c>
      <c r="T605" s="23">
        <f t="shared" si="103"/>
        <v>3835.7</v>
      </c>
      <c r="U605" s="14">
        <f t="shared" si="104"/>
        <v>0.35320692030306716</v>
      </c>
      <c r="V605" s="7" t="str">
        <f t="shared" si="105"/>
        <v>Aug-2025</v>
      </c>
      <c r="W605" s="22">
        <f t="shared" si="106"/>
        <v>45870</v>
      </c>
      <c r="X605" s="7" t="str">
        <f t="shared" si="107"/>
        <v>Q3-2025</v>
      </c>
      <c r="Y605" t="str">
        <f t="shared" si="108"/>
        <v>Asia → India → Mumbai</v>
      </c>
      <c r="Z605" t="str">
        <f t="shared" si="109"/>
        <v>Laptops</v>
      </c>
      <c r="AA605" t="str" cm="1">
        <f t="array" ref="AA605">_xlfn.IFS(O605&lt;=$AF$2,"Low",AND(O605&gt;$AF$2,O605&lt;$AF$3),"Medium",O605&gt;=$AF$3,"High")</f>
        <v>Medium</v>
      </c>
      <c r="AB605" s="22">
        <f t="shared" si="110"/>
        <v>44958</v>
      </c>
      <c r="AC605">
        <v>30</v>
      </c>
    </row>
    <row r="606" spans="1:29" x14ac:dyDescent="0.35">
      <c r="A606" s="4" t="s">
        <v>565</v>
      </c>
      <c r="B606" s="5" t="str">
        <f>IF(COUNTIF($A$2:A606,A606)=1,"Original","Duplicate")</f>
        <v>Original</v>
      </c>
      <c r="C606" s="7">
        <v>45875</v>
      </c>
      <c r="D606" s="7">
        <v>45892</v>
      </c>
      <c r="E606">
        <f t="shared" si="100"/>
        <v>17</v>
      </c>
      <c r="F606" t="s">
        <v>648</v>
      </c>
      <c r="G606" t="s">
        <v>655</v>
      </c>
      <c r="H606" t="s">
        <v>672</v>
      </c>
      <c r="I606" t="s">
        <v>704</v>
      </c>
      <c r="J606" t="s">
        <v>710</v>
      </c>
      <c r="K606" t="s">
        <v>720</v>
      </c>
      <c r="L606" t="s">
        <v>732</v>
      </c>
      <c r="M606" t="s">
        <v>1283</v>
      </c>
      <c r="N606" s="23">
        <v>86.64</v>
      </c>
      <c r="O606" s="23">
        <v>213.06</v>
      </c>
      <c r="P606" s="8">
        <v>0.21199999999999999</v>
      </c>
      <c r="Q606">
        <v>11</v>
      </c>
      <c r="R606" s="23">
        <f t="shared" si="101"/>
        <v>1846.8040799999999</v>
      </c>
      <c r="S606" s="23">
        <f t="shared" si="102"/>
        <v>953.04</v>
      </c>
      <c r="T606" s="23">
        <f t="shared" si="103"/>
        <v>893.76407999999992</v>
      </c>
      <c r="U606" s="14">
        <f t="shared" si="104"/>
        <v>0.48395175735154322</v>
      </c>
      <c r="V606" s="7" t="str">
        <f t="shared" si="105"/>
        <v>Aug-2025</v>
      </c>
      <c r="W606" s="22">
        <f t="shared" si="106"/>
        <v>45870</v>
      </c>
      <c r="X606" s="7" t="str">
        <f t="shared" si="107"/>
        <v>Q3-2025</v>
      </c>
      <c r="Y606" t="str">
        <f t="shared" si="108"/>
        <v>Americas → Brazil → Brasília</v>
      </c>
      <c r="Z606" t="str">
        <f t="shared" si="109"/>
        <v>Monitors</v>
      </c>
      <c r="AA606" t="str" cm="1">
        <f t="array" ref="AA606">_xlfn.IFS(O606&lt;=$AF$2,"Low",AND(O606&gt;$AF$2,O606&lt;$AF$3),"Medium",O606&gt;=$AF$3,"High")</f>
        <v>Low</v>
      </c>
      <c r="AB606" s="22">
        <f t="shared" si="110"/>
        <v>44927</v>
      </c>
      <c r="AC606">
        <v>31</v>
      </c>
    </row>
    <row r="607" spans="1:29" x14ac:dyDescent="0.35">
      <c r="A607" s="4" t="s">
        <v>102</v>
      </c>
      <c r="B607" s="5" t="str">
        <f>IF(COUNTIF($A$2:A607,A607)=1,"Original","Duplicate")</f>
        <v>Original</v>
      </c>
      <c r="C607" s="7">
        <v>45876</v>
      </c>
      <c r="D607" s="7">
        <v>45888</v>
      </c>
      <c r="E607">
        <f t="shared" si="100"/>
        <v>12</v>
      </c>
      <c r="F607" t="s">
        <v>646</v>
      </c>
      <c r="G607" t="s">
        <v>650</v>
      </c>
      <c r="H607" t="s">
        <v>678</v>
      </c>
      <c r="I607" t="s">
        <v>701</v>
      </c>
      <c r="J607" t="s">
        <v>1431</v>
      </c>
      <c r="K607" t="s">
        <v>724</v>
      </c>
      <c r="L607" t="s">
        <v>727</v>
      </c>
      <c r="M607" t="s">
        <v>821</v>
      </c>
      <c r="N607" s="23">
        <v>601.51</v>
      </c>
      <c r="O607" s="23">
        <v>679.35</v>
      </c>
      <c r="P607" s="8">
        <v>0.188</v>
      </c>
      <c r="Q607">
        <v>3</v>
      </c>
      <c r="R607" s="23">
        <f t="shared" si="101"/>
        <v>1654.8966000000003</v>
      </c>
      <c r="S607" s="23">
        <f t="shared" si="102"/>
        <v>1804.53</v>
      </c>
      <c r="T607" s="23">
        <f t="shared" si="103"/>
        <v>-149.63339999999971</v>
      </c>
      <c r="U607" s="14">
        <f t="shared" si="104"/>
        <v>-9.0418579626062243E-2</v>
      </c>
      <c r="V607" s="7" t="str">
        <f t="shared" si="105"/>
        <v>Aug-2025</v>
      </c>
      <c r="W607" s="22">
        <f t="shared" si="106"/>
        <v>45870</v>
      </c>
      <c r="X607" s="7" t="str">
        <f t="shared" si="107"/>
        <v>Q3-2025</v>
      </c>
      <c r="Y607" t="str">
        <f t="shared" si="108"/>
        <v>Africa → Kenya → Nakuru</v>
      </c>
      <c r="Z607" t="str">
        <f t="shared" si="109"/>
        <v>Components</v>
      </c>
      <c r="AA607" t="str" cm="1">
        <f t="array" ref="AA607">_xlfn.IFS(O607&lt;=$AF$2,"Low",AND(O607&gt;$AF$2,O607&lt;$AF$3),"Medium",O607&gt;=$AF$3,"High")</f>
        <v>Low</v>
      </c>
      <c r="AB607" s="22">
        <f t="shared" si="110"/>
        <v>44927</v>
      </c>
      <c r="AC607">
        <v>31</v>
      </c>
    </row>
    <row r="608" spans="1:29" x14ac:dyDescent="0.35">
      <c r="A608" s="4" t="s">
        <v>395</v>
      </c>
      <c r="B608" s="5" t="str">
        <f>IF(COUNTIF($A$2:A608,A608)=1,"Original","Duplicate")</f>
        <v>Original</v>
      </c>
      <c r="C608" s="7">
        <v>45876</v>
      </c>
      <c r="D608" s="7">
        <v>45906</v>
      </c>
      <c r="E608">
        <f t="shared" si="100"/>
        <v>30</v>
      </c>
      <c r="F608" t="s">
        <v>648</v>
      </c>
      <c r="G608" t="s">
        <v>653</v>
      </c>
      <c r="H608" t="s">
        <v>681</v>
      </c>
      <c r="I608" t="s">
        <v>702</v>
      </c>
      <c r="J608" t="s">
        <v>711</v>
      </c>
      <c r="K608" t="s">
        <v>724</v>
      </c>
      <c r="L608" t="s">
        <v>729</v>
      </c>
      <c r="M608" t="s">
        <v>1114</v>
      </c>
      <c r="N608" s="23">
        <v>833.73</v>
      </c>
      <c r="O608" s="23">
        <v>1116.5999999999999</v>
      </c>
      <c r="P608" s="8">
        <v>0.17599999999999999</v>
      </c>
      <c r="Q608">
        <v>14</v>
      </c>
      <c r="R608" s="23">
        <f t="shared" si="101"/>
        <v>12881.097599999999</v>
      </c>
      <c r="S608" s="23">
        <f t="shared" si="102"/>
        <v>11672.220000000001</v>
      </c>
      <c r="T608" s="23">
        <f t="shared" si="103"/>
        <v>1208.877599999998</v>
      </c>
      <c r="U608" s="14">
        <f t="shared" si="104"/>
        <v>9.3848958958279924E-2</v>
      </c>
      <c r="V608" s="7" t="str">
        <f t="shared" si="105"/>
        <v>Aug-2025</v>
      </c>
      <c r="W608" s="22">
        <f t="shared" si="106"/>
        <v>45870</v>
      </c>
      <c r="X608" s="7" t="str">
        <f t="shared" si="107"/>
        <v>Q3-2025</v>
      </c>
      <c r="Y608" t="str">
        <f t="shared" si="108"/>
        <v>Americas → Canada → Montreal</v>
      </c>
      <c r="Z608" t="str">
        <f t="shared" si="109"/>
        <v>Networking</v>
      </c>
      <c r="AA608" t="str" cm="1">
        <f t="array" ref="AA608">_xlfn.IFS(O608&lt;=$AF$2,"Low",AND(O608&gt;$AF$2,O608&lt;$AF$3),"Medium",O608&gt;=$AF$3,"High")</f>
        <v>Medium</v>
      </c>
      <c r="AB608" s="22">
        <f t="shared" si="110"/>
        <v>44927</v>
      </c>
      <c r="AC608">
        <v>31</v>
      </c>
    </row>
    <row r="609" spans="1:29" x14ac:dyDescent="0.35">
      <c r="A609" s="4" t="s">
        <v>242</v>
      </c>
      <c r="B609" s="5" t="str">
        <f>IF(COUNTIF($A$2:A609,A609)=1,"Original","Duplicate")</f>
        <v>Original</v>
      </c>
      <c r="C609" s="7">
        <v>45879</v>
      </c>
      <c r="D609" s="7">
        <v>45899</v>
      </c>
      <c r="E609">
        <f t="shared" si="100"/>
        <v>20</v>
      </c>
      <c r="F609" t="s">
        <v>648</v>
      </c>
      <c r="G609" t="s">
        <v>660</v>
      </c>
      <c r="H609" t="s">
        <v>686</v>
      </c>
      <c r="I609" t="s">
        <v>701</v>
      </c>
      <c r="J609" t="s">
        <v>709</v>
      </c>
      <c r="K609" t="s">
        <v>723</v>
      </c>
      <c r="L609" t="s">
        <v>728</v>
      </c>
      <c r="M609" t="s">
        <v>962</v>
      </c>
      <c r="N609" s="23">
        <v>933.29</v>
      </c>
      <c r="O609" s="23">
        <v>1456.81</v>
      </c>
      <c r="P609" s="8">
        <v>0.123</v>
      </c>
      <c r="Q609">
        <v>13</v>
      </c>
      <c r="R609" s="23">
        <f t="shared" si="101"/>
        <v>16609.090809999998</v>
      </c>
      <c r="S609" s="23">
        <f t="shared" si="102"/>
        <v>12132.77</v>
      </c>
      <c r="T609" s="23">
        <f t="shared" si="103"/>
        <v>4476.3208099999974</v>
      </c>
      <c r="U609" s="14">
        <f t="shared" si="104"/>
        <v>0.26951028573489977</v>
      </c>
      <c r="V609" s="7" t="str">
        <f t="shared" si="105"/>
        <v>Aug-2025</v>
      </c>
      <c r="W609" s="22">
        <f t="shared" si="106"/>
        <v>45870</v>
      </c>
      <c r="X609" s="7" t="str">
        <f t="shared" si="107"/>
        <v>Q3-2025</v>
      </c>
      <c r="Y609" t="str">
        <f t="shared" si="108"/>
        <v>Americas → USA → San Francisco</v>
      </c>
      <c r="Z609" t="str">
        <f t="shared" si="109"/>
        <v>Printers</v>
      </c>
      <c r="AA609" t="str" cm="1">
        <f t="array" ref="AA609">_xlfn.IFS(O609&lt;=$AF$2,"Low",AND(O609&gt;$AF$2,O609&lt;$AF$3),"Medium",O609&gt;=$AF$3,"High")</f>
        <v>Medium</v>
      </c>
      <c r="AB609" s="22">
        <f t="shared" si="110"/>
        <v>44927</v>
      </c>
      <c r="AC609">
        <v>31</v>
      </c>
    </row>
    <row r="610" spans="1:29" x14ac:dyDescent="0.35">
      <c r="A610" s="4" t="s">
        <v>616</v>
      </c>
      <c r="B610" s="5" t="str">
        <f>IF(COUNTIF($A$2:A610,A610)=1,"Original","Duplicate")</f>
        <v>Original</v>
      </c>
      <c r="C610" s="7">
        <v>45880</v>
      </c>
      <c r="D610" s="7">
        <v>45897</v>
      </c>
      <c r="E610">
        <f t="shared" si="100"/>
        <v>17</v>
      </c>
      <c r="F610" t="s">
        <v>649</v>
      </c>
      <c r="G610" t="s">
        <v>657</v>
      </c>
      <c r="H610" t="s">
        <v>690</v>
      </c>
      <c r="I610" t="s">
        <v>702</v>
      </c>
      <c r="J610" t="s">
        <v>708</v>
      </c>
      <c r="K610" t="s">
        <v>721</v>
      </c>
      <c r="L610" t="s">
        <v>729</v>
      </c>
      <c r="M610" t="s">
        <v>1334</v>
      </c>
      <c r="N610" s="23">
        <v>416.16</v>
      </c>
      <c r="O610" s="23">
        <v>571.9</v>
      </c>
      <c r="P610" s="8">
        <v>7.0999999999999994E-2</v>
      </c>
      <c r="Q610">
        <v>2</v>
      </c>
      <c r="R610" s="23">
        <f t="shared" si="101"/>
        <v>1062.5902000000001</v>
      </c>
      <c r="S610" s="23">
        <f t="shared" si="102"/>
        <v>832.32</v>
      </c>
      <c r="T610" s="23">
        <f t="shared" si="103"/>
        <v>230.27020000000005</v>
      </c>
      <c r="U610" s="14">
        <f t="shared" si="104"/>
        <v>0.21670649701079497</v>
      </c>
      <c r="V610" s="7" t="str">
        <f t="shared" si="105"/>
        <v>Aug-2025</v>
      </c>
      <c r="W610" s="22">
        <f t="shared" si="106"/>
        <v>45870</v>
      </c>
      <c r="X610" s="7" t="str">
        <f t="shared" si="107"/>
        <v>Q3-2025</v>
      </c>
      <c r="Y610" t="str">
        <f t="shared" si="108"/>
        <v>Europe → France → Paris</v>
      </c>
      <c r="Z610" t="str">
        <f t="shared" si="109"/>
        <v>Networking</v>
      </c>
      <c r="AA610" t="str" cm="1">
        <f t="array" ref="AA610">_xlfn.IFS(O610&lt;=$AF$2,"Low",AND(O610&gt;$AF$2,O610&lt;$AF$3),"Medium",O610&gt;=$AF$3,"High")</f>
        <v>Low</v>
      </c>
      <c r="AB610" s="22">
        <f t="shared" si="110"/>
        <v>44927</v>
      </c>
      <c r="AC610">
        <v>31</v>
      </c>
    </row>
    <row r="611" spans="1:29" x14ac:dyDescent="0.35">
      <c r="A611" s="4" t="s">
        <v>488</v>
      </c>
      <c r="B611" s="5" t="str">
        <f>IF(COUNTIF($A$2:A611,A611)=1,"Original","Duplicate")</f>
        <v>Original</v>
      </c>
      <c r="C611" s="7">
        <v>45882</v>
      </c>
      <c r="D611" s="7">
        <v>45903</v>
      </c>
      <c r="E611">
        <f t="shared" si="100"/>
        <v>21</v>
      </c>
      <c r="F611" t="s">
        <v>649</v>
      </c>
      <c r="G611" t="s">
        <v>657</v>
      </c>
      <c r="H611" t="s">
        <v>690</v>
      </c>
      <c r="I611" t="s">
        <v>702</v>
      </c>
      <c r="J611" t="s">
        <v>707</v>
      </c>
      <c r="K611" t="s">
        <v>714</v>
      </c>
      <c r="L611" t="s">
        <v>730</v>
      </c>
      <c r="M611" t="s">
        <v>1207</v>
      </c>
      <c r="N611" s="23">
        <v>603.47</v>
      </c>
      <c r="O611" s="23">
        <v>1344.05</v>
      </c>
      <c r="P611" s="8">
        <v>0.20499999999999999</v>
      </c>
      <c r="Q611">
        <v>18</v>
      </c>
      <c r="R611" s="23">
        <f t="shared" si="101"/>
        <v>19233.355499999998</v>
      </c>
      <c r="S611" s="23">
        <f t="shared" si="102"/>
        <v>10862.460000000001</v>
      </c>
      <c r="T611" s="23">
        <f t="shared" si="103"/>
        <v>8370.8954999999969</v>
      </c>
      <c r="U611" s="14">
        <f t="shared" si="104"/>
        <v>0.43522803392262976</v>
      </c>
      <c r="V611" s="7" t="str">
        <f t="shared" si="105"/>
        <v>Aug-2025</v>
      </c>
      <c r="W611" s="22">
        <f t="shared" si="106"/>
        <v>45870</v>
      </c>
      <c r="X611" s="7" t="str">
        <f t="shared" si="107"/>
        <v>Q3-2025</v>
      </c>
      <c r="Y611" t="str">
        <f t="shared" si="108"/>
        <v>Europe → France → Paris</v>
      </c>
      <c r="Z611" t="str">
        <f t="shared" si="109"/>
        <v>Phones</v>
      </c>
      <c r="AA611" t="str" cm="1">
        <f t="array" ref="AA611">_xlfn.IFS(O611&lt;=$AF$2,"Low",AND(O611&gt;$AF$2,O611&lt;$AF$3),"Medium",O611&gt;=$AF$3,"High")</f>
        <v>Medium</v>
      </c>
      <c r="AB611" s="22">
        <f t="shared" si="110"/>
        <v>44927</v>
      </c>
      <c r="AC611">
        <v>31</v>
      </c>
    </row>
    <row r="612" spans="1:29" x14ac:dyDescent="0.35">
      <c r="A612" s="4" t="s">
        <v>370</v>
      </c>
      <c r="B612" s="5" t="str">
        <f>IF(COUNTIF($A$2:A612,A612)=1,"Original","Duplicate")</f>
        <v>Original</v>
      </c>
      <c r="C612" s="7">
        <v>45883</v>
      </c>
      <c r="D612" s="7">
        <v>45911</v>
      </c>
      <c r="E612">
        <f t="shared" si="100"/>
        <v>28</v>
      </c>
      <c r="F612" t="s">
        <v>648</v>
      </c>
      <c r="G612" t="s">
        <v>655</v>
      </c>
      <c r="H612" t="s">
        <v>670</v>
      </c>
      <c r="I612" t="s">
        <v>703</v>
      </c>
      <c r="J612" t="s">
        <v>711</v>
      </c>
      <c r="K612" t="s">
        <v>721</v>
      </c>
      <c r="L612" t="s">
        <v>728</v>
      </c>
      <c r="M612" t="s">
        <v>1090</v>
      </c>
      <c r="N612" s="23">
        <v>1203.02</v>
      </c>
      <c r="O612" s="23">
        <v>2439.33</v>
      </c>
      <c r="P612" s="8">
        <v>0</v>
      </c>
      <c r="Q612">
        <v>18</v>
      </c>
      <c r="R612" s="23">
        <f t="shared" si="101"/>
        <v>43907.94</v>
      </c>
      <c r="S612" s="23">
        <f t="shared" si="102"/>
        <v>21654.36</v>
      </c>
      <c r="T612" s="23">
        <f t="shared" si="103"/>
        <v>22253.58</v>
      </c>
      <c r="U612" s="14">
        <f t="shared" si="104"/>
        <v>0.50682359500354612</v>
      </c>
      <c r="V612" s="7" t="str">
        <f t="shared" si="105"/>
        <v>Aug-2025</v>
      </c>
      <c r="W612" s="22">
        <f t="shared" si="106"/>
        <v>45870</v>
      </c>
      <c r="X612" s="7" t="str">
        <f t="shared" si="107"/>
        <v>Q3-2025</v>
      </c>
      <c r="Y612" t="str">
        <f t="shared" si="108"/>
        <v>Americas → Brazil → São Paulo</v>
      </c>
      <c r="Z612" t="str">
        <f t="shared" si="109"/>
        <v>Printers</v>
      </c>
      <c r="AA612" t="str" cm="1">
        <f t="array" ref="AA612">_xlfn.IFS(O612&lt;=$AF$2,"Low",AND(O612&gt;$AF$2,O612&lt;$AF$3),"Medium",O612&gt;=$AF$3,"High")</f>
        <v>High</v>
      </c>
      <c r="AB612" s="22">
        <f t="shared" si="110"/>
        <v>44927</v>
      </c>
      <c r="AC612">
        <v>31</v>
      </c>
    </row>
    <row r="613" spans="1:29" x14ac:dyDescent="0.35">
      <c r="A613" s="4" t="s">
        <v>559</v>
      </c>
      <c r="B613" s="5" t="str">
        <f>IF(COUNTIF($A$2:A613,A613)=1,"Original","Duplicate")</f>
        <v>Original</v>
      </c>
      <c r="C613" s="7">
        <v>45889</v>
      </c>
      <c r="D613" s="7">
        <v>45895</v>
      </c>
      <c r="E613">
        <f t="shared" si="100"/>
        <v>6</v>
      </c>
      <c r="F613" t="s">
        <v>648</v>
      </c>
      <c r="G613" t="s">
        <v>660</v>
      </c>
      <c r="H613" t="s">
        <v>700</v>
      </c>
      <c r="I613" t="s">
        <v>701</v>
      </c>
      <c r="J613" t="s">
        <v>707</v>
      </c>
      <c r="K613" t="s">
        <v>724</v>
      </c>
      <c r="L613" t="s">
        <v>729</v>
      </c>
      <c r="M613" t="s">
        <v>1277</v>
      </c>
      <c r="N613" s="23">
        <v>1304.95</v>
      </c>
      <c r="O613" s="23">
        <v>1712.03</v>
      </c>
      <c r="P613" s="8">
        <v>0.21199999999999999</v>
      </c>
      <c r="Q613">
        <v>8</v>
      </c>
      <c r="R613" s="23">
        <f t="shared" si="101"/>
        <v>10792.637119999999</v>
      </c>
      <c r="S613" s="23">
        <f t="shared" si="102"/>
        <v>10439.6</v>
      </c>
      <c r="T613" s="23">
        <f t="shared" si="103"/>
        <v>353.03711999999905</v>
      </c>
      <c r="U613" s="14">
        <f t="shared" si="104"/>
        <v>3.2710922833287949E-2</v>
      </c>
      <c r="V613" s="7" t="str">
        <f t="shared" si="105"/>
        <v>Aug-2025</v>
      </c>
      <c r="W613" s="22">
        <f t="shared" si="106"/>
        <v>45870</v>
      </c>
      <c r="X613" s="7" t="str">
        <f t="shared" si="107"/>
        <v>Q3-2025</v>
      </c>
      <c r="Y613" t="str">
        <f t="shared" si="108"/>
        <v>Americas → USA → New York</v>
      </c>
      <c r="Z613" t="str">
        <f t="shared" si="109"/>
        <v>Networking</v>
      </c>
      <c r="AA613" t="str" cm="1">
        <f t="array" ref="AA613">_xlfn.IFS(O613&lt;=$AF$2,"Low",AND(O613&gt;$AF$2,O613&lt;$AF$3),"Medium",O613&gt;=$AF$3,"High")</f>
        <v>High</v>
      </c>
      <c r="AB613" s="22">
        <f t="shared" si="110"/>
        <v>44927</v>
      </c>
      <c r="AC613">
        <v>31</v>
      </c>
    </row>
    <row r="614" spans="1:29" x14ac:dyDescent="0.35">
      <c r="A614" s="4" t="s">
        <v>194</v>
      </c>
      <c r="B614" s="5" t="str">
        <f>IF(COUNTIF($A$2:A614,A614)=1,"Original","Duplicate")</f>
        <v>Original</v>
      </c>
      <c r="C614" s="7">
        <v>45890</v>
      </c>
      <c r="D614" s="7">
        <v>45912</v>
      </c>
      <c r="E614">
        <f t="shared" si="100"/>
        <v>22</v>
      </c>
      <c r="F614" t="s">
        <v>647</v>
      </c>
      <c r="G614" t="s">
        <v>659</v>
      </c>
      <c r="H614" t="s">
        <v>676</v>
      </c>
      <c r="I614" t="s">
        <v>702</v>
      </c>
      <c r="J614" t="s">
        <v>707</v>
      </c>
      <c r="K614" t="s">
        <v>717</v>
      </c>
      <c r="L614" t="s">
        <v>728</v>
      </c>
      <c r="M614" t="s">
        <v>913</v>
      </c>
      <c r="N614" s="23">
        <v>352.66</v>
      </c>
      <c r="O614" s="23">
        <v>411.18</v>
      </c>
      <c r="P614" s="8">
        <v>0.17299999999999999</v>
      </c>
      <c r="Q614">
        <v>13</v>
      </c>
      <c r="R614" s="23">
        <f t="shared" si="101"/>
        <v>4420.5961799999995</v>
      </c>
      <c r="S614" s="23">
        <f t="shared" si="102"/>
        <v>4584.58</v>
      </c>
      <c r="T614" s="23">
        <f t="shared" si="103"/>
        <v>-163.98382000000038</v>
      </c>
      <c r="U614" s="14">
        <f t="shared" si="104"/>
        <v>-3.7095408248758066E-2</v>
      </c>
      <c r="V614" s="7" t="str">
        <f t="shared" si="105"/>
        <v>Aug-2025</v>
      </c>
      <c r="W614" s="22">
        <f t="shared" si="106"/>
        <v>45870</v>
      </c>
      <c r="X614" s="7" t="str">
        <f t="shared" si="107"/>
        <v>Q3-2025</v>
      </c>
      <c r="Y614" t="str">
        <f t="shared" si="108"/>
        <v>Asia → China → Shenzhen</v>
      </c>
      <c r="Z614" t="str">
        <f t="shared" si="109"/>
        <v>Printers</v>
      </c>
      <c r="AA614" t="str" cm="1">
        <f t="array" ref="AA614">_xlfn.IFS(O614&lt;=$AF$2,"Low",AND(O614&gt;$AF$2,O614&lt;$AF$3),"Medium",O614&gt;=$AF$3,"High")</f>
        <v>Low</v>
      </c>
      <c r="AB614" s="22">
        <f t="shared" si="110"/>
        <v>44927</v>
      </c>
      <c r="AC614">
        <v>31</v>
      </c>
    </row>
    <row r="615" spans="1:29" x14ac:dyDescent="0.35">
      <c r="A615" s="4" t="s">
        <v>410</v>
      </c>
      <c r="B615" s="5" t="str">
        <f>IF(COUNTIF($A$2:A615,A615)=1,"Original","Duplicate")</f>
        <v>Original</v>
      </c>
      <c r="C615" s="7">
        <v>45890</v>
      </c>
      <c r="D615" s="7">
        <v>45914</v>
      </c>
      <c r="E615">
        <f t="shared" si="100"/>
        <v>24</v>
      </c>
      <c r="F615" t="s">
        <v>649</v>
      </c>
      <c r="G615" t="s">
        <v>656</v>
      </c>
      <c r="H615" t="s">
        <v>671</v>
      </c>
      <c r="I615" t="s">
        <v>703</v>
      </c>
      <c r="J615" t="s">
        <v>708</v>
      </c>
      <c r="K615" t="s">
        <v>720</v>
      </c>
      <c r="L615" t="s">
        <v>732</v>
      </c>
      <c r="M615" t="s">
        <v>1129</v>
      </c>
      <c r="N615" s="23">
        <v>1397.67</v>
      </c>
      <c r="O615" s="23">
        <v>3131.37</v>
      </c>
      <c r="P615" s="8">
        <v>0.10299999999999999</v>
      </c>
      <c r="Q615">
        <v>20</v>
      </c>
      <c r="R615" s="23">
        <f t="shared" si="101"/>
        <v>56176.777799999996</v>
      </c>
      <c r="S615" s="23">
        <f t="shared" si="102"/>
        <v>27953.4</v>
      </c>
      <c r="T615" s="23">
        <f t="shared" si="103"/>
        <v>28223.377799999995</v>
      </c>
      <c r="U615" s="14">
        <f t="shared" si="104"/>
        <v>0.50240293062874808</v>
      </c>
      <c r="V615" s="7" t="str">
        <f t="shared" si="105"/>
        <v>Aug-2025</v>
      </c>
      <c r="W615" s="22">
        <f t="shared" si="106"/>
        <v>45870</v>
      </c>
      <c r="X615" s="7" t="str">
        <f t="shared" si="107"/>
        <v>Q3-2025</v>
      </c>
      <c r="Y615" t="str">
        <f t="shared" si="108"/>
        <v>Europe → Germany → Berlin</v>
      </c>
      <c r="Z615" t="str">
        <f t="shared" si="109"/>
        <v>Monitors</v>
      </c>
      <c r="AA615" t="str" cm="1">
        <f t="array" ref="AA615">_xlfn.IFS(O615&lt;=$AF$2,"Low",AND(O615&gt;$AF$2,O615&lt;$AF$3),"Medium",O615&gt;=$AF$3,"High")</f>
        <v>High</v>
      </c>
      <c r="AB615" s="22">
        <f t="shared" si="110"/>
        <v>44927</v>
      </c>
      <c r="AC615">
        <v>31</v>
      </c>
    </row>
    <row r="616" spans="1:29" x14ac:dyDescent="0.35">
      <c r="A616" s="4" t="s">
        <v>234</v>
      </c>
      <c r="B616" s="5" t="str">
        <f>IF(COUNTIF($A$2:A616,A616)=1,"Original","Duplicate")</f>
        <v>Original</v>
      </c>
      <c r="C616" s="7">
        <v>45894</v>
      </c>
      <c r="D616" s="7">
        <v>45924</v>
      </c>
      <c r="E616">
        <f t="shared" si="100"/>
        <v>30</v>
      </c>
      <c r="F616" t="s">
        <v>646</v>
      </c>
      <c r="G616" t="s">
        <v>650</v>
      </c>
      <c r="H616" t="s">
        <v>664</v>
      </c>
      <c r="I616" t="s">
        <v>704</v>
      </c>
      <c r="J616" t="s">
        <v>711</v>
      </c>
      <c r="K616" t="s">
        <v>717</v>
      </c>
      <c r="L616" t="s">
        <v>727</v>
      </c>
      <c r="M616" t="s">
        <v>954</v>
      </c>
      <c r="N616" s="23">
        <v>589.14</v>
      </c>
      <c r="O616" s="23">
        <v>1300.58</v>
      </c>
      <c r="P616" s="8">
        <v>5.5E-2</v>
      </c>
      <c r="Q616">
        <v>11</v>
      </c>
      <c r="R616" s="23">
        <f t="shared" si="101"/>
        <v>13519.529099999998</v>
      </c>
      <c r="S616" s="23">
        <f t="shared" si="102"/>
        <v>6480.54</v>
      </c>
      <c r="T616" s="23">
        <f t="shared" si="103"/>
        <v>7038.989099999998</v>
      </c>
      <c r="U616" s="14">
        <f t="shared" si="104"/>
        <v>0.52065342275863724</v>
      </c>
      <c r="V616" s="7" t="str">
        <f t="shared" si="105"/>
        <v>Aug-2025</v>
      </c>
      <c r="W616" s="22">
        <f t="shared" si="106"/>
        <v>45870</v>
      </c>
      <c r="X616" s="7" t="str">
        <f t="shared" si="107"/>
        <v>Q3-2025</v>
      </c>
      <c r="Y616" t="str">
        <f t="shared" si="108"/>
        <v>Africa → Kenya → Nairobi</v>
      </c>
      <c r="Z616" t="str">
        <f t="shared" si="109"/>
        <v>Components</v>
      </c>
      <c r="AA616" t="str" cm="1">
        <f t="array" ref="AA616">_xlfn.IFS(O616&lt;=$AF$2,"Low",AND(O616&gt;$AF$2,O616&lt;$AF$3),"Medium",O616&gt;=$AF$3,"High")</f>
        <v>Medium</v>
      </c>
      <c r="AB616" s="22">
        <f t="shared" si="110"/>
        <v>44927</v>
      </c>
      <c r="AC616">
        <v>31</v>
      </c>
    </row>
    <row r="617" spans="1:29" x14ac:dyDescent="0.35">
      <c r="A617" s="4" t="s">
        <v>304</v>
      </c>
      <c r="B617" s="5" t="str">
        <f>IF(COUNTIF($A$2:A617,A617)=1,"Original","Duplicate")</f>
        <v>Original</v>
      </c>
      <c r="C617" s="7">
        <v>45897</v>
      </c>
      <c r="D617" s="7">
        <v>45904</v>
      </c>
      <c r="E617">
        <f t="shared" si="100"/>
        <v>7</v>
      </c>
      <c r="F617" t="s">
        <v>646</v>
      </c>
      <c r="G617" t="s">
        <v>651</v>
      </c>
      <c r="H617" t="s">
        <v>663</v>
      </c>
      <c r="I617" t="s">
        <v>705</v>
      </c>
      <c r="J617" t="s">
        <v>707</v>
      </c>
      <c r="K617" t="s">
        <v>720</v>
      </c>
      <c r="L617" t="s">
        <v>733</v>
      </c>
      <c r="M617" t="s">
        <v>1024</v>
      </c>
      <c r="N617" s="23">
        <v>521.05999999999995</v>
      </c>
      <c r="O617" s="23">
        <v>1240.31</v>
      </c>
      <c r="P617" s="8">
        <v>0.14599999999999999</v>
      </c>
      <c r="Q617">
        <v>18</v>
      </c>
      <c r="R617" s="23">
        <f t="shared" si="101"/>
        <v>19066.045319999997</v>
      </c>
      <c r="S617" s="23">
        <f t="shared" si="102"/>
        <v>9379.0799999999981</v>
      </c>
      <c r="T617" s="23">
        <f t="shared" si="103"/>
        <v>9686.9653199999993</v>
      </c>
      <c r="U617" s="14">
        <f t="shared" si="104"/>
        <v>0.50807417885650974</v>
      </c>
      <c r="V617" s="7" t="str">
        <f t="shared" si="105"/>
        <v>Aug-2025</v>
      </c>
      <c r="W617" s="22">
        <f t="shared" si="106"/>
        <v>45870</v>
      </c>
      <c r="X617" s="7" t="str">
        <f t="shared" si="107"/>
        <v>Q3-2025</v>
      </c>
      <c r="Y617" t="str">
        <f t="shared" si="108"/>
        <v>Africa → Nigeria → Port Harcourt</v>
      </c>
      <c r="Z617" t="str">
        <f t="shared" si="109"/>
        <v>Accessories</v>
      </c>
      <c r="AA617" t="str" cm="1">
        <f t="array" ref="AA617">_xlfn.IFS(O617&lt;=$AF$2,"Low",AND(O617&gt;$AF$2,O617&lt;$AF$3),"Medium",O617&gt;=$AF$3,"High")</f>
        <v>Medium</v>
      </c>
      <c r="AB617" s="22">
        <f t="shared" si="110"/>
        <v>44927</v>
      </c>
      <c r="AC617">
        <v>31</v>
      </c>
    </row>
    <row r="618" spans="1:29" x14ac:dyDescent="0.35">
      <c r="A618" s="4" t="s">
        <v>440</v>
      </c>
      <c r="B618" s="5" t="str">
        <f>IF(COUNTIF($A$2:A618,A618)=1,"Original","Duplicate")</f>
        <v>Original</v>
      </c>
      <c r="C618" s="7">
        <v>45897</v>
      </c>
      <c r="D618" s="7">
        <v>45905</v>
      </c>
      <c r="E618">
        <f t="shared" si="100"/>
        <v>8</v>
      </c>
      <c r="F618" t="s">
        <v>646</v>
      </c>
      <c r="G618" t="s">
        <v>651</v>
      </c>
      <c r="H618" t="s">
        <v>663</v>
      </c>
      <c r="I618" t="s">
        <v>705</v>
      </c>
      <c r="J618" t="s">
        <v>709</v>
      </c>
      <c r="K618" t="s">
        <v>718</v>
      </c>
      <c r="L618" t="s">
        <v>731</v>
      </c>
      <c r="M618" t="s">
        <v>1159</v>
      </c>
      <c r="N618" s="23">
        <v>1271.0999999999999</v>
      </c>
      <c r="O618" s="23">
        <v>1932.42</v>
      </c>
      <c r="P618" s="8">
        <v>0.25</v>
      </c>
      <c r="Q618">
        <v>21</v>
      </c>
      <c r="R618" s="23">
        <f t="shared" si="101"/>
        <v>30435.614999999998</v>
      </c>
      <c r="S618" s="23">
        <f t="shared" si="102"/>
        <v>26693.1</v>
      </c>
      <c r="T618" s="23">
        <f t="shared" si="103"/>
        <v>3742.5149999999994</v>
      </c>
      <c r="U618" s="14">
        <f t="shared" si="104"/>
        <v>0.12296498690760807</v>
      </c>
      <c r="V618" s="7" t="str">
        <f t="shared" si="105"/>
        <v>Aug-2025</v>
      </c>
      <c r="W618" s="22">
        <f t="shared" si="106"/>
        <v>45870</v>
      </c>
      <c r="X618" s="7" t="str">
        <f t="shared" si="107"/>
        <v>Q3-2025</v>
      </c>
      <c r="Y618" t="str">
        <f t="shared" si="108"/>
        <v>Africa → Nigeria → Port Harcourt</v>
      </c>
      <c r="Z618" t="str">
        <f t="shared" si="109"/>
        <v>Laptops</v>
      </c>
      <c r="AA618" t="str" cm="1">
        <f t="array" ref="AA618">_xlfn.IFS(O618&lt;=$AF$2,"Low",AND(O618&gt;$AF$2,O618&lt;$AF$3),"Medium",O618&gt;=$AF$3,"High")</f>
        <v>High</v>
      </c>
      <c r="AB618" s="22">
        <f t="shared" si="110"/>
        <v>44927</v>
      </c>
      <c r="AC618">
        <v>31</v>
      </c>
    </row>
    <row r="619" spans="1:29" x14ac:dyDescent="0.35">
      <c r="A619" s="4" t="s">
        <v>496</v>
      </c>
      <c r="B619" s="5" t="str">
        <f>IF(COUNTIF($A$2:A619,A619)=1,"Original","Duplicate")</f>
        <v>Original</v>
      </c>
      <c r="C619" s="7">
        <v>45899</v>
      </c>
      <c r="D619" s="7">
        <v>45903</v>
      </c>
      <c r="E619">
        <f t="shared" si="100"/>
        <v>4</v>
      </c>
      <c r="F619" t="s">
        <v>649</v>
      </c>
      <c r="G619" t="s">
        <v>657</v>
      </c>
      <c r="H619" t="s">
        <v>673</v>
      </c>
      <c r="I619" t="s">
        <v>705</v>
      </c>
      <c r="J619" t="s">
        <v>709</v>
      </c>
      <c r="K619" t="s">
        <v>713</v>
      </c>
      <c r="L619" t="s">
        <v>731</v>
      </c>
      <c r="M619" t="s">
        <v>1215</v>
      </c>
      <c r="N619" s="23">
        <v>1286.56</v>
      </c>
      <c r="O619" s="23">
        <v>2777.35</v>
      </c>
      <c r="P619" s="8">
        <v>0.13200000000000001</v>
      </c>
      <c r="Q619">
        <v>15</v>
      </c>
      <c r="R619" s="23">
        <f t="shared" si="101"/>
        <v>36161.097000000002</v>
      </c>
      <c r="S619" s="23">
        <f t="shared" si="102"/>
        <v>19298.399999999998</v>
      </c>
      <c r="T619" s="23">
        <f t="shared" si="103"/>
        <v>16862.697000000004</v>
      </c>
      <c r="U619" s="14">
        <f t="shared" si="104"/>
        <v>0.46632150014696744</v>
      </c>
      <c r="V619" s="7" t="str">
        <f t="shared" si="105"/>
        <v>Aug-2025</v>
      </c>
      <c r="W619" s="22">
        <f t="shared" si="106"/>
        <v>45870</v>
      </c>
      <c r="X619" s="7" t="str">
        <f t="shared" si="107"/>
        <v>Q3-2025</v>
      </c>
      <c r="Y619" t="str">
        <f t="shared" si="108"/>
        <v>Europe → France → Marseille</v>
      </c>
      <c r="Z619" t="str">
        <f t="shared" si="109"/>
        <v>Laptops</v>
      </c>
      <c r="AA619" t="str" cm="1">
        <f t="array" ref="AA619">_xlfn.IFS(O619&lt;=$AF$2,"Low",AND(O619&gt;$AF$2,O619&lt;$AF$3),"Medium",O619&gt;=$AF$3,"High")</f>
        <v>High</v>
      </c>
      <c r="AB619" s="22">
        <f t="shared" si="110"/>
        <v>44927</v>
      </c>
      <c r="AC619">
        <v>31</v>
      </c>
    </row>
    <row r="620" spans="1:29" x14ac:dyDescent="0.35">
      <c r="A620" s="4" t="s">
        <v>605</v>
      </c>
      <c r="B620" s="5" t="str">
        <f>IF(COUNTIF($A$2:A620,A620)=1,"Original","Duplicate")</f>
        <v>Original</v>
      </c>
      <c r="C620" s="7">
        <v>45899</v>
      </c>
      <c r="D620" s="7">
        <v>45922</v>
      </c>
      <c r="E620">
        <f t="shared" si="100"/>
        <v>23</v>
      </c>
      <c r="F620" t="s">
        <v>649</v>
      </c>
      <c r="G620" t="s">
        <v>657</v>
      </c>
      <c r="H620" t="s">
        <v>673</v>
      </c>
      <c r="I620" t="s">
        <v>701</v>
      </c>
      <c r="J620" t="s">
        <v>711</v>
      </c>
      <c r="K620" t="s">
        <v>718</v>
      </c>
      <c r="L620" t="s">
        <v>727</v>
      </c>
      <c r="M620" t="s">
        <v>1323</v>
      </c>
      <c r="N620" s="23">
        <v>663.9</v>
      </c>
      <c r="O620" s="23">
        <v>947.77</v>
      </c>
      <c r="P620" s="8">
        <v>0.17399999999999999</v>
      </c>
      <c r="Q620">
        <v>15</v>
      </c>
      <c r="R620" s="23">
        <f t="shared" si="101"/>
        <v>11742.8703</v>
      </c>
      <c r="S620" s="23">
        <f t="shared" si="102"/>
        <v>9958.5</v>
      </c>
      <c r="T620" s="23">
        <f t="shared" si="103"/>
        <v>1784.3703000000005</v>
      </c>
      <c r="U620" s="14">
        <f t="shared" si="104"/>
        <v>0.1519535049280073</v>
      </c>
      <c r="V620" s="7" t="str">
        <f t="shared" si="105"/>
        <v>Aug-2025</v>
      </c>
      <c r="W620" s="22">
        <f t="shared" si="106"/>
        <v>45870</v>
      </c>
      <c r="X620" s="7" t="str">
        <f t="shared" si="107"/>
        <v>Q3-2025</v>
      </c>
      <c r="Y620" t="str">
        <f t="shared" si="108"/>
        <v>Europe → France → Marseille</v>
      </c>
      <c r="Z620" t="str">
        <f t="shared" si="109"/>
        <v>Components</v>
      </c>
      <c r="AA620" t="str" cm="1">
        <f t="array" ref="AA620">_xlfn.IFS(O620&lt;=$AF$2,"Low",AND(O620&gt;$AF$2,O620&lt;$AF$3),"Medium",O620&gt;=$AF$3,"High")</f>
        <v>Medium</v>
      </c>
      <c r="AB620" s="22">
        <f t="shared" si="110"/>
        <v>44927</v>
      </c>
      <c r="AC620">
        <v>31</v>
      </c>
    </row>
    <row r="621" spans="1:29" x14ac:dyDescent="0.35">
      <c r="A621" s="4" t="s">
        <v>29</v>
      </c>
      <c r="B621" s="5" t="str">
        <f>IF(COUNTIF($A$2:A621,A621)=1,"Original","Duplicate")</f>
        <v>Original</v>
      </c>
      <c r="C621" s="7">
        <v>45901</v>
      </c>
      <c r="D621" s="7">
        <v>45930</v>
      </c>
      <c r="E621">
        <f t="shared" si="100"/>
        <v>29</v>
      </c>
      <c r="F621" t="s">
        <v>648</v>
      </c>
      <c r="G621" t="s">
        <v>655</v>
      </c>
      <c r="H621" t="s">
        <v>672</v>
      </c>
      <c r="I621" t="s">
        <v>702</v>
      </c>
      <c r="J621" t="s">
        <v>707</v>
      </c>
      <c r="K621" t="s">
        <v>723</v>
      </c>
      <c r="L621" t="s">
        <v>733</v>
      </c>
      <c r="M621" t="s">
        <v>748</v>
      </c>
      <c r="N621" s="23">
        <v>780.59</v>
      </c>
      <c r="O621" s="23">
        <v>631.57000000000005</v>
      </c>
      <c r="P621" s="8">
        <v>0</v>
      </c>
      <c r="Q621">
        <v>12</v>
      </c>
      <c r="R621" s="23">
        <f t="shared" si="101"/>
        <v>7578.84</v>
      </c>
      <c r="S621" s="23">
        <f t="shared" si="102"/>
        <v>9367.08</v>
      </c>
      <c r="T621" s="23">
        <f t="shared" si="103"/>
        <v>-1788.2399999999998</v>
      </c>
      <c r="U621" s="14">
        <f t="shared" si="104"/>
        <v>-0.23595167598207639</v>
      </c>
      <c r="V621" s="7" t="str">
        <f t="shared" si="105"/>
        <v>Sept-2025</v>
      </c>
      <c r="W621" s="22">
        <f t="shared" si="106"/>
        <v>45901</v>
      </c>
      <c r="X621" s="7" t="str">
        <f t="shared" si="107"/>
        <v>Q3-2025</v>
      </c>
      <c r="Y621" t="str">
        <f t="shared" si="108"/>
        <v>Americas → Brazil → Brasília</v>
      </c>
      <c r="Z621" t="str">
        <f t="shared" si="109"/>
        <v>Accessories</v>
      </c>
      <c r="AA621" t="str" cm="1">
        <f t="array" ref="AA621">_xlfn.IFS(O621&lt;=$AF$2,"Low",AND(O621&gt;$AF$2,O621&lt;$AF$3),"Medium",O621&gt;=$AF$3,"High")</f>
        <v>Low</v>
      </c>
      <c r="AB621" s="22">
        <f t="shared" si="110"/>
        <v>44927</v>
      </c>
      <c r="AC621">
        <v>32</v>
      </c>
    </row>
    <row r="622" spans="1:29" x14ac:dyDescent="0.35">
      <c r="A622" s="4" t="s">
        <v>279</v>
      </c>
      <c r="B622" s="5" t="str">
        <f>IF(COUNTIF($A$2:A622,A622)=1,"Original","Duplicate")</f>
        <v>Original</v>
      </c>
      <c r="C622" s="7">
        <v>45902</v>
      </c>
      <c r="D622" s="7">
        <v>45911</v>
      </c>
      <c r="E622">
        <f t="shared" si="100"/>
        <v>9</v>
      </c>
      <c r="F622" t="s">
        <v>648</v>
      </c>
      <c r="G622" t="s">
        <v>653</v>
      </c>
      <c r="H622" t="s">
        <v>667</v>
      </c>
      <c r="I622" t="s">
        <v>701</v>
      </c>
      <c r="J622" t="s">
        <v>710</v>
      </c>
      <c r="K622" t="s">
        <v>724</v>
      </c>
      <c r="L622" t="s">
        <v>728</v>
      </c>
      <c r="M622" t="s">
        <v>999</v>
      </c>
      <c r="N622" s="23">
        <v>1207.6300000000001</v>
      </c>
      <c r="O622" s="23">
        <v>921.68</v>
      </c>
      <c r="P622" s="8">
        <v>0.19600000000000001</v>
      </c>
      <c r="Q622">
        <v>17</v>
      </c>
      <c r="R622" s="23">
        <f t="shared" si="101"/>
        <v>12597.52224</v>
      </c>
      <c r="S622" s="23">
        <f t="shared" si="102"/>
        <v>20529.710000000003</v>
      </c>
      <c r="T622" s="23">
        <f t="shared" si="103"/>
        <v>-7932.1877600000025</v>
      </c>
      <c r="U622" s="14">
        <f t="shared" si="104"/>
        <v>-0.62966253274897988</v>
      </c>
      <c r="V622" s="7" t="str">
        <f t="shared" si="105"/>
        <v>Sept-2025</v>
      </c>
      <c r="W622" s="22">
        <f t="shared" si="106"/>
        <v>45901</v>
      </c>
      <c r="X622" s="7" t="str">
        <f t="shared" si="107"/>
        <v>Q3-2025</v>
      </c>
      <c r="Y622" t="str">
        <f t="shared" si="108"/>
        <v>Americas → Canada → Toronto</v>
      </c>
      <c r="Z622" t="str">
        <f t="shared" si="109"/>
        <v>Printers</v>
      </c>
      <c r="AA622" t="str" cm="1">
        <f t="array" ref="AA622">_xlfn.IFS(O622&lt;=$AF$2,"Low",AND(O622&gt;$AF$2,O622&lt;$AF$3),"Medium",O622&gt;=$AF$3,"High")</f>
        <v>Medium</v>
      </c>
      <c r="AB622" s="22">
        <f t="shared" si="110"/>
        <v>44927</v>
      </c>
      <c r="AC622">
        <v>32</v>
      </c>
    </row>
    <row r="623" spans="1:29" x14ac:dyDescent="0.35">
      <c r="A623" s="4" t="s">
        <v>32</v>
      </c>
      <c r="B623" s="5" t="str">
        <f>IF(COUNTIF($A$2:A623,A623)=1,"Original","Duplicate")</f>
        <v>Original</v>
      </c>
      <c r="C623" s="7">
        <v>45908</v>
      </c>
      <c r="D623" s="7">
        <v>45916</v>
      </c>
      <c r="E623">
        <f t="shared" si="100"/>
        <v>8</v>
      </c>
      <c r="F623" t="s">
        <v>647</v>
      </c>
      <c r="G623" t="s">
        <v>652</v>
      </c>
      <c r="H623" t="s">
        <v>666</v>
      </c>
      <c r="I623" t="s">
        <v>701</v>
      </c>
      <c r="J623" t="s">
        <v>710</v>
      </c>
      <c r="K623" t="s">
        <v>712</v>
      </c>
      <c r="L623" t="s">
        <v>730</v>
      </c>
      <c r="M623" t="s">
        <v>751</v>
      </c>
      <c r="N623" s="23">
        <v>1225.57</v>
      </c>
      <c r="O623" s="23">
        <v>2705.57</v>
      </c>
      <c r="P623" s="8">
        <v>0.183</v>
      </c>
      <c r="Q623">
        <v>16</v>
      </c>
      <c r="R623" s="23">
        <f t="shared" si="101"/>
        <v>35367.211040000002</v>
      </c>
      <c r="S623" s="23">
        <f t="shared" si="102"/>
        <v>19609.12</v>
      </c>
      <c r="T623" s="23">
        <f t="shared" si="103"/>
        <v>15758.091040000003</v>
      </c>
      <c r="U623" s="14">
        <f t="shared" si="104"/>
        <v>0.44555650775453404</v>
      </c>
      <c r="V623" s="7" t="str">
        <f t="shared" si="105"/>
        <v>Sept-2025</v>
      </c>
      <c r="W623" s="22">
        <f t="shared" si="106"/>
        <v>45901</v>
      </c>
      <c r="X623" s="7" t="str">
        <f t="shared" si="107"/>
        <v>Q3-2025</v>
      </c>
      <c r="Y623" t="str">
        <f t="shared" si="108"/>
        <v>Asia → Japan → Osaka</v>
      </c>
      <c r="Z623" t="str">
        <f t="shared" si="109"/>
        <v>Phones</v>
      </c>
      <c r="AA623" t="str" cm="1">
        <f t="array" ref="AA623">_xlfn.IFS(O623&lt;=$AF$2,"Low",AND(O623&gt;$AF$2,O623&lt;$AF$3),"Medium",O623&gt;=$AF$3,"High")</f>
        <v>High</v>
      </c>
      <c r="AB623" s="22">
        <f t="shared" si="110"/>
        <v>44986</v>
      </c>
      <c r="AC623">
        <v>30</v>
      </c>
    </row>
    <row r="624" spans="1:29" x14ac:dyDescent="0.35">
      <c r="A624" s="4" t="s">
        <v>513</v>
      </c>
      <c r="B624" s="5" t="str">
        <f>IF(COUNTIF($A$2:A624,A624)=1,"Original","Duplicate")</f>
        <v>Original</v>
      </c>
      <c r="C624" s="7">
        <v>45908</v>
      </c>
      <c r="D624" s="7">
        <v>45935</v>
      </c>
      <c r="E624">
        <f t="shared" si="100"/>
        <v>27</v>
      </c>
      <c r="F624" t="s">
        <v>648</v>
      </c>
      <c r="G624" t="s">
        <v>655</v>
      </c>
      <c r="H624" t="s">
        <v>692</v>
      </c>
      <c r="I624" t="s">
        <v>702</v>
      </c>
      <c r="J624" t="s">
        <v>708</v>
      </c>
      <c r="K624" t="s">
        <v>712</v>
      </c>
      <c r="L624" t="s">
        <v>732</v>
      </c>
      <c r="M624" t="s">
        <v>1232</v>
      </c>
      <c r="N624" s="23">
        <v>660.78</v>
      </c>
      <c r="O624" s="23">
        <v>1630.39</v>
      </c>
      <c r="P624" s="8">
        <v>0.218</v>
      </c>
      <c r="Q624">
        <v>13</v>
      </c>
      <c r="R624" s="23">
        <f t="shared" si="101"/>
        <v>16574.544740000001</v>
      </c>
      <c r="S624" s="23">
        <f t="shared" si="102"/>
        <v>8590.14</v>
      </c>
      <c r="T624" s="23">
        <f t="shared" si="103"/>
        <v>7984.4047400000018</v>
      </c>
      <c r="U624" s="14">
        <f t="shared" si="104"/>
        <v>0.48172694123724097</v>
      </c>
      <c r="V624" s="7" t="str">
        <f t="shared" si="105"/>
        <v>Sept-2025</v>
      </c>
      <c r="W624" s="22">
        <f t="shared" si="106"/>
        <v>45901</v>
      </c>
      <c r="X624" s="7" t="str">
        <f t="shared" si="107"/>
        <v>Q3-2025</v>
      </c>
      <c r="Y624" t="str">
        <f t="shared" si="108"/>
        <v>Americas → Brazil → Rio de Janeiro</v>
      </c>
      <c r="Z624" t="str">
        <f t="shared" si="109"/>
        <v>Monitors</v>
      </c>
      <c r="AA624" t="str" cm="1">
        <f t="array" ref="AA624">_xlfn.IFS(O624&lt;=$AF$2,"Low",AND(O624&gt;$AF$2,O624&lt;$AF$3),"Medium",O624&gt;=$AF$3,"High")</f>
        <v>High</v>
      </c>
      <c r="AB624" s="22">
        <f t="shared" si="110"/>
        <v>44927</v>
      </c>
      <c r="AC624">
        <v>32</v>
      </c>
    </row>
    <row r="625" spans="1:29" x14ac:dyDescent="0.35">
      <c r="A625" s="4" t="s">
        <v>76</v>
      </c>
      <c r="B625" s="5" t="str">
        <f>IF(COUNTIF($A$2:A625,A625)=1,"Original","Duplicate")</f>
        <v>Original</v>
      </c>
      <c r="C625" s="7">
        <v>45910</v>
      </c>
      <c r="D625" s="7">
        <v>45912</v>
      </c>
      <c r="E625">
        <f t="shared" si="100"/>
        <v>2</v>
      </c>
      <c r="F625" t="s">
        <v>647</v>
      </c>
      <c r="G625" t="s">
        <v>652</v>
      </c>
      <c r="H625" t="s">
        <v>689</v>
      </c>
      <c r="I625" t="s">
        <v>704</v>
      </c>
      <c r="J625" t="s">
        <v>708</v>
      </c>
      <c r="K625" t="s">
        <v>719</v>
      </c>
      <c r="L625" t="s">
        <v>727</v>
      </c>
      <c r="M625" t="s">
        <v>795</v>
      </c>
      <c r="N625" s="23">
        <v>1470.15</v>
      </c>
      <c r="O625" s="23">
        <v>2593.7800000000002</v>
      </c>
      <c r="P625" s="8">
        <v>0.11</v>
      </c>
      <c r="Q625">
        <v>12</v>
      </c>
      <c r="R625" s="23">
        <f t="shared" si="101"/>
        <v>27701.570400000001</v>
      </c>
      <c r="S625" s="23">
        <f t="shared" si="102"/>
        <v>17641.800000000003</v>
      </c>
      <c r="T625" s="23">
        <f t="shared" si="103"/>
        <v>10059.770399999998</v>
      </c>
      <c r="U625" s="14">
        <f t="shared" si="104"/>
        <v>0.36314801849645306</v>
      </c>
      <c r="V625" s="7" t="str">
        <f t="shared" si="105"/>
        <v>Sept-2025</v>
      </c>
      <c r="W625" s="22">
        <f t="shared" si="106"/>
        <v>45901</v>
      </c>
      <c r="X625" s="7" t="str">
        <f t="shared" si="107"/>
        <v>Q3-2025</v>
      </c>
      <c r="Y625" t="str">
        <f t="shared" si="108"/>
        <v>Asia → Japan → Tokyo</v>
      </c>
      <c r="Z625" t="str">
        <f t="shared" si="109"/>
        <v>Components</v>
      </c>
      <c r="AA625" t="str" cm="1">
        <f t="array" ref="AA625">_xlfn.IFS(O625&lt;=$AF$2,"Low",AND(O625&gt;$AF$2,O625&lt;$AF$3),"Medium",O625&gt;=$AF$3,"High")</f>
        <v>High</v>
      </c>
      <c r="AB625" s="22">
        <f t="shared" si="110"/>
        <v>44986</v>
      </c>
      <c r="AC625">
        <v>30</v>
      </c>
    </row>
    <row r="626" spans="1:29" x14ac:dyDescent="0.35">
      <c r="A626" s="4" t="s">
        <v>109</v>
      </c>
      <c r="B626" s="5" t="str">
        <f>IF(COUNTIF($A$2:A626,A626)=1,"Original","Duplicate")</f>
        <v>Original</v>
      </c>
      <c r="C626" s="7">
        <v>45910</v>
      </c>
      <c r="D626" s="7">
        <v>45930</v>
      </c>
      <c r="E626">
        <f t="shared" si="100"/>
        <v>20</v>
      </c>
      <c r="F626" t="s">
        <v>646</v>
      </c>
      <c r="G626" t="s">
        <v>650</v>
      </c>
      <c r="H626" t="s">
        <v>675</v>
      </c>
      <c r="I626" t="s">
        <v>701</v>
      </c>
      <c r="J626" t="s">
        <v>711</v>
      </c>
      <c r="K626" t="s">
        <v>716</v>
      </c>
      <c r="L626" t="s">
        <v>730</v>
      </c>
      <c r="M626" t="s">
        <v>828</v>
      </c>
      <c r="N626" s="23">
        <v>1009.48</v>
      </c>
      <c r="O626" s="23">
        <v>1088.81</v>
      </c>
      <c r="P626" s="8">
        <v>0.16</v>
      </c>
      <c r="Q626">
        <v>6</v>
      </c>
      <c r="R626" s="23">
        <f t="shared" si="101"/>
        <v>5487.6023999999998</v>
      </c>
      <c r="S626" s="23">
        <f t="shared" si="102"/>
        <v>6056.88</v>
      </c>
      <c r="T626" s="23">
        <f t="shared" si="103"/>
        <v>-569.27760000000035</v>
      </c>
      <c r="U626" s="14">
        <f t="shared" si="104"/>
        <v>-0.10373885688219693</v>
      </c>
      <c r="V626" s="7" t="str">
        <f t="shared" si="105"/>
        <v>Sept-2025</v>
      </c>
      <c r="W626" s="22">
        <f t="shared" si="106"/>
        <v>45901</v>
      </c>
      <c r="X626" s="7" t="str">
        <f t="shared" si="107"/>
        <v>Q3-2025</v>
      </c>
      <c r="Y626" t="str">
        <f t="shared" si="108"/>
        <v>Africa → Kenya → Mombasa</v>
      </c>
      <c r="Z626" t="str">
        <f t="shared" si="109"/>
        <v>Phones</v>
      </c>
      <c r="AA626" t="str" cm="1">
        <f t="array" ref="AA626">_xlfn.IFS(O626&lt;=$AF$2,"Low",AND(O626&gt;$AF$2,O626&lt;$AF$3),"Medium",O626&gt;=$AF$3,"High")</f>
        <v>Medium</v>
      </c>
      <c r="AB626" s="22">
        <f t="shared" si="110"/>
        <v>44927</v>
      </c>
      <c r="AC626">
        <v>32</v>
      </c>
    </row>
    <row r="627" spans="1:29" x14ac:dyDescent="0.35">
      <c r="A627" s="4" t="s">
        <v>161</v>
      </c>
      <c r="B627" s="5" t="str">
        <f>IF(COUNTIF($A$2:A627,A627)=1,"Original","Duplicate")</f>
        <v>Original</v>
      </c>
      <c r="C627" s="7">
        <v>45911</v>
      </c>
      <c r="D627" s="7">
        <v>45928</v>
      </c>
      <c r="E627">
        <f t="shared" si="100"/>
        <v>17</v>
      </c>
      <c r="F627" t="s">
        <v>646</v>
      </c>
      <c r="G627" t="s">
        <v>650</v>
      </c>
      <c r="H627" t="s">
        <v>664</v>
      </c>
      <c r="I627" t="s">
        <v>703</v>
      </c>
      <c r="J627" t="s">
        <v>710</v>
      </c>
      <c r="K627" t="s">
        <v>713</v>
      </c>
      <c r="L627" t="s">
        <v>731</v>
      </c>
      <c r="M627" t="s">
        <v>880</v>
      </c>
      <c r="N627" s="23">
        <v>891.46</v>
      </c>
      <c r="O627" s="23">
        <v>728.61</v>
      </c>
      <c r="P627" s="8">
        <v>0.185</v>
      </c>
      <c r="Q627">
        <v>6</v>
      </c>
      <c r="R627" s="23">
        <f t="shared" si="101"/>
        <v>3562.9028999999996</v>
      </c>
      <c r="S627" s="23">
        <f t="shared" si="102"/>
        <v>5348.76</v>
      </c>
      <c r="T627" s="23">
        <f t="shared" si="103"/>
        <v>-1785.8571000000006</v>
      </c>
      <c r="U627" s="14">
        <f t="shared" si="104"/>
        <v>-0.50123653383874167</v>
      </c>
      <c r="V627" s="7" t="str">
        <f t="shared" si="105"/>
        <v>Sept-2025</v>
      </c>
      <c r="W627" s="22">
        <f t="shared" si="106"/>
        <v>45901</v>
      </c>
      <c r="X627" s="7" t="str">
        <f t="shared" si="107"/>
        <v>Q3-2025</v>
      </c>
      <c r="Y627" t="str">
        <f t="shared" si="108"/>
        <v>Africa → Kenya → Nairobi</v>
      </c>
      <c r="Z627" t="str">
        <f t="shared" si="109"/>
        <v>Laptops</v>
      </c>
      <c r="AA627" t="str" cm="1">
        <f t="array" ref="AA627">_xlfn.IFS(O627&lt;=$AF$2,"Low",AND(O627&gt;$AF$2,O627&lt;$AF$3),"Medium",O627&gt;=$AF$3,"High")</f>
        <v>Low</v>
      </c>
      <c r="AB627" s="22">
        <f t="shared" si="110"/>
        <v>44927</v>
      </c>
      <c r="AC627">
        <v>32</v>
      </c>
    </row>
    <row r="628" spans="1:29" x14ac:dyDescent="0.35">
      <c r="A628" s="4" t="s">
        <v>263</v>
      </c>
      <c r="B628" s="5" t="str">
        <f>IF(COUNTIF($A$2:A628,A628)=1,"Original","Duplicate")</f>
        <v>Original</v>
      </c>
      <c r="C628" s="7">
        <v>45912</v>
      </c>
      <c r="D628" s="7">
        <v>45930</v>
      </c>
      <c r="E628">
        <f t="shared" si="100"/>
        <v>18</v>
      </c>
      <c r="F628" t="s">
        <v>647</v>
      </c>
      <c r="G628" t="s">
        <v>652</v>
      </c>
      <c r="H628" t="s">
        <v>694</v>
      </c>
      <c r="I628" t="s">
        <v>703</v>
      </c>
      <c r="J628" t="s">
        <v>709</v>
      </c>
      <c r="K628" t="s">
        <v>721</v>
      </c>
      <c r="L628" t="s">
        <v>732</v>
      </c>
      <c r="M628" t="s">
        <v>983</v>
      </c>
      <c r="N628" s="23">
        <v>1212.99</v>
      </c>
      <c r="O628" s="23">
        <v>1653.64</v>
      </c>
      <c r="P628" s="8">
        <v>0.107</v>
      </c>
      <c r="Q628">
        <v>8</v>
      </c>
      <c r="R628" s="23">
        <f t="shared" si="101"/>
        <v>11813.604160000001</v>
      </c>
      <c r="S628" s="23">
        <f t="shared" si="102"/>
        <v>9703.92</v>
      </c>
      <c r="T628" s="23">
        <f t="shared" si="103"/>
        <v>2109.6841600000007</v>
      </c>
      <c r="U628" s="14">
        <f t="shared" si="104"/>
        <v>0.17858090819931455</v>
      </c>
      <c r="V628" s="7" t="str">
        <f t="shared" si="105"/>
        <v>Sept-2025</v>
      </c>
      <c r="W628" s="22">
        <f t="shared" si="106"/>
        <v>45901</v>
      </c>
      <c r="X628" s="7" t="str">
        <f t="shared" si="107"/>
        <v>Q3-2025</v>
      </c>
      <c r="Y628" t="str">
        <f t="shared" si="108"/>
        <v>Asia → Japan → Nagoya</v>
      </c>
      <c r="Z628" t="str">
        <f t="shared" si="109"/>
        <v>Monitors</v>
      </c>
      <c r="AA628" t="str" cm="1">
        <f t="array" ref="AA628">_xlfn.IFS(O628&lt;=$AF$2,"Low",AND(O628&gt;$AF$2,O628&lt;$AF$3),"Medium",O628&gt;=$AF$3,"High")</f>
        <v>High</v>
      </c>
      <c r="AB628" s="22">
        <f t="shared" si="110"/>
        <v>44986</v>
      </c>
      <c r="AC628">
        <v>30</v>
      </c>
    </row>
    <row r="629" spans="1:29" x14ac:dyDescent="0.35">
      <c r="A629" s="4" t="s">
        <v>345</v>
      </c>
      <c r="B629" s="5" t="str">
        <f>IF(COUNTIF($A$2:A629,A629)=1,"Original","Duplicate")</f>
        <v>Original</v>
      </c>
      <c r="C629" s="7">
        <v>45914</v>
      </c>
      <c r="D629" s="7">
        <v>45926</v>
      </c>
      <c r="E629">
        <f t="shared" si="100"/>
        <v>12</v>
      </c>
      <c r="F629" t="s">
        <v>649</v>
      </c>
      <c r="G629" t="s">
        <v>658</v>
      </c>
      <c r="H629" t="s">
        <v>683</v>
      </c>
      <c r="I629" t="s">
        <v>705</v>
      </c>
      <c r="J629" t="s">
        <v>711</v>
      </c>
      <c r="K629" t="s">
        <v>725</v>
      </c>
      <c r="L629" t="s">
        <v>729</v>
      </c>
      <c r="M629" t="s">
        <v>1065</v>
      </c>
      <c r="N629" s="23">
        <v>425.15</v>
      </c>
      <c r="O629" s="23">
        <v>885.92</v>
      </c>
      <c r="P629" s="8">
        <v>0.23899999999999999</v>
      </c>
      <c r="Q629">
        <v>13</v>
      </c>
      <c r="R629" s="23">
        <f t="shared" si="101"/>
        <v>8764.4065599999994</v>
      </c>
      <c r="S629" s="23">
        <f t="shared" si="102"/>
        <v>5526.95</v>
      </c>
      <c r="T629" s="23">
        <f t="shared" si="103"/>
        <v>3237.4565599999996</v>
      </c>
      <c r="U629" s="14">
        <f t="shared" si="104"/>
        <v>0.3693868532725848</v>
      </c>
      <c r="V629" s="7" t="str">
        <f t="shared" si="105"/>
        <v>Sept-2025</v>
      </c>
      <c r="W629" s="22">
        <f t="shared" si="106"/>
        <v>45901</v>
      </c>
      <c r="X629" s="7" t="str">
        <f t="shared" si="107"/>
        <v>Q3-2025</v>
      </c>
      <c r="Y629" t="str">
        <f t="shared" si="108"/>
        <v>Europe → United Kingdom → London</v>
      </c>
      <c r="Z629" t="str">
        <f t="shared" si="109"/>
        <v>Networking</v>
      </c>
      <c r="AA629" t="str" cm="1">
        <f t="array" ref="AA629">_xlfn.IFS(O629&lt;=$AF$2,"Low",AND(O629&gt;$AF$2,O629&lt;$AF$3),"Medium",O629&gt;=$AF$3,"High")</f>
        <v>Medium</v>
      </c>
      <c r="AB629" s="22">
        <f t="shared" si="110"/>
        <v>44927</v>
      </c>
      <c r="AC629">
        <v>32</v>
      </c>
    </row>
    <row r="630" spans="1:29" x14ac:dyDescent="0.35">
      <c r="A630" s="4" t="s">
        <v>412</v>
      </c>
      <c r="B630" s="5" t="str">
        <f>IF(COUNTIF($A$2:A630,A630)=1,"Original","Duplicate")</f>
        <v>Original</v>
      </c>
      <c r="C630" s="7">
        <v>45914</v>
      </c>
      <c r="D630" s="7">
        <v>45923</v>
      </c>
      <c r="E630">
        <f t="shared" si="100"/>
        <v>9</v>
      </c>
      <c r="F630" t="s">
        <v>646</v>
      </c>
      <c r="G630" t="s">
        <v>661</v>
      </c>
      <c r="H630" t="s">
        <v>687</v>
      </c>
      <c r="I630" t="s">
        <v>703</v>
      </c>
      <c r="J630" t="s">
        <v>708</v>
      </c>
      <c r="K630" t="s">
        <v>726</v>
      </c>
      <c r="L630" t="s">
        <v>727</v>
      </c>
      <c r="M630" t="s">
        <v>1131</v>
      </c>
      <c r="N630" s="23">
        <v>1310.3</v>
      </c>
      <c r="O630" s="23">
        <v>2875.8</v>
      </c>
      <c r="P630" s="8">
        <v>8.3000000000000004E-2</v>
      </c>
      <c r="Q630">
        <v>5</v>
      </c>
      <c r="R630" s="23">
        <f t="shared" si="101"/>
        <v>13185.543</v>
      </c>
      <c r="S630" s="23">
        <f t="shared" si="102"/>
        <v>6551.5</v>
      </c>
      <c r="T630" s="23">
        <f t="shared" si="103"/>
        <v>6634.0429999999997</v>
      </c>
      <c r="U630" s="14">
        <f t="shared" si="104"/>
        <v>0.50313005691157353</v>
      </c>
      <c r="V630" s="7" t="str">
        <f t="shared" si="105"/>
        <v>Sept-2025</v>
      </c>
      <c r="W630" s="22">
        <f t="shared" si="106"/>
        <v>45901</v>
      </c>
      <c r="X630" s="7" t="str">
        <f t="shared" si="107"/>
        <v>Q3-2025</v>
      </c>
      <c r="Y630" t="str">
        <f t="shared" si="108"/>
        <v>Africa → South Africa → Durban</v>
      </c>
      <c r="Z630" t="str">
        <f t="shared" si="109"/>
        <v>Components</v>
      </c>
      <c r="AA630" t="str" cm="1">
        <f t="array" ref="AA630">_xlfn.IFS(O630&lt;=$AF$2,"Low",AND(O630&gt;$AF$2,O630&lt;$AF$3),"Medium",O630&gt;=$AF$3,"High")</f>
        <v>High</v>
      </c>
      <c r="AB630" s="22">
        <f t="shared" si="110"/>
        <v>44927</v>
      </c>
      <c r="AC630">
        <v>32</v>
      </c>
    </row>
    <row r="631" spans="1:29" x14ac:dyDescent="0.35">
      <c r="A631" s="4" t="s">
        <v>195</v>
      </c>
      <c r="B631" s="5" t="str">
        <f>IF(COUNTIF($A$2:A631,A631)=1,"Original","Duplicate")</f>
        <v>Original</v>
      </c>
      <c r="C631" s="7">
        <v>45915</v>
      </c>
      <c r="D631" s="7">
        <v>45918</v>
      </c>
      <c r="E631">
        <f t="shared" si="100"/>
        <v>3</v>
      </c>
      <c r="F631" t="s">
        <v>648</v>
      </c>
      <c r="G631" t="s">
        <v>655</v>
      </c>
      <c r="H631" t="s">
        <v>692</v>
      </c>
      <c r="I631" t="s">
        <v>703</v>
      </c>
      <c r="J631" t="s">
        <v>711</v>
      </c>
      <c r="K631" t="s">
        <v>716</v>
      </c>
      <c r="L631" t="s">
        <v>733</v>
      </c>
      <c r="M631" t="s">
        <v>914</v>
      </c>
      <c r="N631" s="23">
        <v>5.5</v>
      </c>
      <c r="O631" s="23">
        <v>5.92</v>
      </c>
      <c r="P631" s="8">
        <v>0.21199999999999999</v>
      </c>
      <c r="Q631">
        <v>4</v>
      </c>
      <c r="R631" s="23">
        <f t="shared" si="101"/>
        <v>18.659839999999999</v>
      </c>
      <c r="S631" s="23">
        <f t="shared" si="102"/>
        <v>22</v>
      </c>
      <c r="T631" s="23">
        <f t="shared" si="103"/>
        <v>-3.3401600000000009</v>
      </c>
      <c r="U631" s="14">
        <f t="shared" si="104"/>
        <v>-0.17900260666758133</v>
      </c>
      <c r="V631" s="7" t="str">
        <f t="shared" si="105"/>
        <v>Sept-2025</v>
      </c>
      <c r="W631" s="22">
        <f t="shared" si="106"/>
        <v>45901</v>
      </c>
      <c r="X631" s="7" t="str">
        <f t="shared" si="107"/>
        <v>Q3-2025</v>
      </c>
      <c r="Y631" t="str">
        <f t="shared" si="108"/>
        <v>Americas → Brazil → Rio de Janeiro</v>
      </c>
      <c r="Z631" t="str">
        <f t="shared" si="109"/>
        <v>Accessories</v>
      </c>
      <c r="AA631" t="str" cm="1">
        <f t="array" ref="AA631">_xlfn.IFS(O631&lt;=$AF$2,"Low",AND(O631&gt;$AF$2,O631&lt;$AF$3),"Medium",O631&gt;=$AF$3,"High")</f>
        <v>Low</v>
      </c>
      <c r="AB631" s="22">
        <f t="shared" si="110"/>
        <v>44927</v>
      </c>
      <c r="AC631">
        <v>32</v>
      </c>
    </row>
    <row r="632" spans="1:29" x14ac:dyDescent="0.35">
      <c r="A632" s="4" t="s">
        <v>437</v>
      </c>
      <c r="B632" s="5" t="str">
        <f>IF(COUNTIF($A$2:A632,A632)=1,"Original","Duplicate")</f>
        <v>Original</v>
      </c>
      <c r="C632" s="7">
        <v>45915</v>
      </c>
      <c r="D632" s="7">
        <v>45925</v>
      </c>
      <c r="E632">
        <f t="shared" si="100"/>
        <v>10</v>
      </c>
      <c r="F632" t="s">
        <v>647</v>
      </c>
      <c r="G632" t="s">
        <v>654</v>
      </c>
      <c r="H632" t="s">
        <v>680</v>
      </c>
      <c r="I632" t="s">
        <v>704</v>
      </c>
      <c r="J632" t="s">
        <v>707</v>
      </c>
      <c r="K632" t="s">
        <v>720</v>
      </c>
      <c r="L632" t="s">
        <v>730</v>
      </c>
      <c r="M632" t="s">
        <v>1156</v>
      </c>
      <c r="N632" s="23">
        <v>1488.91</v>
      </c>
      <c r="O632" s="23">
        <v>1483.74</v>
      </c>
      <c r="P632" s="8">
        <v>0.16800000000000001</v>
      </c>
      <c r="Q632">
        <v>24</v>
      </c>
      <c r="R632" s="23">
        <f t="shared" si="101"/>
        <v>29627.320319999999</v>
      </c>
      <c r="S632" s="23">
        <f t="shared" si="102"/>
        <v>35733.840000000004</v>
      </c>
      <c r="T632" s="23">
        <f t="shared" si="103"/>
        <v>-6106.5196800000049</v>
      </c>
      <c r="U632" s="14">
        <f>IF(R632=0,0,T632/R632)</f>
        <v>-0.20611110333450519</v>
      </c>
      <c r="V632" s="7" t="str">
        <f t="shared" si="105"/>
        <v>Sept-2025</v>
      </c>
      <c r="W632" s="22">
        <f t="shared" si="106"/>
        <v>45901</v>
      </c>
      <c r="X632" s="7" t="str">
        <f t="shared" si="107"/>
        <v>Q3-2025</v>
      </c>
      <c r="Y632" t="str">
        <f t="shared" si="108"/>
        <v>Asia → India → Delhi</v>
      </c>
      <c r="Z632" t="str">
        <f t="shared" si="109"/>
        <v>Phones</v>
      </c>
      <c r="AA632" t="str" cm="1">
        <f t="array" ref="AA632">_xlfn.IFS(O632&lt;=$AF$2,"Low",AND(O632&gt;$AF$2,O632&lt;$AF$3),"Medium",O632&gt;=$AF$3,"High")</f>
        <v>Medium</v>
      </c>
      <c r="AB632" s="22">
        <f t="shared" si="110"/>
        <v>44958</v>
      </c>
      <c r="AC632">
        <v>31</v>
      </c>
    </row>
    <row r="633" spans="1:29" x14ac:dyDescent="0.35">
      <c r="E633" s="8">
        <f>COUNTIF(E2:E632, "&lt;=7")/COUNT(E2:E632)</f>
        <v>0.27258320126782887</v>
      </c>
      <c r="Q633">
        <f>AVERAGE(Q2:Q632)</f>
        <v>15.210776545166402</v>
      </c>
      <c r="R633" s="23">
        <f>SUM(R2:R632)</f>
        <v>11033837.027951997</v>
      </c>
      <c r="T633" s="23">
        <f>SUM(T2:T632)</f>
        <v>3537641.8179519982</v>
      </c>
      <c r="U633" s="14">
        <f>IF(R633=0,0,T633/R633)</f>
        <v>0.32061755208003323</v>
      </c>
    </row>
  </sheetData>
  <conditionalFormatting sqref="O1:O632">
    <cfRule type="cellIs" dxfId="274" priority="1" operator="lessThan">
      <formula>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1AAED-BAB3-45D8-BF4F-1A1B92B4D969}">
  <dimension ref="A1:U633"/>
  <sheetViews>
    <sheetView zoomScale="86" zoomScaleNormal="86" workbookViewId="0">
      <selection activeCell="D3" sqref="D3"/>
    </sheetView>
  </sheetViews>
  <sheetFormatPr defaultRowHeight="14.5" x14ac:dyDescent="0.35"/>
  <cols>
    <col min="1" max="2" width="17.7265625" bestFit="1" customWidth="1"/>
    <col min="3" max="3" width="12.7265625" customWidth="1"/>
    <col min="4" max="4" width="9.81640625" bestFit="1" customWidth="1"/>
    <col min="5" max="5" width="13.08984375" bestFit="1" customWidth="1"/>
    <col min="6" max="6" width="15.36328125" bestFit="1" customWidth="1"/>
    <col min="7" max="7" width="10.1796875" customWidth="1"/>
    <col min="8" max="8" width="15.08984375" bestFit="1" customWidth="1"/>
    <col min="9" max="9" width="8.1796875" bestFit="1" customWidth="1"/>
    <col min="10" max="10" width="13.36328125" bestFit="1" customWidth="1"/>
    <col min="11" max="11" width="16" bestFit="1" customWidth="1"/>
    <col min="12" max="12" width="15.6328125" bestFit="1" customWidth="1"/>
    <col min="13" max="13" width="13.1796875" bestFit="1" customWidth="1"/>
    <col min="15" max="15" width="17.36328125" bestFit="1" customWidth="1"/>
    <col min="16" max="16" width="14.08984375" bestFit="1" customWidth="1"/>
    <col min="18" max="18" width="13" bestFit="1" customWidth="1"/>
    <col min="19" max="20" width="12" bestFit="1" customWidth="1"/>
    <col min="21" max="21" width="11" bestFit="1" customWidth="1"/>
  </cols>
  <sheetData>
    <row r="1" spans="1:21" x14ac:dyDescent="0.35">
      <c r="A1" t="s">
        <v>1473</v>
      </c>
      <c r="B1" s="17" t="s">
        <v>1471</v>
      </c>
      <c r="C1" s="17" t="s">
        <v>1442</v>
      </c>
      <c r="D1" t="s">
        <v>1472</v>
      </c>
      <c r="E1" s="10" t="s">
        <v>13</v>
      </c>
      <c r="F1" s="29" t="s">
        <v>1474</v>
      </c>
      <c r="G1" s="1" t="s">
        <v>11</v>
      </c>
      <c r="H1" s="29" t="s">
        <v>1475</v>
      </c>
      <c r="I1" s="1" t="s">
        <v>14</v>
      </c>
      <c r="J1" s="29" t="s">
        <v>1470</v>
      </c>
      <c r="K1" s="11" t="s">
        <v>12</v>
      </c>
      <c r="L1" s="29" t="s">
        <v>1476</v>
      </c>
      <c r="M1" s="29" t="s">
        <v>1477</v>
      </c>
      <c r="O1" s="31" t="s">
        <v>1478</v>
      </c>
      <c r="P1" s="31" t="s">
        <v>1479</v>
      </c>
      <c r="R1" s="33"/>
      <c r="S1" s="34" t="s">
        <v>1484</v>
      </c>
      <c r="T1" s="34" t="s">
        <v>1483</v>
      </c>
      <c r="U1" s="35" t="s">
        <v>1482</v>
      </c>
    </row>
    <row r="2" spans="1:21" x14ac:dyDescent="0.35">
      <c r="B2" t="s">
        <v>1468</v>
      </c>
      <c r="C2" s="8">
        <f>D2/100</f>
        <v>0.12</v>
      </c>
      <c r="D2">
        <v>12</v>
      </c>
      <c r="E2" s="8">
        <v>0</v>
      </c>
      <c r="F2" s="27">
        <f>MIN(E2,$C$2)</f>
        <v>0</v>
      </c>
      <c r="G2" s="23">
        <v>315.87</v>
      </c>
      <c r="H2">
        <f>G2*(1+$C$3)</f>
        <v>344.29830000000004</v>
      </c>
      <c r="I2">
        <v>7</v>
      </c>
      <c r="J2" s="28">
        <f>I2*(1+$C$4)</f>
        <v>7.98</v>
      </c>
      <c r="K2" s="23">
        <v>591.67999999999995</v>
      </c>
      <c r="L2" s="23">
        <f>K2*(1-F2)*J2</f>
        <v>4721.6063999999997</v>
      </c>
      <c r="M2" s="23">
        <f>L2-(H2*J2)</f>
        <v>1974.1059659999992</v>
      </c>
      <c r="O2" s="23">
        <f>L2-'Part A (2&amp;3)'!R2</f>
        <v>579.84640000000036</v>
      </c>
      <c r="P2" s="23">
        <f>M2-'Part A (2&amp;3)'!T2</f>
        <v>43.435966000000008</v>
      </c>
      <c r="R2" s="36" t="s">
        <v>1480</v>
      </c>
      <c r="S2" s="32">
        <f>SUM('Part A (2&amp;3)'!R2:R632)</f>
        <v>11033837.027951997</v>
      </c>
      <c r="T2" s="32">
        <f>SUM(L2:L632)</f>
        <v>13037901.402577426</v>
      </c>
      <c r="U2" s="37">
        <f>SUM(O2:O632)</f>
        <v>2004064.3746254409</v>
      </c>
    </row>
    <row r="3" spans="1:21" ht="15" thickBot="1" x14ac:dyDescent="0.4">
      <c r="B3" t="s">
        <v>1469</v>
      </c>
      <c r="C3" s="8">
        <f>D3/100</f>
        <v>0.09</v>
      </c>
      <c r="D3">
        <v>9</v>
      </c>
      <c r="E3" s="8">
        <v>0.14000000000000001</v>
      </c>
      <c r="F3" s="27">
        <f t="shared" ref="F3:F66" si="0">MIN(E3,$C$2)</f>
        <v>0.12</v>
      </c>
      <c r="G3" s="23">
        <v>299.02</v>
      </c>
      <c r="H3">
        <f t="shared" ref="H3:H66" si="1">G3*(1+$C$3)</f>
        <v>325.93180000000001</v>
      </c>
      <c r="I3">
        <v>5</v>
      </c>
      <c r="J3" s="28">
        <f>I3*(1+$C$4)</f>
        <v>5.7000000000000011</v>
      </c>
      <c r="K3" s="23">
        <v>724.7</v>
      </c>
      <c r="L3" s="23">
        <f t="shared" ref="L3:L66" si="2">K3*(1-F3)*J3</f>
        <v>3635.0952000000007</v>
      </c>
      <c r="M3" s="23">
        <f t="shared" ref="M3:M66" si="3">L3-(H3*J3)</f>
        <v>1777.2839400000003</v>
      </c>
      <c r="O3" s="23">
        <f>L3-'Part A (2&amp;3)'!R3</f>
        <v>518.88520000000062</v>
      </c>
      <c r="P3" s="23">
        <f>M3-'Part A (2&amp;3)'!T3</f>
        <v>156.17394000000013</v>
      </c>
      <c r="R3" s="38" t="s">
        <v>1481</v>
      </c>
      <c r="S3" s="39">
        <f>SUM('Part A (2&amp;3)'!T2:T632)</f>
        <v>3537641.8179519982</v>
      </c>
      <c r="T3" s="39">
        <f>SUM(M2:M632)</f>
        <v>3723129.2346314373</v>
      </c>
      <c r="U3" s="40">
        <f>SUM(P2:P632)</f>
        <v>185487.41667943972</v>
      </c>
    </row>
    <row r="4" spans="1:21" x14ac:dyDescent="0.35">
      <c r="B4" t="s">
        <v>1470</v>
      </c>
      <c r="C4" s="8">
        <f>D4/100</f>
        <v>0.14000000000000001</v>
      </c>
      <c r="D4">
        <v>14</v>
      </c>
      <c r="E4" s="8">
        <v>8.8999999999999996E-2</v>
      </c>
      <c r="F4" s="27">
        <f t="shared" si="0"/>
        <v>8.8999999999999996E-2</v>
      </c>
      <c r="G4" s="23">
        <v>401.66</v>
      </c>
      <c r="H4">
        <f t="shared" si="1"/>
        <v>437.80940000000004</v>
      </c>
      <c r="I4">
        <v>14</v>
      </c>
      <c r="J4" s="28">
        <f t="shared" ref="J4:J66" si="4">I4*(1+$C$4)</f>
        <v>15.96</v>
      </c>
      <c r="K4" s="23">
        <v>772.09</v>
      </c>
      <c r="L4" s="23">
        <f t="shared" si="2"/>
        <v>11225.848880400001</v>
      </c>
      <c r="M4" s="23">
        <f t="shared" si="3"/>
        <v>4238.4108563999998</v>
      </c>
      <c r="O4" s="23">
        <f>L4-'Part A (2&amp;3)'!R4</f>
        <v>1378.6130204000001</v>
      </c>
      <c r="P4" s="23">
        <f>M4-'Part A (2&amp;3)'!T4</f>
        <v>14.414996399999836</v>
      </c>
    </row>
    <row r="5" spans="1:21" x14ac:dyDescent="0.35">
      <c r="E5" s="8">
        <v>0</v>
      </c>
      <c r="F5" s="27">
        <f t="shared" si="0"/>
        <v>0</v>
      </c>
      <c r="G5" s="23">
        <v>1083.0899999999999</v>
      </c>
      <c r="H5">
        <f t="shared" si="1"/>
        <v>1180.5681</v>
      </c>
      <c r="I5">
        <v>8</v>
      </c>
      <c r="J5" s="28">
        <f t="shared" si="4"/>
        <v>9.120000000000001</v>
      </c>
      <c r="K5" s="23">
        <v>1425.87</v>
      </c>
      <c r="L5" s="23">
        <f t="shared" si="2"/>
        <v>13003.9344</v>
      </c>
      <c r="M5" s="23">
        <f t="shared" si="3"/>
        <v>2237.1533279999985</v>
      </c>
      <c r="O5" s="23">
        <f>L5-'Part A (2&amp;3)'!R5</f>
        <v>1596.974400000001</v>
      </c>
      <c r="P5" s="23">
        <f>M5-'Part A (2&amp;3)'!T5</f>
        <v>-505.08667200000127</v>
      </c>
    </row>
    <row r="6" spans="1:21" x14ac:dyDescent="0.35">
      <c r="E6" s="8">
        <v>5.7000000000000002E-2</v>
      </c>
      <c r="F6" s="27">
        <f t="shared" si="0"/>
        <v>5.7000000000000002E-2</v>
      </c>
      <c r="G6" s="23">
        <v>833.57</v>
      </c>
      <c r="H6">
        <f t="shared" si="1"/>
        <v>908.59130000000016</v>
      </c>
      <c r="I6">
        <v>18</v>
      </c>
      <c r="J6" s="28">
        <f t="shared" si="4"/>
        <v>20.520000000000003</v>
      </c>
      <c r="K6" s="23">
        <v>881.57</v>
      </c>
      <c r="L6" s="23">
        <f t="shared" si="2"/>
        <v>17058.696865200003</v>
      </c>
      <c r="M6" s="23">
        <f t="shared" si="3"/>
        <v>-1585.596610800003</v>
      </c>
      <c r="O6" s="23">
        <f>L6-'Part A (2&amp;3)'!R6</f>
        <v>2094.9276852000039</v>
      </c>
      <c r="P6" s="23">
        <f>M6-'Part A (2&amp;3)'!T6</f>
        <v>-1545.1057908000021</v>
      </c>
    </row>
    <row r="7" spans="1:21" x14ac:dyDescent="0.35">
      <c r="E7" s="8">
        <v>0.19400000000000001</v>
      </c>
      <c r="F7" s="27">
        <f t="shared" si="0"/>
        <v>0.12</v>
      </c>
      <c r="G7" s="23">
        <v>28.38</v>
      </c>
      <c r="H7">
        <f t="shared" si="1"/>
        <v>30.934200000000001</v>
      </c>
      <c r="I7">
        <v>18</v>
      </c>
      <c r="J7" s="28">
        <f t="shared" si="4"/>
        <v>20.520000000000003</v>
      </c>
      <c r="K7" s="23">
        <v>47.22</v>
      </c>
      <c r="L7" s="23">
        <f t="shared" si="2"/>
        <v>852.67987200000005</v>
      </c>
      <c r="M7" s="23">
        <f t="shared" si="3"/>
        <v>217.91008799999997</v>
      </c>
      <c r="O7" s="23">
        <f>L7-'Part A (2&amp;3)'!R7</f>
        <v>167.61211200000002</v>
      </c>
      <c r="P7" s="23">
        <f>M7-'Part A (2&amp;3)'!T7</f>
        <v>43.682327999999927</v>
      </c>
    </row>
    <row r="8" spans="1:21" x14ac:dyDescent="0.35">
      <c r="E8" s="8">
        <v>6.6000000000000003E-2</v>
      </c>
      <c r="F8" s="27">
        <f t="shared" si="0"/>
        <v>6.6000000000000003E-2</v>
      </c>
      <c r="G8" s="23">
        <v>873.06</v>
      </c>
      <c r="H8">
        <f t="shared" si="1"/>
        <v>951.6354</v>
      </c>
      <c r="I8">
        <v>10</v>
      </c>
      <c r="J8" s="28">
        <f t="shared" si="4"/>
        <v>11.400000000000002</v>
      </c>
      <c r="K8" s="23">
        <v>2101.5500000000002</v>
      </c>
      <c r="L8" s="23">
        <f t="shared" si="2"/>
        <v>22376.463780000005</v>
      </c>
      <c r="M8" s="23">
        <f t="shared" si="3"/>
        <v>11527.820220000003</v>
      </c>
      <c r="O8" s="23">
        <f>L8-'Part A (2&amp;3)'!R8</f>
        <v>2747.9867800000065</v>
      </c>
      <c r="P8" s="23">
        <f>M8-'Part A (2&amp;3)'!T8</f>
        <v>629.94322000000284</v>
      </c>
    </row>
    <row r="9" spans="1:21" x14ac:dyDescent="0.35">
      <c r="E9" s="8">
        <v>0.24299999999999999</v>
      </c>
      <c r="F9" s="27">
        <f t="shared" si="0"/>
        <v>0.12</v>
      </c>
      <c r="G9" s="23">
        <v>884.36</v>
      </c>
      <c r="H9">
        <f t="shared" si="1"/>
        <v>963.95240000000013</v>
      </c>
      <c r="I9">
        <v>41</v>
      </c>
      <c r="J9" s="28">
        <f t="shared" si="4"/>
        <v>46.74</v>
      </c>
      <c r="K9" s="23">
        <v>1545.34</v>
      </c>
      <c r="L9" s="23">
        <f t="shared" si="2"/>
        <v>63561.688607999997</v>
      </c>
      <c r="M9" s="23">
        <f t="shared" si="3"/>
        <v>18506.553431999986</v>
      </c>
      <c r="O9" s="23">
        <f>L9-'Part A (2&amp;3)'!R9</f>
        <v>15598.971028</v>
      </c>
      <c r="P9" s="23">
        <f>M9-'Part A (2&amp;3)'!T9</f>
        <v>6802.5958519999913</v>
      </c>
    </row>
    <row r="10" spans="1:21" x14ac:dyDescent="0.35">
      <c r="E10" s="8">
        <v>0.111</v>
      </c>
      <c r="F10" s="27">
        <f t="shared" si="0"/>
        <v>0.111</v>
      </c>
      <c r="G10" s="23">
        <v>413.52</v>
      </c>
      <c r="H10">
        <f t="shared" si="1"/>
        <v>450.73680000000002</v>
      </c>
      <c r="I10">
        <v>18</v>
      </c>
      <c r="J10" s="28">
        <f t="shared" si="4"/>
        <v>20.520000000000003</v>
      </c>
      <c r="K10" s="23">
        <v>1004.34</v>
      </c>
      <c r="L10" s="23">
        <f t="shared" si="2"/>
        <v>18321.451495200006</v>
      </c>
      <c r="M10" s="23">
        <f t="shared" si="3"/>
        <v>9072.3323592000052</v>
      </c>
      <c r="O10" s="23">
        <f>L10-'Part A (2&amp;3)'!R10</f>
        <v>2250.0028152000068</v>
      </c>
      <c r="P10" s="23">
        <f>M10-'Part A (2&amp;3)'!T10</f>
        <v>444.24367920000441</v>
      </c>
    </row>
    <row r="11" spans="1:21" x14ac:dyDescent="0.35">
      <c r="E11" s="8">
        <v>0.19600000000000001</v>
      </c>
      <c r="F11" s="27">
        <f t="shared" si="0"/>
        <v>0.12</v>
      </c>
      <c r="G11" s="23">
        <v>150.86000000000001</v>
      </c>
      <c r="H11">
        <f t="shared" si="1"/>
        <v>164.43740000000003</v>
      </c>
      <c r="I11">
        <v>8</v>
      </c>
      <c r="J11" s="28">
        <f t="shared" si="4"/>
        <v>9.120000000000001</v>
      </c>
      <c r="K11" s="23">
        <v>346.96</v>
      </c>
      <c r="L11" s="23">
        <f t="shared" si="2"/>
        <v>2784.5621760000004</v>
      </c>
      <c r="M11" s="23">
        <f t="shared" si="3"/>
        <v>1284.893088</v>
      </c>
      <c r="O11" s="23">
        <f>L11-'Part A (2&amp;3)'!R11</f>
        <v>552.91545600000018</v>
      </c>
      <c r="P11" s="23">
        <f>M11-'Part A (2&amp;3)'!T11</f>
        <v>260.12636799999996</v>
      </c>
    </row>
    <row r="12" spans="1:21" x14ac:dyDescent="0.35">
      <c r="E12" s="8">
        <v>8.8999999999999996E-2</v>
      </c>
      <c r="F12" s="27">
        <f t="shared" si="0"/>
        <v>8.8999999999999996E-2</v>
      </c>
      <c r="G12" s="23">
        <v>492.62</v>
      </c>
      <c r="H12">
        <f t="shared" si="1"/>
        <v>536.95580000000007</v>
      </c>
      <c r="I12">
        <v>10</v>
      </c>
      <c r="J12" s="28">
        <f t="shared" si="4"/>
        <v>11.400000000000002</v>
      </c>
      <c r="K12" s="23">
        <v>366.7</v>
      </c>
      <c r="L12" s="23">
        <f t="shared" si="2"/>
        <v>3808.3261800000005</v>
      </c>
      <c r="M12" s="23">
        <f t="shared" si="3"/>
        <v>-2312.9699400000013</v>
      </c>
      <c r="O12" s="23">
        <f>L12-'Part A (2&amp;3)'!R12</f>
        <v>467.68918000000031</v>
      </c>
      <c r="P12" s="23">
        <f>M12-'Part A (2&amp;3)'!T12</f>
        <v>-727.40694000000167</v>
      </c>
    </row>
    <row r="13" spans="1:21" x14ac:dyDescent="0.35">
      <c r="E13" s="8">
        <v>0.22</v>
      </c>
      <c r="F13" s="27">
        <f t="shared" si="0"/>
        <v>0.12</v>
      </c>
      <c r="G13" s="23">
        <v>941.2</v>
      </c>
      <c r="H13">
        <f t="shared" si="1"/>
        <v>1025.9080000000001</v>
      </c>
      <c r="I13">
        <v>16</v>
      </c>
      <c r="J13" s="28">
        <f t="shared" si="4"/>
        <v>18.240000000000002</v>
      </c>
      <c r="K13" s="23">
        <v>668.02</v>
      </c>
      <c r="L13" s="23">
        <f t="shared" si="2"/>
        <v>10722.522623999999</v>
      </c>
      <c r="M13" s="23">
        <f t="shared" si="3"/>
        <v>-7990.0392960000045</v>
      </c>
      <c r="O13" s="23">
        <f>L13-'Part A (2&amp;3)'!R13</f>
        <v>2385.6330239999988</v>
      </c>
      <c r="P13" s="23">
        <f>M13-'Part A (2&amp;3)'!T13</f>
        <v>-1267.7288960000042</v>
      </c>
    </row>
    <row r="14" spans="1:21" x14ac:dyDescent="0.35">
      <c r="E14" s="8">
        <v>0.22600000000000001</v>
      </c>
      <c r="F14" s="27">
        <f t="shared" si="0"/>
        <v>0.12</v>
      </c>
      <c r="G14" s="23">
        <v>41.84</v>
      </c>
      <c r="H14">
        <f t="shared" si="1"/>
        <v>45.60560000000001</v>
      </c>
      <c r="I14">
        <v>27</v>
      </c>
      <c r="J14" s="28">
        <f t="shared" si="4"/>
        <v>30.780000000000005</v>
      </c>
      <c r="K14" s="23">
        <v>86.2</v>
      </c>
      <c r="L14" s="23">
        <f t="shared" si="2"/>
        <v>2334.8476800000008</v>
      </c>
      <c r="M14" s="23">
        <f t="shared" si="3"/>
        <v>931.10731200000032</v>
      </c>
      <c r="O14" s="23">
        <f>L14-'Part A (2&amp;3)'!R14</f>
        <v>533.44008000000053</v>
      </c>
      <c r="P14" s="23">
        <f>M14-'Part A (2&amp;3)'!T14</f>
        <v>259.37971200000015</v>
      </c>
    </row>
    <row r="15" spans="1:21" x14ac:dyDescent="0.35">
      <c r="E15" s="8">
        <v>0.186</v>
      </c>
      <c r="F15" s="27">
        <f t="shared" si="0"/>
        <v>0.12</v>
      </c>
      <c r="G15" s="23">
        <v>1142.8800000000001</v>
      </c>
      <c r="H15">
        <f t="shared" si="1"/>
        <v>1245.7392000000002</v>
      </c>
      <c r="I15">
        <v>7</v>
      </c>
      <c r="J15" s="28">
        <f t="shared" si="4"/>
        <v>7.98</v>
      </c>
      <c r="K15" s="23">
        <v>1465.29</v>
      </c>
      <c r="L15" s="23">
        <f t="shared" si="2"/>
        <v>10289.852496</v>
      </c>
      <c r="M15" s="23">
        <f t="shared" si="3"/>
        <v>348.85367999999653</v>
      </c>
      <c r="O15" s="23">
        <f>L15-'Part A (2&amp;3)'!R15</f>
        <v>1940.6300759999995</v>
      </c>
      <c r="P15" s="23">
        <f>M15-'Part A (2&amp;3)'!T15</f>
        <v>-0.20874000000276283</v>
      </c>
    </row>
    <row r="16" spans="1:21" x14ac:dyDescent="0.35">
      <c r="E16" s="8">
        <v>0</v>
      </c>
      <c r="F16" s="27">
        <f t="shared" si="0"/>
        <v>0</v>
      </c>
      <c r="G16" s="23">
        <v>1214.49</v>
      </c>
      <c r="H16">
        <f t="shared" si="1"/>
        <v>1323.7941000000001</v>
      </c>
      <c r="I16">
        <v>11</v>
      </c>
      <c r="J16" s="28">
        <f t="shared" si="4"/>
        <v>12.540000000000001</v>
      </c>
      <c r="K16" s="23">
        <v>1533.95</v>
      </c>
      <c r="L16" s="23">
        <f t="shared" si="2"/>
        <v>19235.733</v>
      </c>
      <c r="M16" s="23">
        <f t="shared" si="3"/>
        <v>2635.3549859999985</v>
      </c>
      <c r="O16" s="23">
        <f>L16-'Part A (2&amp;3)'!R16</f>
        <v>2362.2829999999994</v>
      </c>
      <c r="P16" s="23">
        <f>M16-'Part A (2&amp;3)'!T16</f>
        <v>-878.70501400000285</v>
      </c>
    </row>
    <row r="17" spans="5:16" x14ac:dyDescent="0.35">
      <c r="E17" s="8">
        <v>7.0000000000000001E-3</v>
      </c>
      <c r="F17" s="27">
        <f t="shared" si="0"/>
        <v>7.0000000000000001E-3</v>
      </c>
      <c r="G17" s="23">
        <v>948.55</v>
      </c>
      <c r="H17">
        <f t="shared" si="1"/>
        <v>1033.9195</v>
      </c>
      <c r="I17">
        <v>12</v>
      </c>
      <c r="J17" s="28">
        <f t="shared" si="4"/>
        <v>13.680000000000001</v>
      </c>
      <c r="K17" s="23">
        <v>2089.16</v>
      </c>
      <c r="L17" s="23">
        <f t="shared" si="2"/>
        <v>28379.650838400001</v>
      </c>
      <c r="M17" s="23">
        <f t="shared" si="3"/>
        <v>14235.6320784</v>
      </c>
      <c r="O17" s="23">
        <f>L17-'Part A (2&amp;3)'!R17</f>
        <v>3485.2202784000037</v>
      </c>
      <c r="P17" s="23">
        <f>M17-'Part A (2&amp;3)'!T17</f>
        <v>723.80151840000144</v>
      </c>
    </row>
    <row r="18" spans="5:16" x14ac:dyDescent="0.35">
      <c r="E18" s="8">
        <v>0.161</v>
      </c>
      <c r="F18" s="27">
        <f t="shared" si="0"/>
        <v>0.12</v>
      </c>
      <c r="G18" s="23">
        <v>1410.05</v>
      </c>
      <c r="H18">
        <f t="shared" si="1"/>
        <v>1536.9545000000001</v>
      </c>
      <c r="I18">
        <v>26</v>
      </c>
      <c r="J18" s="28">
        <f t="shared" si="4"/>
        <v>29.640000000000004</v>
      </c>
      <c r="K18" s="23">
        <v>2763.95</v>
      </c>
      <c r="L18" s="23">
        <f t="shared" si="2"/>
        <v>72092.660640000002</v>
      </c>
      <c r="M18" s="23">
        <f t="shared" si="3"/>
        <v>26537.329259999991</v>
      </c>
      <c r="O18" s="23">
        <f>L18-'Part A (2&amp;3)'!R18</f>
        <v>11799.855340000009</v>
      </c>
      <c r="P18" s="23">
        <f>M18-'Part A (2&amp;3)'!T18</f>
        <v>2905.8239599999943</v>
      </c>
    </row>
    <row r="19" spans="5:16" x14ac:dyDescent="0.35">
      <c r="E19" s="8">
        <v>5.8999999999999997E-2</v>
      </c>
      <c r="F19" s="27">
        <f t="shared" si="0"/>
        <v>5.8999999999999997E-2</v>
      </c>
      <c r="G19" s="23">
        <v>944.61</v>
      </c>
      <c r="H19">
        <f t="shared" si="1"/>
        <v>1029.6249</v>
      </c>
      <c r="I19">
        <v>6</v>
      </c>
      <c r="J19" s="28">
        <f t="shared" si="4"/>
        <v>6.8400000000000007</v>
      </c>
      <c r="K19" s="23">
        <v>839.04</v>
      </c>
      <c r="L19" s="23">
        <f t="shared" si="2"/>
        <v>5400.4306176000009</v>
      </c>
      <c r="M19" s="23">
        <f t="shared" si="3"/>
        <v>-1642.2036983999997</v>
      </c>
      <c r="O19" s="23">
        <f>L19-'Part A (2&amp;3)'!R19</f>
        <v>663.21077760000117</v>
      </c>
      <c r="P19" s="23">
        <f>M19-'Part A (2&amp;3)'!T19</f>
        <v>-711.76353839999956</v>
      </c>
    </row>
    <row r="20" spans="5:16" x14ac:dyDescent="0.35">
      <c r="E20" s="8">
        <v>0.13</v>
      </c>
      <c r="F20" s="27">
        <f t="shared" si="0"/>
        <v>0.12</v>
      </c>
      <c r="G20" s="23">
        <v>498.5</v>
      </c>
      <c r="H20">
        <f t="shared" si="1"/>
        <v>543.36500000000001</v>
      </c>
      <c r="I20">
        <v>40</v>
      </c>
      <c r="J20" s="28">
        <f t="shared" si="4"/>
        <v>45.600000000000009</v>
      </c>
      <c r="K20" s="23">
        <v>755.87</v>
      </c>
      <c r="L20" s="23">
        <f t="shared" si="2"/>
        <v>30331.551360000009</v>
      </c>
      <c r="M20" s="23">
        <f t="shared" si="3"/>
        <v>5554.1073600000018</v>
      </c>
      <c r="O20" s="23">
        <f>L20-'Part A (2&amp;3)'!R20</f>
        <v>4027.2753600000106</v>
      </c>
      <c r="P20" s="23">
        <f>M20-'Part A (2&amp;3)'!T20</f>
        <v>-810.16863999999623</v>
      </c>
    </row>
    <row r="21" spans="5:16" x14ac:dyDescent="0.35">
      <c r="E21" s="8">
        <v>5.2999999999999999E-2</v>
      </c>
      <c r="F21" s="27">
        <f t="shared" si="0"/>
        <v>5.2999999999999999E-2</v>
      </c>
      <c r="G21" s="23">
        <v>1234.81</v>
      </c>
      <c r="H21">
        <f t="shared" si="1"/>
        <v>1345.9429</v>
      </c>
      <c r="I21">
        <v>44</v>
      </c>
      <c r="J21" s="28">
        <f t="shared" si="4"/>
        <v>50.160000000000004</v>
      </c>
      <c r="K21" s="23">
        <v>2055.2399999999998</v>
      </c>
      <c r="L21" s="23">
        <f t="shared" si="2"/>
        <v>97627.023964799984</v>
      </c>
      <c r="M21" s="23">
        <f t="shared" si="3"/>
        <v>30114.528100799973</v>
      </c>
      <c r="O21" s="23">
        <f>L21-'Part A (2&amp;3)'!R21</f>
        <v>11989.283644799987</v>
      </c>
      <c r="P21" s="23">
        <f>M21-'Part A (2&amp;3)'!T21</f>
        <v>-1191.5722192000248</v>
      </c>
    </row>
    <row r="22" spans="5:16" x14ac:dyDescent="0.35">
      <c r="E22" s="8">
        <v>0.157</v>
      </c>
      <c r="F22" s="27">
        <f t="shared" si="0"/>
        <v>0.12</v>
      </c>
      <c r="G22" s="23">
        <v>299.75</v>
      </c>
      <c r="H22">
        <f t="shared" si="1"/>
        <v>326.72750000000002</v>
      </c>
      <c r="I22">
        <v>50</v>
      </c>
      <c r="J22" s="28">
        <f t="shared" si="4"/>
        <v>57.000000000000007</v>
      </c>
      <c r="K22" s="23">
        <v>523.01</v>
      </c>
      <c r="L22" s="23">
        <f t="shared" si="2"/>
        <v>26234.181600000004</v>
      </c>
      <c r="M22" s="23">
        <f t="shared" si="3"/>
        <v>7610.7141000000011</v>
      </c>
      <c r="O22" s="23">
        <f>L22-'Part A (2&amp;3)'!R22</f>
        <v>4189.3101000000061</v>
      </c>
      <c r="P22" s="23">
        <f>M22-'Part A (2&amp;3)'!T22</f>
        <v>553.34260000000359</v>
      </c>
    </row>
    <row r="23" spans="5:16" x14ac:dyDescent="0.35">
      <c r="E23" s="8">
        <v>4.1000000000000002E-2</v>
      </c>
      <c r="F23" s="27">
        <f t="shared" si="0"/>
        <v>4.1000000000000002E-2</v>
      </c>
      <c r="G23" s="23">
        <v>352.65</v>
      </c>
      <c r="H23">
        <f t="shared" si="1"/>
        <v>384.38850000000002</v>
      </c>
      <c r="I23">
        <v>6</v>
      </c>
      <c r="J23" s="28">
        <f t="shared" si="4"/>
        <v>6.8400000000000007</v>
      </c>
      <c r="K23" s="23">
        <v>485.86</v>
      </c>
      <c r="L23" s="23">
        <f t="shared" si="2"/>
        <v>3187.0278216000002</v>
      </c>
      <c r="M23" s="23">
        <f t="shared" si="3"/>
        <v>557.81048159999955</v>
      </c>
      <c r="O23" s="23">
        <f>L23-'Part A (2&amp;3)'!R23</f>
        <v>391.38938160000043</v>
      </c>
      <c r="P23" s="23">
        <f>M23-'Part A (2&amp;3)'!T23</f>
        <v>-121.92795840000053</v>
      </c>
    </row>
    <row r="24" spans="5:16" x14ac:dyDescent="0.35">
      <c r="E24" s="8">
        <v>8.8999999999999996E-2</v>
      </c>
      <c r="F24" s="27">
        <f t="shared" si="0"/>
        <v>8.8999999999999996E-2</v>
      </c>
      <c r="G24" s="23">
        <v>1242.6600000000001</v>
      </c>
      <c r="H24">
        <f t="shared" si="1"/>
        <v>1354.4994000000002</v>
      </c>
      <c r="I24">
        <v>16</v>
      </c>
      <c r="J24" s="28">
        <f t="shared" si="4"/>
        <v>18.240000000000002</v>
      </c>
      <c r="K24" s="23">
        <v>1794.07</v>
      </c>
      <c r="L24" s="23">
        <f t="shared" si="2"/>
        <v>29811.415324800004</v>
      </c>
      <c r="M24" s="23">
        <f t="shared" si="3"/>
        <v>5105.3462688</v>
      </c>
      <c r="O24" s="23">
        <f>L24-'Part A (2&amp;3)'!R24</f>
        <v>3661.0510048000033</v>
      </c>
      <c r="P24" s="23">
        <f>M24-'Part A (2&amp;3)'!T24</f>
        <v>-1162.4580511999993</v>
      </c>
    </row>
    <row r="25" spans="5:16" x14ac:dyDescent="0.35">
      <c r="E25" s="8">
        <v>0.188</v>
      </c>
      <c r="F25" s="27">
        <f t="shared" si="0"/>
        <v>0.12</v>
      </c>
      <c r="G25" s="23">
        <v>307.37</v>
      </c>
      <c r="H25">
        <f t="shared" si="1"/>
        <v>335.03330000000005</v>
      </c>
      <c r="I25">
        <v>11</v>
      </c>
      <c r="J25" s="28">
        <f t="shared" si="4"/>
        <v>12.540000000000001</v>
      </c>
      <c r="K25" s="23">
        <v>462.61</v>
      </c>
      <c r="L25" s="23">
        <f t="shared" si="2"/>
        <v>5104.9938720000009</v>
      </c>
      <c r="M25" s="23">
        <f t="shared" si="3"/>
        <v>903.67629000000034</v>
      </c>
      <c r="O25" s="23">
        <f>L25-'Part A (2&amp;3)'!R25</f>
        <v>972.96135200000026</v>
      </c>
      <c r="P25" s="23">
        <f>M25-'Part A (2&amp;3)'!T25</f>
        <v>152.71376999999984</v>
      </c>
    </row>
    <row r="26" spans="5:16" x14ac:dyDescent="0.35">
      <c r="E26" s="8">
        <v>6.9000000000000006E-2</v>
      </c>
      <c r="F26" s="27">
        <f t="shared" si="0"/>
        <v>6.9000000000000006E-2</v>
      </c>
      <c r="G26" s="23">
        <v>770.11</v>
      </c>
      <c r="H26">
        <f t="shared" si="1"/>
        <v>839.4199000000001</v>
      </c>
      <c r="I26">
        <v>7</v>
      </c>
      <c r="J26" s="28">
        <f t="shared" si="4"/>
        <v>7.98</v>
      </c>
      <c r="K26" s="23">
        <v>1667.82</v>
      </c>
      <c r="L26" s="23">
        <f t="shared" si="2"/>
        <v>12390.868551600001</v>
      </c>
      <c r="M26" s="23">
        <f t="shared" si="3"/>
        <v>5692.2977495999994</v>
      </c>
      <c r="O26" s="23">
        <f>L26-'Part A (2&amp;3)'!R26</f>
        <v>1521.6856115999999</v>
      </c>
      <c r="P26" s="23">
        <f>M26-'Part A (2&amp;3)'!T26</f>
        <v>213.88480959999924</v>
      </c>
    </row>
    <row r="27" spans="5:16" x14ac:dyDescent="0.35">
      <c r="E27" s="8">
        <v>4.7E-2</v>
      </c>
      <c r="F27" s="27">
        <f t="shared" si="0"/>
        <v>4.7E-2</v>
      </c>
      <c r="G27" s="23">
        <v>6.85</v>
      </c>
      <c r="H27">
        <f t="shared" si="1"/>
        <v>7.4664999999999999</v>
      </c>
      <c r="I27">
        <v>10</v>
      </c>
      <c r="J27" s="28">
        <f t="shared" si="4"/>
        <v>11.400000000000002</v>
      </c>
      <c r="K27" s="23">
        <v>10.18</v>
      </c>
      <c r="L27" s="23">
        <f t="shared" si="2"/>
        <v>110.59755600000001</v>
      </c>
      <c r="M27" s="23">
        <f t="shared" si="3"/>
        <v>25.479455999999999</v>
      </c>
      <c r="O27" s="23">
        <f>L27-'Part A (2&amp;3)'!R27</f>
        <v>13.582156000000012</v>
      </c>
      <c r="P27" s="23">
        <f>M27-'Part A (2&amp;3)'!T27</f>
        <v>-3.0359440000000006</v>
      </c>
    </row>
    <row r="28" spans="5:16" x14ac:dyDescent="0.35">
      <c r="E28" s="8">
        <v>0.14599999999999999</v>
      </c>
      <c r="F28" s="27">
        <f t="shared" si="0"/>
        <v>0.12</v>
      </c>
      <c r="G28" s="23">
        <v>1015.91</v>
      </c>
      <c r="H28">
        <f t="shared" si="1"/>
        <v>1107.3419000000001</v>
      </c>
      <c r="I28">
        <v>26</v>
      </c>
      <c r="J28" s="28">
        <f t="shared" si="4"/>
        <v>29.640000000000004</v>
      </c>
      <c r="K28" s="23">
        <v>2331.48</v>
      </c>
      <c r="L28" s="23">
        <f t="shared" si="2"/>
        <v>60812.459136000012</v>
      </c>
      <c r="M28" s="23">
        <f t="shared" si="3"/>
        <v>27990.845220000003</v>
      </c>
      <c r="O28" s="23">
        <f>L28-'Part A (2&amp;3)'!R28</f>
        <v>9044.2772160000095</v>
      </c>
      <c r="P28" s="23">
        <f>M28-'Part A (2&amp;3)'!T28</f>
        <v>2636.3233</v>
      </c>
    </row>
    <row r="29" spans="5:16" x14ac:dyDescent="0.35">
      <c r="E29" s="8">
        <v>0.13100000000000001</v>
      </c>
      <c r="F29" s="27">
        <f t="shared" si="0"/>
        <v>0.12</v>
      </c>
      <c r="G29" s="23">
        <v>1460.76</v>
      </c>
      <c r="H29">
        <f t="shared" si="1"/>
        <v>1592.2284000000002</v>
      </c>
      <c r="I29">
        <v>12</v>
      </c>
      <c r="J29" s="28">
        <f t="shared" si="4"/>
        <v>13.680000000000001</v>
      </c>
      <c r="K29" s="23">
        <v>1752.912</v>
      </c>
      <c r="L29" s="23">
        <f t="shared" si="2"/>
        <v>21102.255820800005</v>
      </c>
      <c r="M29" s="23">
        <f t="shared" si="3"/>
        <v>-679.42869119999887</v>
      </c>
      <c r="O29" s="23">
        <f>L29-'Part A (2&amp;3)'!R29</f>
        <v>2822.8894848000054</v>
      </c>
      <c r="P29" s="23">
        <f>M29-'Part A (2&amp;3)'!T29</f>
        <v>-1429.675027199999</v>
      </c>
    </row>
    <row r="30" spans="5:16" x14ac:dyDescent="0.35">
      <c r="E30" s="8">
        <v>0.29199999999999998</v>
      </c>
      <c r="F30" s="27">
        <f t="shared" si="0"/>
        <v>0.12</v>
      </c>
      <c r="G30" s="23">
        <v>1200.78</v>
      </c>
      <c r="H30">
        <f t="shared" si="1"/>
        <v>1308.8502000000001</v>
      </c>
      <c r="I30">
        <v>18</v>
      </c>
      <c r="J30" s="28">
        <f t="shared" si="4"/>
        <v>20.520000000000003</v>
      </c>
      <c r="K30" s="23">
        <v>2001.17</v>
      </c>
      <c r="L30" s="23">
        <f t="shared" si="2"/>
        <v>36136.327392000007</v>
      </c>
      <c r="M30" s="23">
        <f t="shared" si="3"/>
        <v>9278.7212880000006</v>
      </c>
      <c r="O30" s="23">
        <f>L30-'Part A (2&amp;3)'!R30</f>
        <v>10633.416912000008</v>
      </c>
      <c r="P30" s="23">
        <f>M30-'Part A (2&amp;3)'!T30</f>
        <v>5389.8508080000029</v>
      </c>
    </row>
    <row r="31" spans="5:16" x14ac:dyDescent="0.35">
      <c r="E31" s="8">
        <v>0.10299999999999999</v>
      </c>
      <c r="F31" s="27">
        <f t="shared" si="0"/>
        <v>0.10299999999999999</v>
      </c>
      <c r="G31" s="23">
        <v>1299.81</v>
      </c>
      <c r="H31">
        <f t="shared" si="1"/>
        <v>1416.7929000000001</v>
      </c>
      <c r="I31">
        <v>14</v>
      </c>
      <c r="J31" s="28">
        <f t="shared" si="4"/>
        <v>15.96</v>
      </c>
      <c r="K31" s="23">
        <v>3149.13</v>
      </c>
      <c r="L31" s="23">
        <f t="shared" si="2"/>
        <v>45083.322975600007</v>
      </c>
      <c r="M31" s="23">
        <f t="shared" si="3"/>
        <v>22471.308291600002</v>
      </c>
      <c r="O31" s="23">
        <f>L31-'Part A (2&amp;3)'!R31</f>
        <v>5536.5484356000088</v>
      </c>
      <c r="P31" s="23">
        <f>M31-'Part A (2&amp;3)'!T31</f>
        <v>1121.8737516000037</v>
      </c>
    </row>
    <row r="32" spans="5:16" x14ac:dyDescent="0.35">
      <c r="E32" s="8">
        <v>0.123</v>
      </c>
      <c r="F32" s="27">
        <f t="shared" si="0"/>
        <v>0.12</v>
      </c>
      <c r="G32" s="23">
        <v>880.02</v>
      </c>
      <c r="H32">
        <f t="shared" si="1"/>
        <v>959.22180000000003</v>
      </c>
      <c r="I32">
        <v>29</v>
      </c>
      <c r="J32" s="28">
        <f t="shared" si="4"/>
        <v>33.06</v>
      </c>
      <c r="K32" s="23">
        <v>1251.21</v>
      </c>
      <c r="L32" s="23">
        <f t="shared" si="2"/>
        <v>36401.202288000008</v>
      </c>
      <c r="M32" s="23">
        <f t="shared" si="3"/>
        <v>4689.3295800000051</v>
      </c>
      <c r="O32" s="23">
        <f>L32-'Part A (2&amp;3)'!R32</f>
        <v>4579.1783580000047</v>
      </c>
      <c r="P32" s="23">
        <f>M32-'Part A (2&amp;3)'!T32</f>
        <v>-1612.1143499999998</v>
      </c>
    </row>
    <row r="33" spans="5:16" x14ac:dyDescent="0.35">
      <c r="E33" s="8">
        <v>0.108</v>
      </c>
      <c r="F33" s="27">
        <f t="shared" si="0"/>
        <v>0.108</v>
      </c>
      <c r="G33" s="23">
        <v>1473.58</v>
      </c>
      <c r="H33">
        <f t="shared" si="1"/>
        <v>1606.2021999999999</v>
      </c>
      <c r="I33">
        <v>8</v>
      </c>
      <c r="J33" s="28">
        <f t="shared" si="4"/>
        <v>9.120000000000001</v>
      </c>
      <c r="K33" s="23">
        <v>3436.52</v>
      </c>
      <c r="L33" s="23">
        <f t="shared" si="2"/>
        <v>27956.227660800003</v>
      </c>
      <c r="M33" s="23">
        <f t="shared" si="3"/>
        <v>13307.663596800001</v>
      </c>
      <c r="O33" s="23">
        <f>L33-'Part A (2&amp;3)'!R33</f>
        <v>3433.2209408000017</v>
      </c>
      <c r="P33" s="23">
        <f>M33-'Part A (2&amp;3)'!T33</f>
        <v>573.29687679999915</v>
      </c>
    </row>
    <row r="34" spans="5:16" x14ac:dyDescent="0.35">
      <c r="E34" s="8">
        <v>0.157</v>
      </c>
      <c r="F34" s="27">
        <f t="shared" si="0"/>
        <v>0.12</v>
      </c>
      <c r="G34" s="23">
        <v>1171.17</v>
      </c>
      <c r="H34">
        <f t="shared" si="1"/>
        <v>1276.5753000000002</v>
      </c>
      <c r="I34">
        <v>11</v>
      </c>
      <c r="J34" s="28">
        <f t="shared" si="4"/>
        <v>12.540000000000001</v>
      </c>
      <c r="K34" s="23">
        <v>2030.64</v>
      </c>
      <c r="L34" s="23">
        <f t="shared" si="2"/>
        <v>22408.518528000004</v>
      </c>
      <c r="M34" s="23">
        <f t="shared" si="3"/>
        <v>6400.2642660000001</v>
      </c>
      <c r="O34" s="23">
        <f>L34-'Part A (2&amp;3)'!R34</f>
        <v>3578.3938080000044</v>
      </c>
      <c r="P34" s="23">
        <f>M34-'Part A (2&amp;3)'!T34</f>
        <v>453.00954600000114</v>
      </c>
    </row>
    <row r="35" spans="5:16" x14ac:dyDescent="0.35">
      <c r="E35" s="8">
        <v>0.20300000000000001</v>
      </c>
      <c r="F35" s="27">
        <f t="shared" si="0"/>
        <v>0.12</v>
      </c>
      <c r="G35" s="23">
        <v>481.71</v>
      </c>
      <c r="H35">
        <f t="shared" si="1"/>
        <v>525.06389999999999</v>
      </c>
      <c r="I35">
        <v>24</v>
      </c>
      <c r="J35" s="28">
        <f t="shared" si="4"/>
        <v>27.360000000000003</v>
      </c>
      <c r="K35" s="23">
        <v>912.45</v>
      </c>
      <c r="L35" s="23">
        <f t="shared" si="2"/>
        <v>21968.876160000003</v>
      </c>
      <c r="M35" s="23">
        <f t="shared" si="3"/>
        <v>7603.1278560000028</v>
      </c>
      <c r="O35" s="23">
        <f>L35-'Part A (2&amp;3)'!R35</f>
        <v>4515.5325600000033</v>
      </c>
      <c r="P35" s="23">
        <f>M35-'Part A (2&amp;3)'!T35</f>
        <v>1710.8242560000017</v>
      </c>
    </row>
    <row r="36" spans="5:16" x14ac:dyDescent="0.35">
      <c r="E36" s="8">
        <v>6.4000000000000001E-2</v>
      </c>
      <c r="F36" s="27">
        <f t="shared" si="0"/>
        <v>6.4000000000000001E-2</v>
      </c>
      <c r="G36" s="23">
        <v>1126.29</v>
      </c>
      <c r="H36">
        <f t="shared" si="1"/>
        <v>1227.6561000000002</v>
      </c>
      <c r="I36">
        <v>7</v>
      </c>
      <c r="J36" s="28">
        <f t="shared" si="4"/>
        <v>7.98</v>
      </c>
      <c r="K36" s="23">
        <v>2050.87</v>
      </c>
      <c r="L36" s="23">
        <f t="shared" si="2"/>
        <v>15318.522273599998</v>
      </c>
      <c r="M36" s="23">
        <f t="shared" si="3"/>
        <v>5521.8265955999959</v>
      </c>
      <c r="O36" s="23">
        <f>L36-'Part A (2&amp;3)'!R36</f>
        <v>1881.2220335999991</v>
      </c>
      <c r="P36" s="23">
        <f>M36-'Part A (2&amp;3)'!T36</f>
        <v>-31.443644400002995</v>
      </c>
    </row>
    <row r="37" spans="5:16" x14ac:dyDescent="0.35">
      <c r="E37" s="8">
        <v>0.189</v>
      </c>
      <c r="F37" s="27">
        <f t="shared" si="0"/>
        <v>0.12</v>
      </c>
      <c r="G37" s="23">
        <v>1024.0999999999999</v>
      </c>
      <c r="H37">
        <f t="shared" si="1"/>
        <v>1116.269</v>
      </c>
      <c r="I37">
        <v>10</v>
      </c>
      <c r="J37" s="28">
        <f t="shared" si="4"/>
        <v>11.400000000000002</v>
      </c>
      <c r="K37" s="23">
        <v>918.19</v>
      </c>
      <c r="L37" s="23">
        <f t="shared" si="2"/>
        <v>9211.2820800000027</v>
      </c>
      <c r="M37" s="23">
        <f t="shared" si="3"/>
        <v>-3514.1845199999989</v>
      </c>
      <c r="O37" s="23">
        <f>L37-'Part A (2&amp;3)'!R37</f>
        <v>1764.7611800000022</v>
      </c>
      <c r="P37" s="23">
        <f>M37-'Part A (2&amp;3)'!T37</f>
        <v>-719.70541999999932</v>
      </c>
    </row>
    <row r="38" spans="5:16" x14ac:dyDescent="0.35">
      <c r="E38" s="8">
        <v>0.13900000000000001</v>
      </c>
      <c r="F38" s="27">
        <f t="shared" si="0"/>
        <v>0.12</v>
      </c>
      <c r="G38" s="23">
        <v>1113.7</v>
      </c>
      <c r="H38">
        <f t="shared" si="1"/>
        <v>1213.9330000000002</v>
      </c>
      <c r="I38">
        <v>11</v>
      </c>
      <c r="J38" s="28">
        <f t="shared" si="4"/>
        <v>12.540000000000001</v>
      </c>
      <c r="K38" s="23">
        <v>1620.6</v>
      </c>
      <c r="L38" s="23">
        <f t="shared" si="2"/>
        <v>17883.645120000001</v>
      </c>
      <c r="M38" s="23">
        <f t="shared" si="3"/>
        <v>2660.9252999999972</v>
      </c>
      <c r="O38" s="23">
        <f>L38-'Part A (2&amp;3)'!R38</f>
        <v>2534.9425200000023</v>
      </c>
      <c r="P38" s="23">
        <f>M38-'Part A (2&amp;3)'!T38</f>
        <v>-437.07730000000083</v>
      </c>
    </row>
    <row r="39" spans="5:16" x14ac:dyDescent="0.35">
      <c r="E39" s="8">
        <v>0.10199999999999999</v>
      </c>
      <c r="F39" s="27">
        <f t="shared" si="0"/>
        <v>0.10199999999999999</v>
      </c>
      <c r="G39" s="23">
        <v>1309.77</v>
      </c>
      <c r="H39">
        <f t="shared" si="1"/>
        <v>1427.6493</v>
      </c>
      <c r="I39">
        <v>10</v>
      </c>
      <c r="J39" s="28">
        <f t="shared" si="4"/>
        <v>11.400000000000002</v>
      </c>
      <c r="K39" s="23">
        <v>1589.07</v>
      </c>
      <c r="L39" s="23">
        <f t="shared" si="2"/>
        <v>16267.627404000003</v>
      </c>
      <c r="M39" s="23">
        <f t="shared" si="3"/>
        <v>-7.5746160000016971</v>
      </c>
      <c r="O39" s="23">
        <f>L39-'Part A (2&amp;3)'!R39</f>
        <v>1997.7788040000032</v>
      </c>
      <c r="P39" s="23">
        <f>M39-'Part A (2&amp;3)'!T39</f>
        <v>-1179.7232160000003</v>
      </c>
    </row>
    <row r="40" spans="5:16" x14ac:dyDescent="0.35">
      <c r="E40" s="8">
        <v>0.16500000000000001</v>
      </c>
      <c r="F40" s="27">
        <f t="shared" si="0"/>
        <v>0.12</v>
      </c>
      <c r="G40" s="23">
        <v>472.33</v>
      </c>
      <c r="H40">
        <f t="shared" si="1"/>
        <v>514.83969999999999</v>
      </c>
      <c r="I40">
        <v>14</v>
      </c>
      <c r="J40" s="28">
        <f t="shared" si="4"/>
        <v>15.96</v>
      </c>
      <c r="K40" s="23">
        <v>360.34</v>
      </c>
      <c r="L40" s="23">
        <f t="shared" si="2"/>
        <v>5060.9032320000006</v>
      </c>
      <c r="M40" s="23">
        <f t="shared" si="3"/>
        <v>-3155.9383799999996</v>
      </c>
      <c r="O40" s="23">
        <f>L40-'Part A (2&amp;3)'!R40</f>
        <v>848.52863200000138</v>
      </c>
      <c r="P40" s="23">
        <f>M40-'Part A (2&amp;3)'!T40</f>
        <v>-755.6929799999989</v>
      </c>
    </row>
    <row r="41" spans="5:16" x14ac:dyDescent="0.35">
      <c r="E41" s="8">
        <v>0.112</v>
      </c>
      <c r="F41" s="27">
        <f t="shared" si="0"/>
        <v>0.112</v>
      </c>
      <c r="G41" s="23">
        <v>692.18</v>
      </c>
      <c r="H41">
        <f t="shared" si="1"/>
        <v>754.47619999999995</v>
      </c>
      <c r="I41">
        <v>2</v>
      </c>
      <c r="J41" s="28">
        <f t="shared" si="4"/>
        <v>2.2800000000000002</v>
      </c>
      <c r="K41" s="23">
        <v>1159.3499999999999</v>
      </c>
      <c r="L41" s="23">
        <f t="shared" si="2"/>
        <v>2347.266384</v>
      </c>
      <c r="M41" s="23">
        <f t="shared" si="3"/>
        <v>627.0606479999999</v>
      </c>
      <c r="O41" s="23">
        <f>L41-'Part A (2&amp;3)'!R41</f>
        <v>288.26078400000006</v>
      </c>
      <c r="P41" s="23">
        <f>M41-'Part A (2&amp;3)'!T41</f>
        <v>-47.584952000000158</v>
      </c>
    </row>
    <row r="42" spans="5:16" x14ac:dyDescent="0.35">
      <c r="E42" s="8">
        <v>0.189</v>
      </c>
      <c r="F42" s="27">
        <f t="shared" si="0"/>
        <v>0.12</v>
      </c>
      <c r="G42" s="23">
        <v>1082.17</v>
      </c>
      <c r="H42">
        <f t="shared" si="1"/>
        <v>1179.5653000000002</v>
      </c>
      <c r="I42">
        <v>16</v>
      </c>
      <c r="J42" s="28">
        <f t="shared" si="4"/>
        <v>18.240000000000002</v>
      </c>
      <c r="K42" s="23">
        <v>1234.0999999999999</v>
      </c>
      <c r="L42" s="23">
        <f t="shared" si="2"/>
        <v>19808.785920000002</v>
      </c>
      <c r="M42" s="23">
        <f t="shared" si="3"/>
        <v>-1706.4851520000047</v>
      </c>
      <c r="O42" s="23">
        <f>L42-'Part A (2&amp;3)'!R42</f>
        <v>3795.104320000004</v>
      </c>
      <c r="P42" s="23">
        <f>M42-'Part A (2&amp;3)'!T42</f>
        <v>-405.44675200000165</v>
      </c>
    </row>
    <row r="43" spans="5:16" x14ac:dyDescent="0.35">
      <c r="E43" s="8">
        <v>0.151</v>
      </c>
      <c r="F43" s="27">
        <f t="shared" si="0"/>
        <v>0.12</v>
      </c>
      <c r="G43" s="23">
        <v>875.36</v>
      </c>
      <c r="H43">
        <f t="shared" si="1"/>
        <v>954.14240000000007</v>
      </c>
      <c r="I43">
        <v>53</v>
      </c>
      <c r="J43" s="28">
        <f t="shared" si="4"/>
        <v>60.420000000000009</v>
      </c>
      <c r="K43" s="23">
        <v>1178.6199999999999</v>
      </c>
      <c r="L43" s="23">
        <f t="shared" si="2"/>
        <v>62666.753952000014</v>
      </c>
      <c r="M43" s="23">
        <f t="shared" si="3"/>
        <v>5017.470143999999</v>
      </c>
      <c r="O43" s="23">
        <f>L43-'Part A (2&amp;3)'!R43</f>
        <v>9632.3898120000231</v>
      </c>
      <c r="P43" s="23">
        <f>M43-'Part A (2&amp;3)'!T43</f>
        <v>-1622.8139959999899</v>
      </c>
    </row>
    <row r="44" spans="5:16" x14ac:dyDescent="0.35">
      <c r="E44" s="8">
        <v>0.14000000000000001</v>
      </c>
      <c r="F44" s="27">
        <f t="shared" si="0"/>
        <v>0.12</v>
      </c>
      <c r="G44" s="23">
        <v>135.12</v>
      </c>
      <c r="H44">
        <f t="shared" si="1"/>
        <v>147.28080000000003</v>
      </c>
      <c r="I44">
        <v>47</v>
      </c>
      <c r="J44" s="28">
        <f t="shared" si="4"/>
        <v>53.580000000000005</v>
      </c>
      <c r="K44" s="23">
        <v>301.7</v>
      </c>
      <c r="L44" s="23">
        <f t="shared" si="2"/>
        <v>14225.275680000001</v>
      </c>
      <c r="M44" s="23">
        <f t="shared" si="3"/>
        <v>6333.9704159999983</v>
      </c>
      <c r="O44" s="23">
        <f>L44-'Part A (2&amp;3)'!R44</f>
        <v>2030.5616800000007</v>
      </c>
      <c r="P44" s="23">
        <f>M44-'Part A (2&amp;3)'!T44</f>
        <v>489.89641599999868</v>
      </c>
    </row>
    <row r="45" spans="5:16" x14ac:dyDescent="0.35">
      <c r="E45" s="8">
        <v>0.10100000000000001</v>
      </c>
      <c r="F45" s="27">
        <f t="shared" si="0"/>
        <v>0.10100000000000001</v>
      </c>
      <c r="G45" s="23">
        <v>178.53</v>
      </c>
      <c r="H45">
        <f t="shared" si="1"/>
        <v>194.5977</v>
      </c>
      <c r="I45">
        <v>37</v>
      </c>
      <c r="J45" s="28">
        <f t="shared" si="4"/>
        <v>42.180000000000007</v>
      </c>
      <c r="K45" s="23">
        <v>199.37</v>
      </c>
      <c r="L45" s="23">
        <f t="shared" si="2"/>
        <v>7560.0745134000017</v>
      </c>
      <c r="M45" s="23">
        <f t="shared" si="3"/>
        <v>-648.05647260000023</v>
      </c>
      <c r="O45" s="23">
        <f>L45-'Part A (2&amp;3)'!R45</f>
        <v>928.43020340000112</v>
      </c>
      <c r="P45" s="23">
        <f>M45-'Part A (2&amp;3)'!T45</f>
        <v>-674.09078260000115</v>
      </c>
    </row>
    <row r="46" spans="5:16" x14ac:dyDescent="0.35">
      <c r="E46" s="8">
        <v>0</v>
      </c>
      <c r="F46" s="27">
        <f t="shared" si="0"/>
        <v>0</v>
      </c>
      <c r="G46" s="23">
        <v>533.26</v>
      </c>
      <c r="H46">
        <f t="shared" si="1"/>
        <v>581.25340000000006</v>
      </c>
      <c r="I46">
        <v>15</v>
      </c>
      <c r="J46" s="28">
        <f t="shared" si="4"/>
        <v>17.100000000000001</v>
      </c>
      <c r="K46" s="23">
        <v>385.72</v>
      </c>
      <c r="L46" s="23">
        <f t="shared" si="2"/>
        <v>6595.8120000000008</v>
      </c>
      <c r="M46" s="23">
        <f t="shared" si="3"/>
        <v>-3343.6211400000002</v>
      </c>
      <c r="O46" s="23">
        <f>L46-'Part A (2&amp;3)'!R46</f>
        <v>810.01200000000063</v>
      </c>
      <c r="P46" s="23">
        <f>M46-'Part A (2&amp;3)'!T46</f>
        <v>-1130.5211400000007</v>
      </c>
    </row>
    <row r="47" spans="5:16" x14ac:dyDescent="0.35">
      <c r="E47" s="8">
        <v>0.26500000000000001</v>
      </c>
      <c r="F47" s="27">
        <f t="shared" si="0"/>
        <v>0.12</v>
      </c>
      <c r="G47" s="23">
        <v>304.22000000000003</v>
      </c>
      <c r="H47">
        <f t="shared" si="1"/>
        <v>331.59980000000007</v>
      </c>
      <c r="I47">
        <v>15</v>
      </c>
      <c r="J47" s="28">
        <f t="shared" si="4"/>
        <v>17.100000000000001</v>
      </c>
      <c r="K47" s="23">
        <v>393.31</v>
      </c>
      <c r="L47" s="23">
        <f t="shared" si="2"/>
        <v>5918.5288800000008</v>
      </c>
      <c r="M47" s="23">
        <f t="shared" si="3"/>
        <v>248.17229999999927</v>
      </c>
      <c r="O47" s="23">
        <f>L47-'Part A (2&amp;3)'!R47</f>
        <v>1582.2861300000013</v>
      </c>
      <c r="P47" s="23">
        <f>M47-'Part A (2&amp;3)'!T47</f>
        <v>475.22955000000002</v>
      </c>
    </row>
    <row r="48" spans="5:16" x14ac:dyDescent="0.35">
      <c r="E48" s="8">
        <v>0</v>
      </c>
      <c r="F48" s="27">
        <f t="shared" si="0"/>
        <v>0</v>
      </c>
      <c r="G48" s="23">
        <v>790.54</v>
      </c>
      <c r="H48">
        <f t="shared" si="1"/>
        <v>861.68860000000006</v>
      </c>
      <c r="I48">
        <v>15</v>
      </c>
      <c r="J48" s="28">
        <f t="shared" si="4"/>
        <v>17.100000000000001</v>
      </c>
      <c r="K48" s="23">
        <v>601.49</v>
      </c>
      <c r="L48" s="23">
        <f t="shared" si="2"/>
        <v>10285.479000000001</v>
      </c>
      <c r="M48" s="23">
        <f t="shared" si="3"/>
        <v>-4449.3960600000009</v>
      </c>
      <c r="O48" s="23">
        <f>L48-'Part A (2&amp;3)'!R48</f>
        <v>1263.1290000000008</v>
      </c>
      <c r="P48" s="23">
        <f>M48-'Part A (2&amp;3)'!T48</f>
        <v>-1613.6460600000028</v>
      </c>
    </row>
    <row r="49" spans="5:16" x14ac:dyDescent="0.35">
      <c r="E49" s="8">
        <v>5.6000000000000001E-2</v>
      </c>
      <c r="F49" s="27">
        <f t="shared" si="0"/>
        <v>5.6000000000000001E-2</v>
      </c>
      <c r="G49" s="23">
        <v>213.1</v>
      </c>
      <c r="H49">
        <f t="shared" si="1"/>
        <v>232.27900000000002</v>
      </c>
      <c r="I49">
        <v>15</v>
      </c>
      <c r="J49" s="28">
        <f t="shared" si="4"/>
        <v>17.100000000000001</v>
      </c>
      <c r="K49" s="23">
        <v>501.31</v>
      </c>
      <c r="L49" s="23">
        <f t="shared" si="2"/>
        <v>8092.346544</v>
      </c>
      <c r="M49" s="23">
        <f t="shared" si="3"/>
        <v>4120.3756439999997</v>
      </c>
      <c r="O49" s="23">
        <f>L49-'Part A (2&amp;3)'!R49</f>
        <v>993.79694400000062</v>
      </c>
      <c r="P49" s="23">
        <f>M49-'Part A (2&amp;3)'!T49</f>
        <v>218.32604400000037</v>
      </c>
    </row>
    <row r="50" spans="5:16" x14ac:dyDescent="0.35">
      <c r="E50" s="8">
        <v>3.4000000000000002E-2</v>
      </c>
      <c r="F50" s="27">
        <f t="shared" si="0"/>
        <v>3.4000000000000002E-2</v>
      </c>
      <c r="G50" s="23">
        <v>1084.79</v>
      </c>
      <c r="H50">
        <f t="shared" si="1"/>
        <v>1182.4211</v>
      </c>
      <c r="I50">
        <v>18</v>
      </c>
      <c r="J50" s="28">
        <f t="shared" si="4"/>
        <v>20.520000000000003</v>
      </c>
      <c r="K50" s="23">
        <v>2484.9899999999998</v>
      </c>
      <c r="L50" s="23">
        <f t="shared" si="2"/>
        <v>49258.266976799998</v>
      </c>
      <c r="M50" s="23">
        <f t="shared" si="3"/>
        <v>24994.986004799994</v>
      </c>
      <c r="O50" s="23">
        <f>L50-'Part A (2&amp;3)'!R50</f>
        <v>6049.2608568000069</v>
      </c>
      <c r="P50" s="23">
        <f>M50-'Part A (2&amp;3)'!T50</f>
        <v>1312.1998848000039</v>
      </c>
    </row>
    <row r="51" spans="5:16" x14ac:dyDescent="0.35">
      <c r="E51" s="8">
        <v>0.107</v>
      </c>
      <c r="F51" s="27">
        <f t="shared" si="0"/>
        <v>0.107</v>
      </c>
      <c r="G51" s="23">
        <v>720.35</v>
      </c>
      <c r="H51">
        <f t="shared" si="1"/>
        <v>785.18150000000003</v>
      </c>
      <c r="I51">
        <v>23</v>
      </c>
      <c r="J51" s="28">
        <f t="shared" si="4"/>
        <v>26.220000000000002</v>
      </c>
      <c r="K51" s="23">
        <v>1571.66</v>
      </c>
      <c r="L51" s="23">
        <f t="shared" si="2"/>
        <v>36799.570203600008</v>
      </c>
      <c r="M51" s="23">
        <f t="shared" si="3"/>
        <v>16212.111273600003</v>
      </c>
      <c r="O51" s="23">
        <f>L51-'Part A (2&amp;3)'!R51</f>
        <v>4519.2454636000075</v>
      </c>
      <c r="P51" s="23">
        <f>M51-'Part A (2&amp;3)'!T51</f>
        <v>499.83653360000244</v>
      </c>
    </row>
    <row r="52" spans="5:16" x14ac:dyDescent="0.35">
      <c r="E52" s="8">
        <v>0.19</v>
      </c>
      <c r="F52" s="27">
        <f t="shared" si="0"/>
        <v>0.12</v>
      </c>
      <c r="G52" s="23">
        <v>405.66</v>
      </c>
      <c r="H52">
        <f t="shared" si="1"/>
        <v>442.16940000000005</v>
      </c>
      <c r="I52">
        <v>7</v>
      </c>
      <c r="J52" s="28">
        <f t="shared" si="4"/>
        <v>7.98</v>
      </c>
      <c r="K52" s="23">
        <v>962.51</v>
      </c>
      <c r="L52" s="23">
        <f t="shared" si="2"/>
        <v>6759.1302239999995</v>
      </c>
      <c r="M52" s="23">
        <f t="shared" si="3"/>
        <v>3230.6184119999989</v>
      </c>
      <c r="O52" s="23">
        <f>L52-'Part A (2&amp;3)'!R52</f>
        <v>1301.6985239999995</v>
      </c>
      <c r="P52" s="23">
        <f>M52-'Part A (2&amp;3)'!T52</f>
        <v>612.80671199999915</v>
      </c>
    </row>
    <row r="53" spans="5:16" x14ac:dyDescent="0.35">
      <c r="E53" s="8">
        <v>9.4E-2</v>
      </c>
      <c r="F53" s="27">
        <f t="shared" si="0"/>
        <v>9.4E-2</v>
      </c>
      <c r="G53" s="23">
        <v>1087.81</v>
      </c>
      <c r="H53">
        <f t="shared" si="1"/>
        <v>1185.7129</v>
      </c>
      <c r="I53">
        <v>13</v>
      </c>
      <c r="J53" s="28">
        <f t="shared" si="4"/>
        <v>14.820000000000002</v>
      </c>
      <c r="K53" s="23">
        <v>2323.87</v>
      </c>
      <c r="L53" s="23">
        <f t="shared" si="2"/>
        <v>31202.4165804</v>
      </c>
      <c r="M53" s="23">
        <f t="shared" si="3"/>
        <v>13630.151402399999</v>
      </c>
      <c r="O53" s="23">
        <f>L53-'Part A (2&amp;3)'!R53</f>
        <v>3831.875720400003</v>
      </c>
      <c r="P53" s="23">
        <f>M53-'Part A (2&amp;3)'!T53</f>
        <v>401.14054240000041</v>
      </c>
    </row>
    <row r="54" spans="5:16" x14ac:dyDescent="0.35">
      <c r="E54" s="8">
        <v>0.28199999999999997</v>
      </c>
      <c r="F54" s="27">
        <f t="shared" si="0"/>
        <v>0.12</v>
      </c>
      <c r="G54" s="23">
        <v>32.1</v>
      </c>
      <c r="H54">
        <f t="shared" si="1"/>
        <v>34.989000000000004</v>
      </c>
      <c r="I54">
        <v>22</v>
      </c>
      <c r="J54" s="28">
        <f t="shared" si="4"/>
        <v>25.080000000000002</v>
      </c>
      <c r="K54" s="23">
        <v>70.599999999999994</v>
      </c>
      <c r="L54" s="23">
        <f t="shared" si="2"/>
        <v>1558.1702399999999</v>
      </c>
      <c r="M54" s="23">
        <f t="shared" si="3"/>
        <v>680.64611999999977</v>
      </c>
      <c r="O54" s="23">
        <f>L54-'Part A (2&amp;3)'!R54</f>
        <v>442.97264000000018</v>
      </c>
      <c r="P54" s="23">
        <f>M54-'Part A (2&amp;3)'!T54</f>
        <v>271.64852000000008</v>
      </c>
    </row>
    <row r="55" spans="5:16" x14ac:dyDescent="0.35">
      <c r="E55" s="8">
        <v>9.8000000000000004E-2</v>
      </c>
      <c r="F55" s="27">
        <f t="shared" si="0"/>
        <v>9.8000000000000004E-2</v>
      </c>
      <c r="G55" s="23">
        <v>227.02</v>
      </c>
      <c r="H55">
        <f t="shared" si="1"/>
        <v>247.45180000000002</v>
      </c>
      <c r="I55">
        <v>10</v>
      </c>
      <c r="J55" s="28">
        <f t="shared" si="4"/>
        <v>11.400000000000002</v>
      </c>
      <c r="K55" s="23">
        <v>434.72</v>
      </c>
      <c r="L55" s="23">
        <f t="shared" si="2"/>
        <v>4470.1388160000015</v>
      </c>
      <c r="M55" s="23">
        <f t="shared" si="3"/>
        <v>1649.1882960000007</v>
      </c>
      <c r="O55" s="23">
        <f>L55-'Part A (2&amp;3)'!R55</f>
        <v>548.96441600000071</v>
      </c>
      <c r="P55" s="23">
        <f>M55-'Part A (2&amp;3)'!T55</f>
        <v>-1.7861039999997956</v>
      </c>
    </row>
    <row r="56" spans="5:16" x14ac:dyDescent="0.35">
      <c r="E56" s="8">
        <v>0.13700000000000001</v>
      </c>
      <c r="F56" s="27">
        <f t="shared" si="0"/>
        <v>0.12</v>
      </c>
      <c r="G56" s="23">
        <v>671.05</v>
      </c>
      <c r="H56">
        <f t="shared" si="1"/>
        <v>731.44449999999995</v>
      </c>
      <c r="I56">
        <v>6</v>
      </c>
      <c r="J56" s="28">
        <f t="shared" si="4"/>
        <v>6.8400000000000007</v>
      </c>
      <c r="K56" s="23">
        <v>1645.48</v>
      </c>
      <c r="L56" s="23">
        <f t="shared" si="2"/>
        <v>9904.4732160000021</v>
      </c>
      <c r="M56" s="23">
        <f t="shared" si="3"/>
        <v>4901.3928360000018</v>
      </c>
      <c r="O56" s="23">
        <f>L56-'Part A (2&amp;3)'!R56</f>
        <v>1384.1777760000023</v>
      </c>
      <c r="P56" s="23">
        <f>M56-'Part A (2&amp;3)'!T56</f>
        <v>407.39739600000121</v>
      </c>
    </row>
    <row r="57" spans="5:16" x14ac:dyDescent="0.35">
      <c r="E57" s="8">
        <v>0</v>
      </c>
      <c r="F57" s="27">
        <f t="shared" si="0"/>
        <v>0</v>
      </c>
      <c r="G57" s="23">
        <v>209.25</v>
      </c>
      <c r="H57">
        <f t="shared" si="1"/>
        <v>228.08250000000001</v>
      </c>
      <c r="I57">
        <v>9</v>
      </c>
      <c r="J57" s="28">
        <f t="shared" si="4"/>
        <v>10.260000000000002</v>
      </c>
      <c r="K57" s="23">
        <v>434.8</v>
      </c>
      <c r="L57" s="23">
        <f t="shared" si="2"/>
        <v>4461.0480000000007</v>
      </c>
      <c r="M57" s="23">
        <f t="shared" si="3"/>
        <v>2120.92155</v>
      </c>
      <c r="O57" s="23">
        <f>L57-'Part A (2&amp;3)'!R57</f>
        <v>547.84800000000041</v>
      </c>
      <c r="P57" s="23">
        <f>M57-'Part A (2&amp;3)'!T57</f>
        <v>90.971549999999752</v>
      </c>
    </row>
    <row r="58" spans="5:16" x14ac:dyDescent="0.35">
      <c r="E58" s="8">
        <v>0.155</v>
      </c>
      <c r="F58" s="27">
        <f t="shared" si="0"/>
        <v>0.12</v>
      </c>
      <c r="G58" s="23">
        <v>1320.33</v>
      </c>
      <c r="H58">
        <f t="shared" si="1"/>
        <v>1439.1596999999999</v>
      </c>
      <c r="I58">
        <v>25</v>
      </c>
      <c r="J58" s="28">
        <f t="shared" si="4"/>
        <v>28.500000000000004</v>
      </c>
      <c r="K58" s="23">
        <v>2645.23</v>
      </c>
      <c r="L58" s="23">
        <f t="shared" si="2"/>
        <v>66342.368400000007</v>
      </c>
      <c r="M58" s="23">
        <f t="shared" si="3"/>
        <v>25326.31695</v>
      </c>
      <c r="O58" s="23">
        <f>L58-'Part A (2&amp;3)'!R58</f>
        <v>10461.884650000007</v>
      </c>
      <c r="P58" s="23">
        <f>M58-'Part A (2&amp;3)'!T58</f>
        <v>2454.0832000000009</v>
      </c>
    </row>
    <row r="59" spans="5:16" x14ac:dyDescent="0.35">
      <c r="E59" s="8">
        <v>0.02</v>
      </c>
      <c r="F59" s="27">
        <f t="shared" si="0"/>
        <v>0.02</v>
      </c>
      <c r="G59" s="23">
        <v>553.61</v>
      </c>
      <c r="H59">
        <f t="shared" si="1"/>
        <v>603.43490000000008</v>
      </c>
      <c r="I59">
        <v>33</v>
      </c>
      <c r="J59" s="28">
        <f t="shared" si="4"/>
        <v>37.620000000000005</v>
      </c>
      <c r="K59" s="23">
        <v>699.47</v>
      </c>
      <c r="L59" s="23">
        <f t="shared" si="2"/>
        <v>25787.780172000002</v>
      </c>
      <c r="M59" s="23">
        <f t="shared" si="3"/>
        <v>3086.5592339999966</v>
      </c>
      <c r="O59" s="23">
        <f>L59-'Part A (2&amp;3)'!R59</f>
        <v>3166.9203720000005</v>
      </c>
      <c r="P59" s="23">
        <f>M59-'Part A (2&amp;3)'!T59</f>
        <v>-1265.1705660000043</v>
      </c>
    </row>
    <row r="60" spans="5:16" x14ac:dyDescent="0.35">
      <c r="E60" s="8">
        <v>0.104</v>
      </c>
      <c r="F60" s="27">
        <f t="shared" si="0"/>
        <v>0.104</v>
      </c>
      <c r="G60" s="23">
        <v>1099.1500000000001</v>
      </c>
      <c r="H60">
        <f t="shared" si="1"/>
        <v>1198.0735000000002</v>
      </c>
      <c r="I60">
        <v>8</v>
      </c>
      <c r="J60" s="28">
        <f t="shared" si="4"/>
        <v>9.120000000000001</v>
      </c>
      <c r="K60" s="23">
        <v>1431.37</v>
      </c>
      <c r="L60" s="23">
        <f t="shared" si="2"/>
        <v>11696.468582400001</v>
      </c>
      <c r="M60" s="23">
        <f t="shared" si="3"/>
        <v>770.03826239999762</v>
      </c>
      <c r="O60" s="23">
        <f>L60-'Part A (2&amp;3)'!R60</f>
        <v>1436.4084224000017</v>
      </c>
      <c r="P60" s="23">
        <f>M60-'Part A (2&amp;3)'!T60</f>
        <v>-696.82189760000074</v>
      </c>
    </row>
    <row r="61" spans="5:16" x14ac:dyDescent="0.35">
      <c r="E61" s="8">
        <v>0.19700000000000001</v>
      </c>
      <c r="F61" s="27">
        <f t="shared" si="0"/>
        <v>0.12</v>
      </c>
      <c r="G61" s="23">
        <v>329.03</v>
      </c>
      <c r="H61">
        <f t="shared" si="1"/>
        <v>358.64269999999999</v>
      </c>
      <c r="I61">
        <v>46</v>
      </c>
      <c r="J61" s="28">
        <f t="shared" si="4"/>
        <v>52.440000000000005</v>
      </c>
      <c r="K61" s="23">
        <v>391.15</v>
      </c>
      <c r="L61" s="23">
        <f t="shared" si="2"/>
        <v>18050.477280000003</v>
      </c>
      <c r="M61" s="23">
        <f t="shared" si="3"/>
        <v>-756.74590799999714</v>
      </c>
      <c r="O61" s="23">
        <f>L61-'Part A (2&amp;3)'!R61</f>
        <v>3602.1785800000052</v>
      </c>
      <c r="P61" s="23">
        <f>M61-'Part A (2&amp;3)'!T61</f>
        <v>-69.664607999995496</v>
      </c>
    </row>
    <row r="62" spans="5:16" x14ac:dyDescent="0.35">
      <c r="E62" s="8">
        <v>0.16900000000000001</v>
      </c>
      <c r="F62" s="27">
        <f t="shared" si="0"/>
        <v>0.12</v>
      </c>
      <c r="G62" s="23">
        <v>826.55</v>
      </c>
      <c r="H62">
        <f t="shared" si="1"/>
        <v>900.93950000000007</v>
      </c>
      <c r="I62">
        <v>28</v>
      </c>
      <c r="J62" s="28">
        <f t="shared" si="4"/>
        <v>31.92</v>
      </c>
      <c r="K62" s="23">
        <v>1397.05</v>
      </c>
      <c r="L62" s="23">
        <f t="shared" si="2"/>
        <v>39242.575680000002</v>
      </c>
      <c r="M62" s="23">
        <f t="shared" si="3"/>
        <v>10484.586839999996</v>
      </c>
      <c r="O62" s="23">
        <f>L62-'Part A (2&amp;3)'!R62</f>
        <v>6736.0162800000035</v>
      </c>
      <c r="P62" s="23">
        <f>M62-'Part A (2&amp;3)'!T62</f>
        <v>1121.4274399999958</v>
      </c>
    </row>
    <row r="63" spans="5:16" x14ac:dyDescent="0.35">
      <c r="E63" s="8">
        <v>2.9000000000000001E-2</v>
      </c>
      <c r="F63" s="27">
        <f t="shared" si="0"/>
        <v>2.9000000000000001E-2</v>
      </c>
      <c r="G63" s="23">
        <v>1178.42</v>
      </c>
      <c r="H63">
        <f t="shared" si="1"/>
        <v>1284.4778000000001</v>
      </c>
      <c r="I63">
        <v>11</v>
      </c>
      <c r="J63" s="28">
        <f t="shared" si="4"/>
        <v>12.540000000000001</v>
      </c>
      <c r="K63" s="23">
        <v>2446.56</v>
      </c>
      <c r="L63" s="23">
        <f t="shared" si="2"/>
        <v>29790.146390400001</v>
      </c>
      <c r="M63" s="23">
        <f t="shared" si="3"/>
        <v>13682.794778399999</v>
      </c>
      <c r="O63" s="23">
        <f>L63-'Part A (2&amp;3)'!R63</f>
        <v>3658.4390304000008</v>
      </c>
      <c r="P63" s="23">
        <f>M63-'Part A (2&amp;3)'!T63</f>
        <v>513.70741839999937</v>
      </c>
    </row>
    <row r="64" spans="5:16" x14ac:dyDescent="0.35">
      <c r="E64" s="8">
        <v>5.0999999999999997E-2</v>
      </c>
      <c r="F64" s="27">
        <f t="shared" si="0"/>
        <v>5.0999999999999997E-2</v>
      </c>
      <c r="G64" s="23">
        <v>1089.1500000000001</v>
      </c>
      <c r="H64">
        <f t="shared" si="1"/>
        <v>1187.1735000000001</v>
      </c>
      <c r="I64">
        <v>15</v>
      </c>
      <c r="J64" s="28">
        <f t="shared" si="4"/>
        <v>17.100000000000001</v>
      </c>
      <c r="K64" s="23">
        <v>1088.2</v>
      </c>
      <c r="L64" s="23">
        <f t="shared" si="2"/>
        <v>17659.200780000003</v>
      </c>
      <c r="M64" s="23">
        <f t="shared" si="3"/>
        <v>-2641.4660700000022</v>
      </c>
      <c r="O64" s="23">
        <f>L64-'Part A (2&amp;3)'!R64</f>
        <v>2168.6737800000028</v>
      </c>
      <c r="P64" s="23">
        <f>M64-'Part A (2&amp;3)'!T64</f>
        <v>-1794.7430700000004</v>
      </c>
    </row>
    <row r="65" spans="5:16" x14ac:dyDescent="0.35">
      <c r="E65" s="8">
        <v>0.17499999999999999</v>
      </c>
      <c r="F65" s="27">
        <f t="shared" si="0"/>
        <v>0.12</v>
      </c>
      <c r="G65" s="23">
        <v>1013.54</v>
      </c>
      <c r="H65">
        <f t="shared" si="1"/>
        <v>1104.7586000000001</v>
      </c>
      <c r="I65">
        <v>16</v>
      </c>
      <c r="J65" s="28">
        <f t="shared" si="4"/>
        <v>18.240000000000002</v>
      </c>
      <c r="K65" s="23">
        <v>927.93</v>
      </c>
      <c r="L65" s="23">
        <f t="shared" si="2"/>
        <v>14894.390016000001</v>
      </c>
      <c r="M65" s="23">
        <f t="shared" si="3"/>
        <v>-5256.4068480000024</v>
      </c>
      <c r="O65" s="23">
        <f>L65-'Part A (2&amp;3)'!R65</f>
        <v>2645.7140160000017</v>
      </c>
      <c r="P65" s="23">
        <f>M65-'Part A (2&amp;3)'!T65</f>
        <v>-1288.4428480000024</v>
      </c>
    </row>
    <row r="66" spans="5:16" x14ac:dyDescent="0.35">
      <c r="E66" s="8">
        <v>0.19700000000000001</v>
      </c>
      <c r="F66" s="27">
        <f t="shared" si="0"/>
        <v>0.12</v>
      </c>
      <c r="G66" s="23">
        <v>516.96</v>
      </c>
      <c r="H66">
        <f t="shared" si="1"/>
        <v>563.48640000000012</v>
      </c>
      <c r="I66">
        <v>4</v>
      </c>
      <c r="J66" s="28">
        <f t="shared" si="4"/>
        <v>4.5600000000000005</v>
      </c>
      <c r="K66" s="23">
        <v>745.38</v>
      </c>
      <c r="L66" s="23">
        <f t="shared" si="2"/>
        <v>2991.060864</v>
      </c>
      <c r="M66" s="23">
        <f t="shared" si="3"/>
        <v>421.56287999999904</v>
      </c>
      <c r="O66" s="23">
        <f>L66-'Part A (2&amp;3)'!R66</f>
        <v>596.90030400000023</v>
      </c>
      <c r="P66" s="23">
        <f>M66-'Part A (2&amp;3)'!T66</f>
        <v>95.242319999999381</v>
      </c>
    </row>
    <row r="67" spans="5:16" x14ac:dyDescent="0.35">
      <c r="E67" s="8">
        <v>0.05</v>
      </c>
      <c r="F67" s="27">
        <f t="shared" ref="F67:F130" si="5">MIN(E67,$C$2)</f>
        <v>0.05</v>
      </c>
      <c r="G67" s="23">
        <v>882.33</v>
      </c>
      <c r="H67">
        <f t="shared" ref="H67:H130" si="6">G67*(1+$C$3)</f>
        <v>961.73970000000008</v>
      </c>
      <c r="I67">
        <v>5</v>
      </c>
      <c r="J67" s="28">
        <f t="shared" ref="J67:J130" si="7">I67*(1+$C$4)</f>
        <v>5.7000000000000011</v>
      </c>
      <c r="K67" s="23">
        <v>1880.15</v>
      </c>
      <c r="L67" s="23">
        <f t="shared" ref="L67:L130" si="8">K67*(1-F67)*J67</f>
        <v>10181.012250000002</v>
      </c>
      <c r="M67" s="23">
        <f t="shared" ref="M67:M130" si="9">L67-(H67*J67)</f>
        <v>4699.0959599999996</v>
      </c>
      <c r="O67" s="23">
        <f>L67-'Part A (2&amp;3)'!R67</f>
        <v>1250.2997500000019</v>
      </c>
      <c r="P67" s="23">
        <f>M67-'Part A (2&amp;3)'!T67</f>
        <v>180.03346000000056</v>
      </c>
    </row>
    <row r="68" spans="5:16" x14ac:dyDescent="0.35">
      <c r="E68" s="8">
        <v>0.14699999999999999</v>
      </c>
      <c r="F68" s="27">
        <f t="shared" si="5"/>
        <v>0.12</v>
      </c>
      <c r="G68" s="23">
        <v>607.04</v>
      </c>
      <c r="H68">
        <f t="shared" si="6"/>
        <v>661.67359999999996</v>
      </c>
      <c r="I68">
        <v>7</v>
      </c>
      <c r="J68" s="28">
        <f t="shared" si="7"/>
        <v>7.98</v>
      </c>
      <c r="K68" s="23">
        <v>1229.3399999999999</v>
      </c>
      <c r="L68" s="23">
        <f t="shared" si="8"/>
        <v>8632.9172159999998</v>
      </c>
      <c r="M68" s="23">
        <f t="shared" si="9"/>
        <v>3352.761888</v>
      </c>
      <c r="O68" s="23">
        <f>L68-'Part A (2&amp;3)'!R68</f>
        <v>1292.5280760000005</v>
      </c>
      <c r="P68" s="23">
        <f>M68-'Part A (2&amp;3)'!T68</f>
        <v>261.65274800000043</v>
      </c>
    </row>
    <row r="69" spans="5:16" x14ac:dyDescent="0.35">
      <c r="E69" s="8">
        <v>0.10299999999999999</v>
      </c>
      <c r="F69" s="27">
        <f t="shared" si="5"/>
        <v>0.10299999999999999</v>
      </c>
      <c r="G69" s="23">
        <v>1209.22</v>
      </c>
      <c r="H69">
        <f t="shared" si="6"/>
        <v>1318.0498000000002</v>
      </c>
      <c r="I69">
        <v>11</v>
      </c>
      <c r="J69" s="28">
        <f t="shared" si="7"/>
        <v>12.540000000000001</v>
      </c>
      <c r="K69" s="23">
        <v>1404.33</v>
      </c>
      <c r="L69" s="23">
        <f t="shared" si="8"/>
        <v>15796.4374854</v>
      </c>
      <c r="M69" s="23">
        <f t="shared" si="9"/>
        <v>-731.90700660000402</v>
      </c>
      <c r="O69" s="23">
        <f>L69-'Part A (2&amp;3)'!R69</f>
        <v>1939.9133753999995</v>
      </c>
      <c r="P69" s="23">
        <f>M69-'Part A (2&amp;3)'!T69</f>
        <v>-1287.0111166000042</v>
      </c>
    </row>
    <row r="70" spans="5:16" x14ac:dyDescent="0.35">
      <c r="E70" s="8">
        <v>7.3999999999999996E-2</v>
      </c>
      <c r="F70" s="27">
        <f t="shared" si="5"/>
        <v>7.3999999999999996E-2</v>
      </c>
      <c r="G70" s="23">
        <v>756.51</v>
      </c>
      <c r="H70">
        <f t="shared" si="6"/>
        <v>824.59590000000003</v>
      </c>
      <c r="I70">
        <v>9</v>
      </c>
      <c r="J70" s="28">
        <f t="shared" si="7"/>
        <v>10.260000000000002</v>
      </c>
      <c r="K70" s="23">
        <v>850.8</v>
      </c>
      <c r="L70" s="23">
        <f t="shared" si="8"/>
        <v>8083.2466080000004</v>
      </c>
      <c r="M70" s="23">
        <f t="shared" si="9"/>
        <v>-377.1073260000021</v>
      </c>
      <c r="O70" s="23">
        <f>L70-'Part A (2&amp;3)'!R70</f>
        <v>992.67940799999997</v>
      </c>
      <c r="P70" s="23">
        <f>M70-'Part A (2&amp;3)'!T70</f>
        <v>-659.08452600000237</v>
      </c>
    </row>
    <row r="71" spans="5:16" x14ac:dyDescent="0.35">
      <c r="E71" s="8">
        <v>0.121</v>
      </c>
      <c r="F71" s="27">
        <f t="shared" si="5"/>
        <v>0.12</v>
      </c>
      <c r="G71" s="23">
        <v>81.489999999999995</v>
      </c>
      <c r="H71">
        <f t="shared" si="6"/>
        <v>88.824100000000001</v>
      </c>
      <c r="I71">
        <v>5</v>
      </c>
      <c r="J71" s="28">
        <f t="shared" si="7"/>
        <v>5.7000000000000011</v>
      </c>
      <c r="K71" s="23">
        <v>113.08</v>
      </c>
      <c r="L71" s="23">
        <f t="shared" si="8"/>
        <v>567.20928000000015</v>
      </c>
      <c r="M71" s="23">
        <f t="shared" si="9"/>
        <v>60.911910000000034</v>
      </c>
      <c r="O71" s="23">
        <f>L71-'Part A (2&amp;3)'!R71</f>
        <v>70.222680000000139</v>
      </c>
      <c r="P71" s="23">
        <f>M71-'Part A (2&amp;3)'!T71</f>
        <v>-28.624689999999987</v>
      </c>
    </row>
    <row r="72" spans="5:16" x14ac:dyDescent="0.35">
      <c r="E72" s="8">
        <v>4.9000000000000002E-2</v>
      </c>
      <c r="F72" s="27">
        <f t="shared" si="5"/>
        <v>4.9000000000000002E-2</v>
      </c>
      <c r="G72" s="23">
        <v>327.97</v>
      </c>
      <c r="H72">
        <f t="shared" si="6"/>
        <v>357.48730000000006</v>
      </c>
      <c r="I72">
        <v>3</v>
      </c>
      <c r="J72" s="28">
        <f t="shared" si="7"/>
        <v>3.4200000000000004</v>
      </c>
      <c r="K72" s="23">
        <v>299.94</v>
      </c>
      <c r="L72" s="23">
        <f t="shared" si="8"/>
        <v>975.53085480000004</v>
      </c>
      <c r="M72" s="23">
        <f t="shared" si="9"/>
        <v>-247.07571120000034</v>
      </c>
      <c r="O72" s="23">
        <f>L72-'Part A (2&amp;3)'!R72</f>
        <v>119.80203480000011</v>
      </c>
      <c r="P72" s="23">
        <f>M72-'Part A (2&amp;3)'!T72</f>
        <v>-118.89453120000019</v>
      </c>
    </row>
    <row r="73" spans="5:16" x14ac:dyDescent="0.35">
      <c r="E73" s="8">
        <v>0.11799999999999999</v>
      </c>
      <c r="F73" s="27">
        <f t="shared" si="5"/>
        <v>0.11799999999999999</v>
      </c>
      <c r="G73" s="23">
        <v>1463.92</v>
      </c>
      <c r="H73">
        <f t="shared" si="6"/>
        <v>1595.6728000000003</v>
      </c>
      <c r="I73">
        <v>44</v>
      </c>
      <c r="J73" s="28">
        <f t="shared" si="7"/>
        <v>50.160000000000004</v>
      </c>
      <c r="K73" s="23">
        <v>2252.2399999999998</v>
      </c>
      <c r="L73" s="23">
        <f t="shared" si="8"/>
        <v>99641.620108799994</v>
      </c>
      <c r="M73" s="23">
        <f t="shared" si="9"/>
        <v>19602.672460799979</v>
      </c>
      <c r="O73" s="23">
        <f>L73-'Part A (2&amp;3)'!R73</f>
        <v>12236.690188799999</v>
      </c>
      <c r="P73" s="23">
        <f>M73-'Part A (2&amp;3)'!T73</f>
        <v>-3389.7774592000133</v>
      </c>
    </row>
    <row r="74" spans="5:16" x14ac:dyDescent="0.35">
      <c r="E74" s="8">
        <v>0.13600000000000001</v>
      </c>
      <c r="F74" s="27">
        <f t="shared" si="5"/>
        <v>0.12</v>
      </c>
      <c r="G74" s="23">
        <v>714.28</v>
      </c>
      <c r="H74">
        <f t="shared" si="6"/>
        <v>778.5652</v>
      </c>
      <c r="I74">
        <v>12</v>
      </c>
      <c r="J74" s="28">
        <f t="shared" si="7"/>
        <v>13.680000000000001</v>
      </c>
      <c r="K74" s="23">
        <v>757.59</v>
      </c>
      <c r="L74" s="23">
        <f t="shared" si="8"/>
        <v>9120.1714560000019</v>
      </c>
      <c r="M74" s="23">
        <f t="shared" si="9"/>
        <v>-1530.6004799999992</v>
      </c>
      <c r="O74" s="23">
        <f>L74-'Part A (2&amp;3)'!R74</f>
        <v>1265.4783360000019</v>
      </c>
      <c r="P74" s="23">
        <f>M74-'Part A (2&amp;3)'!T74</f>
        <v>-813.93359999999848</v>
      </c>
    </row>
    <row r="75" spans="5:16" x14ac:dyDescent="0.35">
      <c r="E75" s="8">
        <v>4.1000000000000002E-2</v>
      </c>
      <c r="F75" s="27">
        <f t="shared" si="5"/>
        <v>4.1000000000000002E-2</v>
      </c>
      <c r="G75" s="23">
        <v>475.37</v>
      </c>
      <c r="H75">
        <f t="shared" si="6"/>
        <v>518.15330000000006</v>
      </c>
      <c r="I75">
        <v>22</v>
      </c>
      <c r="J75" s="28">
        <f t="shared" si="7"/>
        <v>25.080000000000002</v>
      </c>
      <c r="K75" s="23">
        <v>963.73</v>
      </c>
      <c r="L75" s="23">
        <f t="shared" si="8"/>
        <v>23179.364115600001</v>
      </c>
      <c r="M75" s="23">
        <f t="shared" si="9"/>
        <v>10184.079351599999</v>
      </c>
      <c r="O75" s="23">
        <f>L75-'Part A (2&amp;3)'!R75</f>
        <v>2846.5885756000025</v>
      </c>
      <c r="P75" s="23">
        <f>M75-'Part A (2&amp;3)'!T75</f>
        <v>309.44381160000012</v>
      </c>
    </row>
    <row r="76" spans="5:16" x14ac:dyDescent="0.35">
      <c r="E76" s="8">
        <v>0</v>
      </c>
      <c r="F76" s="27">
        <f t="shared" si="5"/>
        <v>0</v>
      </c>
      <c r="G76" s="23">
        <v>64.5</v>
      </c>
      <c r="H76">
        <f t="shared" si="6"/>
        <v>70.305000000000007</v>
      </c>
      <c r="I76">
        <v>3</v>
      </c>
      <c r="J76" s="28">
        <f t="shared" si="7"/>
        <v>3.4200000000000004</v>
      </c>
      <c r="K76" s="23">
        <v>123.62</v>
      </c>
      <c r="L76" s="23">
        <f t="shared" si="8"/>
        <v>422.78040000000004</v>
      </c>
      <c r="M76" s="23">
        <f t="shared" si="9"/>
        <v>182.3373</v>
      </c>
      <c r="O76" s="23">
        <f>L76-'Part A (2&amp;3)'!R76</f>
        <v>51.920400000000029</v>
      </c>
      <c r="P76" s="23">
        <f>M76-'Part A (2&amp;3)'!T76</f>
        <v>4.9772999999999854</v>
      </c>
    </row>
    <row r="77" spans="5:16" x14ac:dyDescent="0.35">
      <c r="E77" s="8">
        <v>9.4E-2</v>
      </c>
      <c r="F77" s="27">
        <f t="shared" si="5"/>
        <v>9.4E-2</v>
      </c>
      <c r="G77" s="23">
        <v>249.71</v>
      </c>
      <c r="H77">
        <f t="shared" si="6"/>
        <v>272.18390000000005</v>
      </c>
      <c r="I77">
        <v>12</v>
      </c>
      <c r="J77" s="28">
        <f t="shared" si="7"/>
        <v>13.680000000000001</v>
      </c>
      <c r="K77" s="23">
        <v>361.33</v>
      </c>
      <c r="L77" s="23">
        <f t="shared" si="8"/>
        <v>4478.3529264000008</v>
      </c>
      <c r="M77" s="23">
        <f t="shared" si="9"/>
        <v>754.8771743999996</v>
      </c>
      <c r="O77" s="23">
        <f>L77-'Part A (2&amp;3)'!R77</f>
        <v>549.97316640000054</v>
      </c>
      <c r="P77" s="23">
        <f>M77-'Part A (2&amp;3)'!T77</f>
        <v>-176.98258560000068</v>
      </c>
    </row>
    <row r="78" spans="5:16" x14ac:dyDescent="0.35">
      <c r="E78" s="8">
        <v>0</v>
      </c>
      <c r="F78" s="27">
        <f t="shared" si="5"/>
        <v>0</v>
      </c>
      <c r="G78" s="23">
        <v>77.739999999999995</v>
      </c>
      <c r="H78">
        <f t="shared" si="6"/>
        <v>84.736599999999996</v>
      </c>
      <c r="I78">
        <v>15</v>
      </c>
      <c r="J78" s="28">
        <f t="shared" si="7"/>
        <v>17.100000000000001</v>
      </c>
      <c r="K78" s="23">
        <v>147.12</v>
      </c>
      <c r="L78" s="23">
        <f t="shared" si="8"/>
        <v>2515.7520000000004</v>
      </c>
      <c r="M78" s="23">
        <f t="shared" si="9"/>
        <v>1066.7561400000004</v>
      </c>
      <c r="O78" s="23">
        <f>L78-'Part A (2&amp;3)'!R78</f>
        <v>308.95200000000023</v>
      </c>
      <c r="P78" s="23">
        <f>M78-'Part A (2&amp;3)'!T78</f>
        <v>26.056140000000141</v>
      </c>
    </row>
    <row r="79" spans="5:16" x14ac:dyDescent="0.35">
      <c r="E79" s="8">
        <v>0.14099999999999999</v>
      </c>
      <c r="F79" s="27">
        <f t="shared" si="5"/>
        <v>0.12</v>
      </c>
      <c r="G79" s="23">
        <v>291.18</v>
      </c>
      <c r="H79">
        <f t="shared" si="6"/>
        <v>317.38620000000003</v>
      </c>
      <c r="I79">
        <v>22</v>
      </c>
      <c r="J79" s="28">
        <f t="shared" si="7"/>
        <v>25.080000000000002</v>
      </c>
      <c r="K79" s="23">
        <v>479.54</v>
      </c>
      <c r="L79" s="23">
        <f t="shared" si="8"/>
        <v>10583.639616</v>
      </c>
      <c r="M79" s="23">
        <f t="shared" si="9"/>
        <v>2623.5937199999989</v>
      </c>
      <c r="O79" s="23">
        <f>L79-'Part A (2&amp;3)'!R79</f>
        <v>1521.2926960000004</v>
      </c>
      <c r="P79" s="23">
        <f>M79-'Part A (2&amp;3)'!T79</f>
        <v>-32.793200000000979</v>
      </c>
    </row>
    <row r="80" spans="5:16" x14ac:dyDescent="0.35">
      <c r="E80" s="8">
        <v>0.107</v>
      </c>
      <c r="F80" s="27">
        <f t="shared" si="5"/>
        <v>0.107</v>
      </c>
      <c r="G80" s="23">
        <v>1269.6500000000001</v>
      </c>
      <c r="H80">
        <f t="shared" si="6"/>
        <v>1383.9185000000002</v>
      </c>
      <c r="I80">
        <v>8</v>
      </c>
      <c r="J80" s="28">
        <f t="shared" si="7"/>
        <v>9.120000000000001</v>
      </c>
      <c r="K80" s="23">
        <v>2462.77</v>
      </c>
      <c r="L80" s="23">
        <f t="shared" si="8"/>
        <v>20057.192923200004</v>
      </c>
      <c r="M80" s="23">
        <f t="shared" si="9"/>
        <v>7435.8562032000009</v>
      </c>
      <c r="O80" s="23">
        <f>L80-'Part A (2&amp;3)'!R80</f>
        <v>2463.1640432000022</v>
      </c>
      <c r="P80" s="23">
        <f>M80-'Part A (2&amp;3)'!T80</f>
        <v>-0.97267680000004475</v>
      </c>
    </row>
    <row r="81" spans="5:16" x14ac:dyDescent="0.35">
      <c r="E81" s="8">
        <v>0.121</v>
      </c>
      <c r="F81" s="27">
        <f t="shared" si="5"/>
        <v>0.12</v>
      </c>
      <c r="G81" s="23">
        <v>653.86</v>
      </c>
      <c r="H81">
        <f t="shared" si="6"/>
        <v>712.70740000000012</v>
      </c>
      <c r="I81">
        <v>12</v>
      </c>
      <c r="J81" s="28">
        <f t="shared" si="7"/>
        <v>13.680000000000001</v>
      </c>
      <c r="K81" s="23">
        <v>931.84</v>
      </c>
      <c r="L81" s="23">
        <f t="shared" si="8"/>
        <v>11217.862656000003</v>
      </c>
      <c r="M81" s="23">
        <f t="shared" si="9"/>
        <v>1468.0254239999995</v>
      </c>
      <c r="O81" s="23">
        <f>L81-'Part A (2&amp;3)'!R81</f>
        <v>1388.8143360000031</v>
      </c>
      <c r="P81" s="23">
        <f>M81-'Part A (2&amp;3)'!T81</f>
        <v>-514.70289600000069</v>
      </c>
    </row>
    <row r="82" spans="5:16" x14ac:dyDescent="0.35">
      <c r="E82" s="8">
        <v>0</v>
      </c>
      <c r="F82" s="27">
        <f t="shared" si="5"/>
        <v>0</v>
      </c>
      <c r="G82" s="23">
        <v>1443.28</v>
      </c>
      <c r="H82">
        <f t="shared" si="6"/>
        <v>1573.1752000000001</v>
      </c>
      <c r="I82">
        <v>18</v>
      </c>
      <c r="J82" s="28">
        <f t="shared" si="7"/>
        <v>20.520000000000003</v>
      </c>
      <c r="K82" s="23">
        <v>2580.5700000000002</v>
      </c>
      <c r="L82" s="23">
        <f t="shared" si="8"/>
        <v>52953.296400000014</v>
      </c>
      <c r="M82" s="23">
        <f t="shared" si="9"/>
        <v>20671.741296000007</v>
      </c>
      <c r="O82" s="23">
        <f>L82-'Part A (2&amp;3)'!R82</f>
        <v>6503.0364000000118</v>
      </c>
      <c r="P82" s="23">
        <f>M82-'Part A (2&amp;3)'!T82</f>
        <v>200.52129600000626</v>
      </c>
    </row>
    <row r="83" spans="5:16" x14ac:dyDescent="0.35">
      <c r="E83" s="8">
        <v>0.20899999999999999</v>
      </c>
      <c r="F83" s="27">
        <f t="shared" si="5"/>
        <v>0.12</v>
      </c>
      <c r="G83" s="23">
        <v>622.6</v>
      </c>
      <c r="H83">
        <f t="shared" si="6"/>
        <v>678.63400000000013</v>
      </c>
      <c r="I83">
        <v>14</v>
      </c>
      <c r="J83" s="28">
        <f t="shared" si="7"/>
        <v>15.96</v>
      </c>
      <c r="K83" s="23">
        <v>833.69</v>
      </c>
      <c r="L83" s="23">
        <f t="shared" si="8"/>
        <v>11709.009312</v>
      </c>
      <c r="M83" s="23">
        <f t="shared" si="9"/>
        <v>878.0106719999967</v>
      </c>
      <c r="O83" s="23">
        <f>L83-'Part A (2&amp;3)'!R83</f>
        <v>2476.7262520000004</v>
      </c>
      <c r="P83" s="23">
        <f>M83-'Part A (2&amp;3)'!T83</f>
        <v>362.12761199999659</v>
      </c>
    </row>
    <row r="84" spans="5:16" x14ac:dyDescent="0.35">
      <c r="E84" s="8">
        <v>0.1</v>
      </c>
      <c r="F84" s="27">
        <f t="shared" si="5"/>
        <v>0.1</v>
      </c>
      <c r="G84" s="23">
        <v>1286.1600000000001</v>
      </c>
      <c r="H84">
        <f t="shared" si="6"/>
        <v>1401.9144000000001</v>
      </c>
      <c r="I84">
        <v>23</v>
      </c>
      <c r="J84" s="28">
        <f t="shared" si="7"/>
        <v>26.220000000000002</v>
      </c>
      <c r="K84" s="23">
        <v>3101.11</v>
      </c>
      <c r="L84" s="23">
        <f t="shared" si="8"/>
        <v>73179.993780000019</v>
      </c>
      <c r="M84" s="23">
        <f t="shared" si="9"/>
        <v>36421.798212000016</v>
      </c>
      <c r="O84" s="23">
        <f>L84-'Part A (2&amp;3)'!R84</f>
        <v>8987.0167800000199</v>
      </c>
      <c r="P84" s="23">
        <f>M84-'Part A (2&amp;3)'!T84</f>
        <v>1810.5012120000174</v>
      </c>
    </row>
    <row r="85" spans="5:16" x14ac:dyDescent="0.35">
      <c r="E85" s="8">
        <v>0.14299999999999999</v>
      </c>
      <c r="F85" s="27">
        <f t="shared" si="5"/>
        <v>0.12</v>
      </c>
      <c r="G85" s="23">
        <v>1331.19</v>
      </c>
      <c r="H85">
        <f t="shared" si="6"/>
        <v>1450.9971000000003</v>
      </c>
      <c r="I85">
        <v>8</v>
      </c>
      <c r="J85" s="28">
        <f t="shared" si="7"/>
        <v>9.120000000000001</v>
      </c>
      <c r="K85" s="23">
        <v>2903.09</v>
      </c>
      <c r="L85" s="23">
        <f t="shared" si="8"/>
        <v>23299.039104000003</v>
      </c>
      <c r="M85" s="23">
        <f t="shared" si="9"/>
        <v>10065.945551999999</v>
      </c>
      <c r="O85" s="23">
        <f>L85-'Part A (2&amp;3)'!R85</f>
        <v>3395.4540640000014</v>
      </c>
      <c r="P85" s="23">
        <f>M85-'Part A (2&amp;3)'!T85</f>
        <v>811.88051199999791</v>
      </c>
    </row>
    <row r="86" spans="5:16" x14ac:dyDescent="0.35">
      <c r="E86" s="8">
        <v>0.13700000000000001</v>
      </c>
      <c r="F86" s="27">
        <f t="shared" si="5"/>
        <v>0.12</v>
      </c>
      <c r="G86" s="23">
        <v>12.85</v>
      </c>
      <c r="H86">
        <f t="shared" si="6"/>
        <v>14.006500000000001</v>
      </c>
      <c r="I86">
        <v>39</v>
      </c>
      <c r="J86" s="28">
        <f t="shared" si="7"/>
        <v>44.460000000000008</v>
      </c>
      <c r="K86" s="23">
        <v>15.41</v>
      </c>
      <c r="L86" s="23">
        <f t="shared" si="8"/>
        <v>602.91316800000016</v>
      </c>
      <c r="M86" s="23">
        <f t="shared" si="9"/>
        <v>-19.815822000000026</v>
      </c>
      <c r="O86" s="23">
        <f>L86-'Part A (2&amp;3)'!R86</f>
        <v>84.258798000000183</v>
      </c>
      <c r="P86" s="23">
        <f>M86-'Part A (2&amp;3)'!T86</f>
        <v>-37.32019200000002</v>
      </c>
    </row>
    <row r="87" spans="5:16" x14ac:dyDescent="0.35">
      <c r="E87" s="8">
        <v>4.9000000000000002E-2</v>
      </c>
      <c r="F87" s="27">
        <f t="shared" si="5"/>
        <v>4.9000000000000002E-2</v>
      </c>
      <c r="G87" s="23">
        <v>432.01</v>
      </c>
      <c r="H87">
        <f t="shared" si="6"/>
        <v>470.89090000000004</v>
      </c>
      <c r="I87">
        <v>12</v>
      </c>
      <c r="J87" s="28">
        <f t="shared" si="7"/>
        <v>13.680000000000001</v>
      </c>
      <c r="K87" s="23">
        <v>913.78</v>
      </c>
      <c r="L87" s="23">
        <f t="shared" si="8"/>
        <v>11887.985390400001</v>
      </c>
      <c r="M87" s="23">
        <f t="shared" si="9"/>
        <v>5446.1978783999994</v>
      </c>
      <c r="O87" s="23">
        <f>L87-'Part A (2&amp;3)'!R87</f>
        <v>1459.9280304000004</v>
      </c>
      <c r="P87" s="23">
        <f>M87-'Part A (2&amp;3)'!T87</f>
        <v>202.26051839999855</v>
      </c>
    </row>
    <row r="88" spans="5:16" x14ac:dyDescent="0.35">
      <c r="E88" s="8">
        <v>0.15</v>
      </c>
      <c r="F88" s="27">
        <f t="shared" si="5"/>
        <v>0.12</v>
      </c>
      <c r="G88" s="23">
        <v>979.59</v>
      </c>
      <c r="H88">
        <f t="shared" si="6"/>
        <v>1067.7531000000001</v>
      </c>
      <c r="I88">
        <v>11</v>
      </c>
      <c r="J88" s="28">
        <f t="shared" si="7"/>
        <v>12.540000000000001</v>
      </c>
      <c r="K88" s="23">
        <v>2210.94</v>
      </c>
      <c r="L88" s="23">
        <f t="shared" si="8"/>
        <v>24398.165088000005</v>
      </c>
      <c r="M88" s="23">
        <f t="shared" si="9"/>
        <v>11008.541214000003</v>
      </c>
      <c r="O88" s="23">
        <f>L88-'Part A (2&amp;3)'!R88</f>
        <v>3725.8760880000045</v>
      </c>
      <c r="P88" s="23">
        <f>M88-'Part A (2&amp;3)'!T88</f>
        <v>1111.7422140000017</v>
      </c>
    </row>
    <row r="89" spans="5:16" x14ac:dyDescent="0.35">
      <c r="E89" s="8">
        <v>0.129</v>
      </c>
      <c r="F89" s="27">
        <f t="shared" si="5"/>
        <v>0.12</v>
      </c>
      <c r="G89" s="23">
        <v>40.89</v>
      </c>
      <c r="H89">
        <f t="shared" si="6"/>
        <v>44.570100000000004</v>
      </c>
      <c r="I89">
        <v>17</v>
      </c>
      <c r="J89" s="28">
        <f t="shared" si="7"/>
        <v>19.380000000000003</v>
      </c>
      <c r="K89" s="23">
        <v>62.82</v>
      </c>
      <c r="L89" s="23">
        <f t="shared" si="8"/>
        <v>1071.3574080000001</v>
      </c>
      <c r="M89" s="23">
        <f t="shared" si="9"/>
        <v>207.58886999999993</v>
      </c>
      <c r="O89" s="23">
        <f>L89-'Part A (2&amp;3)'!R89</f>
        <v>141.18166800000006</v>
      </c>
      <c r="P89" s="23">
        <f>M89-'Part A (2&amp;3)'!T89</f>
        <v>-27.456870000000094</v>
      </c>
    </row>
    <row r="90" spans="5:16" x14ac:dyDescent="0.35">
      <c r="E90" s="8">
        <v>0.3</v>
      </c>
      <c r="F90" s="27">
        <f t="shared" si="5"/>
        <v>0.12</v>
      </c>
      <c r="G90" s="23">
        <v>917.88</v>
      </c>
      <c r="H90">
        <f t="shared" si="6"/>
        <v>1000.4892000000001</v>
      </c>
      <c r="I90">
        <v>5</v>
      </c>
      <c r="J90" s="28">
        <f t="shared" si="7"/>
        <v>5.7000000000000011</v>
      </c>
      <c r="K90" s="23">
        <v>1347.92</v>
      </c>
      <c r="L90" s="23">
        <f t="shared" si="8"/>
        <v>6761.166720000002</v>
      </c>
      <c r="M90" s="23">
        <f t="shared" si="9"/>
        <v>1058.3782800000008</v>
      </c>
      <c r="O90" s="23">
        <f>L90-'Part A (2&amp;3)'!R90</f>
        <v>2043.4467200000017</v>
      </c>
      <c r="P90" s="23">
        <f>M90-'Part A (2&amp;3)'!T90</f>
        <v>930.0582800000002</v>
      </c>
    </row>
    <row r="91" spans="5:16" x14ac:dyDescent="0.35">
      <c r="E91" s="8">
        <v>7.8E-2</v>
      </c>
      <c r="F91" s="27">
        <f t="shared" si="5"/>
        <v>7.8E-2</v>
      </c>
      <c r="G91" s="23">
        <v>1120.06</v>
      </c>
      <c r="H91">
        <f t="shared" si="6"/>
        <v>1220.8654000000001</v>
      </c>
      <c r="I91">
        <v>12</v>
      </c>
      <c r="J91" s="28">
        <f t="shared" si="7"/>
        <v>13.680000000000001</v>
      </c>
      <c r="K91" s="23">
        <v>2068.21</v>
      </c>
      <c r="L91" s="23">
        <f t="shared" si="8"/>
        <v>26086.250001600005</v>
      </c>
      <c r="M91" s="23">
        <f t="shared" si="9"/>
        <v>9384.811329600001</v>
      </c>
      <c r="O91" s="23">
        <f>L91-'Part A (2&amp;3)'!R91</f>
        <v>3203.5745616000022</v>
      </c>
      <c r="P91" s="23">
        <f>M91-'Part A (2&amp;3)'!T91</f>
        <v>-57.144110400002319</v>
      </c>
    </row>
    <row r="92" spans="5:16" x14ac:dyDescent="0.35">
      <c r="E92" s="8">
        <v>0.19</v>
      </c>
      <c r="F92" s="27">
        <f t="shared" si="5"/>
        <v>0.12</v>
      </c>
      <c r="G92" s="23">
        <v>1161.2</v>
      </c>
      <c r="H92">
        <f t="shared" si="6"/>
        <v>1265.7080000000001</v>
      </c>
      <c r="I92">
        <v>31</v>
      </c>
      <c r="J92" s="28">
        <f t="shared" si="7"/>
        <v>35.340000000000003</v>
      </c>
      <c r="K92" s="23">
        <v>878.73</v>
      </c>
      <c r="L92" s="23">
        <f t="shared" si="8"/>
        <v>27327.800016000005</v>
      </c>
      <c r="M92" s="23">
        <f t="shared" si="9"/>
        <v>-17402.320704000002</v>
      </c>
      <c r="O92" s="23">
        <f>L92-'Part A (2&amp;3)'!R92</f>
        <v>5262.8897160000015</v>
      </c>
      <c r="P92" s="23">
        <f>M92-'Part A (2&amp;3)'!T92</f>
        <v>-3470.0310040000004</v>
      </c>
    </row>
    <row r="93" spans="5:16" x14ac:dyDescent="0.35">
      <c r="E93" s="8">
        <v>0.14799999999999999</v>
      </c>
      <c r="F93" s="27">
        <f t="shared" si="5"/>
        <v>0.12</v>
      </c>
      <c r="G93" s="23">
        <v>54.62</v>
      </c>
      <c r="H93">
        <f t="shared" si="6"/>
        <v>59.535800000000002</v>
      </c>
      <c r="I93">
        <v>16</v>
      </c>
      <c r="J93" s="28">
        <f t="shared" si="7"/>
        <v>18.240000000000002</v>
      </c>
      <c r="K93" s="23">
        <v>48.94</v>
      </c>
      <c r="L93" s="23">
        <f t="shared" si="8"/>
        <v>785.54572800000005</v>
      </c>
      <c r="M93" s="23">
        <f t="shared" si="9"/>
        <v>-300.38726400000019</v>
      </c>
      <c r="O93" s="23">
        <f>L93-'Part A (2&amp;3)'!R93</f>
        <v>118.39564800000005</v>
      </c>
      <c r="P93" s="23">
        <f>M93-'Part A (2&amp;3)'!T93</f>
        <v>-93.61734400000023</v>
      </c>
    </row>
    <row r="94" spans="5:16" x14ac:dyDescent="0.35">
      <c r="E94" s="8">
        <v>4.2000000000000003E-2</v>
      </c>
      <c r="F94" s="27">
        <f t="shared" si="5"/>
        <v>4.2000000000000003E-2</v>
      </c>
      <c r="G94" s="23">
        <v>690.49</v>
      </c>
      <c r="H94">
        <f t="shared" si="6"/>
        <v>752.6341000000001</v>
      </c>
      <c r="I94">
        <v>22</v>
      </c>
      <c r="J94" s="28">
        <f t="shared" si="7"/>
        <v>25.080000000000002</v>
      </c>
      <c r="K94" s="23">
        <v>1290.29</v>
      </c>
      <c r="L94" s="23">
        <f t="shared" si="8"/>
        <v>31001.333325600001</v>
      </c>
      <c r="M94" s="23">
        <f t="shared" si="9"/>
        <v>12125.270097599998</v>
      </c>
      <c r="O94" s="23">
        <f>L94-'Part A (2&amp;3)'!R94</f>
        <v>3807.1812856000033</v>
      </c>
      <c r="P94" s="23">
        <f>M94-'Part A (2&amp;3)'!T94</f>
        <v>121.89805760000127</v>
      </c>
    </row>
    <row r="95" spans="5:16" x14ac:dyDescent="0.35">
      <c r="E95" s="8">
        <v>1.7000000000000001E-2</v>
      </c>
      <c r="F95" s="27">
        <f t="shared" si="5"/>
        <v>1.7000000000000001E-2</v>
      </c>
      <c r="G95" s="23">
        <v>813.97</v>
      </c>
      <c r="H95">
        <f t="shared" si="6"/>
        <v>887.22730000000013</v>
      </c>
      <c r="I95">
        <v>15</v>
      </c>
      <c r="J95" s="28">
        <f t="shared" si="7"/>
        <v>17.100000000000001</v>
      </c>
      <c r="K95" s="23">
        <v>1568.83</v>
      </c>
      <c r="L95" s="23">
        <f t="shared" si="8"/>
        <v>26370.934119000001</v>
      </c>
      <c r="M95" s="23">
        <f t="shared" si="9"/>
        <v>11199.347288999998</v>
      </c>
      <c r="O95" s="23">
        <f>L95-'Part A (2&amp;3)'!R95</f>
        <v>3238.5357690000055</v>
      </c>
      <c r="P95" s="23">
        <f>M95-'Part A (2&amp;3)'!T95</f>
        <v>276.49893900000279</v>
      </c>
    </row>
    <row r="96" spans="5:16" x14ac:dyDescent="0.35">
      <c r="E96" s="8">
        <v>4.0000000000000001E-3</v>
      </c>
      <c r="F96" s="27">
        <f t="shared" si="5"/>
        <v>4.0000000000000001E-3</v>
      </c>
      <c r="G96" s="23">
        <v>1471.58</v>
      </c>
      <c r="H96">
        <f t="shared" si="6"/>
        <v>1604.0222000000001</v>
      </c>
      <c r="I96">
        <v>7</v>
      </c>
      <c r="J96" s="28">
        <f t="shared" si="7"/>
        <v>7.98</v>
      </c>
      <c r="K96" s="23">
        <v>2576.65</v>
      </c>
      <c r="L96" s="23">
        <f t="shared" si="8"/>
        <v>20479.420332000002</v>
      </c>
      <c r="M96" s="23">
        <f t="shared" si="9"/>
        <v>7679.3231759999999</v>
      </c>
      <c r="O96" s="23">
        <f>L96-'Part A (2&amp;3)'!R96</f>
        <v>2515.0165320000015</v>
      </c>
      <c r="P96" s="23">
        <f>M96-'Part A (2&amp;3)'!T96</f>
        <v>15.97937599999932</v>
      </c>
    </row>
    <row r="97" spans="5:16" x14ac:dyDescent="0.35">
      <c r="E97" s="8">
        <v>0.14799999999999999</v>
      </c>
      <c r="F97" s="27">
        <f t="shared" si="5"/>
        <v>0.12</v>
      </c>
      <c r="G97" s="23">
        <v>1295.3900000000001</v>
      </c>
      <c r="H97">
        <f t="shared" si="6"/>
        <v>1411.9751000000001</v>
      </c>
      <c r="I97">
        <v>8</v>
      </c>
      <c r="J97" s="28">
        <f t="shared" si="7"/>
        <v>9.120000000000001</v>
      </c>
      <c r="K97" s="23">
        <v>2905.06</v>
      </c>
      <c r="L97" s="23">
        <f t="shared" si="8"/>
        <v>23314.849536000002</v>
      </c>
      <c r="M97" s="23">
        <f t="shared" si="9"/>
        <v>10437.636623999999</v>
      </c>
      <c r="O97" s="23">
        <f>L97-'Part A (2&amp;3)'!R97</f>
        <v>3513.9605760000013</v>
      </c>
      <c r="P97" s="23">
        <f>M97-'Part A (2&amp;3)'!T97</f>
        <v>999.86766399999942</v>
      </c>
    </row>
    <row r="98" spans="5:16" x14ac:dyDescent="0.35">
      <c r="E98" s="8">
        <v>3.2000000000000001E-2</v>
      </c>
      <c r="F98" s="27">
        <f t="shared" si="5"/>
        <v>3.2000000000000001E-2</v>
      </c>
      <c r="G98" s="23">
        <v>804.17</v>
      </c>
      <c r="H98">
        <f t="shared" si="6"/>
        <v>876.5453</v>
      </c>
      <c r="I98">
        <v>5</v>
      </c>
      <c r="J98" s="28">
        <f t="shared" si="7"/>
        <v>5.7000000000000011</v>
      </c>
      <c r="K98" s="23">
        <v>1072.29</v>
      </c>
      <c r="L98" s="23">
        <f t="shared" si="8"/>
        <v>5916.4673040000007</v>
      </c>
      <c r="M98" s="23">
        <f t="shared" si="9"/>
        <v>920.15909399999964</v>
      </c>
      <c r="O98" s="23">
        <f>L98-'Part A (2&amp;3)'!R98</f>
        <v>726.58370400000058</v>
      </c>
      <c r="P98" s="23">
        <f>M98-'Part A (2&amp;3)'!T98</f>
        <v>-248.87450600000057</v>
      </c>
    </row>
    <row r="99" spans="5:16" x14ac:dyDescent="0.35">
      <c r="E99" s="8">
        <v>8.2000000000000003E-2</v>
      </c>
      <c r="F99" s="27">
        <f t="shared" si="5"/>
        <v>8.2000000000000003E-2</v>
      </c>
      <c r="G99" s="23">
        <v>669.37</v>
      </c>
      <c r="H99">
        <f t="shared" si="6"/>
        <v>729.61330000000009</v>
      </c>
      <c r="I99">
        <v>5</v>
      </c>
      <c r="J99" s="28">
        <f t="shared" si="7"/>
        <v>5.7000000000000011</v>
      </c>
      <c r="K99" s="23">
        <v>997.2</v>
      </c>
      <c r="L99" s="23">
        <f t="shared" si="8"/>
        <v>5217.9487200000012</v>
      </c>
      <c r="M99" s="23">
        <f t="shared" si="9"/>
        <v>1059.1529099999998</v>
      </c>
      <c r="O99" s="23">
        <f>L99-'Part A (2&amp;3)'!R99</f>
        <v>640.80072000000109</v>
      </c>
      <c r="P99" s="23">
        <f>M99-'Part A (2&amp;3)'!T99</f>
        <v>-171.14509000000044</v>
      </c>
    </row>
    <row r="100" spans="5:16" x14ac:dyDescent="0.35">
      <c r="E100" s="8">
        <v>0.01</v>
      </c>
      <c r="F100" s="27">
        <f t="shared" si="5"/>
        <v>0.01</v>
      </c>
      <c r="G100" s="23">
        <v>860.4</v>
      </c>
      <c r="H100">
        <f t="shared" si="6"/>
        <v>937.83600000000001</v>
      </c>
      <c r="I100">
        <v>3</v>
      </c>
      <c r="J100" s="28">
        <f t="shared" si="7"/>
        <v>3.4200000000000004</v>
      </c>
      <c r="K100" s="23">
        <v>2066.6</v>
      </c>
      <c r="L100" s="23">
        <f t="shared" si="8"/>
        <v>6997.0942800000003</v>
      </c>
      <c r="M100" s="23">
        <f t="shared" si="9"/>
        <v>3789.6951599999998</v>
      </c>
      <c r="O100" s="23">
        <f>L100-'Part A (2&amp;3)'!R100</f>
        <v>859.29228000000148</v>
      </c>
      <c r="P100" s="23">
        <f>M100-'Part A (2&amp;3)'!T100</f>
        <v>233.09316000000081</v>
      </c>
    </row>
    <row r="101" spans="5:16" x14ac:dyDescent="0.35">
      <c r="E101" s="8">
        <v>0.13200000000000001</v>
      </c>
      <c r="F101" s="27">
        <f t="shared" si="5"/>
        <v>0.12</v>
      </c>
      <c r="G101" s="23">
        <v>605.82000000000005</v>
      </c>
      <c r="H101">
        <f t="shared" si="6"/>
        <v>660.3438000000001</v>
      </c>
      <c r="I101">
        <v>19</v>
      </c>
      <c r="J101" s="28">
        <f t="shared" si="7"/>
        <v>21.660000000000004</v>
      </c>
      <c r="K101" s="23">
        <v>771.12</v>
      </c>
      <c r="L101" s="23">
        <f t="shared" si="8"/>
        <v>14698.164096000002</v>
      </c>
      <c r="M101" s="23">
        <f t="shared" si="9"/>
        <v>395.11738799999694</v>
      </c>
      <c r="O101" s="23">
        <f>L101-'Part A (2&amp;3)'!R101</f>
        <v>1980.8530560000017</v>
      </c>
      <c r="P101" s="23">
        <f>M101-'Part A (2&amp;3)'!T101</f>
        <v>-811.61365200000182</v>
      </c>
    </row>
    <row r="102" spans="5:16" x14ac:dyDescent="0.35">
      <c r="E102" s="8">
        <v>7.0999999999999994E-2</v>
      </c>
      <c r="F102" s="27">
        <f t="shared" si="5"/>
        <v>7.0999999999999994E-2</v>
      </c>
      <c r="G102" s="23">
        <v>339.61</v>
      </c>
      <c r="H102">
        <f t="shared" si="6"/>
        <v>370.17490000000004</v>
      </c>
      <c r="I102">
        <v>10</v>
      </c>
      <c r="J102" s="28">
        <f t="shared" si="7"/>
        <v>11.400000000000002</v>
      </c>
      <c r="K102" s="23">
        <v>621.02</v>
      </c>
      <c r="L102" s="23">
        <f t="shared" si="8"/>
        <v>6576.9744120000014</v>
      </c>
      <c r="M102" s="23">
        <f t="shared" si="9"/>
        <v>2356.980552</v>
      </c>
      <c r="O102" s="23">
        <f>L102-'Part A (2&amp;3)'!R102</f>
        <v>807.69861200000105</v>
      </c>
      <c r="P102" s="23">
        <f>M102-'Part A (2&amp;3)'!T102</f>
        <v>-16.195247999999992</v>
      </c>
    </row>
    <row r="103" spans="5:16" x14ac:dyDescent="0.35">
      <c r="E103" s="8">
        <v>0.109</v>
      </c>
      <c r="F103" s="27">
        <f t="shared" si="5"/>
        <v>0.109</v>
      </c>
      <c r="G103" s="23">
        <v>894.23</v>
      </c>
      <c r="H103">
        <f t="shared" si="6"/>
        <v>974.71070000000009</v>
      </c>
      <c r="I103">
        <v>3</v>
      </c>
      <c r="J103" s="28">
        <f t="shared" si="7"/>
        <v>3.4200000000000004</v>
      </c>
      <c r="K103" s="23">
        <v>1421.55</v>
      </c>
      <c r="L103" s="23">
        <f t="shared" si="8"/>
        <v>4331.7755910000005</v>
      </c>
      <c r="M103" s="23">
        <f t="shared" si="9"/>
        <v>998.26499699999977</v>
      </c>
      <c r="O103" s="23">
        <f>L103-'Part A (2&amp;3)'!R103</f>
        <v>531.9724410000008</v>
      </c>
      <c r="P103" s="23">
        <f>M103-'Part A (2&amp;3)'!T103</f>
        <v>-118.84815299999991</v>
      </c>
    </row>
    <row r="104" spans="5:16" x14ac:dyDescent="0.35">
      <c r="E104" s="8">
        <v>2.8000000000000001E-2</v>
      </c>
      <c r="F104" s="27">
        <f t="shared" si="5"/>
        <v>2.8000000000000001E-2</v>
      </c>
      <c r="G104" s="23">
        <v>247.07</v>
      </c>
      <c r="H104">
        <f t="shared" si="6"/>
        <v>269.30630000000002</v>
      </c>
      <c r="I104">
        <v>4</v>
      </c>
      <c r="J104" s="28">
        <f t="shared" si="7"/>
        <v>4.5600000000000005</v>
      </c>
      <c r="K104" s="23">
        <v>495.19</v>
      </c>
      <c r="L104" s="23">
        <f t="shared" si="8"/>
        <v>2194.8405408000003</v>
      </c>
      <c r="M104" s="23">
        <f t="shared" si="9"/>
        <v>966.80381280000006</v>
      </c>
      <c r="O104" s="23">
        <f>L104-'Part A (2&amp;3)'!R104</f>
        <v>269.54182080000032</v>
      </c>
      <c r="P104" s="23">
        <f>M104-'Part A (2&amp;3)'!T104</f>
        <v>29.785092800000029</v>
      </c>
    </row>
    <row r="105" spans="5:16" x14ac:dyDescent="0.35">
      <c r="E105" s="8">
        <v>0.25700000000000001</v>
      </c>
      <c r="F105" s="27">
        <f t="shared" si="5"/>
        <v>0.12</v>
      </c>
      <c r="G105" s="23">
        <v>357.36</v>
      </c>
      <c r="H105">
        <f t="shared" si="6"/>
        <v>389.52240000000006</v>
      </c>
      <c r="I105">
        <v>20</v>
      </c>
      <c r="J105" s="28">
        <f t="shared" si="7"/>
        <v>22.800000000000004</v>
      </c>
      <c r="K105" s="23">
        <v>703.62</v>
      </c>
      <c r="L105" s="23">
        <f t="shared" si="8"/>
        <v>14117.431680000003</v>
      </c>
      <c r="M105" s="23">
        <f t="shared" si="9"/>
        <v>5236.3209600000009</v>
      </c>
      <c r="O105" s="23">
        <f>L105-'Part A (2&amp;3)'!R105</f>
        <v>3661.6384800000033</v>
      </c>
      <c r="P105" s="23">
        <f>M105-'Part A (2&amp;3)'!T105</f>
        <v>1927.7277600000016</v>
      </c>
    </row>
    <row r="106" spans="5:16" x14ac:dyDescent="0.35">
      <c r="E106" s="8">
        <v>0.112</v>
      </c>
      <c r="F106" s="27">
        <f t="shared" si="5"/>
        <v>0.112</v>
      </c>
      <c r="G106" s="23">
        <v>1097.0899999999999</v>
      </c>
      <c r="H106">
        <f t="shared" si="6"/>
        <v>1195.8280999999999</v>
      </c>
      <c r="I106">
        <v>9</v>
      </c>
      <c r="J106" s="28">
        <f t="shared" si="7"/>
        <v>10.260000000000002</v>
      </c>
      <c r="K106" s="23">
        <v>2182.31</v>
      </c>
      <c r="L106" s="23">
        <f t="shared" si="8"/>
        <v>19882.764532800004</v>
      </c>
      <c r="M106" s="23">
        <f t="shared" si="9"/>
        <v>7613.5682268000019</v>
      </c>
      <c r="O106" s="23">
        <f>L106-'Part A (2&amp;3)'!R106</f>
        <v>2441.7430128000015</v>
      </c>
      <c r="P106" s="23">
        <f>M106-'Part A (2&amp;3)'!T106</f>
        <v>46.356706799999301</v>
      </c>
    </row>
    <row r="107" spans="5:16" x14ac:dyDescent="0.35">
      <c r="E107" s="8">
        <v>0.13500000000000001</v>
      </c>
      <c r="F107" s="27">
        <f t="shared" si="5"/>
        <v>0.12</v>
      </c>
      <c r="G107" s="23">
        <v>751.28</v>
      </c>
      <c r="H107">
        <f t="shared" si="6"/>
        <v>818.89520000000005</v>
      </c>
      <c r="I107">
        <v>7</v>
      </c>
      <c r="J107" s="28">
        <f t="shared" si="7"/>
        <v>7.98</v>
      </c>
      <c r="K107" s="23">
        <v>1111.8800000000001</v>
      </c>
      <c r="L107" s="23">
        <f t="shared" si="8"/>
        <v>7808.0661120000013</v>
      </c>
      <c r="M107" s="23">
        <f t="shared" si="9"/>
        <v>1273.2824160000009</v>
      </c>
      <c r="O107" s="23">
        <f>L107-'Part A (2&amp;3)'!R107</f>
        <v>1075.6327120000005</v>
      </c>
      <c r="P107" s="23">
        <f>M107-'Part A (2&amp;3)'!T107</f>
        <v>-200.19098399999984</v>
      </c>
    </row>
    <row r="108" spans="5:16" x14ac:dyDescent="0.35">
      <c r="E108" s="8">
        <v>0.129</v>
      </c>
      <c r="F108" s="27">
        <f t="shared" si="5"/>
        <v>0.12</v>
      </c>
      <c r="G108" s="23">
        <v>313.99</v>
      </c>
      <c r="H108">
        <f t="shared" si="6"/>
        <v>342.24910000000006</v>
      </c>
      <c r="I108">
        <v>9</v>
      </c>
      <c r="J108" s="28">
        <f t="shared" si="7"/>
        <v>10.260000000000002</v>
      </c>
      <c r="K108" s="23">
        <v>454.42</v>
      </c>
      <c r="L108" s="23">
        <f t="shared" si="8"/>
        <v>4102.8672960000013</v>
      </c>
      <c r="M108" s="23">
        <f t="shared" si="9"/>
        <v>591.39153000000033</v>
      </c>
      <c r="O108" s="23">
        <f>L108-'Part A (2&amp;3)'!R108</f>
        <v>540.66891600000099</v>
      </c>
      <c r="P108" s="23">
        <f>M108-'Part A (2&amp;3)'!T108</f>
        <v>-144.89685000000009</v>
      </c>
    </row>
    <row r="109" spans="5:16" x14ac:dyDescent="0.35">
      <c r="E109" s="8">
        <v>0.108</v>
      </c>
      <c r="F109" s="27">
        <f t="shared" si="5"/>
        <v>0.108</v>
      </c>
      <c r="G109" s="23">
        <v>337</v>
      </c>
      <c r="H109">
        <f t="shared" si="6"/>
        <v>367.33000000000004</v>
      </c>
      <c r="I109">
        <v>7</v>
      </c>
      <c r="J109" s="28">
        <f t="shared" si="7"/>
        <v>7.98</v>
      </c>
      <c r="K109" s="23">
        <v>511.03</v>
      </c>
      <c r="L109" s="23">
        <f t="shared" si="8"/>
        <v>3637.5933048000002</v>
      </c>
      <c r="M109" s="23">
        <f t="shared" si="9"/>
        <v>706.29990479999969</v>
      </c>
      <c r="O109" s="23">
        <f>L109-'Part A (2&amp;3)'!R109</f>
        <v>446.72198479999997</v>
      </c>
      <c r="P109" s="23">
        <f>M109-'Part A (2&amp;3)'!T109</f>
        <v>-125.5714152000005</v>
      </c>
    </row>
    <row r="110" spans="5:16" x14ac:dyDescent="0.35">
      <c r="E110" s="8">
        <v>0.09</v>
      </c>
      <c r="F110" s="27">
        <f t="shared" si="5"/>
        <v>0.09</v>
      </c>
      <c r="G110" s="23">
        <v>1145.53</v>
      </c>
      <c r="H110">
        <f t="shared" si="6"/>
        <v>1248.6277</v>
      </c>
      <c r="I110">
        <v>41</v>
      </c>
      <c r="J110" s="28">
        <f t="shared" si="7"/>
        <v>46.74</v>
      </c>
      <c r="K110" s="23">
        <v>1278.3</v>
      </c>
      <c r="L110" s="23">
        <f t="shared" si="8"/>
        <v>54370.445220000001</v>
      </c>
      <c r="M110" s="23">
        <f t="shared" si="9"/>
        <v>-3990.4134780000022</v>
      </c>
      <c r="O110" s="23">
        <f>L110-'Part A (2&amp;3)'!R110</f>
        <v>6677.0722200000018</v>
      </c>
      <c r="P110" s="23">
        <f>M110-'Part A (2&amp;3)'!T110</f>
        <v>-4717.0564780000059</v>
      </c>
    </row>
    <row r="111" spans="5:16" x14ac:dyDescent="0.35">
      <c r="E111" s="8">
        <v>0.14199999999999999</v>
      </c>
      <c r="F111" s="27">
        <f t="shared" si="5"/>
        <v>0.12</v>
      </c>
      <c r="G111" s="23">
        <v>1292.8599999999999</v>
      </c>
      <c r="H111">
        <f t="shared" si="6"/>
        <v>1409.2174</v>
      </c>
      <c r="I111">
        <v>12</v>
      </c>
      <c r="J111" s="28">
        <f t="shared" si="7"/>
        <v>13.680000000000001</v>
      </c>
      <c r="K111" s="23">
        <v>2981.01</v>
      </c>
      <c r="L111" s="23">
        <f t="shared" si="8"/>
        <v>35886.590784000007</v>
      </c>
      <c r="M111" s="23">
        <f t="shared" si="9"/>
        <v>16608.496752000006</v>
      </c>
      <c r="O111" s="23">
        <f>L111-'Part A (2&amp;3)'!R111</f>
        <v>5194.1118240000069</v>
      </c>
      <c r="P111" s="23">
        <f>M111-'Part A (2&amp;3)'!T111</f>
        <v>1430.3377920000057</v>
      </c>
    </row>
    <row r="112" spans="5:16" x14ac:dyDescent="0.35">
      <c r="E112" s="8">
        <v>2.5000000000000001E-2</v>
      </c>
      <c r="F112" s="27">
        <f t="shared" si="5"/>
        <v>2.5000000000000001E-2</v>
      </c>
      <c r="G112" s="23">
        <v>734.34</v>
      </c>
      <c r="H112">
        <f t="shared" si="6"/>
        <v>800.43060000000014</v>
      </c>
      <c r="I112">
        <v>12</v>
      </c>
      <c r="J112" s="28">
        <f t="shared" si="7"/>
        <v>13.680000000000001</v>
      </c>
      <c r="K112" s="23">
        <v>887.9</v>
      </c>
      <c r="L112" s="23">
        <f t="shared" si="8"/>
        <v>11842.810200000002</v>
      </c>
      <c r="M112" s="23">
        <f t="shared" si="9"/>
        <v>892.91959199999837</v>
      </c>
      <c r="O112" s="23">
        <f>L112-'Part A (2&amp;3)'!R112</f>
        <v>1454.3802000000032</v>
      </c>
      <c r="P112" s="23">
        <f>M112-'Part A (2&amp;3)'!T112</f>
        <v>-683.43040800000017</v>
      </c>
    </row>
    <row r="113" spans="5:16" x14ac:dyDescent="0.35">
      <c r="E113" s="8">
        <v>0</v>
      </c>
      <c r="F113" s="27">
        <f t="shared" si="5"/>
        <v>0</v>
      </c>
      <c r="G113" s="23">
        <v>337.75</v>
      </c>
      <c r="H113">
        <f t="shared" si="6"/>
        <v>368.14750000000004</v>
      </c>
      <c r="I113">
        <v>13</v>
      </c>
      <c r="J113" s="28">
        <f t="shared" si="7"/>
        <v>14.820000000000002</v>
      </c>
      <c r="K113" s="23">
        <v>548.89</v>
      </c>
      <c r="L113" s="23">
        <f t="shared" si="8"/>
        <v>8134.5498000000007</v>
      </c>
      <c r="M113" s="23">
        <f t="shared" si="9"/>
        <v>2678.6038499999995</v>
      </c>
      <c r="O113" s="23">
        <f>L113-'Part A (2&amp;3)'!R113</f>
        <v>998.97980000000098</v>
      </c>
      <c r="P113" s="23">
        <f>M113-'Part A (2&amp;3)'!T113</f>
        <v>-66.216150000000198</v>
      </c>
    </row>
    <row r="114" spans="5:16" x14ac:dyDescent="0.35">
      <c r="E114" s="8">
        <v>0</v>
      </c>
      <c r="F114" s="27">
        <f t="shared" si="5"/>
        <v>0</v>
      </c>
      <c r="G114" s="23">
        <v>807.02</v>
      </c>
      <c r="H114">
        <f t="shared" si="6"/>
        <v>879.65180000000009</v>
      </c>
      <c r="I114">
        <v>23</v>
      </c>
      <c r="J114" s="28">
        <f t="shared" si="7"/>
        <v>26.220000000000002</v>
      </c>
      <c r="K114" s="23">
        <v>1435.54</v>
      </c>
      <c r="L114" s="23">
        <f t="shared" si="8"/>
        <v>37639.858800000002</v>
      </c>
      <c r="M114" s="23">
        <f t="shared" si="9"/>
        <v>14575.388603999996</v>
      </c>
      <c r="O114" s="23">
        <f>L114-'Part A (2&amp;3)'!R114</f>
        <v>4622.4388000000035</v>
      </c>
      <c r="P114" s="23">
        <f>M114-'Part A (2&amp;3)'!T114</f>
        <v>119.42860399999699</v>
      </c>
    </row>
    <row r="115" spans="5:16" x14ac:dyDescent="0.35">
      <c r="E115" s="8">
        <v>9.6000000000000002E-2</v>
      </c>
      <c r="F115" s="27">
        <f t="shared" si="5"/>
        <v>9.6000000000000002E-2</v>
      </c>
      <c r="G115" s="23">
        <v>804.01</v>
      </c>
      <c r="H115">
        <f t="shared" si="6"/>
        <v>876.37090000000001</v>
      </c>
      <c r="I115">
        <v>8</v>
      </c>
      <c r="J115" s="28">
        <f t="shared" si="7"/>
        <v>9.120000000000001</v>
      </c>
      <c r="K115" s="23">
        <v>1405.07</v>
      </c>
      <c r="L115" s="23">
        <f t="shared" si="8"/>
        <v>11584.071513600002</v>
      </c>
      <c r="M115" s="23">
        <f t="shared" si="9"/>
        <v>3591.568905600001</v>
      </c>
      <c r="O115" s="23">
        <f>L115-'Part A (2&amp;3)'!R115</f>
        <v>1422.605273600002</v>
      </c>
      <c r="P115" s="23">
        <f>M115-'Part A (2&amp;3)'!T115</f>
        <v>-137.8173343999988</v>
      </c>
    </row>
    <row r="116" spans="5:16" x14ac:dyDescent="0.35">
      <c r="E116" s="8">
        <v>0.22</v>
      </c>
      <c r="F116" s="27">
        <f t="shared" si="5"/>
        <v>0.12</v>
      </c>
      <c r="G116" s="23">
        <v>554.76</v>
      </c>
      <c r="H116">
        <f t="shared" si="6"/>
        <v>604.6884</v>
      </c>
      <c r="I116">
        <v>7</v>
      </c>
      <c r="J116" s="28">
        <f t="shared" si="7"/>
        <v>7.98</v>
      </c>
      <c r="K116" s="23">
        <v>728.69</v>
      </c>
      <c r="L116" s="23">
        <f t="shared" si="8"/>
        <v>5117.1526560000002</v>
      </c>
      <c r="M116" s="23">
        <f t="shared" si="9"/>
        <v>291.73922399999992</v>
      </c>
      <c r="O116" s="23">
        <f>L116-'Part A (2&amp;3)'!R116</f>
        <v>1138.5052559999999</v>
      </c>
      <c r="P116" s="23">
        <f>M116-'Part A (2&amp;3)'!T116</f>
        <v>196.41182399999934</v>
      </c>
    </row>
    <row r="117" spans="5:16" x14ac:dyDescent="0.35">
      <c r="E117" s="8">
        <v>8.7999999999999995E-2</v>
      </c>
      <c r="F117" s="27">
        <f t="shared" si="5"/>
        <v>8.7999999999999995E-2</v>
      </c>
      <c r="G117" s="23">
        <v>471.42</v>
      </c>
      <c r="H117">
        <f t="shared" si="6"/>
        <v>513.84780000000001</v>
      </c>
      <c r="I117">
        <v>15</v>
      </c>
      <c r="J117" s="28">
        <f t="shared" si="7"/>
        <v>17.100000000000001</v>
      </c>
      <c r="K117" s="23">
        <v>824.81</v>
      </c>
      <c r="L117" s="23">
        <f t="shared" si="8"/>
        <v>12863.076912</v>
      </c>
      <c r="M117" s="23">
        <f t="shared" si="9"/>
        <v>4076.2795320000005</v>
      </c>
      <c r="O117" s="23">
        <f>L117-'Part A (2&amp;3)'!R117</f>
        <v>1579.676112000001</v>
      </c>
      <c r="P117" s="23">
        <f>M117-'Part A (2&amp;3)'!T117</f>
        <v>-135.82126799999878</v>
      </c>
    </row>
    <row r="118" spans="5:16" x14ac:dyDescent="0.35">
      <c r="E118" s="8">
        <v>6.6000000000000003E-2</v>
      </c>
      <c r="F118" s="27">
        <f t="shared" si="5"/>
        <v>6.6000000000000003E-2</v>
      </c>
      <c r="G118" s="23">
        <v>55.65</v>
      </c>
      <c r="H118">
        <f t="shared" si="6"/>
        <v>60.658500000000004</v>
      </c>
      <c r="I118">
        <v>8</v>
      </c>
      <c r="J118" s="28">
        <f t="shared" si="7"/>
        <v>9.120000000000001</v>
      </c>
      <c r="K118" s="23">
        <v>83.57</v>
      </c>
      <c r="L118" s="23">
        <f t="shared" si="8"/>
        <v>711.85594560000004</v>
      </c>
      <c r="M118" s="23">
        <f t="shared" si="9"/>
        <v>158.65042559999995</v>
      </c>
      <c r="O118" s="23">
        <f>L118-'Part A (2&amp;3)'!R118</f>
        <v>87.420905600000083</v>
      </c>
      <c r="P118" s="23">
        <f>M118-'Part A (2&amp;3)'!T118</f>
        <v>-20.584614400000021</v>
      </c>
    </row>
    <row r="119" spans="5:16" x14ac:dyDescent="0.35">
      <c r="E119" s="8">
        <v>1.4E-2</v>
      </c>
      <c r="F119" s="27">
        <f t="shared" si="5"/>
        <v>1.4E-2</v>
      </c>
      <c r="G119" s="23">
        <v>834.26</v>
      </c>
      <c r="H119">
        <f t="shared" si="6"/>
        <v>909.34340000000009</v>
      </c>
      <c r="I119">
        <v>47</v>
      </c>
      <c r="J119" s="28">
        <f t="shared" si="7"/>
        <v>53.580000000000005</v>
      </c>
      <c r="K119" s="23">
        <v>1780.56</v>
      </c>
      <c r="L119" s="23">
        <f t="shared" si="8"/>
        <v>94066.7711328</v>
      </c>
      <c r="M119" s="23">
        <f t="shared" si="9"/>
        <v>45344.151760799992</v>
      </c>
      <c r="O119" s="23">
        <f>L119-'Part A (2&amp;3)'!R119</f>
        <v>11552.059612800003</v>
      </c>
      <c r="P119" s="23">
        <f>M119-'Part A (2&amp;3)'!T119</f>
        <v>2039.6602407999962</v>
      </c>
    </row>
    <row r="120" spans="5:16" x14ac:dyDescent="0.35">
      <c r="E120" s="8">
        <v>0.14899999999999999</v>
      </c>
      <c r="F120" s="27">
        <f t="shared" si="5"/>
        <v>0.12</v>
      </c>
      <c r="G120" s="23">
        <v>479.5</v>
      </c>
      <c r="H120">
        <f t="shared" si="6"/>
        <v>522.65500000000009</v>
      </c>
      <c r="I120">
        <v>14</v>
      </c>
      <c r="J120" s="28">
        <f t="shared" si="7"/>
        <v>15.96</v>
      </c>
      <c r="K120" s="23">
        <v>656.66</v>
      </c>
      <c r="L120" s="23">
        <f t="shared" si="8"/>
        <v>9222.6583679999985</v>
      </c>
      <c r="M120" s="23">
        <f t="shared" si="9"/>
        <v>881.08456799999658</v>
      </c>
      <c r="O120" s="23">
        <f>L120-'Part A (2&amp;3)'!R120</f>
        <v>1399.211127999999</v>
      </c>
      <c r="P120" s="23">
        <f>M120-'Part A (2&amp;3)'!T120</f>
        <v>-229.36267200000293</v>
      </c>
    </row>
    <row r="121" spans="5:16" x14ac:dyDescent="0.35">
      <c r="E121" s="8">
        <v>0.115</v>
      </c>
      <c r="F121" s="27">
        <f t="shared" si="5"/>
        <v>0.115</v>
      </c>
      <c r="G121" s="23">
        <v>460.21</v>
      </c>
      <c r="H121">
        <f t="shared" si="6"/>
        <v>501.62889999999999</v>
      </c>
      <c r="I121">
        <v>14</v>
      </c>
      <c r="J121" s="28">
        <f t="shared" si="7"/>
        <v>15.96</v>
      </c>
      <c r="K121" s="23">
        <v>1139.1500000000001</v>
      </c>
      <c r="L121" s="23">
        <f t="shared" si="8"/>
        <v>16090.038090000002</v>
      </c>
      <c r="M121" s="23">
        <f t="shared" si="9"/>
        <v>8084.0408460000017</v>
      </c>
      <c r="O121" s="23">
        <f>L121-'Part A (2&amp;3)'!R121</f>
        <v>1975.9695900000006</v>
      </c>
      <c r="P121" s="23">
        <f>M121-'Part A (2&amp;3)'!T121</f>
        <v>412.91234600000007</v>
      </c>
    </row>
    <row r="122" spans="5:16" x14ac:dyDescent="0.35">
      <c r="E122" s="8">
        <v>3.7999999999999999E-2</v>
      </c>
      <c r="F122" s="27">
        <f t="shared" si="5"/>
        <v>3.7999999999999999E-2</v>
      </c>
      <c r="G122" s="23">
        <v>137.46</v>
      </c>
      <c r="H122">
        <f t="shared" si="6"/>
        <v>149.83140000000003</v>
      </c>
      <c r="I122">
        <v>37</v>
      </c>
      <c r="J122" s="28">
        <f t="shared" si="7"/>
        <v>42.180000000000007</v>
      </c>
      <c r="K122" s="23">
        <v>188.3</v>
      </c>
      <c r="L122" s="23">
        <f t="shared" si="8"/>
        <v>7640.6792280000009</v>
      </c>
      <c r="M122" s="23">
        <f t="shared" si="9"/>
        <v>1320.7907759999989</v>
      </c>
      <c r="O122" s="23">
        <f>L122-'Part A (2&amp;3)'!R122</f>
        <v>938.32902800000102</v>
      </c>
      <c r="P122" s="23">
        <f>M122-'Part A (2&amp;3)'!T122</f>
        <v>-295.53942400000051</v>
      </c>
    </row>
    <row r="123" spans="5:16" x14ac:dyDescent="0.35">
      <c r="E123" s="8">
        <v>4.4999999999999998E-2</v>
      </c>
      <c r="F123" s="27">
        <f t="shared" si="5"/>
        <v>4.4999999999999998E-2</v>
      </c>
      <c r="G123" s="23">
        <v>1001.96</v>
      </c>
      <c r="H123">
        <f t="shared" si="6"/>
        <v>1092.1364000000001</v>
      </c>
      <c r="I123">
        <v>18</v>
      </c>
      <c r="J123" s="28">
        <f t="shared" si="7"/>
        <v>20.520000000000003</v>
      </c>
      <c r="K123" s="23">
        <v>1254.95</v>
      </c>
      <c r="L123" s="23">
        <f t="shared" si="8"/>
        <v>24592.753170000004</v>
      </c>
      <c r="M123" s="23">
        <f t="shared" si="9"/>
        <v>2182.1142419999996</v>
      </c>
      <c r="O123" s="23">
        <f>L123-'Part A (2&amp;3)'!R123</f>
        <v>3020.1626700000015</v>
      </c>
      <c r="P123" s="23">
        <f>M123-'Part A (2&amp;3)'!T123</f>
        <v>-1355.1962580000036</v>
      </c>
    </row>
    <row r="124" spans="5:16" x14ac:dyDescent="0.35">
      <c r="E124" s="8">
        <v>8.2000000000000003E-2</v>
      </c>
      <c r="F124" s="27">
        <f t="shared" si="5"/>
        <v>8.2000000000000003E-2</v>
      </c>
      <c r="G124" s="23">
        <v>578.85</v>
      </c>
      <c r="H124">
        <f t="shared" si="6"/>
        <v>630.94650000000001</v>
      </c>
      <c r="I124">
        <v>28</v>
      </c>
      <c r="J124" s="28">
        <f t="shared" si="7"/>
        <v>31.92</v>
      </c>
      <c r="K124" s="23">
        <v>998.76</v>
      </c>
      <c r="L124" s="23">
        <f t="shared" si="8"/>
        <v>29266.224825600002</v>
      </c>
      <c r="M124" s="23">
        <f t="shared" si="9"/>
        <v>9126.4125456000002</v>
      </c>
      <c r="O124" s="23">
        <f>L124-'Part A (2&amp;3)'!R124</f>
        <v>3594.0977856000027</v>
      </c>
      <c r="P124" s="23">
        <f>M124-'Part A (2&amp;3)'!T124</f>
        <v>-337.91449439999815</v>
      </c>
    </row>
    <row r="125" spans="5:16" x14ac:dyDescent="0.35">
      <c r="E125" s="8">
        <v>4.3999999999999997E-2</v>
      </c>
      <c r="F125" s="27">
        <f t="shared" si="5"/>
        <v>4.3999999999999997E-2</v>
      </c>
      <c r="G125" s="23">
        <v>612.59</v>
      </c>
      <c r="H125">
        <f t="shared" si="6"/>
        <v>667.72310000000004</v>
      </c>
      <c r="I125">
        <v>15</v>
      </c>
      <c r="J125" s="28">
        <f t="shared" si="7"/>
        <v>17.100000000000001</v>
      </c>
      <c r="K125" s="23">
        <v>1424.74</v>
      </c>
      <c r="L125" s="23">
        <f t="shared" si="8"/>
        <v>23291.079624000002</v>
      </c>
      <c r="M125" s="23">
        <f t="shared" si="9"/>
        <v>11873.014614</v>
      </c>
      <c r="O125" s="23">
        <f>L125-'Part A (2&amp;3)'!R125</f>
        <v>2860.3080240000054</v>
      </c>
      <c r="P125" s="23">
        <f>M125-'Part A (2&amp;3)'!T125</f>
        <v>631.09301400000368</v>
      </c>
    </row>
    <row r="126" spans="5:16" x14ac:dyDescent="0.35">
      <c r="E126" s="8">
        <v>0</v>
      </c>
      <c r="F126" s="27">
        <f t="shared" si="5"/>
        <v>0</v>
      </c>
      <c r="G126" s="23">
        <v>1258.72</v>
      </c>
      <c r="H126">
        <f t="shared" si="6"/>
        <v>1372.0048000000002</v>
      </c>
      <c r="I126">
        <v>7</v>
      </c>
      <c r="J126" s="28">
        <f t="shared" si="7"/>
        <v>7.98</v>
      </c>
      <c r="K126" s="23">
        <v>2797.41</v>
      </c>
      <c r="L126" s="23">
        <f t="shared" si="8"/>
        <v>22323.3318</v>
      </c>
      <c r="M126" s="23">
        <f t="shared" si="9"/>
        <v>11374.733495999999</v>
      </c>
      <c r="O126" s="23">
        <f>L126-'Part A (2&amp;3)'!R126</f>
        <v>2741.4618000000009</v>
      </c>
      <c r="P126" s="23">
        <f>M126-'Part A (2&amp;3)'!T126</f>
        <v>603.90349600000081</v>
      </c>
    </row>
    <row r="127" spans="5:16" x14ac:dyDescent="0.35">
      <c r="E127" s="8">
        <v>0.107</v>
      </c>
      <c r="F127" s="27">
        <f t="shared" si="5"/>
        <v>0.107</v>
      </c>
      <c r="G127" s="23">
        <v>141.26</v>
      </c>
      <c r="H127">
        <f t="shared" si="6"/>
        <v>153.9734</v>
      </c>
      <c r="I127">
        <v>9</v>
      </c>
      <c r="J127" s="28">
        <f t="shared" si="7"/>
        <v>10.260000000000002</v>
      </c>
      <c r="K127" s="23">
        <v>206.88</v>
      </c>
      <c r="L127" s="23">
        <f t="shared" si="8"/>
        <v>1895.4717984000004</v>
      </c>
      <c r="M127" s="23">
        <f t="shared" si="9"/>
        <v>315.70471440000006</v>
      </c>
      <c r="O127" s="23">
        <f>L127-'Part A (2&amp;3)'!R127</f>
        <v>232.77723840000021</v>
      </c>
      <c r="P127" s="23">
        <f>M127-'Part A (2&amp;3)'!T127</f>
        <v>-75.649845600000162</v>
      </c>
    </row>
    <row r="128" spans="5:16" x14ac:dyDescent="0.35">
      <c r="E128" s="8">
        <v>0.126</v>
      </c>
      <c r="F128" s="27">
        <f t="shared" si="5"/>
        <v>0.12</v>
      </c>
      <c r="G128" s="23">
        <v>1303.56</v>
      </c>
      <c r="H128">
        <f t="shared" si="6"/>
        <v>1420.8804</v>
      </c>
      <c r="I128">
        <v>22</v>
      </c>
      <c r="J128" s="28">
        <f t="shared" si="7"/>
        <v>25.080000000000002</v>
      </c>
      <c r="K128" s="23">
        <v>1791.37</v>
      </c>
      <c r="L128" s="23">
        <f t="shared" si="8"/>
        <v>39536.252447999999</v>
      </c>
      <c r="M128" s="23">
        <f t="shared" si="9"/>
        <v>3900.5720159999983</v>
      </c>
      <c r="O128" s="23">
        <f>L128-'Part A (2&amp;3)'!R128</f>
        <v>5091.7900880000016</v>
      </c>
      <c r="P128" s="23">
        <f>M128-'Part A (2&amp;3)'!T128</f>
        <v>-1865.5703439999997</v>
      </c>
    </row>
    <row r="129" spans="5:16" x14ac:dyDescent="0.35">
      <c r="E129" s="8">
        <v>0.29899999999999999</v>
      </c>
      <c r="F129" s="27">
        <f t="shared" si="5"/>
        <v>0.12</v>
      </c>
      <c r="G129" s="23">
        <v>620.74</v>
      </c>
      <c r="H129">
        <f t="shared" si="6"/>
        <v>676.60660000000007</v>
      </c>
      <c r="I129">
        <v>28</v>
      </c>
      <c r="J129" s="28">
        <f t="shared" si="7"/>
        <v>31.92</v>
      </c>
      <c r="K129" s="23">
        <v>1330.07</v>
      </c>
      <c r="L129" s="23">
        <f t="shared" si="8"/>
        <v>37361.134271999996</v>
      </c>
      <c r="M129" s="23">
        <f t="shared" si="9"/>
        <v>15763.851599999991</v>
      </c>
      <c r="O129" s="23">
        <f>L129-'Part A (2&amp;3)'!R129</f>
        <v>11254.520311999993</v>
      </c>
      <c r="P129" s="23">
        <f>M129-'Part A (2&amp;3)'!T129</f>
        <v>7037.9576399999896</v>
      </c>
    </row>
    <row r="130" spans="5:16" x14ac:dyDescent="0.35">
      <c r="E130" s="8">
        <v>3.9E-2</v>
      </c>
      <c r="F130" s="27">
        <f t="shared" si="5"/>
        <v>3.9E-2</v>
      </c>
      <c r="G130" s="23">
        <v>956.38</v>
      </c>
      <c r="H130">
        <f t="shared" si="6"/>
        <v>1042.4542000000001</v>
      </c>
      <c r="I130">
        <v>19</v>
      </c>
      <c r="J130" s="28">
        <f t="shared" si="7"/>
        <v>21.660000000000004</v>
      </c>
      <c r="K130" s="23">
        <v>1454.22</v>
      </c>
      <c r="L130" s="23">
        <f t="shared" si="8"/>
        <v>30269.967397200006</v>
      </c>
      <c r="M130" s="23">
        <f t="shared" si="9"/>
        <v>7690.4094251999995</v>
      </c>
      <c r="O130" s="23">
        <f>L130-'Part A (2&amp;3)'!R130</f>
        <v>3717.3644172000058</v>
      </c>
      <c r="P130" s="23">
        <f>M130-'Part A (2&amp;3)'!T130</f>
        <v>-690.97355479999896</v>
      </c>
    </row>
    <row r="131" spans="5:16" x14ac:dyDescent="0.35">
      <c r="E131" s="8">
        <v>0.216</v>
      </c>
      <c r="F131" s="27">
        <f t="shared" ref="F131:F194" si="10">MIN(E131,$C$2)</f>
        <v>0.12</v>
      </c>
      <c r="G131" s="23">
        <v>1039.03</v>
      </c>
      <c r="H131">
        <f t="shared" ref="H131:H194" si="11">G131*(1+$C$3)</f>
        <v>1132.5427</v>
      </c>
      <c r="I131">
        <v>21</v>
      </c>
      <c r="J131" s="28">
        <f t="shared" ref="J131:J194" si="12">I131*(1+$C$4)</f>
        <v>23.94</v>
      </c>
      <c r="K131" s="23">
        <v>2545.81</v>
      </c>
      <c r="L131" s="23">
        <f t="shared" ref="L131:L194" si="13">K131*(1-F131)*J131</f>
        <v>53633.088432000004</v>
      </c>
      <c r="M131" s="23">
        <f t="shared" ref="M131:M194" si="14">L131-(H131*J131)</f>
        <v>26520.016194000003</v>
      </c>
      <c r="O131" s="23">
        <f>L131-'Part A (2&amp;3)'!R131</f>
        <v>11718.872592</v>
      </c>
      <c r="P131" s="23">
        <f>M131-'Part A (2&amp;3)'!T131</f>
        <v>6425.4303540000001</v>
      </c>
    </row>
    <row r="132" spans="5:16" x14ac:dyDescent="0.35">
      <c r="E132" s="8">
        <v>0.192</v>
      </c>
      <c r="F132" s="27">
        <f t="shared" si="10"/>
        <v>0.12</v>
      </c>
      <c r="G132" s="23">
        <v>1271.56</v>
      </c>
      <c r="H132">
        <f t="shared" si="11"/>
        <v>1386.0004000000001</v>
      </c>
      <c r="I132">
        <v>13</v>
      </c>
      <c r="J132" s="28">
        <f t="shared" si="12"/>
        <v>14.820000000000002</v>
      </c>
      <c r="K132" s="23">
        <v>995.47</v>
      </c>
      <c r="L132" s="23">
        <f t="shared" si="13"/>
        <v>12982.521552000002</v>
      </c>
      <c r="M132" s="23">
        <f t="shared" si="14"/>
        <v>-7558.0043760000044</v>
      </c>
      <c r="O132" s="23">
        <f>L132-'Part A (2&amp;3)'!R132</f>
        <v>2526.1046720000013</v>
      </c>
      <c r="P132" s="23">
        <f>M132-'Part A (2&amp;3)'!T132</f>
        <v>-1484.1412560000063</v>
      </c>
    </row>
    <row r="133" spans="5:16" x14ac:dyDescent="0.35">
      <c r="E133" s="8">
        <v>0.129</v>
      </c>
      <c r="F133" s="27">
        <f t="shared" si="10"/>
        <v>0.12</v>
      </c>
      <c r="G133" s="23">
        <v>1269.55</v>
      </c>
      <c r="H133">
        <f t="shared" si="11"/>
        <v>1383.8095000000001</v>
      </c>
      <c r="I133">
        <v>22</v>
      </c>
      <c r="J133" s="28">
        <f t="shared" si="12"/>
        <v>25.080000000000002</v>
      </c>
      <c r="K133" s="23">
        <v>2071.1</v>
      </c>
      <c r="L133" s="23">
        <f t="shared" si="13"/>
        <v>45710.005440000001</v>
      </c>
      <c r="M133" s="23">
        <f t="shared" si="14"/>
        <v>11004.063179999997</v>
      </c>
      <c r="O133" s="23">
        <f>L133-'Part A (2&amp;3)'!R133</f>
        <v>6023.5872400000007</v>
      </c>
      <c r="P133" s="23">
        <f>M133-'Part A (2&amp;3)'!T133</f>
        <v>-752.25502000000415</v>
      </c>
    </row>
    <row r="134" spans="5:16" x14ac:dyDescent="0.35">
      <c r="E134" s="8">
        <v>0.11799999999999999</v>
      </c>
      <c r="F134" s="27">
        <f t="shared" si="10"/>
        <v>0.11799999999999999</v>
      </c>
      <c r="G134" s="23">
        <v>1334.64</v>
      </c>
      <c r="H134">
        <f t="shared" si="11"/>
        <v>1454.7576000000001</v>
      </c>
      <c r="I134">
        <v>14</v>
      </c>
      <c r="J134" s="28">
        <f t="shared" si="12"/>
        <v>15.96</v>
      </c>
      <c r="K134" s="23">
        <v>2273.42</v>
      </c>
      <c r="L134" s="23">
        <f t="shared" si="13"/>
        <v>32002.296782400001</v>
      </c>
      <c r="M134" s="23">
        <f t="shared" si="14"/>
        <v>8784.3654863999982</v>
      </c>
      <c r="O134" s="23">
        <f>L134-'Part A (2&amp;3)'!R134</f>
        <v>3930.1066223999987</v>
      </c>
      <c r="P134" s="23">
        <f>M134-'Part A (2&amp;3)'!T134</f>
        <v>-602.86467360000097</v>
      </c>
    </row>
    <row r="135" spans="5:16" x14ac:dyDescent="0.35">
      <c r="E135" s="8">
        <v>0.16500000000000001</v>
      </c>
      <c r="F135" s="27">
        <f t="shared" si="10"/>
        <v>0.12</v>
      </c>
      <c r="G135" s="23">
        <v>946.99</v>
      </c>
      <c r="H135">
        <f t="shared" si="11"/>
        <v>1032.2191</v>
      </c>
      <c r="I135">
        <v>7</v>
      </c>
      <c r="J135" s="28">
        <f t="shared" si="12"/>
        <v>7.98</v>
      </c>
      <c r="K135" s="23">
        <v>2132.19</v>
      </c>
      <c r="L135" s="23">
        <f t="shared" si="13"/>
        <v>14973.091056000001</v>
      </c>
      <c r="M135" s="23">
        <f t="shared" si="14"/>
        <v>6735.9826380000013</v>
      </c>
      <c r="O135" s="23">
        <f>L135-'Part A (2&amp;3)'!R135</f>
        <v>2510.4405060000008</v>
      </c>
      <c r="P135" s="23">
        <f>M135-'Part A (2&amp;3)'!T135</f>
        <v>902.26208800000131</v>
      </c>
    </row>
    <row r="136" spans="5:16" x14ac:dyDescent="0.35">
      <c r="E136" s="8">
        <v>0.16400000000000001</v>
      </c>
      <c r="F136" s="27">
        <f t="shared" si="10"/>
        <v>0.12</v>
      </c>
      <c r="G136" s="23">
        <v>1082.3800000000001</v>
      </c>
      <c r="H136">
        <f t="shared" si="11"/>
        <v>1179.7942000000003</v>
      </c>
      <c r="I136">
        <v>20</v>
      </c>
      <c r="J136" s="28">
        <f t="shared" si="12"/>
        <v>22.800000000000004</v>
      </c>
      <c r="K136" s="23">
        <v>1766.55</v>
      </c>
      <c r="L136" s="23">
        <f t="shared" si="13"/>
        <v>35444.059200000011</v>
      </c>
      <c r="M136" s="23">
        <f t="shared" si="14"/>
        <v>8544.75144</v>
      </c>
      <c r="O136" s="23">
        <f>L136-'Part A (2&amp;3)'!R136</f>
        <v>5907.3432000000103</v>
      </c>
      <c r="P136" s="23">
        <f>M136-'Part A (2&amp;3)'!T136</f>
        <v>655.63544000000184</v>
      </c>
    </row>
    <row r="137" spans="5:16" x14ac:dyDescent="0.35">
      <c r="E137" s="8">
        <v>0.3</v>
      </c>
      <c r="F137" s="27">
        <f t="shared" si="10"/>
        <v>0.12</v>
      </c>
      <c r="G137" s="23">
        <v>661.45</v>
      </c>
      <c r="H137">
        <f t="shared" si="11"/>
        <v>720.98050000000012</v>
      </c>
      <c r="I137">
        <v>24</v>
      </c>
      <c r="J137" s="28">
        <f t="shared" si="12"/>
        <v>27.360000000000003</v>
      </c>
      <c r="K137" s="23">
        <v>1634.86</v>
      </c>
      <c r="L137" s="23">
        <f t="shared" si="13"/>
        <v>39362.197248000004</v>
      </c>
      <c r="M137" s="23">
        <f t="shared" si="14"/>
        <v>19636.170768</v>
      </c>
      <c r="O137" s="23">
        <f>L137-'Part A (2&amp;3)'!R137</f>
        <v>11896.549248000007</v>
      </c>
      <c r="P137" s="23">
        <f>M137-'Part A (2&amp;3)'!T137</f>
        <v>8045.3227680000036</v>
      </c>
    </row>
    <row r="138" spans="5:16" x14ac:dyDescent="0.35">
      <c r="E138" s="8">
        <v>0.24</v>
      </c>
      <c r="F138" s="27">
        <f t="shared" si="10"/>
        <v>0.12</v>
      </c>
      <c r="G138" s="23">
        <v>506.83</v>
      </c>
      <c r="H138">
        <f t="shared" si="11"/>
        <v>552.44470000000001</v>
      </c>
      <c r="I138">
        <v>9</v>
      </c>
      <c r="J138" s="28">
        <f t="shared" si="12"/>
        <v>10.260000000000002</v>
      </c>
      <c r="K138" s="23">
        <v>441.74</v>
      </c>
      <c r="L138" s="23">
        <f t="shared" si="13"/>
        <v>3988.3821120000007</v>
      </c>
      <c r="M138" s="23">
        <f t="shared" si="14"/>
        <v>-1679.7005100000001</v>
      </c>
      <c r="O138" s="23">
        <f>L138-'Part A (2&amp;3)'!R138</f>
        <v>966.88051200000064</v>
      </c>
      <c r="P138" s="23">
        <f>M138-'Part A (2&amp;3)'!T138</f>
        <v>-139.73210999999992</v>
      </c>
    </row>
    <row r="139" spans="5:16" x14ac:dyDescent="0.35">
      <c r="E139" s="8">
        <v>0.151</v>
      </c>
      <c r="F139" s="27">
        <f t="shared" si="10"/>
        <v>0.12</v>
      </c>
      <c r="G139" s="23">
        <v>1261.48</v>
      </c>
      <c r="H139">
        <f t="shared" si="11"/>
        <v>1375.0132000000001</v>
      </c>
      <c r="I139">
        <v>23</v>
      </c>
      <c r="J139" s="28">
        <f t="shared" si="12"/>
        <v>26.220000000000002</v>
      </c>
      <c r="K139" s="23">
        <v>1643.18</v>
      </c>
      <c r="L139" s="23">
        <f t="shared" si="13"/>
        <v>37914.07804800001</v>
      </c>
      <c r="M139" s="23">
        <f t="shared" si="14"/>
        <v>1861.2319440000065</v>
      </c>
      <c r="O139" s="23">
        <f>L139-'Part A (2&amp;3)'!R139</f>
        <v>5827.7021880000102</v>
      </c>
      <c r="P139" s="23">
        <f>M139-'Part A (2&amp;3)'!T139</f>
        <v>-1211.1039159999928</v>
      </c>
    </row>
    <row r="140" spans="5:16" x14ac:dyDescent="0.35">
      <c r="E140" s="8">
        <v>0.13100000000000001</v>
      </c>
      <c r="F140" s="27">
        <f t="shared" si="10"/>
        <v>0.12</v>
      </c>
      <c r="G140" s="23">
        <v>1352.44</v>
      </c>
      <c r="H140">
        <f t="shared" si="11"/>
        <v>1474.1596000000002</v>
      </c>
      <c r="I140">
        <v>13</v>
      </c>
      <c r="J140" s="28">
        <f t="shared" si="12"/>
        <v>14.820000000000002</v>
      </c>
      <c r="K140" s="23">
        <v>2698.01</v>
      </c>
      <c r="L140" s="23">
        <f t="shared" si="13"/>
        <v>35186.367216000006</v>
      </c>
      <c r="M140" s="23">
        <f t="shared" si="14"/>
        <v>13339.321943999999</v>
      </c>
      <c r="O140" s="23">
        <f>L140-'Part A (2&amp;3)'!R140</f>
        <v>4706.9482460000036</v>
      </c>
      <c r="P140" s="23">
        <f>M140-'Part A (2&amp;3)'!T140</f>
        <v>441.62297399999807</v>
      </c>
    </row>
    <row r="141" spans="5:16" x14ac:dyDescent="0.35">
      <c r="E141" s="8">
        <v>0.17100000000000001</v>
      </c>
      <c r="F141" s="27">
        <f t="shared" si="10"/>
        <v>0.12</v>
      </c>
      <c r="G141" s="23">
        <v>1418.51</v>
      </c>
      <c r="H141">
        <f t="shared" si="11"/>
        <v>1546.1759000000002</v>
      </c>
      <c r="I141">
        <v>8</v>
      </c>
      <c r="J141" s="28">
        <f t="shared" si="12"/>
        <v>9.120000000000001</v>
      </c>
      <c r="K141" s="23">
        <v>2789.61</v>
      </c>
      <c r="L141" s="23">
        <f t="shared" si="13"/>
        <v>22388.294016000003</v>
      </c>
      <c r="M141" s="23">
        <f t="shared" si="14"/>
        <v>8287.1698080000006</v>
      </c>
      <c r="O141" s="23">
        <f>L141-'Part A (2&amp;3)'!R141</f>
        <v>3887.6004960000027</v>
      </c>
      <c r="P141" s="23">
        <f>M141-'Part A (2&amp;3)'!T141</f>
        <v>1134.5562879999998</v>
      </c>
    </row>
    <row r="142" spans="5:16" x14ac:dyDescent="0.35">
      <c r="E142" s="8">
        <v>7.1999999999999995E-2</v>
      </c>
      <c r="F142" s="27">
        <f t="shared" si="10"/>
        <v>7.1999999999999995E-2</v>
      </c>
      <c r="G142" s="23">
        <v>175.38</v>
      </c>
      <c r="H142">
        <f t="shared" si="11"/>
        <v>191.16420000000002</v>
      </c>
      <c r="I142">
        <v>43</v>
      </c>
      <c r="J142" s="28">
        <f t="shared" si="12"/>
        <v>49.02</v>
      </c>
      <c r="K142" s="23">
        <v>347.9</v>
      </c>
      <c r="L142" s="23">
        <f t="shared" si="13"/>
        <v>15826.165824000002</v>
      </c>
      <c r="M142" s="23">
        <f t="shared" si="14"/>
        <v>6455.2967399999998</v>
      </c>
      <c r="O142" s="23">
        <f>L142-'Part A (2&amp;3)'!R142</f>
        <v>1943.5642240000016</v>
      </c>
      <c r="P142" s="23">
        <f>M142-'Part A (2&amp;3)'!T142</f>
        <v>114.03513999999996</v>
      </c>
    </row>
    <row r="143" spans="5:16" x14ac:dyDescent="0.35">
      <c r="E143" s="8">
        <v>0.13400000000000001</v>
      </c>
      <c r="F143" s="27">
        <f t="shared" si="10"/>
        <v>0.12</v>
      </c>
      <c r="G143" s="23">
        <v>232.73</v>
      </c>
      <c r="H143">
        <f t="shared" si="11"/>
        <v>253.67570000000001</v>
      </c>
      <c r="I143">
        <v>25</v>
      </c>
      <c r="J143" s="28">
        <f t="shared" si="12"/>
        <v>28.500000000000004</v>
      </c>
      <c r="K143" s="23">
        <v>334.19</v>
      </c>
      <c r="L143" s="23">
        <f t="shared" si="13"/>
        <v>8381.485200000001</v>
      </c>
      <c r="M143" s="23">
        <f t="shared" si="14"/>
        <v>1151.72775</v>
      </c>
      <c r="O143" s="23">
        <f>L143-'Part A (2&amp;3)'!R143</f>
        <v>1146.2717000000011</v>
      </c>
      <c r="P143" s="23">
        <f>M143-'Part A (2&amp;3)'!T143</f>
        <v>-265.23574999999983</v>
      </c>
    </row>
    <row r="144" spans="5:16" x14ac:dyDescent="0.35">
      <c r="E144" s="8">
        <v>0.161</v>
      </c>
      <c r="F144" s="27">
        <f t="shared" si="10"/>
        <v>0.12</v>
      </c>
      <c r="G144" s="23">
        <v>1021.97</v>
      </c>
      <c r="H144">
        <f t="shared" si="11"/>
        <v>1113.9473</v>
      </c>
      <c r="I144">
        <v>26</v>
      </c>
      <c r="J144" s="28">
        <f t="shared" si="12"/>
        <v>29.640000000000004</v>
      </c>
      <c r="K144" s="23">
        <v>2296.25</v>
      </c>
      <c r="L144" s="23">
        <f t="shared" si="13"/>
        <v>59893.54800000001</v>
      </c>
      <c r="M144" s="23">
        <f t="shared" si="14"/>
        <v>26876.150028000004</v>
      </c>
      <c r="O144" s="23">
        <f>L144-'Part A (2&amp;3)'!R144</f>
        <v>9803.1505000000107</v>
      </c>
      <c r="P144" s="23">
        <f>M144-'Part A (2&amp;3)'!T144</f>
        <v>3356.9725280000057</v>
      </c>
    </row>
    <row r="145" spans="5:16" x14ac:dyDescent="0.35">
      <c r="E145" s="8">
        <v>0.151</v>
      </c>
      <c r="F145" s="27">
        <f t="shared" si="10"/>
        <v>0.12</v>
      </c>
      <c r="G145" s="23">
        <v>226.04</v>
      </c>
      <c r="H145">
        <f t="shared" si="11"/>
        <v>246.3836</v>
      </c>
      <c r="I145">
        <v>11</v>
      </c>
      <c r="J145" s="28">
        <f t="shared" si="12"/>
        <v>12.540000000000001</v>
      </c>
      <c r="K145" s="23">
        <v>545.72</v>
      </c>
      <c r="L145" s="23">
        <f t="shared" si="13"/>
        <v>6022.1293440000009</v>
      </c>
      <c r="M145" s="23">
        <f t="shared" si="14"/>
        <v>2932.4790000000007</v>
      </c>
      <c r="O145" s="23">
        <f>L145-'Part A (2&amp;3)'!R145</f>
        <v>925.65026400000079</v>
      </c>
      <c r="P145" s="23">
        <f>M145-'Part A (2&amp;3)'!T145</f>
        <v>322.43992000000071</v>
      </c>
    </row>
    <row r="146" spans="5:16" x14ac:dyDescent="0.35">
      <c r="E146" s="8">
        <v>0.216</v>
      </c>
      <c r="F146" s="27">
        <f t="shared" si="10"/>
        <v>0.12</v>
      </c>
      <c r="G146" s="23">
        <v>582.88</v>
      </c>
      <c r="H146">
        <f t="shared" si="11"/>
        <v>635.33920000000001</v>
      </c>
      <c r="I146">
        <v>10</v>
      </c>
      <c r="J146" s="28">
        <f t="shared" si="12"/>
        <v>11.400000000000002</v>
      </c>
      <c r="K146" s="23">
        <v>1044.1400000000001</v>
      </c>
      <c r="L146" s="23">
        <f t="shared" si="13"/>
        <v>10474.812480000004</v>
      </c>
      <c r="M146" s="23">
        <f t="shared" si="14"/>
        <v>3231.9456000000027</v>
      </c>
      <c r="O146" s="23">
        <f>L146-'Part A (2&amp;3)'!R146</f>
        <v>2288.7548800000031</v>
      </c>
      <c r="P146" s="23">
        <f>M146-'Part A (2&amp;3)'!T146</f>
        <v>874.68800000000192</v>
      </c>
    </row>
    <row r="147" spans="5:16" x14ac:dyDescent="0.35">
      <c r="E147" s="8">
        <v>9.4E-2</v>
      </c>
      <c r="F147" s="27">
        <f t="shared" si="10"/>
        <v>9.4E-2</v>
      </c>
      <c r="G147" s="23">
        <v>446.69</v>
      </c>
      <c r="H147">
        <f t="shared" si="11"/>
        <v>486.89210000000003</v>
      </c>
      <c r="I147">
        <v>10</v>
      </c>
      <c r="J147" s="28">
        <f t="shared" si="12"/>
        <v>11.400000000000002</v>
      </c>
      <c r="K147" s="23">
        <v>967.25</v>
      </c>
      <c r="L147" s="23">
        <f t="shared" si="13"/>
        <v>9990.144900000003</v>
      </c>
      <c r="M147" s="23">
        <f t="shared" si="14"/>
        <v>4439.5749600000017</v>
      </c>
      <c r="O147" s="23">
        <f>L147-'Part A (2&amp;3)'!R147</f>
        <v>1226.8599000000031</v>
      </c>
      <c r="P147" s="23">
        <f>M147-'Part A (2&amp;3)'!T147</f>
        <v>143.18996000000152</v>
      </c>
    </row>
    <row r="148" spans="5:16" x14ac:dyDescent="0.35">
      <c r="E148" s="8">
        <v>0.123</v>
      </c>
      <c r="F148" s="27">
        <f t="shared" si="10"/>
        <v>0.12</v>
      </c>
      <c r="G148" s="23">
        <v>1307.52</v>
      </c>
      <c r="H148">
        <f t="shared" si="11"/>
        <v>1425.1968000000002</v>
      </c>
      <c r="I148">
        <v>13</v>
      </c>
      <c r="J148" s="28">
        <f t="shared" si="12"/>
        <v>14.820000000000002</v>
      </c>
      <c r="K148" s="23">
        <v>1921.65</v>
      </c>
      <c r="L148" s="23">
        <f t="shared" si="13"/>
        <v>25061.390640000005</v>
      </c>
      <c r="M148" s="23">
        <f t="shared" si="14"/>
        <v>3939.9740639999982</v>
      </c>
      <c r="O148" s="23">
        <f>L148-'Part A (2&amp;3)'!R148</f>
        <v>3152.6589900000035</v>
      </c>
      <c r="P148" s="23">
        <f>M148-'Part A (2&amp;3)'!T148</f>
        <v>-970.99758600000496</v>
      </c>
    </row>
    <row r="149" spans="5:16" x14ac:dyDescent="0.35">
      <c r="E149" s="8">
        <v>8.4000000000000005E-2</v>
      </c>
      <c r="F149" s="27">
        <f t="shared" si="10"/>
        <v>8.4000000000000005E-2</v>
      </c>
      <c r="G149" s="23">
        <v>950.77</v>
      </c>
      <c r="H149">
        <f t="shared" si="11"/>
        <v>1036.3393000000001</v>
      </c>
      <c r="I149">
        <v>14</v>
      </c>
      <c r="J149" s="28">
        <f t="shared" si="12"/>
        <v>15.96</v>
      </c>
      <c r="K149" s="23">
        <v>694.78</v>
      </c>
      <c r="L149" s="23">
        <f t="shared" si="13"/>
        <v>10157.238940800002</v>
      </c>
      <c r="M149" s="23">
        <f t="shared" si="14"/>
        <v>-6382.7362872000012</v>
      </c>
      <c r="O149" s="23">
        <f>L149-'Part A (2&amp;3)'!R149</f>
        <v>1247.3802208000016</v>
      </c>
      <c r="P149" s="23">
        <f>M149-'Part A (2&amp;3)'!T149</f>
        <v>-1981.8150072000026</v>
      </c>
    </row>
    <row r="150" spans="5:16" x14ac:dyDescent="0.35">
      <c r="E150" s="8">
        <v>0</v>
      </c>
      <c r="F150" s="27">
        <f t="shared" si="10"/>
        <v>0</v>
      </c>
      <c r="G150" s="23">
        <v>590.33000000000004</v>
      </c>
      <c r="H150">
        <f t="shared" si="11"/>
        <v>643.45970000000011</v>
      </c>
      <c r="I150">
        <v>26</v>
      </c>
      <c r="J150" s="28">
        <f t="shared" si="12"/>
        <v>29.640000000000004</v>
      </c>
      <c r="K150" s="23">
        <v>973.04</v>
      </c>
      <c r="L150" s="23">
        <f t="shared" si="13"/>
        <v>28840.905600000002</v>
      </c>
      <c r="M150" s="23">
        <f t="shared" si="14"/>
        <v>9768.7600919999968</v>
      </c>
      <c r="O150" s="23">
        <f>L150-'Part A (2&amp;3)'!R150</f>
        <v>3541.865600000001</v>
      </c>
      <c r="P150" s="23">
        <f>M150-'Part A (2&amp;3)'!T150</f>
        <v>-181.69990800000232</v>
      </c>
    </row>
    <row r="151" spans="5:16" x14ac:dyDescent="0.35">
      <c r="E151" s="8">
        <v>0</v>
      </c>
      <c r="F151" s="27">
        <f t="shared" si="10"/>
        <v>0</v>
      </c>
      <c r="G151" s="23">
        <v>91.85</v>
      </c>
      <c r="H151">
        <f t="shared" si="11"/>
        <v>100.1165</v>
      </c>
      <c r="I151">
        <v>6</v>
      </c>
      <c r="J151" s="28">
        <f t="shared" si="12"/>
        <v>6.8400000000000007</v>
      </c>
      <c r="K151" s="23">
        <v>111.29</v>
      </c>
      <c r="L151" s="23">
        <f t="shared" si="13"/>
        <v>761.22360000000015</v>
      </c>
      <c r="M151" s="23">
        <f t="shared" si="14"/>
        <v>76.426740000000109</v>
      </c>
      <c r="O151" s="23">
        <f>L151-'Part A (2&amp;3)'!R151</f>
        <v>93.483600000000138</v>
      </c>
      <c r="P151" s="23">
        <f>M151-'Part A (2&amp;3)'!T151</f>
        <v>-40.213259999999991</v>
      </c>
    </row>
    <row r="152" spans="5:16" x14ac:dyDescent="0.35">
      <c r="E152" s="8">
        <v>6.6000000000000003E-2</v>
      </c>
      <c r="F152" s="27">
        <f t="shared" si="10"/>
        <v>6.6000000000000003E-2</v>
      </c>
      <c r="G152" s="23">
        <v>676.37</v>
      </c>
      <c r="H152">
        <f t="shared" si="11"/>
        <v>737.24330000000009</v>
      </c>
      <c r="I152">
        <v>10</v>
      </c>
      <c r="J152" s="28">
        <f t="shared" si="12"/>
        <v>11.400000000000002</v>
      </c>
      <c r="K152" s="23">
        <v>1276.67</v>
      </c>
      <c r="L152" s="23">
        <f t="shared" si="13"/>
        <v>13593.471492000002</v>
      </c>
      <c r="M152" s="23">
        <f t="shared" si="14"/>
        <v>5188.8978719999996</v>
      </c>
      <c r="O152" s="23">
        <f>L152-'Part A (2&amp;3)'!R152</f>
        <v>1669.3736920000028</v>
      </c>
      <c r="P152" s="23">
        <f>M152-'Part A (2&amp;3)'!T152</f>
        <v>28.500071999999818</v>
      </c>
    </row>
    <row r="153" spans="5:16" x14ac:dyDescent="0.35">
      <c r="E153" s="8">
        <v>0.20399999999999999</v>
      </c>
      <c r="F153" s="27">
        <f t="shared" si="10"/>
        <v>0.12</v>
      </c>
      <c r="G153" s="23">
        <v>494.61</v>
      </c>
      <c r="H153">
        <f t="shared" si="11"/>
        <v>539.12490000000003</v>
      </c>
      <c r="I153">
        <v>18</v>
      </c>
      <c r="J153" s="28">
        <f t="shared" si="12"/>
        <v>20.520000000000003</v>
      </c>
      <c r="K153" s="23">
        <v>605.23</v>
      </c>
      <c r="L153" s="23">
        <f t="shared" si="13"/>
        <v>10929.001248000002</v>
      </c>
      <c r="M153" s="23">
        <f t="shared" si="14"/>
        <v>-133.84169999999904</v>
      </c>
      <c r="O153" s="23">
        <f>L153-'Part A (2&amp;3)'!R153</f>
        <v>2257.2658080000019</v>
      </c>
      <c r="P153" s="23">
        <f>M153-'Part A (2&amp;3)'!T153</f>
        <v>97.402860000000146</v>
      </c>
    </row>
    <row r="154" spans="5:16" x14ac:dyDescent="0.35">
      <c r="E154" s="8">
        <v>0.24099999999999999</v>
      </c>
      <c r="F154" s="27">
        <f t="shared" si="10"/>
        <v>0.12</v>
      </c>
      <c r="G154" s="23">
        <v>1183.95</v>
      </c>
      <c r="H154">
        <f t="shared" si="11"/>
        <v>1290.5055000000002</v>
      </c>
      <c r="I154">
        <v>16</v>
      </c>
      <c r="J154" s="28">
        <f t="shared" si="12"/>
        <v>18.240000000000002</v>
      </c>
      <c r="K154" s="23">
        <v>1503.53</v>
      </c>
      <c r="L154" s="23">
        <f t="shared" si="13"/>
        <v>24133.460736000001</v>
      </c>
      <c r="M154" s="23">
        <f t="shared" si="14"/>
        <v>594.64041599999473</v>
      </c>
      <c r="O154" s="23">
        <f>L154-'Part A (2&amp;3)'!R154</f>
        <v>5874.5924159999995</v>
      </c>
      <c r="P154" s="23">
        <f>M154-'Part A (2&amp;3)'!T154</f>
        <v>1278.9720959999941</v>
      </c>
    </row>
    <row r="155" spans="5:16" x14ac:dyDescent="0.35">
      <c r="E155" s="8">
        <v>0.10100000000000001</v>
      </c>
      <c r="F155" s="27">
        <f t="shared" si="10"/>
        <v>0.10100000000000001</v>
      </c>
      <c r="G155" s="23">
        <v>790.63</v>
      </c>
      <c r="H155">
        <f t="shared" si="11"/>
        <v>861.78670000000011</v>
      </c>
      <c r="I155">
        <v>7</v>
      </c>
      <c r="J155" s="28">
        <f t="shared" si="12"/>
        <v>7.98</v>
      </c>
      <c r="K155" s="23">
        <v>1382.31</v>
      </c>
      <c r="L155" s="23">
        <f t="shared" si="13"/>
        <v>9916.7195862000008</v>
      </c>
      <c r="M155" s="23">
        <f t="shared" si="14"/>
        <v>3039.6617201999998</v>
      </c>
      <c r="O155" s="23">
        <f>L155-'Part A (2&amp;3)'!R155</f>
        <v>1217.8427561999997</v>
      </c>
      <c r="P155" s="23">
        <f>M155-'Part A (2&amp;3)'!T155</f>
        <v>-124.80510980000145</v>
      </c>
    </row>
    <row r="156" spans="5:16" x14ac:dyDescent="0.35">
      <c r="E156" s="8">
        <v>8.8999999999999996E-2</v>
      </c>
      <c r="F156" s="27">
        <f t="shared" si="10"/>
        <v>8.8999999999999996E-2</v>
      </c>
      <c r="G156" s="23">
        <v>178.19</v>
      </c>
      <c r="H156">
        <f t="shared" si="11"/>
        <v>194.22710000000001</v>
      </c>
      <c r="I156">
        <v>8</v>
      </c>
      <c r="J156" s="28">
        <f t="shared" si="12"/>
        <v>9.120000000000001</v>
      </c>
      <c r="K156" s="23">
        <v>284.43</v>
      </c>
      <c r="L156" s="23">
        <f t="shared" si="13"/>
        <v>2363.1354576000008</v>
      </c>
      <c r="M156" s="23">
        <f t="shared" si="14"/>
        <v>591.78430560000061</v>
      </c>
      <c r="O156" s="23">
        <f>L156-'Part A (2&amp;3)'!R156</f>
        <v>290.20961760000046</v>
      </c>
      <c r="P156" s="23">
        <f>M156-'Part A (2&amp;3)'!T156</f>
        <v>-55.621534399999746</v>
      </c>
    </row>
    <row r="157" spans="5:16" x14ac:dyDescent="0.35">
      <c r="E157" s="8">
        <v>5.8999999999999997E-2</v>
      </c>
      <c r="F157" s="27">
        <f t="shared" si="10"/>
        <v>5.8999999999999997E-2</v>
      </c>
      <c r="G157" s="23">
        <v>209.81</v>
      </c>
      <c r="H157">
        <f t="shared" si="11"/>
        <v>228.69290000000001</v>
      </c>
      <c r="I157">
        <v>15</v>
      </c>
      <c r="J157" s="28">
        <f t="shared" si="12"/>
        <v>17.100000000000001</v>
      </c>
      <c r="K157" s="23">
        <v>523</v>
      </c>
      <c r="L157" s="23">
        <f t="shared" si="13"/>
        <v>8415.645300000002</v>
      </c>
      <c r="M157" s="23">
        <f t="shared" si="14"/>
        <v>4504.9967100000013</v>
      </c>
      <c r="O157" s="23">
        <f>L157-'Part A (2&amp;3)'!R157</f>
        <v>1033.5003000000015</v>
      </c>
      <c r="P157" s="23">
        <f>M157-'Part A (2&amp;3)'!T157</f>
        <v>270.00171000000046</v>
      </c>
    </row>
    <row r="158" spans="5:16" x14ac:dyDescent="0.35">
      <c r="E158" s="8">
        <v>0</v>
      </c>
      <c r="F158" s="27">
        <f t="shared" si="10"/>
        <v>0</v>
      </c>
      <c r="G158" s="23">
        <v>1399.64</v>
      </c>
      <c r="H158">
        <f t="shared" si="11"/>
        <v>1525.6076000000003</v>
      </c>
      <c r="I158">
        <v>10</v>
      </c>
      <c r="J158" s="28">
        <f t="shared" si="12"/>
        <v>11.400000000000002</v>
      </c>
      <c r="K158" s="23">
        <v>3342.11</v>
      </c>
      <c r="L158" s="23">
        <f t="shared" si="13"/>
        <v>38100.054000000011</v>
      </c>
      <c r="M158" s="23">
        <f t="shared" si="14"/>
        <v>20708.127360000006</v>
      </c>
      <c r="O158" s="23">
        <f>L158-'Part A (2&amp;3)'!R158</f>
        <v>4678.9540000000125</v>
      </c>
      <c r="P158" s="23">
        <f>M158-'Part A (2&amp;3)'!T158</f>
        <v>1283.4273600000088</v>
      </c>
    </row>
    <row r="159" spans="5:16" x14ac:dyDescent="0.35">
      <c r="E159" s="8">
        <v>8.3000000000000004E-2</v>
      </c>
      <c r="F159" s="27">
        <f t="shared" si="10"/>
        <v>8.3000000000000004E-2</v>
      </c>
      <c r="G159" s="23">
        <v>1196.83</v>
      </c>
      <c r="H159">
        <f t="shared" si="11"/>
        <v>1304.5446999999999</v>
      </c>
      <c r="I159">
        <v>7</v>
      </c>
      <c r="J159" s="28">
        <f t="shared" si="12"/>
        <v>7.98</v>
      </c>
      <c r="K159" s="23">
        <v>2513.5100000000002</v>
      </c>
      <c r="L159" s="23">
        <f t="shared" si="13"/>
        <v>18393.011586600001</v>
      </c>
      <c r="M159" s="23">
        <f t="shared" si="14"/>
        <v>7982.7448806000011</v>
      </c>
      <c r="O159" s="23">
        <f>L159-'Part A (2&amp;3)'!R159</f>
        <v>2258.7908966000014</v>
      </c>
      <c r="P159" s="23">
        <f>M159-'Part A (2&amp;3)'!T159</f>
        <v>226.33419060000051</v>
      </c>
    </row>
    <row r="160" spans="5:16" x14ac:dyDescent="0.35">
      <c r="E160" s="8">
        <v>9.2999999999999999E-2</v>
      </c>
      <c r="F160" s="27">
        <f t="shared" si="10"/>
        <v>9.2999999999999999E-2</v>
      </c>
      <c r="G160" s="23">
        <v>241.14</v>
      </c>
      <c r="H160">
        <f t="shared" si="11"/>
        <v>262.8426</v>
      </c>
      <c r="I160">
        <v>10</v>
      </c>
      <c r="J160" s="28">
        <f t="shared" si="12"/>
        <v>11.400000000000002</v>
      </c>
      <c r="K160" s="23">
        <v>496.52</v>
      </c>
      <c r="L160" s="23">
        <f t="shared" si="13"/>
        <v>5133.9174960000009</v>
      </c>
      <c r="M160" s="23">
        <f t="shared" si="14"/>
        <v>2137.5118560000005</v>
      </c>
      <c r="O160" s="23">
        <f>L160-'Part A (2&amp;3)'!R160</f>
        <v>630.48109600000134</v>
      </c>
      <c r="P160" s="23">
        <f>M160-'Part A (2&amp;3)'!T160</f>
        <v>45.475456000000577</v>
      </c>
    </row>
    <row r="161" spans="5:16" x14ac:dyDescent="0.35">
      <c r="E161" s="8">
        <v>9.0999999999999998E-2</v>
      </c>
      <c r="F161" s="27">
        <f t="shared" si="10"/>
        <v>9.0999999999999998E-2</v>
      </c>
      <c r="G161" s="23">
        <v>943.79</v>
      </c>
      <c r="H161">
        <f t="shared" si="11"/>
        <v>1028.7311</v>
      </c>
      <c r="I161">
        <v>9</v>
      </c>
      <c r="J161" s="28">
        <f t="shared" si="12"/>
        <v>10.260000000000002</v>
      </c>
      <c r="K161" s="23">
        <v>1913.76</v>
      </c>
      <c r="L161" s="23">
        <f t="shared" si="13"/>
        <v>17848.376438400002</v>
      </c>
      <c r="M161" s="23">
        <f t="shared" si="14"/>
        <v>7293.5953524000015</v>
      </c>
      <c r="O161" s="23">
        <f>L161-'Part A (2&amp;3)'!R161</f>
        <v>2191.9058784000026</v>
      </c>
      <c r="P161" s="23">
        <f>M161-'Part A (2&amp;3)'!T161</f>
        <v>131.23479240000233</v>
      </c>
    </row>
    <row r="162" spans="5:16" x14ac:dyDescent="0.35">
      <c r="E162" s="8">
        <v>3.2000000000000001E-2</v>
      </c>
      <c r="F162" s="27">
        <f t="shared" si="10"/>
        <v>3.2000000000000001E-2</v>
      </c>
      <c r="G162" s="23">
        <v>1287.6400000000001</v>
      </c>
      <c r="H162">
        <f t="shared" si="11"/>
        <v>1403.5276000000001</v>
      </c>
      <c r="I162">
        <v>7</v>
      </c>
      <c r="J162" s="28">
        <f t="shared" si="12"/>
        <v>7.98</v>
      </c>
      <c r="K162" s="23">
        <v>2717.15</v>
      </c>
      <c r="L162" s="23">
        <f t="shared" si="13"/>
        <v>20989.005576</v>
      </c>
      <c r="M162" s="23">
        <f t="shared" si="14"/>
        <v>9788.8553279999978</v>
      </c>
      <c r="O162" s="23">
        <f>L162-'Part A (2&amp;3)'!R162</f>
        <v>2577.5971759999993</v>
      </c>
      <c r="P162" s="23">
        <f>M162-'Part A (2&amp;3)'!T162</f>
        <v>390.92692799999895</v>
      </c>
    </row>
    <row r="163" spans="5:16" x14ac:dyDescent="0.35">
      <c r="E163" s="8">
        <v>0.13800000000000001</v>
      </c>
      <c r="F163" s="27">
        <f t="shared" si="10"/>
        <v>0.12</v>
      </c>
      <c r="G163" s="23">
        <v>784.46</v>
      </c>
      <c r="H163">
        <f t="shared" si="11"/>
        <v>855.06140000000005</v>
      </c>
      <c r="I163">
        <v>23</v>
      </c>
      <c r="J163" s="28">
        <f t="shared" si="12"/>
        <v>26.220000000000002</v>
      </c>
      <c r="K163" s="23">
        <v>1843.51</v>
      </c>
      <c r="L163" s="23">
        <f t="shared" si="13"/>
        <v>42536.412336000009</v>
      </c>
      <c r="M163" s="23">
        <f t="shared" si="14"/>
        <v>20116.702428000004</v>
      </c>
      <c r="O163" s="23">
        <f>L163-'Part A (2&amp;3)'!R163</f>
        <v>5986.9830760000041</v>
      </c>
      <c r="P163" s="23">
        <f>M163-'Part A (2&amp;3)'!T163</f>
        <v>1609.8531680000015</v>
      </c>
    </row>
    <row r="164" spans="5:16" x14ac:dyDescent="0.35">
      <c r="E164" s="8">
        <v>0.14399999999999999</v>
      </c>
      <c r="F164" s="27">
        <f t="shared" si="10"/>
        <v>0.12</v>
      </c>
      <c r="G164" s="23">
        <v>44.42</v>
      </c>
      <c r="H164">
        <f t="shared" si="11"/>
        <v>48.417800000000007</v>
      </c>
      <c r="I164">
        <v>6</v>
      </c>
      <c r="J164" s="28">
        <f t="shared" si="12"/>
        <v>6.8400000000000007</v>
      </c>
      <c r="K164" s="23">
        <v>41.9</v>
      </c>
      <c r="L164" s="23">
        <f t="shared" si="13"/>
        <v>252.20448000000002</v>
      </c>
      <c r="M164" s="23">
        <f t="shared" si="14"/>
        <v>-78.973272000000037</v>
      </c>
      <c r="O164" s="23">
        <f>L164-'Part A (2&amp;3)'!R164</f>
        <v>37.006080000000054</v>
      </c>
      <c r="P164" s="23">
        <f>M164-'Part A (2&amp;3)'!T164</f>
        <v>-27.651672000000019</v>
      </c>
    </row>
    <row r="165" spans="5:16" x14ac:dyDescent="0.35">
      <c r="E165" s="8">
        <v>0.27</v>
      </c>
      <c r="F165" s="27">
        <f t="shared" si="10"/>
        <v>0.12</v>
      </c>
      <c r="G165" s="23">
        <v>1082.25</v>
      </c>
      <c r="H165">
        <f t="shared" si="11"/>
        <v>1179.6525000000001</v>
      </c>
      <c r="I165">
        <v>4</v>
      </c>
      <c r="J165" s="28">
        <f t="shared" si="12"/>
        <v>4.5600000000000005</v>
      </c>
      <c r="K165" s="23">
        <v>2433.34</v>
      </c>
      <c r="L165" s="23">
        <f t="shared" si="13"/>
        <v>9764.506752000003</v>
      </c>
      <c r="M165" s="23">
        <f t="shared" si="14"/>
        <v>4385.291352000002</v>
      </c>
      <c r="O165" s="23">
        <f>L165-'Part A (2&amp;3)'!R165</f>
        <v>2659.1539520000024</v>
      </c>
      <c r="P165" s="23">
        <f>M165-'Part A (2&amp;3)'!T165</f>
        <v>1608.9385520000014</v>
      </c>
    </row>
    <row r="166" spans="5:16" x14ac:dyDescent="0.35">
      <c r="E166" s="8">
        <v>0.20799999999999999</v>
      </c>
      <c r="F166" s="27">
        <f t="shared" si="10"/>
        <v>0.12</v>
      </c>
      <c r="G166" s="23">
        <v>1299.03</v>
      </c>
      <c r="H166">
        <f t="shared" si="11"/>
        <v>1415.9427000000001</v>
      </c>
      <c r="I166">
        <v>8</v>
      </c>
      <c r="J166" s="28">
        <f t="shared" si="12"/>
        <v>9.120000000000001</v>
      </c>
      <c r="K166" s="23">
        <v>2451.2199999999998</v>
      </c>
      <c r="L166" s="23">
        <f t="shared" si="13"/>
        <v>19672.511232000001</v>
      </c>
      <c r="M166" s="23">
        <f t="shared" si="14"/>
        <v>6759.1138079999982</v>
      </c>
      <c r="O166" s="23">
        <f>L166-'Part A (2&amp;3)'!R166</f>
        <v>4141.5813120000021</v>
      </c>
      <c r="P166" s="23">
        <f>M166-'Part A (2&amp;3)'!T166</f>
        <v>1620.4238879999994</v>
      </c>
    </row>
    <row r="167" spans="5:16" x14ac:dyDescent="0.35">
      <c r="E167" s="8">
        <v>0.16500000000000001</v>
      </c>
      <c r="F167" s="27">
        <f t="shared" si="10"/>
        <v>0.12</v>
      </c>
      <c r="G167" s="23">
        <v>251.03</v>
      </c>
      <c r="H167">
        <f t="shared" si="11"/>
        <v>273.62270000000001</v>
      </c>
      <c r="I167">
        <v>3</v>
      </c>
      <c r="J167" s="28">
        <f t="shared" si="12"/>
        <v>3.4200000000000004</v>
      </c>
      <c r="K167" s="23">
        <v>411.48</v>
      </c>
      <c r="L167" s="23">
        <f t="shared" si="13"/>
        <v>1238.3902080000003</v>
      </c>
      <c r="M167" s="23">
        <f t="shared" si="14"/>
        <v>302.60057400000017</v>
      </c>
      <c r="O167" s="23">
        <f>L167-'Part A (2&amp;3)'!R167</f>
        <v>207.6328080000003</v>
      </c>
      <c r="P167" s="23">
        <f>M167-'Part A (2&amp;3)'!T167</f>
        <v>24.933174000000236</v>
      </c>
    </row>
    <row r="168" spans="5:16" x14ac:dyDescent="0.35">
      <c r="E168" s="8">
        <v>0.188</v>
      </c>
      <c r="F168" s="27">
        <f t="shared" si="10"/>
        <v>0.12</v>
      </c>
      <c r="G168" s="23">
        <v>376.83</v>
      </c>
      <c r="H168">
        <f t="shared" si="11"/>
        <v>410.74470000000002</v>
      </c>
      <c r="I168">
        <v>25</v>
      </c>
      <c r="J168" s="28">
        <f t="shared" si="12"/>
        <v>28.500000000000004</v>
      </c>
      <c r="K168" s="23">
        <v>732.88</v>
      </c>
      <c r="L168" s="23">
        <f t="shared" si="13"/>
        <v>18380.630400000002</v>
      </c>
      <c r="M168" s="23">
        <f t="shared" si="14"/>
        <v>6674.4064500000004</v>
      </c>
      <c r="O168" s="23">
        <f>L168-'Part A (2&amp;3)'!R168</f>
        <v>3503.1664000000001</v>
      </c>
      <c r="P168" s="23">
        <f>M168-'Part A (2&amp;3)'!T168</f>
        <v>1217.6924499999986</v>
      </c>
    </row>
    <row r="169" spans="5:16" x14ac:dyDescent="0.35">
      <c r="E169" s="8">
        <v>0.186</v>
      </c>
      <c r="F169" s="27">
        <f t="shared" si="10"/>
        <v>0.12</v>
      </c>
      <c r="G169" s="23">
        <v>689.33</v>
      </c>
      <c r="H169">
        <f t="shared" si="11"/>
        <v>751.36970000000008</v>
      </c>
      <c r="I169">
        <v>13</v>
      </c>
      <c r="J169" s="28">
        <f t="shared" si="12"/>
        <v>14.820000000000002</v>
      </c>
      <c r="K169" s="23">
        <v>668.27</v>
      </c>
      <c r="L169" s="23">
        <f t="shared" si="13"/>
        <v>8715.3100320000012</v>
      </c>
      <c r="M169" s="23">
        <f t="shared" si="14"/>
        <v>-2419.9889220000023</v>
      </c>
      <c r="O169" s="23">
        <f>L169-'Part A (2&amp;3)'!R169</f>
        <v>1643.6768920000004</v>
      </c>
      <c r="P169" s="23">
        <f>M169-'Part A (2&amp;3)'!T169</f>
        <v>-530.33206200000222</v>
      </c>
    </row>
    <row r="170" spans="5:16" x14ac:dyDescent="0.35">
      <c r="E170" s="8">
        <v>0.114</v>
      </c>
      <c r="F170" s="27">
        <f t="shared" si="10"/>
        <v>0.114</v>
      </c>
      <c r="G170" s="23">
        <v>825.64</v>
      </c>
      <c r="H170">
        <f t="shared" si="11"/>
        <v>899.94760000000008</v>
      </c>
      <c r="I170">
        <v>7</v>
      </c>
      <c r="J170" s="28">
        <f t="shared" si="12"/>
        <v>7.98</v>
      </c>
      <c r="K170" s="23">
        <v>1108.43</v>
      </c>
      <c r="L170" s="23">
        <f t="shared" si="13"/>
        <v>7836.9104604000004</v>
      </c>
      <c r="M170" s="23">
        <f t="shared" si="14"/>
        <v>655.32861239999966</v>
      </c>
      <c r="O170" s="23">
        <f>L170-'Part A (2&amp;3)'!R170</f>
        <v>962.4276004000003</v>
      </c>
      <c r="P170" s="23">
        <f>M170-'Part A (2&amp;3)'!T170</f>
        <v>-439.67424760000085</v>
      </c>
    </row>
    <row r="171" spans="5:16" x14ac:dyDescent="0.35">
      <c r="E171" s="8">
        <v>8.5999999999999993E-2</v>
      </c>
      <c r="F171" s="27">
        <f t="shared" si="10"/>
        <v>8.5999999999999993E-2</v>
      </c>
      <c r="G171" s="23">
        <v>385.32</v>
      </c>
      <c r="H171">
        <f t="shared" si="11"/>
        <v>419.99880000000002</v>
      </c>
      <c r="I171">
        <v>8</v>
      </c>
      <c r="J171" s="28">
        <f t="shared" si="12"/>
        <v>9.120000000000001</v>
      </c>
      <c r="K171" s="23">
        <v>606.76</v>
      </c>
      <c r="L171" s="23">
        <f t="shared" si="13"/>
        <v>5057.7571968000011</v>
      </c>
      <c r="M171" s="23">
        <f t="shared" si="14"/>
        <v>1227.3681408000007</v>
      </c>
      <c r="O171" s="23">
        <f>L171-'Part A (2&amp;3)'!R171</f>
        <v>621.1280768000006</v>
      </c>
      <c r="P171" s="23">
        <f>M171-'Part A (2&amp;3)'!T171</f>
        <v>-126.70097919999989</v>
      </c>
    </row>
    <row r="172" spans="5:16" x14ac:dyDescent="0.35">
      <c r="E172" s="8">
        <v>0.157</v>
      </c>
      <c r="F172" s="27">
        <f t="shared" si="10"/>
        <v>0.12</v>
      </c>
      <c r="G172" s="23">
        <v>1362.06</v>
      </c>
      <c r="H172">
        <f t="shared" si="11"/>
        <v>1484.6454000000001</v>
      </c>
      <c r="I172">
        <v>11</v>
      </c>
      <c r="J172" s="28">
        <f t="shared" si="12"/>
        <v>12.540000000000001</v>
      </c>
      <c r="K172" s="23">
        <v>3398.37</v>
      </c>
      <c r="L172" s="23">
        <f t="shared" si="13"/>
        <v>37501.692624000003</v>
      </c>
      <c r="M172" s="23">
        <f t="shared" si="14"/>
        <v>18884.239308</v>
      </c>
      <c r="O172" s="23">
        <f>L172-'Part A (2&amp;3)'!R172</f>
        <v>5988.6076140000041</v>
      </c>
      <c r="P172" s="23">
        <f>M172-'Part A (2&amp;3)'!T172</f>
        <v>2353.8142980000011</v>
      </c>
    </row>
    <row r="173" spans="5:16" x14ac:dyDescent="0.35">
      <c r="E173" s="8">
        <v>0.13400000000000001</v>
      </c>
      <c r="F173" s="27">
        <f t="shared" si="10"/>
        <v>0.12</v>
      </c>
      <c r="G173" s="23">
        <v>845.63</v>
      </c>
      <c r="H173">
        <f t="shared" si="11"/>
        <v>921.73670000000004</v>
      </c>
      <c r="I173">
        <v>5</v>
      </c>
      <c r="J173" s="28">
        <f t="shared" si="12"/>
        <v>5.7000000000000011</v>
      </c>
      <c r="K173" s="23">
        <v>2062.12</v>
      </c>
      <c r="L173" s="23">
        <f t="shared" si="13"/>
        <v>10343.593920000001</v>
      </c>
      <c r="M173" s="23">
        <f t="shared" si="14"/>
        <v>5089.6947300000002</v>
      </c>
      <c r="O173" s="23">
        <f>L173-'Part A (2&amp;3)'!R173</f>
        <v>1414.6143200000024</v>
      </c>
      <c r="P173" s="23">
        <f>M173-'Part A (2&amp;3)'!T173</f>
        <v>388.86513000000105</v>
      </c>
    </row>
    <row r="174" spans="5:16" x14ac:dyDescent="0.35">
      <c r="E174" s="8">
        <v>0.20399999999999999</v>
      </c>
      <c r="F174" s="27">
        <f t="shared" si="10"/>
        <v>0.12</v>
      </c>
      <c r="G174" s="23">
        <v>145.58000000000001</v>
      </c>
      <c r="H174">
        <f t="shared" si="11"/>
        <v>158.68220000000002</v>
      </c>
      <c r="I174">
        <v>5</v>
      </c>
      <c r="J174" s="28">
        <f t="shared" si="12"/>
        <v>5.7000000000000011</v>
      </c>
      <c r="K174" s="23">
        <v>228.15</v>
      </c>
      <c r="L174" s="23">
        <f t="shared" si="13"/>
        <v>1144.4004000000002</v>
      </c>
      <c r="M174" s="23">
        <f t="shared" si="14"/>
        <v>239.91185999999993</v>
      </c>
      <c r="O174" s="23">
        <f>L174-'Part A (2&amp;3)'!R174</f>
        <v>236.36340000000018</v>
      </c>
      <c r="P174" s="23">
        <f>M174-'Part A (2&amp;3)'!T174</f>
        <v>59.77485999999999</v>
      </c>
    </row>
    <row r="175" spans="5:16" x14ac:dyDescent="0.35">
      <c r="E175" s="8">
        <v>0.106</v>
      </c>
      <c r="F175" s="27">
        <f t="shared" si="10"/>
        <v>0.106</v>
      </c>
      <c r="G175" s="23">
        <v>1279.56</v>
      </c>
      <c r="H175">
        <f t="shared" si="11"/>
        <v>1394.7204000000002</v>
      </c>
      <c r="I175">
        <v>5</v>
      </c>
      <c r="J175" s="28">
        <f t="shared" si="12"/>
        <v>5.7000000000000011</v>
      </c>
      <c r="K175" s="23">
        <v>3083.8</v>
      </c>
      <c r="L175" s="23">
        <f t="shared" si="13"/>
        <v>15714.428040000004</v>
      </c>
      <c r="M175" s="23">
        <f t="shared" si="14"/>
        <v>7764.5217600000024</v>
      </c>
      <c r="O175" s="23">
        <f>L175-'Part A (2&amp;3)'!R175</f>
        <v>1929.8420400000032</v>
      </c>
      <c r="P175" s="23">
        <f>M175-'Part A (2&amp;3)'!T175</f>
        <v>377.73576000000048</v>
      </c>
    </row>
    <row r="176" spans="5:16" x14ac:dyDescent="0.35">
      <c r="E176" s="8">
        <v>0.14699999999999999</v>
      </c>
      <c r="F176" s="27">
        <f t="shared" si="10"/>
        <v>0.12</v>
      </c>
      <c r="G176" s="23">
        <v>1019.36</v>
      </c>
      <c r="H176">
        <f t="shared" si="11"/>
        <v>1111.1024</v>
      </c>
      <c r="I176">
        <v>17</v>
      </c>
      <c r="J176" s="28">
        <f t="shared" si="12"/>
        <v>19.380000000000003</v>
      </c>
      <c r="K176" s="23">
        <v>972.91</v>
      </c>
      <c r="L176" s="23">
        <f t="shared" si="13"/>
        <v>16592.396304000002</v>
      </c>
      <c r="M176" s="23">
        <f t="shared" si="14"/>
        <v>-4940.7682080000013</v>
      </c>
      <c r="O176" s="23">
        <f>L176-'Part A (2&amp;3)'!R176</f>
        <v>2484.2283940000016</v>
      </c>
      <c r="P176" s="23">
        <f>M176-'Part A (2&amp;3)'!T176</f>
        <v>-1719.8161180000025</v>
      </c>
    </row>
    <row r="177" spans="5:16" x14ac:dyDescent="0.35">
      <c r="E177" s="8">
        <v>0.157</v>
      </c>
      <c r="F177" s="27">
        <f t="shared" si="10"/>
        <v>0.12</v>
      </c>
      <c r="G177" s="23">
        <v>649.13</v>
      </c>
      <c r="H177">
        <f t="shared" si="11"/>
        <v>707.5517000000001</v>
      </c>
      <c r="I177">
        <v>27</v>
      </c>
      <c r="J177" s="28">
        <f t="shared" si="12"/>
        <v>30.780000000000005</v>
      </c>
      <c r="K177" s="23">
        <v>975.43</v>
      </c>
      <c r="L177" s="23">
        <f t="shared" si="13"/>
        <v>26420.887152000003</v>
      </c>
      <c r="M177" s="23">
        <f t="shared" si="14"/>
        <v>4642.4458259999956</v>
      </c>
      <c r="O177" s="23">
        <f>L177-'Part A (2&amp;3)'!R177</f>
        <v>4219.1249220000063</v>
      </c>
      <c r="P177" s="23">
        <f>M177-'Part A (2&amp;3)'!T177</f>
        <v>-32.806404000002658</v>
      </c>
    </row>
    <row r="178" spans="5:16" x14ac:dyDescent="0.35">
      <c r="E178" s="8">
        <v>6.7000000000000004E-2</v>
      </c>
      <c r="F178" s="27">
        <f t="shared" si="10"/>
        <v>6.7000000000000004E-2</v>
      </c>
      <c r="G178" s="23">
        <v>1239.8399999999999</v>
      </c>
      <c r="H178">
        <f t="shared" si="11"/>
        <v>1351.4256</v>
      </c>
      <c r="I178">
        <v>4</v>
      </c>
      <c r="J178" s="28">
        <f t="shared" si="12"/>
        <v>4.5600000000000005</v>
      </c>
      <c r="K178" s="23">
        <v>1482.75</v>
      </c>
      <c r="L178" s="23">
        <f t="shared" si="13"/>
        <v>6308.3302200000016</v>
      </c>
      <c r="M178" s="23">
        <f t="shared" si="14"/>
        <v>145.82948400000078</v>
      </c>
      <c r="O178" s="23">
        <f>L178-'Part A (2&amp;3)'!R178</f>
        <v>774.70722000000114</v>
      </c>
      <c r="P178" s="23">
        <f>M178-'Part A (2&amp;3)'!T178</f>
        <v>-428.43351600000005</v>
      </c>
    </row>
    <row r="179" spans="5:16" x14ac:dyDescent="0.35">
      <c r="E179" s="8">
        <v>0.17299999999999999</v>
      </c>
      <c r="F179" s="27">
        <f t="shared" si="10"/>
        <v>0.12</v>
      </c>
      <c r="G179" s="23">
        <v>1470.26</v>
      </c>
      <c r="H179">
        <f t="shared" si="11"/>
        <v>1602.5834000000002</v>
      </c>
      <c r="I179">
        <v>9</v>
      </c>
      <c r="J179" s="28">
        <f t="shared" si="12"/>
        <v>10.260000000000002</v>
      </c>
      <c r="K179" s="23">
        <v>2562.5500000000002</v>
      </c>
      <c r="L179" s="23">
        <f t="shared" si="13"/>
        <v>23136.751440000007</v>
      </c>
      <c r="M179" s="23">
        <f t="shared" si="14"/>
        <v>6694.2457560000039</v>
      </c>
      <c r="O179" s="23">
        <f>L179-'Part A (2&amp;3)'!R179</f>
        <v>4063.691790000008</v>
      </c>
      <c r="P179" s="23">
        <f>M179-'Part A (2&amp;3)'!T179</f>
        <v>853.5261060000048</v>
      </c>
    </row>
    <row r="180" spans="5:16" x14ac:dyDescent="0.35">
      <c r="E180" s="8">
        <v>0.19400000000000001</v>
      </c>
      <c r="F180" s="27">
        <f t="shared" si="10"/>
        <v>0.12</v>
      </c>
      <c r="G180" s="23">
        <v>649.91</v>
      </c>
      <c r="H180">
        <f t="shared" si="11"/>
        <v>708.40190000000007</v>
      </c>
      <c r="I180">
        <v>9</v>
      </c>
      <c r="J180" s="28">
        <f t="shared" si="12"/>
        <v>10.260000000000002</v>
      </c>
      <c r="K180" s="23">
        <v>1360.12</v>
      </c>
      <c r="L180" s="23">
        <f t="shared" si="13"/>
        <v>12280.251456</v>
      </c>
      <c r="M180" s="23">
        <f t="shared" si="14"/>
        <v>5012.0479619999978</v>
      </c>
      <c r="O180" s="23">
        <f>L180-'Part A (2&amp;3)'!R180</f>
        <v>2413.9409760000017</v>
      </c>
      <c r="P180" s="23">
        <f>M180-'Part A (2&amp;3)'!T180</f>
        <v>994.92748199999915</v>
      </c>
    </row>
    <row r="181" spans="5:16" x14ac:dyDescent="0.35">
      <c r="E181" s="8">
        <v>0.185</v>
      </c>
      <c r="F181" s="27">
        <f t="shared" si="10"/>
        <v>0.12</v>
      </c>
      <c r="G181" s="23">
        <v>906.81</v>
      </c>
      <c r="H181">
        <f t="shared" si="11"/>
        <v>988.42290000000003</v>
      </c>
      <c r="I181">
        <v>6</v>
      </c>
      <c r="J181" s="28">
        <f t="shared" si="12"/>
        <v>6.8400000000000007</v>
      </c>
      <c r="K181" s="23">
        <v>1395.56</v>
      </c>
      <c r="L181" s="23">
        <f t="shared" si="13"/>
        <v>8400.1547520000004</v>
      </c>
      <c r="M181" s="23">
        <f t="shared" si="14"/>
        <v>1639.3421159999998</v>
      </c>
      <c r="O181" s="23">
        <f>L181-'Part A (2&amp;3)'!R181</f>
        <v>1575.866352</v>
      </c>
      <c r="P181" s="23">
        <f>M181-'Part A (2&amp;3)'!T181</f>
        <v>255.91371599999911</v>
      </c>
    </row>
    <row r="182" spans="5:16" x14ac:dyDescent="0.35">
      <c r="E182" s="8">
        <v>0.3</v>
      </c>
      <c r="F182" s="27">
        <f t="shared" si="10"/>
        <v>0.12</v>
      </c>
      <c r="G182" s="23">
        <v>1132.03</v>
      </c>
      <c r="H182">
        <f t="shared" si="11"/>
        <v>1233.9127000000001</v>
      </c>
      <c r="I182">
        <v>35</v>
      </c>
      <c r="J182" s="28">
        <f t="shared" si="12"/>
        <v>39.900000000000006</v>
      </c>
      <c r="K182" s="23">
        <v>2137.21</v>
      </c>
      <c r="L182" s="23">
        <f t="shared" si="13"/>
        <v>75041.717520000006</v>
      </c>
      <c r="M182" s="23">
        <f t="shared" si="14"/>
        <v>25808.600789999997</v>
      </c>
      <c r="O182" s="23">
        <f>L182-'Part A (2&amp;3)'!R182</f>
        <v>22680.072520000002</v>
      </c>
      <c r="P182" s="23">
        <f>M182-'Part A (2&amp;3)'!T182</f>
        <v>13068.005789999988</v>
      </c>
    </row>
    <row r="183" spans="5:16" x14ac:dyDescent="0.35">
      <c r="E183" s="8">
        <v>4.0000000000000001E-3</v>
      </c>
      <c r="F183" s="27">
        <f t="shared" si="10"/>
        <v>4.0000000000000001E-3</v>
      </c>
      <c r="G183" s="23">
        <v>391.16</v>
      </c>
      <c r="H183">
        <f t="shared" si="11"/>
        <v>426.36440000000005</v>
      </c>
      <c r="I183">
        <v>12</v>
      </c>
      <c r="J183" s="28">
        <f t="shared" si="12"/>
        <v>13.680000000000001</v>
      </c>
      <c r="K183" s="23">
        <v>902.47</v>
      </c>
      <c r="L183" s="23">
        <f t="shared" si="13"/>
        <v>12296.406441600002</v>
      </c>
      <c r="M183" s="23">
        <f t="shared" si="14"/>
        <v>6463.741449600001</v>
      </c>
      <c r="O183" s="23">
        <f>L183-'Part A (2&amp;3)'!R183</f>
        <v>1510.0850016000022</v>
      </c>
      <c r="P183" s="23">
        <f>M183-'Part A (2&amp;3)'!T183</f>
        <v>371.34000960000139</v>
      </c>
    </row>
    <row r="184" spans="5:16" x14ac:dyDescent="0.35">
      <c r="E184" s="8">
        <v>0.14000000000000001</v>
      </c>
      <c r="F184" s="27">
        <f t="shared" si="10"/>
        <v>0.12</v>
      </c>
      <c r="G184" s="23">
        <v>715.94</v>
      </c>
      <c r="H184">
        <f t="shared" si="11"/>
        <v>780.3746000000001</v>
      </c>
      <c r="I184">
        <v>16</v>
      </c>
      <c r="J184" s="28">
        <f t="shared" si="12"/>
        <v>18.240000000000002</v>
      </c>
      <c r="K184" s="23">
        <v>550.07000000000005</v>
      </c>
      <c r="L184" s="23">
        <f t="shared" si="13"/>
        <v>8829.2835840000025</v>
      </c>
      <c r="M184" s="23">
        <f t="shared" si="14"/>
        <v>-5404.7491200000004</v>
      </c>
      <c r="O184" s="23">
        <f>L184-'Part A (2&amp;3)'!R184</f>
        <v>1260.3203840000024</v>
      </c>
      <c r="P184" s="23">
        <f>M184-'Part A (2&amp;3)'!T184</f>
        <v>-1518.6723199999997</v>
      </c>
    </row>
    <row r="185" spans="5:16" x14ac:dyDescent="0.35">
      <c r="E185" s="8">
        <v>0.151</v>
      </c>
      <c r="F185" s="27">
        <f t="shared" si="10"/>
        <v>0.12</v>
      </c>
      <c r="G185" s="23">
        <v>1102.19</v>
      </c>
      <c r="H185">
        <f t="shared" si="11"/>
        <v>1201.3871000000001</v>
      </c>
      <c r="I185">
        <v>10</v>
      </c>
      <c r="J185" s="28">
        <f t="shared" si="12"/>
        <v>11.400000000000002</v>
      </c>
      <c r="K185" s="23">
        <v>1711.16</v>
      </c>
      <c r="L185" s="23">
        <f t="shared" si="13"/>
        <v>17166.357120000004</v>
      </c>
      <c r="M185" s="23">
        <f t="shared" si="14"/>
        <v>3470.5441800000008</v>
      </c>
      <c r="O185" s="23">
        <f>L185-'Part A (2&amp;3)'!R185</f>
        <v>2638.608720000002</v>
      </c>
      <c r="P185" s="23">
        <f>M185-'Part A (2&amp;3)'!T185</f>
        <v>-35.304219999999987</v>
      </c>
    </row>
    <row r="186" spans="5:16" x14ac:dyDescent="0.35">
      <c r="E186" s="8">
        <v>7.1999999999999995E-2</v>
      </c>
      <c r="F186" s="27">
        <f t="shared" si="10"/>
        <v>7.1999999999999995E-2</v>
      </c>
      <c r="G186" s="23">
        <v>986.44</v>
      </c>
      <c r="H186">
        <f t="shared" si="11"/>
        <v>1075.2196000000001</v>
      </c>
      <c r="I186">
        <v>6</v>
      </c>
      <c r="J186" s="28">
        <f t="shared" si="12"/>
        <v>6.8400000000000007</v>
      </c>
      <c r="K186" s="23">
        <v>790.61</v>
      </c>
      <c r="L186" s="23">
        <f t="shared" si="13"/>
        <v>5018.4127872000008</v>
      </c>
      <c r="M186" s="23">
        <f t="shared" si="14"/>
        <v>-2336.0892768000012</v>
      </c>
      <c r="O186" s="23">
        <f>L186-'Part A (2&amp;3)'!R186</f>
        <v>616.29630720000114</v>
      </c>
      <c r="P186" s="23">
        <f>M186-'Part A (2&amp;3)'!T186</f>
        <v>-819.5657568000006</v>
      </c>
    </row>
    <row r="187" spans="5:16" x14ac:dyDescent="0.35">
      <c r="E187" s="8">
        <v>0</v>
      </c>
      <c r="F187" s="27">
        <f t="shared" si="10"/>
        <v>0</v>
      </c>
      <c r="G187" s="23">
        <v>774.12</v>
      </c>
      <c r="H187">
        <f t="shared" si="11"/>
        <v>843.7908000000001</v>
      </c>
      <c r="I187">
        <v>30</v>
      </c>
      <c r="J187" s="28">
        <f t="shared" si="12"/>
        <v>34.200000000000003</v>
      </c>
      <c r="K187" s="23">
        <v>908.3</v>
      </c>
      <c r="L187" s="23">
        <f t="shared" si="13"/>
        <v>31063.86</v>
      </c>
      <c r="M187" s="23">
        <f t="shared" si="14"/>
        <v>2206.2146399999947</v>
      </c>
      <c r="O187" s="23">
        <f>L187-'Part A (2&amp;3)'!R187</f>
        <v>3814.8600000000006</v>
      </c>
      <c r="P187" s="23">
        <f>M187-'Part A (2&amp;3)'!T187</f>
        <v>-1819.1853600000068</v>
      </c>
    </row>
    <row r="188" spans="5:16" x14ac:dyDescent="0.35">
      <c r="E188" s="8">
        <v>0.20699999999999999</v>
      </c>
      <c r="F188" s="27">
        <f t="shared" si="10"/>
        <v>0.12</v>
      </c>
      <c r="G188" s="23">
        <v>1142.48</v>
      </c>
      <c r="H188">
        <f t="shared" si="11"/>
        <v>1245.3032000000001</v>
      </c>
      <c r="I188">
        <v>14</v>
      </c>
      <c r="J188" s="28">
        <f t="shared" si="12"/>
        <v>15.96</v>
      </c>
      <c r="K188" s="23">
        <v>2105.5300000000002</v>
      </c>
      <c r="L188" s="23">
        <f t="shared" si="13"/>
        <v>29571.747744000004</v>
      </c>
      <c r="M188" s="23">
        <f t="shared" si="14"/>
        <v>9696.7086720000007</v>
      </c>
      <c r="O188" s="23">
        <f>L188-'Part A (2&amp;3)'!R188</f>
        <v>6196.1536840000008</v>
      </c>
      <c r="P188" s="23">
        <f>M188-'Part A (2&amp;3)'!T188</f>
        <v>2315.8346119999987</v>
      </c>
    </row>
    <row r="189" spans="5:16" x14ac:dyDescent="0.35">
      <c r="E189" s="8">
        <v>5.6000000000000001E-2</v>
      </c>
      <c r="F189" s="27">
        <f t="shared" si="10"/>
        <v>5.6000000000000001E-2</v>
      </c>
      <c r="G189" s="23">
        <v>384.19</v>
      </c>
      <c r="H189">
        <f t="shared" si="11"/>
        <v>418.76710000000003</v>
      </c>
      <c r="I189">
        <v>10</v>
      </c>
      <c r="J189" s="28">
        <f t="shared" si="12"/>
        <v>11.400000000000002</v>
      </c>
      <c r="K189" s="23">
        <v>278.35000000000002</v>
      </c>
      <c r="L189" s="23">
        <f t="shared" si="13"/>
        <v>2995.4913600000009</v>
      </c>
      <c r="M189" s="23">
        <f t="shared" si="14"/>
        <v>-1778.4535800000003</v>
      </c>
      <c r="O189" s="23">
        <f>L189-'Part A (2&amp;3)'!R189</f>
        <v>367.8673600000011</v>
      </c>
      <c r="P189" s="23">
        <f>M189-'Part A (2&amp;3)'!T189</f>
        <v>-564.17758000000003</v>
      </c>
    </row>
    <row r="190" spans="5:16" x14ac:dyDescent="0.35">
      <c r="E190" s="8">
        <v>0.2</v>
      </c>
      <c r="F190" s="27">
        <f t="shared" si="10"/>
        <v>0.12</v>
      </c>
      <c r="G190" s="23">
        <v>1373.31</v>
      </c>
      <c r="H190">
        <f t="shared" si="11"/>
        <v>1496.9079000000002</v>
      </c>
      <c r="I190">
        <v>11</v>
      </c>
      <c r="J190" s="28">
        <f t="shared" si="12"/>
        <v>12.540000000000001</v>
      </c>
      <c r="K190" s="23">
        <v>3154.14</v>
      </c>
      <c r="L190" s="23">
        <f t="shared" si="13"/>
        <v>34806.565728000001</v>
      </c>
      <c r="M190" s="23">
        <f t="shared" si="14"/>
        <v>16035.340661999999</v>
      </c>
      <c r="O190" s="23">
        <f>L190-'Part A (2&amp;3)'!R190</f>
        <v>7050.1337280000007</v>
      </c>
      <c r="P190" s="23">
        <f>M190-'Part A (2&amp;3)'!T190</f>
        <v>3385.3186619999979</v>
      </c>
    </row>
    <row r="191" spans="5:16" x14ac:dyDescent="0.35">
      <c r="E191" s="8">
        <v>0.222</v>
      </c>
      <c r="F191" s="27">
        <f t="shared" si="10"/>
        <v>0.12</v>
      </c>
      <c r="G191" s="23">
        <v>287.85000000000002</v>
      </c>
      <c r="H191">
        <f t="shared" si="11"/>
        <v>313.75650000000007</v>
      </c>
      <c r="I191">
        <v>11</v>
      </c>
      <c r="J191" s="28">
        <f t="shared" si="12"/>
        <v>12.540000000000001</v>
      </c>
      <c r="K191" s="23">
        <v>602.91999999999996</v>
      </c>
      <c r="L191" s="23">
        <f t="shared" si="13"/>
        <v>6653.3427839999995</v>
      </c>
      <c r="M191" s="23">
        <f t="shared" si="14"/>
        <v>2718.8362739999984</v>
      </c>
      <c r="O191" s="23">
        <f>L191-'Part A (2&amp;3)'!R191</f>
        <v>1493.5534239999997</v>
      </c>
      <c r="P191" s="23">
        <f>M191-'Part A (2&amp;3)'!T191</f>
        <v>725.39691399999901</v>
      </c>
    </row>
    <row r="192" spans="5:16" x14ac:dyDescent="0.35">
      <c r="E192" s="8">
        <v>5.7000000000000002E-2</v>
      </c>
      <c r="F192" s="27">
        <f t="shared" si="10"/>
        <v>5.7000000000000002E-2</v>
      </c>
      <c r="G192" s="23">
        <v>509.31</v>
      </c>
      <c r="H192">
        <f t="shared" si="11"/>
        <v>555.14790000000005</v>
      </c>
      <c r="I192">
        <v>8</v>
      </c>
      <c r="J192" s="28">
        <f t="shared" si="12"/>
        <v>9.120000000000001</v>
      </c>
      <c r="K192" s="23">
        <v>1145.9000000000001</v>
      </c>
      <c r="L192" s="23">
        <f t="shared" si="13"/>
        <v>9854.9233440000025</v>
      </c>
      <c r="M192" s="23">
        <f t="shared" si="14"/>
        <v>4791.9744960000016</v>
      </c>
      <c r="O192" s="23">
        <f>L192-'Part A (2&amp;3)'!R192</f>
        <v>1210.2537440000015</v>
      </c>
      <c r="P192" s="23">
        <f>M192-'Part A (2&amp;3)'!T192</f>
        <v>221.78489600000012</v>
      </c>
    </row>
    <row r="193" spans="5:16" x14ac:dyDescent="0.35">
      <c r="E193" s="8">
        <v>7.1999999999999995E-2</v>
      </c>
      <c r="F193" s="27">
        <f t="shared" si="10"/>
        <v>7.1999999999999995E-2</v>
      </c>
      <c r="G193" s="23">
        <v>20.38</v>
      </c>
      <c r="H193">
        <f t="shared" si="11"/>
        <v>22.214200000000002</v>
      </c>
      <c r="I193">
        <v>11</v>
      </c>
      <c r="J193" s="28">
        <f t="shared" si="12"/>
        <v>12.540000000000001</v>
      </c>
      <c r="K193" s="23">
        <v>42.56</v>
      </c>
      <c r="L193" s="23">
        <f t="shared" si="13"/>
        <v>495.27582720000015</v>
      </c>
      <c r="M193" s="23">
        <f t="shared" si="14"/>
        <v>216.70975920000012</v>
      </c>
      <c r="O193" s="23">
        <f>L193-'Part A (2&amp;3)'!R193</f>
        <v>60.823347200000114</v>
      </c>
      <c r="P193" s="23">
        <f>M193-'Part A (2&amp;3)'!T193</f>
        <v>6.4372792000000629</v>
      </c>
    </row>
    <row r="194" spans="5:16" x14ac:dyDescent="0.35">
      <c r="E194" s="8">
        <v>0.13800000000000001</v>
      </c>
      <c r="F194" s="27">
        <f t="shared" si="10"/>
        <v>0.12</v>
      </c>
      <c r="G194" s="23">
        <v>953.46</v>
      </c>
      <c r="H194">
        <f t="shared" si="11"/>
        <v>1039.2714000000001</v>
      </c>
      <c r="I194">
        <v>5</v>
      </c>
      <c r="J194" s="28">
        <f t="shared" si="12"/>
        <v>5.7000000000000011</v>
      </c>
      <c r="K194" s="23">
        <v>2066.75</v>
      </c>
      <c r="L194" s="23">
        <f t="shared" si="13"/>
        <v>10366.818000000001</v>
      </c>
      <c r="M194" s="23">
        <f t="shared" si="14"/>
        <v>4442.97102</v>
      </c>
      <c r="O194" s="23">
        <f>L194-'Part A (2&amp;3)'!R194</f>
        <v>1459.1255000000019</v>
      </c>
      <c r="P194" s="23">
        <f>M194-'Part A (2&amp;3)'!T194</f>
        <v>302.57852000000094</v>
      </c>
    </row>
    <row r="195" spans="5:16" x14ac:dyDescent="0.35">
      <c r="E195" s="8">
        <v>0.184</v>
      </c>
      <c r="F195" s="27">
        <f t="shared" ref="F195:F258" si="15">MIN(E195,$C$2)</f>
        <v>0.12</v>
      </c>
      <c r="G195" s="23">
        <v>867.89</v>
      </c>
      <c r="H195">
        <f t="shared" ref="H195:H258" si="16">G195*(1+$C$3)</f>
        <v>946.00010000000009</v>
      </c>
      <c r="I195">
        <v>10</v>
      </c>
      <c r="J195" s="28">
        <f t="shared" ref="J195:J258" si="17">I195*(1+$C$4)</f>
        <v>11.400000000000002</v>
      </c>
      <c r="K195" s="23">
        <v>1349.94</v>
      </c>
      <c r="L195" s="23">
        <f t="shared" ref="L195:L258" si="18">K195*(1-F195)*J195</f>
        <v>13542.598080000003</v>
      </c>
      <c r="M195" s="23">
        <f t="shared" ref="M195:M258" si="19">L195-(H195*J195)</f>
        <v>2758.1969399999998</v>
      </c>
      <c r="O195" s="23">
        <f>L195-'Part A (2&amp;3)'!R195</f>
        <v>2527.0876800000005</v>
      </c>
      <c r="P195" s="23">
        <f>M195-'Part A (2&amp;3)'!T195</f>
        <v>421.5865399999966</v>
      </c>
    </row>
    <row r="196" spans="5:16" x14ac:dyDescent="0.35">
      <c r="E196" s="8">
        <v>0.157</v>
      </c>
      <c r="F196" s="27">
        <f t="shared" si="15"/>
        <v>0.12</v>
      </c>
      <c r="G196" s="23">
        <v>388.51</v>
      </c>
      <c r="H196">
        <f t="shared" si="16"/>
        <v>423.47590000000002</v>
      </c>
      <c r="I196">
        <v>12</v>
      </c>
      <c r="J196" s="28">
        <f t="shared" si="17"/>
        <v>13.680000000000001</v>
      </c>
      <c r="K196" s="23">
        <v>776.46</v>
      </c>
      <c r="L196" s="23">
        <f t="shared" si="18"/>
        <v>9347.336064000001</v>
      </c>
      <c r="M196" s="23">
        <f t="shared" si="19"/>
        <v>3554.1857520000003</v>
      </c>
      <c r="O196" s="23">
        <f>L196-'Part A (2&amp;3)'!R196</f>
        <v>1492.6667040000011</v>
      </c>
      <c r="P196" s="23">
        <f>M196-'Part A (2&amp;3)'!T196</f>
        <v>361.63639200000034</v>
      </c>
    </row>
    <row r="197" spans="5:16" x14ac:dyDescent="0.35">
      <c r="E197" s="8">
        <v>7.4999999999999997E-2</v>
      </c>
      <c r="F197" s="27">
        <f t="shared" si="15"/>
        <v>7.4999999999999997E-2</v>
      </c>
      <c r="G197" s="23">
        <v>1017.92</v>
      </c>
      <c r="H197">
        <f t="shared" si="16"/>
        <v>1109.5328</v>
      </c>
      <c r="I197">
        <v>15</v>
      </c>
      <c r="J197" s="28">
        <f t="shared" si="17"/>
        <v>17.100000000000001</v>
      </c>
      <c r="K197" s="23">
        <v>1175.25</v>
      </c>
      <c r="L197" s="23">
        <f t="shared" si="18"/>
        <v>18589.516875000001</v>
      </c>
      <c r="M197" s="23">
        <f t="shared" si="19"/>
        <v>-383.49400500000047</v>
      </c>
      <c r="O197" s="23">
        <f>L197-'Part A (2&amp;3)'!R197</f>
        <v>2282.9231250000012</v>
      </c>
      <c r="P197" s="23">
        <f>M197-'Part A (2&amp;3)'!T197</f>
        <v>-1421.2877550000012</v>
      </c>
    </row>
    <row r="198" spans="5:16" x14ac:dyDescent="0.35">
      <c r="E198" s="8">
        <v>2.8000000000000001E-2</v>
      </c>
      <c r="F198" s="27">
        <f t="shared" si="15"/>
        <v>2.8000000000000001E-2</v>
      </c>
      <c r="G198" s="23">
        <v>1184.99</v>
      </c>
      <c r="H198">
        <f t="shared" si="16"/>
        <v>1291.6391000000001</v>
      </c>
      <c r="I198">
        <v>5</v>
      </c>
      <c r="J198" s="28">
        <f t="shared" si="17"/>
        <v>5.7000000000000011</v>
      </c>
      <c r="K198" s="23">
        <v>1154.3399999999999</v>
      </c>
      <c r="L198" s="23">
        <f t="shared" si="18"/>
        <v>6395.5053360000011</v>
      </c>
      <c r="M198" s="23">
        <f t="shared" si="19"/>
        <v>-966.83753400000114</v>
      </c>
      <c r="O198" s="23">
        <f>L198-'Part A (2&amp;3)'!R198</f>
        <v>785.41293600000154</v>
      </c>
      <c r="P198" s="23">
        <f>M198-'Part A (2&amp;3)'!T198</f>
        <v>-651.97993400000087</v>
      </c>
    </row>
    <row r="199" spans="5:16" x14ac:dyDescent="0.35">
      <c r="E199" s="8">
        <v>6.9000000000000006E-2</v>
      </c>
      <c r="F199" s="27">
        <f t="shared" si="15"/>
        <v>6.9000000000000006E-2</v>
      </c>
      <c r="G199" s="23">
        <v>1297.42</v>
      </c>
      <c r="H199">
        <f t="shared" si="16"/>
        <v>1414.1878000000002</v>
      </c>
      <c r="I199">
        <v>9</v>
      </c>
      <c r="J199" s="28">
        <f t="shared" si="17"/>
        <v>10.260000000000002</v>
      </c>
      <c r="K199" s="23">
        <v>2742.97</v>
      </c>
      <c r="L199" s="23">
        <f t="shared" si="18"/>
        <v>26201.014018200003</v>
      </c>
      <c r="M199" s="23">
        <f t="shared" si="19"/>
        <v>11691.447190199999</v>
      </c>
      <c r="O199" s="23">
        <f>L199-'Part A (2&amp;3)'!R199</f>
        <v>3217.6683882000034</v>
      </c>
      <c r="P199" s="23">
        <f>M199-'Part A (2&amp;3)'!T199</f>
        <v>384.88156019999951</v>
      </c>
    </row>
    <row r="200" spans="5:16" x14ac:dyDescent="0.35">
      <c r="E200" s="8">
        <v>0.114</v>
      </c>
      <c r="F200" s="27">
        <f t="shared" si="15"/>
        <v>0.114</v>
      </c>
      <c r="G200" s="23">
        <v>1349.04</v>
      </c>
      <c r="H200">
        <f t="shared" si="16"/>
        <v>1470.4536000000001</v>
      </c>
      <c r="I200">
        <v>14</v>
      </c>
      <c r="J200" s="28">
        <f t="shared" si="17"/>
        <v>15.96</v>
      </c>
      <c r="K200" s="23">
        <v>2636.6</v>
      </c>
      <c r="L200" s="23">
        <f t="shared" si="18"/>
        <v>37283.000496000001</v>
      </c>
      <c r="M200" s="23">
        <f t="shared" si="19"/>
        <v>13814.561039999997</v>
      </c>
      <c r="O200" s="23">
        <f>L200-'Part A (2&amp;3)'!R200</f>
        <v>4578.6140959999975</v>
      </c>
      <c r="P200" s="23">
        <f>M200-'Part A (2&amp;3)'!T200</f>
        <v>-3.2653600000085135</v>
      </c>
    </row>
    <row r="201" spans="5:16" x14ac:dyDescent="0.35">
      <c r="E201" s="8">
        <v>0.13900000000000001</v>
      </c>
      <c r="F201" s="27">
        <f t="shared" si="15"/>
        <v>0.12</v>
      </c>
      <c r="G201" s="23">
        <v>807.11</v>
      </c>
      <c r="H201">
        <f t="shared" si="16"/>
        <v>879.74990000000003</v>
      </c>
      <c r="I201">
        <v>8</v>
      </c>
      <c r="J201" s="28">
        <f t="shared" si="17"/>
        <v>9.120000000000001</v>
      </c>
      <c r="K201" s="23">
        <v>1853.86</v>
      </c>
      <c r="L201" s="23">
        <f t="shared" si="18"/>
        <v>14878.338816000001</v>
      </c>
      <c r="M201" s="23">
        <f t="shared" si="19"/>
        <v>6855.0197280000002</v>
      </c>
      <c r="O201" s="23">
        <f>L201-'Part A (2&amp;3)'!R201</f>
        <v>2108.9511360000015</v>
      </c>
      <c r="P201" s="23">
        <f>M201-'Part A (2&amp;3)'!T201</f>
        <v>542.5120480000005</v>
      </c>
    </row>
    <row r="202" spans="5:16" x14ac:dyDescent="0.35">
      <c r="E202" s="8">
        <v>0</v>
      </c>
      <c r="F202" s="27">
        <f t="shared" si="15"/>
        <v>0</v>
      </c>
      <c r="G202" s="23">
        <v>354.24</v>
      </c>
      <c r="H202">
        <f t="shared" si="16"/>
        <v>386.12160000000006</v>
      </c>
      <c r="I202">
        <v>6</v>
      </c>
      <c r="J202" s="28">
        <f t="shared" si="17"/>
        <v>6.8400000000000007</v>
      </c>
      <c r="K202" s="23">
        <v>249.87</v>
      </c>
      <c r="L202" s="23">
        <f t="shared" si="18"/>
        <v>1709.1108000000002</v>
      </c>
      <c r="M202" s="23">
        <f t="shared" si="19"/>
        <v>-931.96094400000061</v>
      </c>
      <c r="O202" s="23">
        <f>L202-'Part A (2&amp;3)'!R202</f>
        <v>209.89080000000013</v>
      </c>
      <c r="P202" s="23">
        <f>M202-'Part A (2&amp;3)'!T202</f>
        <v>-305.74094400000058</v>
      </c>
    </row>
    <row r="203" spans="5:16" x14ac:dyDescent="0.35">
      <c r="E203" s="8">
        <v>0.23499999999999999</v>
      </c>
      <c r="F203" s="27">
        <f t="shared" si="15"/>
        <v>0.12</v>
      </c>
      <c r="G203" s="23">
        <v>699.33</v>
      </c>
      <c r="H203">
        <f t="shared" si="16"/>
        <v>762.26970000000006</v>
      </c>
      <c r="I203">
        <v>10</v>
      </c>
      <c r="J203" s="28">
        <f t="shared" si="17"/>
        <v>11.400000000000002</v>
      </c>
      <c r="K203" s="23">
        <v>873.75</v>
      </c>
      <c r="L203" s="23">
        <f t="shared" si="18"/>
        <v>8765.4600000000009</v>
      </c>
      <c r="M203" s="23">
        <f t="shared" si="19"/>
        <v>75.585419999999431</v>
      </c>
      <c r="O203" s="23">
        <f>L203-'Part A (2&amp;3)'!R203</f>
        <v>2081.2725000000009</v>
      </c>
      <c r="P203" s="23">
        <f>M203-'Part A (2&amp;3)'!T203</f>
        <v>384.69791999999961</v>
      </c>
    </row>
    <row r="204" spans="5:16" x14ac:dyDescent="0.35">
      <c r="E204" s="8">
        <v>0.107</v>
      </c>
      <c r="F204" s="27">
        <f t="shared" si="15"/>
        <v>0.107</v>
      </c>
      <c r="G204" s="23">
        <v>275.56</v>
      </c>
      <c r="H204">
        <f t="shared" si="16"/>
        <v>300.36040000000003</v>
      </c>
      <c r="I204">
        <v>23</v>
      </c>
      <c r="J204" s="28">
        <f t="shared" si="17"/>
        <v>26.220000000000002</v>
      </c>
      <c r="K204" s="23">
        <v>630.72</v>
      </c>
      <c r="L204" s="23">
        <f t="shared" si="18"/>
        <v>14767.968211200003</v>
      </c>
      <c r="M204" s="23">
        <f t="shared" si="19"/>
        <v>6892.5185232000013</v>
      </c>
      <c r="O204" s="23">
        <f>L204-'Part A (2&amp;3)'!R204</f>
        <v>1813.610131200001</v>
      </c>
      <c r="P204" s="23">
        <f>M204-'Part A (2&amp;3)'!T204</f>
        <v>276.04044319999957</v>
      </c>
    </row>
    <row r="205" spans="5:16" x14ac:dyDescent="0.35">
      <c r="E205" s="8">
        <v>0.125</v>
      </c>
      <c r="F205" s="27">
        <f t="shared" si="15"/>
        <v>0.12</v>
      </c>
      <c r="G205" s="23">
        <v>174.74</v>
      </c>
      <c r="H205">
        <f t="shared" si="16"/>
        <v>190.46660000000003</v>
      </c>
      <c r="I205">
        <v>21</v>
      </c>
      <c r="J205" s="28">
        <f t="shared" si="17"/>
        <v>23.94</v>
      </c>
      <c r="K205" s="23">
        <v>415.96</v>
      </c>
      <c r="L205" s="23">
        <f t="shared" si="18"/>
        <v>8763.1125120000015</v>
      </c>
      <c r="M205" s="23">
        <f t="shared" si="19"/>
        <v>4203.3421080000007</v>
      </c>
      <c r="O205" s="23">
        <f>L205-'Part A (2&amp;3)'!R205</f>
        <v>1119.8475120000021</v>
      </c>
      <c r="P205" s="23">
        <f>M205-'Part A (2&amp;3)'!T205</f>
        <v>229.61710800000128</v>
      </c>
    </row>
    <row r="206" spans="5:16" x14ac:dyDescent="0.35">
      <c r="E206" s="8">
        <v>0.02</v>
      </c>
      <c r="F206" s="27">
        <f t="shared" si="15"/>
        <v>0.02</v>
      </c>
      <c r="G206" s="23">
        <v>1495.79</v>
      </c>
      <c r="H206">
        <f t="shared" si="16"/>
        <v>1630.4111</v>
      </c>
      <c r="I206">
        <v>5</v>
      </c>
      <c r="J206" s="28">
        <f t="shared" si="17"/>
        <v>5.7000000000000011</v>
      </c>
      <c r="K206" s="23">
        <v>2783.12</v>
      </c>
      <c r="L206" s="23">
        <f t="shared" si="18"/>
        <v>15546.508320000001</v>
      </c>
      <c r="M206" s="23">
        <f t="shared" si="19"/>
        <v>6253.1650499999996</v>
      </c>
      <c r="O206" s="23">
        <f>L206-'Part A (2&amp;3)'!R206</f>
        <v>1909.2203200000022</v>
      </c>
      <c r="P206" s="23">
        <f>M206-'Part A (2&amp;3)'!T206</f>
        <v>94.827050000000781</v>
      </c>
    </row>
    <row r="207" spans="5:16" x14ac:dyDescent="0.35">
      <c r="E207" s="8">
        <v>0.113</v>
      </c>
      <c r="F207" s="27">
        <f t="shared" si="15"/>
        <v>0.113</v>
      </c>
      <c r="G207" s="23">
        <v>879.08</v>
      </c>
      <c r="H207">
        <f t="shared" si="16"/>
        <v>958.19720000000007</v>
      </c>
      <c r="I207">
        <v>17</v>
      </c>
      <c r="J207" s="28">
        <f t="shared" si="17"/>
        <v>19.380000000000003</v>
      </c>
      <c r="K207" s="23">
        <v>1093.3900000000001</v>
      </c>
      <c r="L207" s="23">
        <f t="shared" si="18"/>
        <v>18795.439703400003</v>
      </c>
      <c r="M207" s="23">
        <f t="shared" si="19"/>
        <v>225.57796740000049</v>
      </c>
      <c r="O207" s="23">
        <f>L207-'Part A (2&amp;3)'!R207</f>
        <v>2308.2118934000027</v>
      </c>
      <c r="P207" s="23">
        <f>M207-'Part A (2&amp;3)'!T207</f>
        <v>-1317.2898425999992</v>
      </c>
    </row>
    <row r="208" spans="5:16" x14ac:dyDescent="0.35">
      <c r="E208" s="8">
        <v>0.184</v>
      </c>
      <c r="F208" s="27">
        <f t="shared" si="15"/>
        <v>0.12</v>
      </c>
      <c r="G208" s="23">
        <v>1303.1099999999999</v>
      </c>
      <c r="H208">
        <f t="shared" si="16"/>
        <v>1420.3898999999999</v>
      </c>
      <c r="I208">
        <v>13</v>
      </c>
      <c r="J208" s="28">
        <f t="shared" si="17"/>
        <v>14.820000000000002</v>
      </c>
      <c r="K208" s="23">
        <v>1145.67</v>
      </c>
      <c r="L208" s="23">
        <f t="shared" si="18"/>
        <v>14941.369872000003</v>
      </c>
      <c r="M208" s="23">
        <f t="shared" si="19"/>
        <v>-6108.8084459999991</v>
      </c>
      <c r="O208" s="23">
        <f>L208-'Part A (2&amp;3)'!R208</f>
        <v>2788.1025120000013</v>
      </c>
      <c r="P208" s="23">
        <f>M208-'Part A (2&amp;3)'!T208</f>
        <v>-1321.6458060000004</v>
      </c>
    </row>
    <row r="209" spans="5:16" x14ac:dyDescent="0.35">
      <c r="E209" s="8">
        <v>0</v>
      </c>
      <c r="F209" s="27">
        <f t="shared" si="15"/>
        <v>0</v>
      </c>
      <c r="G209" s="23">
        <v>307.43</v>
      </c>
      <c r="H209">
        <f t="shared" si="16"/>
        <v>335.09870000000001</v>
      </c>
      <c r="I209">
        <v>42</v>
      </c>
      <c r="J209" s="28">
        <f t="shared" si="17"/>
        <v>47.88</v>
      </c>
      <c r="K209" s="23">
        <v>495.19</v>
      </c>
      <c r="L209" s="23">
        <f t="shared" si="18"/>
        <v>23709.697200000002</v>
      </c>
      <c r="M209" s="23">
        <f t="shared" si="19"/>
        <v>7665.1714440000014</v>
      </c>
      <c r="O209" s="23">
        <f>L209-'Part A (2&amp;3)'!R209</f>
        <v>2911.7172000000028</v>
      </c>
      <c r="P209" s="23">
        <f>M209-'Part A (2&amp;3)'!T209</f>
        <v>-220.74855599999864</v>
      </c>
    </row>
    <row r="210" spans="5:16" x14ac:dyDescent="0.35">
      <c r="E210" s="8">
        <v>0.10199999999999999</v>
      </c>
      <c r="F210" s="27">
        <f t="shared" si="15"/>
        <v>0.10199999999999999</v>
      </c>
      <c r="G210" s="23">
        <v>663.03</v>
      </c>
      <c r="H210">
        <f t="shared" si="16"/>
        <v>722.70270000000005</v>
      </c>
      <c r="I210">
        <v>15</v>
      </c>
      <c r="J210" s="28">
        <f t="shared" si="17"/>
        <v>17.100000000000001</v>
      </c>
      <c r="K210" s="23">
        <v>813.51</v>
      </c>
      <c r="L210" s="23">
        <f t="shared" si="18"/>
        <v>12492.096858000001</v>
      </c>
      <c r="M210" s="23">
        <f t="shared" si="19"/>
        <v>133.88068799999928</v>
      </c>
      <c r="O210" s="23">
        <f>L210-'Part A (2&amp;3)'!R210</f>
        <v>1534.1171580000009</v>
      </c>
      <c r="P210" s="23">
        <f>M210-'Part A (2&amp;3)'!T210</f>
        <v>-878.64901200000168</v>
      </c>
    </row>
    <row r="211" spans="5:16" x14ac:dyDescent="0.35">
      <c r="E211" s="8">
        <v>0.184</v>
      </c>
      <c r="F211" s="27">
        <f t="shared" si="15"/>
        <v>0.12</v>
      </c>
      <c r="G211" s="23">
        <v>1097.5899999999999</v>
      </c>
      <c r="H211">
        <f t="shared" si="16"/>
        <v>1196.3731</v>
      </c>
      <c r="I211">
        <v>6</v>
      </c>
      <c r="J211" s="28">
        <f t="shared" si="17"/>
        <v>6.8400000000000007</v>
      </c>
      <c r="K211" s="23">
        <v>845.55</v>
      </c>
      <c r="L211" s="23">
        <f t="shared" si="18"/>
        <v>5089.5345600000001</v>
      </c>
      <c r="M211" s="23">
        <f t="shared" si="19"/>
        <v>-3093.6574440000013</v>
      </c>
      <c r="O211" s="23">
        <f>L211-'Part A (2&amp;3)'!R211</f>
        <v>949.72176000000036</v>
      </c>
      <c r="P211" s="23">
        <f>M211-'Part A (2&amp;3)'!T211</f>
        <v>-647.93024400000195</v>
      </c>
    </row>
    <row r="212" spans="5:16" x14ac:dyDescent="0.35">
      <c r="E212" s="8">
        <v>6.2E-2</v>
      </c>
      <c r="F212" s="27">
        <f t="shared" si="15"/>
        <v>6.2E-2</v>
      </c>
      <c r="G212" s="23">
        <v>1071.99</v>
      </c>
      <c r="H212">
        <f t="shared" si="16"/>
        <v>1168.4691</v>
      </c>
      <c r="I212">
        <v>18</v>
      </c>
      <c r="J212" s="28">
        <f t="shared" si="17"/>
        <v>20.520000000000003</v>
      </c>
      <c r="K212" s="23">
        <v>2397.3000000000002</v>
      </c>
      <c r="L212" s="23">
        <f t="shared" si="18"/>
        <v>46142.655048000001</v>
      </c>
      <c r="M212" s="23">
        <f t="shared" si="19"/>
        <v>22165.669115999997</v>
      </c>
      <c r="O212" s="23">
        <f>L212-'Part A (2&amp;3)'!R212</f>
        <v>5666.6418479999993</v>
      </c>
      <c r="P212" s="23">
        <f>M212-'Part A (2&amp;3)'!T212</f>
        <v>985.47591599999578</v>
      </c>
    </row>
    <row r="213" spans="5:16" x14ac:dyDescent="0.35">
      <c r="E213" s="8">
        <v>0</v>
      </c>
      <c r="F213" s="27">
        <f t="shared" si="15"/>
        <v>0</v>
      </c>
      <c r="G213" s="23">
        <v>1415.05</v>
      </c>
      <c r="H213">
        <f t="shared" si="16"/>
        <v>1542.4045000000001</v>
      </c>
      <c r="I213">
        <v>12</v>
      </c>
      <c r="J213" s="28">
        <f t="shared" si="17"/>
        <v>13.680000000000001</v>
      </c>
      <c r="K213" s="23">
        <v>1972.38</v>
      </c>
      <c r="L213" s="23">
        <f t="shared" si="18"/>
        <v>26982.158400000004</v>
      </c>
      <c r="M213" s="23">
        <f t="shared" si="19"/>
        <v>5882.0648399999991</v>
      </c>
      <c r="O213" s="23">
        <f>L213-'Part A (2&amp;3)'!R213</f>
        <v>3313.5984000000026</v>
      </c>
      <c r="P213" s="23">
        <f>M213-'Part A (2&amp;3)'!T213</f>
        <v>-805.89516000000367</v>
      </c>
    </row>
    <row r="214" spans="5:16" x14ac:dyDescent="0.35">
      <c r="E214" s="8">
        <v>7.0999999999999994E-2</v>
      </c>
      <c r="F214" s="27">
        <f t="shared" si="15"/>
        <v>7.0999999999999994E-2</v>
      </c>
      <c r="G214" s="23">
        <v>1408.3</v>
      </c>
      <c r="H214">
        <f t="shared" si="16"/>
        <v>1535.047</v>
      </c>
      <c r="I214">
        <v>7</v>
      </c>
      <c r="J214" s="28">
        <f t="shared" si="17"/>
        <v>7.98</v>
      </c>
      <c r="K214" s="23">
        <v>2193.13</v>
      </c>
      <c r="L214" s="23">
        <f t="shared" si="18"/>
        <v>16258.593804600003</v>
      </c>
      <c r="M214" s="23">
        <f t="shared" si="19"/>
        <v>4008.9187446000014</v>
      </c>
      <c r="O214" s="23">
        <f>L214-'Part A (2&amp;3)'!R214</f>
        <v>1996.6694146000027</v>
      </c>
      <c r="P214" s="23">
        <f>M214-'Part A (2&amp;3)'!T214</f>
        <v>-394.90564539999832</v>
      </c>
    </row>
    <row r="215" spans="5:16" x14ac:dyDescent="0.35">
      <c r="E215" s="8">
        <v>0.14699999999999999</v>
      </c>
      <c r="F215" s="27">
        <f t="shared" si="15"/>
        <v>0.12</v>
      </c>
      <c r="G215" s="23">
        <v>1080.43</v>
      </c>
      <c r="H215">
        <f t="shared" si="16"/>
        <v>1177.6687000000002</v>
      </c>
      <c r="I215">
        <v>10</v>
      </c>
      <c r="J215" s="28">
        <f t="shared" si="17"/>
        <v>11.400000000000002</v>
      </c>
      <c r="K215" s="23">
        <v>2529.15</v>
      </c>
      <c r="L215" s="23">
        <f t="shared" si="18"/>
        <v>25372.432800000006</v>
      </c>
      <c r="M215" s="23">
        <f t="shared" si="19"/>
        <v>11947.009620000001</v>
      </c>
      <c r="O215" s="23">
        <f>L215-'Part A (2&amp;3)'!R215</f>
        <v>3798.7833000000064</v>
      </c>
      <c r="P215" s="23">
        <f>M215-'Part A (2&amp;3)'!T215</f>
        <v>1177.6601200000023</v>
      </c>
    </row>
    <row r="216" spans="5:16" x14ac:dyDescent="0.35">
      <c r="E216" s="8">
        <v>5.6000000000000001E-2</v>
      </c>
      <c r="F216" s="27">
        <f t="shared" si="15"/>
        <v>5.6000000000000001E-2</v>
      </c>
      <c r="G216" s="23">
        <v>856.1</v>
      </c>
      <c r="H216">
        <f t="shared" si="16"/>
        <v>933.14900000000011</v>
      </c>
      <c r="I216">
        <v>17</v>
      </c>
      <c r="J216" s="28">
        <f t="shared" si="17"/>
        <v>19.380000000000003</v>
      </c>
      <c r="K216" s="23">
        <v>901.48</v>
      </c>
      <c r="L216" s="23">
        <f t="shared" si="18"/>
        <v>16492.324185600002</v>
      </c>
      <c r="M216" s="23">
        <f t="shared" si="19"/>
        <v>-1592.1034344000036</v>
      </c>
      <c r="O216" s="23">
        <f>L216-'Part A (2&amp;3)'!R216</f>
        <v>2025.3731456000023</v>
      </c>
      <c r="P216" s="23">
        <f>M216-'Part A (2&amp;3)'!T216</f>
        <v>-1505.3544744000028</v>
      </c>
    </row>
    <row r="217" spans="5:16" x14ac:dyDescent="0.35">
      <c r="E217" s="8">
        <v>0.113</v>
      </c>
      <c r="F217" s="27">
        <f t="shared" si="15"/>
        <v>0.113</v>
      </c>
      <c r="G217" s="23">
        <v>1085.6099999999999</v>
      </c>
      <c r="H217">
        <f t="shared" si="16"/>
        <v>1183.3149000000001</v>
      </c>
      <c r="I217">
        <v>7</v>
      </c>
      <c r="J217" s="28">
        <f t="shared" si="17"/>
        <v>7.98</v>
      </c>
      <c r="K217" s="23">
        <v>1246.4100000000001</v>
      </c>
      <c r="L217" s="23">
        <f t="shared" si="18"/>
        <v>8822.4140466000026</v>
      </c>
      <c r="M217" s="23">
        <f t="shared" si="19"/>
        <v>-620.43885539999792</v>
      </c>
      <c r="O217" s="23">
        <f>L217-'Part A (2&amp;3)'!R217</f>
        <v>1083.454356600002</v>
      </c>
      <c r="P217" s="23">
        <f>M217-'Part A (2&amp;3)'!T217</f>
        <v>-760.12854539999898</v>
      </c>
    </row>
    <row r="218" spans="5:16" x14ac:dyDescent="0.35">
      <c r="E218" s="8">
        <v>0.14399999999999999</v>
      </c>
      <c r="F218" s="27">
        <f t="shared" si="15"/>
        <v>0.12</v>
      </c>
      <c r="G218" s="23">
        <v>932.61</v>
      </c>
      <c r="H218">
        <f t="shared" si="16"/>
        <v>1016.5449000000001</v>
      </c>
      <c r="I218">
        <v>16</v>
      </c>
      <c r="J218" s="28">
        <f t="shared" si="17"/>
        <v>18.240000000000002</v>
      </c>
      <c r="K218" s="23">
        <v>1982.98</v>
      </c>
      <c r="L218" s="23">
        <f t="shared" si="18"/>
        <v>31829.208576000005</v>
      </c>
      <c r="M218" s="23">
        <f t="shared" si="19"/>
        <v>13287.429599999999</v>
      </c>
      <c r="O218" s="23">
        <f>L218-'Part A (2&amp;3)'!R218</f>
        <v>4670.3144960000063</v>
      </c>
      <c r="P218" s="23">
        <f>M218-'Part A (2&amp;3)'!T218</f>
        <v>1050.2955200000015</v>
      </c>
    </row>
    <row r="219" spans="5:16" x14ac:dyDescent="0.35">
      <c r="E219" s="8">
        <v>7.0000000000000007E-2</v>
      </c>
      <c r="F219" s="27">
        <f t="shared" si="15"/>
        <v>7.0000000000000007E-2</v>
      </c>
      <c r="G219" s="23">
        <v>1186.18</v>
      </c>
      <c r="H219">
        <f t="shared" si="16"/>
        <v>1292.9362000000001</v>
      </c>
      <c r="I219">
        <v>11</v>
      </c>
      <c r="J219" s="28">
        <f t="shared" si="17"/>
        <v>12.540000000000001</v>
      </c>
      <c r="K219" s="23">
        <v>1285.0899999999999</v>
      </c>
      <c r="L219" s="23">
        <f t="shared" si="18"/>
        <v>14986.976597999999</v>
      </c>
      <c r="M219" s="23">
        <f t="shared" si="19"/>
        <v>-1226.4433500000032</v>
      </c>
      <c r="O219" s="23">
        <f>L219-'Part A (2&amp;3)'!R219</f>
        <v>1840.5058980000013</v>
      </c>
      <c r="P219" s="23">
        <f>M219-'Part A (2&amp;3)'!T219</f>
        <v>-1324.9340499999998</v>
      </c>
    </row>
    <row r="220" spans="5:16" x14ac:dyDescent="0.35">
      <c r="E220" s="8">
        <v>0.159</v>
      </c>
      <c r="F220" s="27">
        <f t="shared" si="15"/>
        <v>0.12</v>
      </c>
      <c r="G220" s="23">
        <v>1346.81</v>
      </c>
      <c r="H220">
        <f t="shared" si="16"/>
        <v>1468.0228999999999</v>
      </c>
      <c r="I220">
        <v>17</v>
      </c>
      <c r="J220" s="28">
        <f t="shared" si="17"/>
        <v>19.380000000000003</v>
      </c>
      <c r="K220" s="23">
        <v>978.09</v>
      </c>
      <c r="L220" s="23">
        <f t="shared" si="18"/>
        <v>16680.738096000001</v>
      </c>
      <c r="M220" s="23">
        <f t="shared" si="19"/>
        <v>-11769.545706000001</v>
      </c>
      <c r="O220" s="23">
        <f>L220-'Part A (2&amp;3)'!R220</f>
        <v>2696.9853660000026</v>
      </c>
      <c r="P220" s="23">
        <f>M220-'Part A (2&amp;3)'!T220</f>
        <v>-2857.5284359999987</v>
      </c>
    </row>
    <row r="221" spans="5:16" x14ac:dyDescent="0.35">
      <c r="E221" s="8">
        <v>0</v>
      </c>
      <c r="F221" s="27">
        <f t="shared" si="15"/>
        <v>0</v>
      </c>
      <c r="G221" s="23">
        <v>526.49</v>
      </c>
      <c r="H221">
        <f t="shared" si="16"/>
        <v>573.8741</v>
      </c>
      <c r="I221">
        <v>14</v>
      </c>
      <c r="J221" s="28">
        <f t="shared" si="17"/>
        <v>15.96</v>
      </c>
      <c r="K221" s="23">
        <v>496.2</v>
      </c>
      <c r="L221" s="23">
        <f t="shared" si="18"/>
        <v>7919.3519999999999</v>
      </c>
      <c r="M221" s="23">
        <f t="shared" si="19"/>
        <v>-1239.6786360000015</v>
      </c>
      <c r="O221" s="23">
        <f>L221-'Part A (2&amp;3)'!R221</f>
        <v>972.55199999999968</v>
      </c>
      <c r="P221" s="23">
        <f>M221-'Part A (2&amp;3)'!T221</f>
        <v>-815.61863600000106</v>
      </c>
    </row>
    <row r="222" spans="5:16" x14ac:dyDescent="0.35">
      <c r="E222" s="8">
        <v>7.3999999999999996E-2</v>
      </c>
      <c r="F222" s="27">
        <f t="shared" si="15"/>
        <v>7.3999999999999996E-2</v>
      </c>
      <c r="G222" s="23">
        <v>625.37</v>
      </c>
      <c r="H222">
        <f t="shared" si="16"/>
        <v>681.65330000000006</v>
      </c>
      <c r="I222">
        <v>8</v>
      </c>
      <c r="J222" s="28">
        <f t="shared" si="17"/>
        <v>9.120000000000001</v>
      </c>
      <c r="K222" s="23">
        <v>1319.04</v>
      </c>
      <c r="L222" s="23">
        <f t="shared" si="18"/>
        <v>11139.451084800001</v>
      </c>
      <c r="M222" s="23">
        <f t="shared" si="19"/>
        <v>4922.7729887999994</v>
      </c>
      <c r="O222" s="23">
        <f>L222-'Part A (2&amp;3)'!R222</f>
        <v>1368.0027648000014</v>
      </c>
      <c r="P222" s="23">
        <f>M222-'Part A (2&amp;3)'!T222</f>
        <v>154.28466879999996</v>
      </c>
    </row>
    <row r="223" spans="5:16" x14ac:dyDescent="0.35">
      <c r="E223" s="8">
        <v>5.8000000000000003E-2</v>
      </c>
      <c r="F223" s="27">
        <f t="shared" si="15"/>
        <v>5.8000000000000003E-2</v>
      </c>
      <c r="G223" s="23">
        <v>492.75</v>
      </c>
      <c r="H223">
        <f t="shared" si="16"/>
        <v>537.09750000000008</v>
      </c>
      <c r="I223">
        <v>6</v>
      </c>
      <c r="J223" s="28">
        <f t="shared" si="17"/>
        <v>6.8400000000000007</v>
      </c>
      <c r="K223" s="23">
        <v>731.29</v>
      </c>
      <c r="L223" s="23">
        <f t="shared" si="18"/>
        <v>4711.9062311999996</v>
      </c>
      <c r="M223" s="23">
        <f t="shared" si="19"/>
        <v>1038.1593311999986</v>
      </c>
      <c r="O223" s="23">
        <f>L223-'Part A (2&amp;3)'!R223</f>
        <v>578.65515119999964</v>
      </c>
      <c r="P223" s="23">
        <f>M223-'Part A (2&amp;3)'!T223</f>
        <v>-138.59174880000137</v>
      </c>
    </row>
    <row r="224" spans="5:16" x14ac:dyDescent="0.35">
      <c r="E224" s="8">
        <v>0.107</v>
      </c>
      <c r="F224" s="27">
        <f t="shared" si="15"/>
        <v>0.107</v>
      </c>
      <c r="G224" s="23">
        <v>1141.8</v>
      </c>
      <c r="H224">
        <f t="shared" si="16"/>
        <v>1244.5620000000001</v>
      </c>
      <c r="I224">
        <v>32</v>
      </c>
      <c r="J224" s="28">
        <f t="shared" si="17"/>
        <v>36.480000000000004</v>
      </c>
      <c r="K224" s="23">
        <v>2318.7399999999998</v>
      </c>
      <c r="L224" s="23">
        <f t="shared" si="18"/>
        <v>75536.758233600005</v>
      </c>
      <c r="M224" s="23">
        <f t="shared" si="19"/>
        <v>30135.136473599996</v>
      </c>
      <c r="O224" s="23">
        <f>L224-'Part A (2&amp;3)'!R224</f>
        <v>9276.4439936000126</v>
      </c>
      <c r="P224" s="23">
        <f>M224-'Part A (2&amp;3)'!T224</f>
        <v>412.42223360000207</v>
      </c>
    </row>
    <row r="225" spans="5:16" x14ac:dyDescent="0.35">
      <c r="E225" s="8">
        <v>0.20300000000000001</v>
      </c>
      <c r="F225" s="27">
        <f t="shared" si="15"/>
        <v>0.12</v>
      </c>
      <c r="G225" s="23">
        <v>1395.49</v>
      </c>
      <c r="H225">
        <f t="shared" si="16"/>
        <v>1521.0841</v>
      </c>
      <c r="I225">
        <v>12</v>
      </c>
      <c r="J225" s="28">
        <f t="shared" si="17"/>
        <v>13.680000000000001</v>
      </c>
      <c r="K225" s="23">
        <v>1679.42</v>
      </c>
      <c r="L225" s="23">
        <f t="shared" si="18"/>
        <v>20217.529728000001</v>
      </c>
      <c r="M225" s="23">
        <f t="shared" si="19"/>
        <v>-590.90076000000045</v>
      </c>
      <c r="O225" s="23">
        <f>L225-'Part A (2&amp;3)'!R225</f>
        <v>4155.556848000002</v>
      </c>
      <c r="P225" s="23">
        <f>M225-'Part A (2&amp;3)'!T225</f>
        <v>93.006360000001223</v>
      </c>
    </row>
    <row r="226" spans="5:16" x14ac:dyDescent="0.35">
      <c r="E226" s="8">
        <v>0.17399999999999999</v>
      </c>
      <c r="F226" s="27">
        <f t="shared" si="15"/>
        <v>0.12</v>
      </c>
      <c r="G226" s="23">
        <v>861.1</v>
      </c>
      <c r="H226">
        <f t="shared" si="16"/>
        <v>938.59900000000005</v>
      </c>
      <c r="I226">
        <v>24</v>
      </c>
      <c r="J226" s="28">
        <f t="shared" si="17"/>
        <v>27.360000000000003</v>
      </c>
      <c r="K226" s="23">
        <v>1224.72</v>
      </c>
      <c r="L226" s="23">
        <f t="shared" si="18"/>
        <v>29487.338496000004</v>
      </c>
      <c r="M226" s="23">
        <f t="shared" si="19"/>
        <v>3807.269855999999</v>
      </c>
      <c r="O226" s="23">
        <f>L226-'Part A (2&amp;3)'!R226</f>
        <v>5208.4892160000018</v>
      </c>
      <c r="P226" s="23">
        <f>M226-'Part A (2&amp;3)'!T226</f>
        <v>194.82057599999825</v>
      </c>
    </row>
    <row r="227" spans="5:16" x14ac:dyDescent="0.35">
      <c r="E227" s="8">
        <v>0.16700000000000001</v>
      </c>
      <c r="F227" s="27">
        <f t="shared" si="15"/>
        <v>0.12</v>
      </c>
      <c r="G227" s="23">
        <v>657.45</v>
      </c>
      <c r="H227">
        <f t="shared" si="16"/>
        <v>716.62050000000011</v>
      </c>
      <c r="I227">
        <v>21</v>
      </c>
      <c r="J227" s="28">
        <f t="shared" si="17"/>
        <v>23.94</v>
      </c>
      <c r="K227" s="23">
        <v>1325.96</v>
      </c>
      <c r="L227" s="23">
        <f t="shared" si="18"/>
        <v>27934.264512000002</v>
      </c>
      <c r="M227" s="23">
        <f t="shared" si="19"/>
        <v>10778.369741999999</v>
      </c>
      <c r="O227" s="23">
        <f>L227-'Part A (2&amp;3)'!R227</f>
        <v>4739.2462320000013</v>
      </c>
      <c r="P227" s="23">
        <f>M227-'Part A (2&amp;3)'!T227</f>
        <v>1389.8014619999994</v>
      </c>
    </row>
    <row r="228" spans="5:16" x14ac:dyDescent="0.35">
      <c r="E228" s="8">
        <v>0.215</v>
      </c>
      <c r="F228" s="27">
        <f t="shared" si="15"/>
        <v>0.12</v>
      </c>
      <c r="G228" s="23">
        <v>404.77</v>
      </c>
      <c r="H228">
        <f t="shared" si="16"/>
        <v>441.19929999999999</v>
      </c>
      <c r="I228">
        <v>22</v>
      </c>
      <c r="J228" s="28">
        <f t="shared" si="17"/>
        <v>25.080000000000002</v>
      </c>
      <c r="K228" s="23">
        <v>433.88</v>
      </c>
      <c r="L228" s="23">
        <f t="shared" si="18"/>
        <v>9575.9051519999994</v>
      </c>
      <c r="M228" s="23">
        <f t="shared" si="19"/>
        <v>-1489.373292000002</v>
      </c>
      <c r="O228" s="23">
        <f>L228-'Part A (2&amp;3)'!R228</f>
        <v>2082.7975519999982</v>
      </c>
      <c r="P228" s="23">
        <f>M228-'Part A (2&amp;3)'!T228</f>
        <v>-77.540892000004533</v>
      </c>
    </row>
    <row r="229" spans="5:16" x14ac:dyDescent="0.35">
      <c r="E229" s="8">
        <v>7.5999999999999998E-2</v>
      </c>
      <c r="F229" s="27">
        <f t="shared" si="15"/>
        <v>7.5999999999999998E-2</v>
      </c>
      <c r="G229" s="23">
        <v>1219.06</v>
      </c>
      <c r="H229">
        <f t="shared" si="16"/>
        <v>1328.7754</v>
      </c>
      <c r="I229">
        <v>16</v>
      </c>
      <c r="J229" s="28">
        <f t="shared" si="17"/>
        <v>18.240000000000002</v>
      </c>
      <c r="K229" s="23">
        <v>2738.69</v>
      </c>
      <c r="L229" s="23">
        <f t="shared" si="18"/>
        <v>46157.223974400011</v>
      </c>
      <c r="M229" s="23">
        <f t="shared" si="19"/>
        <v>21920.360678400008</v>
      </c>
      <c r="O229" s="23">
        <f>L229-'Part A (2&amp;3)'!R229</f>
        <v>5668.4310144000046</v>
      </c>
      <c r="P229" s="23">
        <f>M229-'Part A (2&amp;3)'!T229</f>
        <v>936.52771840000059</v>
      </c>
    </row>
    <row r="230" spans="5:16" x14ac:dyDescent="0.35">
      <c r="E230" s="8">
        <v>0.20699999999999999</v>
      </c>
      <c r="F230" s="27">
        <f t="shared" si="15"/>
        <v>0.12</v>
      </c>
      <c r="G230" s="23">
        <v>444.41</v>
      </c>
      <c r="H230">
        <f t="shared" si="16"/>
        <v>484.40690000000006</v>
      </c>
      <c r="I230">
        <v>32</v>
      </c>
      <c r="J230" s="28">
        <f t="shared" si="17"/>
        <v>36.480000000000004</v>
      </c>
      <c r="K230" s="23">
        <v>754.24</v>
      </c>
      <c r="L230" s="23">
        <f t="shared" si="18"/>
        <v>24212.914176000006</v>
      </c>
      <c r="M230" s="23">
        <f t="shared" si="19"/>
        <v>6541.7504640000006</v>
      </c>
      <c r="O230" s="23">
        <f>L230-'Part A (2&amp;3)'!R230</f>
        <v>5073.3199360000035</v>
      </c>
      <c r="P230" s="23">
        <f>M230-'Part A (2&amp;3)'!T230</f>
        <v>1623.2762239999993</v>
      </c>
    </row>
    <row r="231" spans="5:16" x14ac:dyDescent="0.35">
      <c r="E231" s="8">
        <v>0.12</v>
      </c>
      <c r="F231" s="27">
        <f t="shared" si="15"/>
        <v>0.12</v>
      </c>
      <c r="G231" s="23">
        <v>802.32</v>
      </c>
      <c r="H231">
        <f t="shared" si="16"/>
        <v>874.52880000000016</v>
      </c>
      <c r="I231">
        <v>25</v>
      </c>
      <c r="J231" s="28">
        <f t="shared" si="17"/>
        <v>28.500000000000004</v>
      </c>
      <c r="K231" s="23">
        <v>602.34</v>
      </c>
      <c r="L231" s="23">
        <f t="shared" si="18"/>
        <v>15106.687200000002</v>
      </c>
      <c r="M231" s="23">
        <f t="shared" si="19"/>
        <v>-9817.3836000000065</v>
      </c>
      <c r="O231" s="23">
        <f>L231-'Part A (2&amp;3)'!R231</f>
        <v>1855.2072000000026</v>
      </c>
      <c r="P231" s="23">
        <f>M231-'Part A (2&amp;3)'!T231</f>
        <v>-3010.863600000006</v>
      </c>
    </row>
    <row r="232" spans="5:16" x14ac:dyDescent="0.35">
      <c r="E232" s="8">
        <v>0.154</v>
      </c>
      <c r="F232" s="27">
        <f t="shared" si="15"/>
        <v>0.12</v>
      </c>
      <c r="G232" s="23">
        <v>720</v>
      </c>
      <c r="H232">
        <f t="shared" si="16"/>
        <v>784.80000000000007</v>
      </c>
      <c r="I232">
        <v>10</v>
      </c>
      <c r="J232" s="28">
        <f t="shared" si="17"/>
        <v>11.400000000000002</v>
      </c>
      <c r="K232" s="23">
        <v>907.59</v>
      </c>
      <c r="L232" s="23">
        <f t="shared" si="18"/>
        <v>9104.9428800000023</v>
      </c>
      <c r="M232" s="23">
        <f t="shared" si="19"/>
        <v>158.22287999999935</v>
      </c>
      <c r="O232" s="23">
        <f>L232-'Part A (2&amp;3)'!R232</f>
        <v>1426.7314800000031</v>
      </c>
      <c r="P232" s="23">
        <f>M232-'Part A (2&amp;3)'!T232</f>
        <v>-319.98851999999988</v>
      </c>
    </row>
    <row r="233" spans="5:16" x14ac:dyDescent="0.35">
      <c r="E233" s="8">
        <v>0</v>
      </c>
      <c r="F233" s="27">
        <f t="shared" si="15"/>
        <v>0</v>
      </c>
      <c r="G233" s="23">
        <v>1206.2</v>
      </c>
      <c r="H233">
        <f t="shared" si="16"/>
        <v>1314.758</v>
      </c>
      <c r="I233">
        <v>6</v>
      </c>
      <c r="J233" s="28">
        <f t="shared" si="17"/>
        <v>6.8400000000000007</v>
      </c>
      <c r="K233" s="23">
        <v>1759.79</v>
      </c>
      <c r="L233" s="23">
        <f t="shared" si="18"/>
        <v>12036.963600000001</v>
      </c>
      <c r="M233" s="23">
        <f t="shared" si="19"/>
        <v>3044.0188799999996</v>
      </c>
      <c r="O233" s="23">
        <f>L233-'Part A (2&amp;3)'!R233</f>
        <v>1478.2236000000012</v>
      </c>
      <c r="P233" s="23">
        <f>M233-'Part A (2&amp;3)'!T233</f>
        <v>-277.52111999999943</v>
      </c>
    </row>
    <row r="234" spans="5:16" x14ac:dyDescent="0.35">
      <c r="E234" s="8">
        <v>6.8000000000000005E-2</v>
      </c>
      <c r="F234" s="27">
        <f t="shared" si="15"/>
        <v>6.8000000000000005E-2</v>
      </c>
      <c r="G234" s="23">
        <v>1237.68</v>
      </c>
      <c r="H234">
        <f t="shared" si="16"/>
        <v>1349.0712000000001</v>
      </c>
      <c r="I234">
        <v>13</v>
      </c>
      <c r="J234" s="28">
        <f t="shared" si="17"/>
        <v>14.820000000000002</v>
      </c>
      <c r="K234" s="23">
        <v>1432.8</v>
      </c>
      <c r="L234" s="23">
        <f t="shared" si="18"/>
        <v>19790.177471999999</v>
      </c>
      <c r="M234" s="23">
        <f t="shared" si="19"/>
        <v>-203.05771200000527</v>
      </c>
      <c r="O234" s="23">
        <f>L234-'Part A (2&amp;3)'!R234</f>
        <v>2430.3726720000013</v>
      </c>
      <c r="P234" s="23">
        <f>M234-'Part A (2&amp;3)'!T234</f>
        <v>-1473.0225120000032</v>
      </c>
    </row>
    <row r="235" spans="5:16" x14ac:dyDescent="0.35">
      <c r="E235" s="8">
        <v>0.25800000000000001</v>
      </c>
      <c r="F235" s="27">
        <f t="shared" si="15"/>
        <v>0.12</v>
      </c>
      <c r="G235" s="23">
        <v>493.76</v>
      </c>
      <c r="H235">
        <f t="shared" si="16"/>
        <v>538.19839999999999</v>
      </c>
      <c r="I235">
        <v>10</v>
      </c>
      <c r="J235" s="28">
        <f t="shared" si="17"/>
        <v>11.400000000000002</v>
      </c>
      <c r="K235" s="23">
        <v>625.04</v>
      </c>
      <c r="L235" s="23">
        <f t="shared" si="18"/>
        <v>6270.40128</v>
      </c>
      <c r="M235" s="23">
        <f t="shared" si="19"/>
        <v>134.93951999999899</v>
      </c>
      <c r="O235" s="23">
        <f>L235-'Part A (2&amp;3)'!R235</f>
        <v>1632.60448</v>
      </c>
      <c r="P235" s="23">
        <f>M235-'Part A (2&amp;3)'!T235</f>
        <v>434.74271999999928</v>
      </c>
    </row>
    <row r="236" spans="5:16" x14ac:dyDescent="0.35">
      <c r="E236" s="8">
        <v>4.2000000000000003E-2</v>
      </c>
      <c r="F236" s="27">
        <f t="shared" si="15"/>
        <v>4.2000000000000003E-2</v>
      </c>
      <c r="G236" s="23">
        <v>310.02</v>
      </c>
      <c r="H236">
        <f t="shared" si="16"/>
        <v>337.92180000000002</v>
      </c>
      <c r="I236">
        <v>4</v>
      </c>
      <c r="J236" s="28">
        <f t="shared" si="17"/>
        <v>4.5600000000000005</v>
      </c>
      <c r="K236" s="23">
        <v>619.51</v>
      </c>
      <c r="L236" s="23">
        <f t="shared" si="18"/>
        <v>2706.3170448000005</v>
      </c>
      <c r="M236" s="23">
        <f t="shared" si="19"/>
        <v>1165.3936368000002</v>
      </c>
      <c r="O236" s="23">
        <f>L236-'Part A (2&amp;3)'!R236</f>
        <v>332.35472480000044</v>
      </c>
      <c r="P236" s="23">
        <f>M236-'Part A (2&amp;3)'!T236</f>
        <v>31.511316800000031</v>
      </c>
    </row>
    <row r="237" spans="5:16" x14ac:dyDescent="0.35">
      <c r="E237" s="8">
        <v>0.14000000000000001</v>
      </c>
      <c r="F237" s="27">
        <f t="shared" si="15"/>
        <v>0.12</v>
      </c>
      <c r="G237" s="23">
        <v>313.60000000000002</v>
      </c>
      <c r="H237">
        <f t="shared" si="16"/>
        <v>341.82400000000007</v>
      </c>
      <c r="I237">
        <v>22</v>
      </c>
      <c r="J237" s="28">
        <f t="shared" si="17"/>
        <v>25.080000000000002</v>
      </c>
      <c r="K237" s="23">
        <v>334.28</v>
      </c>
      <c r="L237" s="23">
        <f t="shared" si="18"/>
        <v>7377.6933119999994</v>
      </c>
      <c r="M237" s="23">
        <f t="shared" si="19"/>
        <v>-1195.2526080000025</v>
      </c>
      <c r="O237" s="23">
        <f>L237-'Part A (2&amp;3)'!R237</f>
        <v>1053.1157119999998</v>
      </c>
      <c r="P237" s="23">
        <f>M237-'Part A (2&amp;3)'!T237</f>
        <v>-620.6302080000014</v>
      </c>
    </row>
    <row r="238" spans="5:16" x14ac:dyDescent="0.35">
      <c r="E238" s="8">
        <v>0.155</v>
      </c>
      <c r="F238" s="27">
        <f t="shared" si="15"/>
        <v>0.12</v>
      </c>
      <c r="G238" s="23">
        <v>1017.93</v>
      </c>
      <c r="H238">
        <f t="shared" si="16"/>
        <v>1109.5436999999999</v>
      </c>
      <c r="I238">
        <v>12</v>
      </c>
      <c r="J238" s="28">
        <f t="shared" si="17"/>
        <v>13.680000000000001</v>
      </c>
      <c r="K238" s="23">
        <v>1529.14</v>
      </c>
      <c r="L238" s="23">
        <f t="shared" si="18"/>
        <v>18408.398976000004</v>
      </c>
      <c r="M238" s="23">
        <f t="shared" si="19"/>
        <v>3229.8411600000036</v>
      </c>
      <c r="O238" s="23">
        <f>L238-'Part A (2&amp;3)'!R238</f>
        <v>2902.9193760000035</v>
      </c>
      <c r="P238" s="23">
        <f>M238-'Part A (2&amp;3)'!T238</f>
        <v>-60.478439999997136</v>
      </c>
    </row>
    <row r="239" spans="5:16" x14ac:dyDescent="0.35">
      <c r="E239" s="8">
        <v>0.17</v>
      </c>
      <c r="F239" s="27">
        <f t="shared" si="15"/>
        <v>0.12</v>
      </c>
      <c r="G239" s="23">
        <v>1061.3699999999999</v>
      </c>
      <c r="H239">
        <f t="shared" si="16"/>
        <v>1156.8933</v>
      </c>
      <c r="I239">
        <v>4</v>
      </c>
      <c r="J239" s="28">
        <f t="shared" si="17"/>
        <v>4.5600000000000005</v>
      </c>
      <c r="K239" s="23">
        <v>1938.33</v>
      </c>
      <c r="L239" s="23">
        <f t="shared" si="18"/>
        <v>7778.1306240000004</v>
      </c>
      <c r="M239" s="23">
        <f t="shared" si="19"/>
        <v>2502.6971759999997</v>
      </c>
      <c r="O239" s="23">
        <f>L239-'Part A (2&amp;3)'!R239</f>
        <v>1342.8750240000008</v>
      </c>
      <c r="P239" s="23">
        <f>M239-'Part A (2&amp;3)'!T239</f>
        <v>312.92157599999973</v>
      </c>
    </row>
    <row r="240" spans="5:16" x14ac:dyDescent="0.35">
      <c r="E240" s="8">
        <v>0.22600000000000001</v>
      </c>
      <c r="F240" s="27">
        <f t="shared" si="15"/>
        <v>0.12</v>
      </c>
      <c r="G240" s="23">
        <v>504.93</v>
      </c>
      <c r="H240">
        <f t="shared" si="16"/>
        <v>550.3737000000001</v>
      </c>
      <c r="I240">
        <v>15</v>
      </c>
      <c r="J240" s="28">
        <f t="shared" si="17"/>
        <v>17.100000000000001</v>
      </c>
      <c r="K240" s="23">
        <v>819.06</v>
      </c>
      <c r="L240" s="23">
        <f t="shared" si="18"/>
        <v>12325.21488</v>
      </c>
      <c r="M240" s="23">
        <f t="shared" si="19"/>
        <v>2913.8246099999978</v>
      </c>
      <c r="O240" s="23">
        <f>L240-'Part A (2&amp;3)'!R240</f>
        <v>2815.9282800000001</v>
      </c>
      <c r="P240" s="23">
        <f>M240-'Part A (2&amp;3)'!T240</f>
        <v>978.48800999999821</v>
      </c>
    </row>
    <row r="241" spans="5:16" x14ac:dyDescent="0.35">
      <c r="E241" s="8">
        <v>0.17599999999999999</v>
      </c>
      <c r="F241" s="27">
        <f t="shared" si="15"/>
        <v>0.12</v>
      </c>
      <c r="G241" s="23">
        <v>666.23</v>
      </c>
      <c r="H241">
        <f t="shared" si="16"/>
        <v>726.19070000000011</v>
      </c>
      <c r="I241">
        <v>13</v>
      </c>
      <c r="J241" s="28">
        <f t="shared" si="17"/>
        <v>14.820000000000002</v>
      </c>
      <c r="K241" s="23">
        <v>1382.91</v>
      </c>
      <c r="L241" s="23">
        <f t="shared" si="18"/>
        <v>18035.359056000005</v>
      </c>
      <c r="M241" s="23">
        <f t="shared" si="19"/>
        <v>7273.2128820000016</v>
      </c>
      <c r="O241" s="23">
        <f>L241-'Part A (2&amp;3)'!R241</f>
        <v>3221.6271360000028</v>
      </c>
      <c r="P241" s="23">
        <f>M241-'Part A (2&amp;3)'!T241</f>
        <v>1120.4709619999994</v>
      </c>
    </row>
    <row r="242" spans="5:16" x14ac:dyDescent="0.35">
      <c r="E242" s="8">
        <v>0</v>
      </c>
      <c r="F242" s="27">
        <f t="shared" si="15"/>
        <v>0</v>
      </c>
      <c r="G242" s="23">
        <v>643.53</v>
      </c>
      <c r="H242">
        <f t="shared" si="16"/>
        <v>701.44770000000005</v>
      </c>
      <c r="I242">
        <v>15</v>
      </c>
      <c r="J242" s="28">
        <f t="shared" si="17"/>
        <v>17.100000000000001</v>
      </c>
      <c r="K242" s="23">
        <v>1439.01</v>
      </c>
      <c r="L242" s="23">
        <f t="shared" si="18"/>
        <v>24607.071000000004</v>
      </c>
      <c r="M242" s="23">
        <f t="shared" si="19"/>
        <v>12612.315330000001</v>
      </c>
      <c r="O242" s="23">
        <f>L242-'Part A (2&amp;3)'!R242</f>
        <v>3021.9210000000021</v>
      </c>
      <c r="P242" s="23">
        <f>M242-'Part A (2&amp;3)'!T242</f>
        <v>680.11532999999872</v>
      </c>
    </row>
    <row r="243" spans="5:16" x14ac:dyDescent="0.35">
      <c r="E243" s="8">
        <v>0.03</v>
      </c>
      <c r="F243" s="27">
        <f t="shared" si="15"/>
        <v>0.03</v>
      </c>
      <c r="G243" s="23">
        <v>523.70000000000005</v>
      </c>
      <c r="H243">
        <f t="shared" si="16"/>
        <v>570.83300000000008</v>
      </c>
      <c r="I243">
        <v>11</v>
      </c>
      <c r="J243" s="28">
        <f t="shared" si="17"/>
        <v>12.540000000000001</v>
      </c>
      <c r="K243" s="23">
        <v>1109.92</v>
      </c>
      <c r="L243" s="23">
        <f t="shared" si="18"/>
        <v>13500.844896000001</v>
      </c>
      <c r="M243" s="23">
        <f t="shared" si="19"/>
        <v>6342.5990759999986</v>
      </c>
      <c r="O243" s="23">
        <f>L243-'Part A (2&amp;3)'!R243</f>
        <v>1657.9984960000002</v>
      </c>
      <c r="P243" s="23">
        <f>M243-'Part A (2&amp;3)'!T243</f>
        <v>260.45267599999897</v>
      </c>
    </row>
    <row r="244" spans="5:16" x14ac:dyDescent="0.35">
      <c r="E244" s="8">
        <v>0.14299999999999999</v>
      </c>
      <c r="F244" s="27">
        <f t="shared" si="15"/>
        <v>0.12</v>
      </c>
      <c r="G244" s="23">
        <v>525.34</v>
      </c>
      <c r="H244">
        <f t="shared" si="16"/>
        <v>572.62060000000008</v>
      </c>
      <c r="I244">
        <v>4</v>
      </c>
      <c r="J244" s="28">
        <f t="shared" si="17"/>
        <v>4.5600000000000005</v>
      </c>
      <c r="K244" s="23">
        <v>1233.79</v>
      </c>
      <c r="L244" s="23">
        <f t="shared" si="18"/>
        <v>4950.9525120000008</v>
      </c>
      <c r="M244" s="23">
        <f t="shared" si="19"/>
        <v>2339.802576</v>
      </c>
      <c r="O244" s="23">
        <f>L244-'Part A (2&amp;3)'!R244</f>
        <v>721.52039200000127</v>
      </c>
      <c r="P244" s="23">
        <f>M244-'Part A (2&amp;3)'!T244</f>
        <v>211.73045600000069</v>
      </c>
    </row>
    <row r="245" spans="5:16" x14ac:dyDescent="0.35">
      <c r="E245" s="8">
        <v>0.13500000000000001</v>
      </c>
      <c r="F245" s="27">
        <f t="shared" si="15"/>
        <v>0.12</v>
      </c>
      <c r="G245" s="23">
        <v>1410.97</v>
      </c>
      <c r="H245">
        <f t="shared" si="16"/>
        <v>1537.9573</v>
      </c>
      <c r="I245">
        <v>6</v>
      </c>
      <c r="J245" s="28">
        <f t="shared" si="17"/>
        <v>6.8400000000000007</v>
      </c>
      <c r="K245" s="23">
        <v>1650.75</v>
      </c>
      <c r="L245" s="23">
        <f t="shared" si="18"/>
        <v>9936.1944000000021</v>
      </c>
      <c r="M245" s="23">
        <f t="shared" si="19"/>
        <v>-583.4335319999991</v>
      </c>
      <c r="O245" s="23">
        <f>L245-'Part A (2&amp;3)'!R245</f>
        <v>1368.8019000000022</v>
      </c>
      <c r="P245" s="23">
        <f>M245-'Part A (2&amp;3)'!T245</f>
        <v>-685.00603199999932</v>
      </c>
    </row>
    <row r="246" spans="5:16" x14ac:dyDescent="0.35">
      <c r="E246" s="8">
        <v>3.7999999999999999E-2</v>
      </c>
      <c r="F246" s="27">
        <f t="shared" si="15"/>
        <v>3.7999999999999999E-2</v>
      </c>
      <c r="G246" s="23">
        <v>937.16</v>
      </c>
      <c r="H246">
        <f t="shared" si="16"/>
        <v>1021.5044</v>
      </c>
      <c r="I246">
        <v>9</v>
      </c>
      <c r="J246" s="28">
        <f t="shared" si="17"/>
        <v>10.260000000000002</v>
      </c>
      <c r="K246" s="23">
        <v>1069.77</v>
      </c>
      <c r="L246" s="23">
        <f t="shared" si="18"/>
        <v>10558.7582724</v>
      </c>
      <c r="M246" s="23">
        <f t="shared" si="19"/>
        <v>78.123128399998677</v>
      </c>
      <c r="O246" s="23">
        <f>L246-'Part A (2&amp;3)'!R246</f>
        <v>1296.6896123999995</v>
      </c>
      <c r="P246" s="23">
        <f>M246-'Part A (2&amp;3)'!T246</f>
        <v>-749.50553160000163</v>
      </c>
    </row>
    <row r="247" spans="5:16" x14ac:dyDescent="0.35">
      <c r="E247" s="8">
        <v>6.0000000000000001E-3</v>
      </c>
      <c r="F247" s="27">
        <f t="shared" si="15"/>
        <v>6.0000000000000001E-3</v>
      </c>
      <c r="G247" s="23">
        <v>644.16999999999996</v>
      </c>
      <c r="H247">
        <f t="shared" si="16"/>
        <v>702.14530000000002</v>
      </c>
      <c r="I247">
        <v>23</v>
      </c>
      <c r="J247" s="28">
        <f t="shared" si="17"/>
        <v>26.220000000000002</v>
      </c>
      <c r="K247" s="23">
        <v>700.12</v>
      </c>
      <c r="L247" s="23">
        <f t="shared" si="18"/>
        <v>18247.0035216</v>
      </c>
      <c r="M247" s="23">
        <f t="shared" si="19"/>
        <v>-163.24624440000116</v>
      </c>
      <c r="O247" s="23">
        <f>L247-'Part A (2&amp;3)'!R247</f>
        <v>2240.8600815999998</v>
      </c>
      <c r="P247" s="23">
        <f>M247-'Part A (2&amp;3)'!T247</f>
        <v>-1353.4796844000011</v>
      </c>
    </row>
    <row r="248" spans="5:16" x14ac:dyDescent="0.35">
      <c r="E248" s="8">
        <v>6.6000000000000003E-2</v>
      </c>
      <c r="F248" s="27">
        <f t="shared" si="15"/>
        <v>6.6000000000000003E-2</v>
      </c>
      <c r="G248" s="23">
        <v>798.45</v>
      </c>
      <c r="H248">
        <f t="shared" si="16"/>
        <v>870.31050000000016</v>
      </c>
      <c r="I248">
        <v>18</v>
      </c>
      <c r="J248" s="28">
        <f t="shared" si="17"/>
        <v>20.520000000000003</v>
      </c>
      <c r="K248" s="23">
        <v>1592.02</v>
      </c>
      <c r="L248" s="23">
        <f t="shared" si="18"/>
        <v>30512.145873599999</v>
      </c>
      <c r="M248" s="23">
        <f t="shared" si="19"/>
        <v>12653.374413599991</v>
      </c>
      <c r="O248" s="23">
        <f>L248-'Part A (2&amp;3)'!R248</f>
        <v>3747.1056336000001</v>
      </c>
      <c r="P248" s="23">
        <f>M248-'Part A (2&amp;3)'!T248</f>
        <v>260.4341735999933</v>
      </c>
    </row>
    <row r="249" spans="5:16" x14ac:dyDescent="0.35">
      <c r="E249" s="8">
        <v>0.12</v>
      </c>
      <c r="F249" s="27">
        <f t="shared" si="15"/>
        <v>0.12</v>
      </c>
      <c r="G249" s="23">
        <v>109.75</v>
      </c>
      <c r="H249">
        <f t="shared" si="16"/>
        <v>119.62750000000001</v>
      </c>
      <c r="I249">
        <v>19</v>
      </c>
      <c r="J249" s="28">
        <f t="shared" si="17"/>
        <v>21.660000000000004</v>
      </c>
      <c r="K249" s="23">
        <v>124.25</v>
      </c>
      <c r="L249" s="23">
        <f t="shared" si="18"/>
        <v>2368.3044000000004</v>
      </c>
      <c r="M249" s="23">
        <f t="shared" si="19"/>
        <v>-222.82725000000028</v>
      </c>
      <c r="O249" s="23">
        <f>L249-'Part A (2&amp;3)'!R249</f>
        <v>290.84440000000041</v>
      </c>
      <c r="P249" s="23">
        <f>M249-'Part A (2&amp;3)'!T249</f>
        <v>-215.03725000000031</v>
      </c>
    </row>
    <row r="250" spans="5:16" x14ac:dyDescent="0.35">
      <c r="E250" s="8">
        <v>1.7999999999999999E-2</v>
      </c>
      <c r="F250" s="27">
        <f t="shared" si="15"/>
        <v>1.7999999999999999E-2</v>
      </c>
      <c r="G250" s="23">
        <v>656.2</v>
      </c>
      <c r="H250">
        <f t="shared" si="16"/>
        <v>715.25800000000015</v>
      </c>
      <c r="I250">
        <v>5</v>
      </c>
      <c r="J250" s="28">
        <f t="shared" si="17"/>
        <v>5.7000000000000011</v>
      </c>
      <c r="K250" s="23">
        <v>1467.17</v>
      </c>
      <c r="L250" s="23">
        <f t="shared" si="18"/>
        <v>8212.3373580000025</v>
      </c>
      <c r="M250" s="23">
        <f t="shared" si="19"/>
        <v>4135.366758000001</v>
      </c>
      <c r="O250" s="23">
        <f>L250-'Part A (2&amp;3)'!R250</f>
        <v>1008.5326580000019</v>
      </c>
      <c r="P250" s="23">
        <f>M250-'Part A (2&amp;3)'!T250</f>
        <v>212.56205800000043</v>
      </c>
    </row>
    <row r="251" spans="5:16" x14ac:dyDescent="0.35">
      <c r="E251" s="8">
        <v>0.19400000000000001</v>
      </c>
      <c r="F251" s="27">
        <f t="shared" si="15"/>
        <v>0.12</v>
      </c>
      <c r="G251" s="23">
        <v>714.43</v>
      </c>
      <c r="H251">
        <f t="shared" si="16"/>
        <v>778.7287</v>
      </c>
      <c r="I251">
        <v>14</v>
      </c>
      <c r="J251" s="28">
        <f t="shared" si="17"/>
        <v>15.96</v>
      </c>
      <c r="K251" s="23">
        <v>1595.52</v>
      </c>
      <c r="L251" s="23">
        <f t="shared" si="18"/>
        <v>22408.759296000004</v>
      </c>
      <c r="M251" s="23">
        <f t="shared" si="19"/>
        <v>9980.2492440000024</v>
      </c>
      <c r="O251" s="23">
        <f>L251-'Part A (2&amp;3)'!R251</f>
        <v>4404.9116160000049</v>
      </c>
      <c r="P251" s="23">
        <f>M251-'Part A (2&amp;3)'!T251</f>
        <v>1978.421564000002</v>
      </c>
    </row>
    <row r="252" spans="5:16" x14ac:dyDescent="0.35">
      <c r="E252" s="8">
        <v>0.17699999999999999</v>
      </c>
      <c r="F252" s="27">
        <f t="shared" si="15"/>
        <v>0.12</v>
      </c>
      <c r="G252" s="23">
        <v>39.229999999999997</v>
      </c>
      <c r="H252">
        <f t="shared" si="16"/>
        <v>42.7607</v>
      </c>
      <c r="I252">
        <v>13</v>
      </c>
      <c r="J252" s="28">
        <f t="shared" si="17"/>
        <v>14.820000000000002</v>
      </c>
      <c r="K252" s="23">
        <v>30.09</v>
      </c>
      <c r="L252" s="23">
        <f t="shared" si="18"/>
        <v>392.42174400000005</v>
      </c>
      <c r="M252" s="23">
        <f t="shared" si="19"/>
        <v>-241.29183000000006</v>
      </c>
      <c r="O252" s="23">
        <f>L252-'Part A (2&amp;3)'!R252</f>
        <v>70.488834000000054</v>
      </c>
      <c r="P252" s="23">
        <f>M252-'Part A (2&amp;3)'!T252</f>
        <v>-53.234740000000102</v>
      </c>
    </row>
    <row r="253" spans="5:16" x14ac:dyDescent="0.35">
      <c r="E253" s="8">
        <v>0.215</v>
      </c>
      <c r="F253" s="27">
        <f t="shared" si="15"/>
        <v>0.12</v>
      </c>
      <c r="G253" s="23">
        <v>993.75</v>
      </c>
      <c r="H253">
        <f t="shared" si="16"/>
        <v>1083.1875</v>
      </c>
      <c r="I253">
        <v>19</v>
      </c>
      <c r="J253" s="28">
        <f t="shared" si="17"/>
        <v>21.660000000000004</v>
      </c>
      <c r="K253" s="23">
        <v>1310.29</v>
      </c>
      <c r="L253" s="23">
        <f t="shared" si="18"/>
        <v>24975.175632000006</v>
      </c>
      <c r="M253" s="23">
        <f t="shared" si="19"/>
        <v>1513.3343820000009</v>
      </c>
      <c r="O253" s="23">
        <f>L253-'Part A (2&amp;3)'!R253</f>
        <v>5432.2002820000052</v>
      </c>
      <c r="P253" s="23">
        <f>M253-'Part A (2&amp;3)'!T253</f>
        <v>851.6090320000003</v>
      </c>
    </row>
    <row r="254" spans="5:16" x14ac:dyDescent="0.35">
      <c r="E254" s="8">
        <v>0.126</v>
      </c>
      <c r="F254" s="27">
        <f t="shared" si="15"/>
        <v>0.12</v>
      </c>
      <c r="G254" s="23">
        <v>834.93</v>
      </c>
      <c r="H254">
        <f t="shared" si="16"/>
        <v>910.07370000000003</v>
      </c>
      <c r="I254">
        <v>6</v>
      </c>
      <c r="J254" s="28">
        <f t="shared" si="17"/>
        <v>6.8400000000000007</v>
      </c>
      <c r="K254" s="23">
        <v>1588.53</v>
      </c>
      <c r="L254" s="23">
        <f t="shared" si="18"/>
        <v>9561.6797760000009</v>
      </c>
      <c r="M254" s="23">
        <f t="shared" si="19"/>
        <v>3336.7756680000002</v>
      </c>
      <c r="O254" s="23">
        <f>L254-'Part A (2&amp;3)'!R254</f>
        <v>1231.4284560000015</v>
      </c>
      <c r="P254" s="23">
        <f>M254-'Part A (2&amp;3)'!T254</f>
        <v>16.104348000000755</v>
      </c>
    </row>
    <row r="255" spans="5:16" x14ac:dyDescent="0.35">
      <c r="E255" s="8">
        <v>0.126</v>
      </c>
      <c r="F255" s="27">
        <f t="shared" si="15"/>
        <v>0.12</v>
      </c>
      <c r="G255" s="23">
        <v>1233.52</v>
      </c>
      <c r="H255">
        <f t="shared" si="16"/>
        <v>1344.5368000000001</v>
      </c>
      <c r="I255">
        <v>13</v>
      </c>
      <c r="J255" s="28">
        <f t="shared" si="17"/>
        <v>14.820000000000002</v>
      </c>
      <c r="K255" s="23">
        <v>1543.76</v>
      </c>
      <c r="L255" s="23">
        <f t="shared" si="18"/>
        <v>20133.100416000005</v>
      </c>
      <c r="M255" s="23">
        <f t="shared" si="19"/>
        <v>207.06504000000132</v>
      </c>
      <c r="O255" s="23">
        <f>L255-'Part A (2&amp;3)'!R255</f>
        <v>2592.8992960000032</v>
      </c>
      <c r="P255" s="23">
        <f>M255-'Part A (2&amp;3)'!T255</f>
        <v>-1297.37608</v>
      </c>
    </row>
    <row r="256" spans="5:16" x14ac:dyDescent="0.35">
      <c r="E256" s="8">
        <v>5.0999999999999997E-2</v>
      </c>
      <c r="F256" s="27">
        <f t="shared" si="15"/>
        <v>5.0999999999999997E-2</v>
      </c>
      <c r="G256" s="23">
        <v>516.86</v>
      </c>
      <c r="H256">
        <f t="shared" si="16"/>
        <v>563.37740000000008</v>
      </c>
      <c r="I256">
        <v>14</v>
      </c>
      <c r="J256" s="28">
        <f t="shared" si="17"/>
        <v>15.96</v>
      </c>
      <c r="K256" s="23">
        <v>852.54</v>
      </c>
      <c r="L256" s="23">
        <f t="shared" si="18"/>
        <v>12912.604941599999</v>
      </c>
      <c r="M256" s="23">
        <f t="shared" si="19"/>
        <v>3921.101637599997</v>
      </c>
      <c r="O256" s="23">
        <f>L256-'Part A (2&amp;3)'!R256</f>
        <v>1585.7585015999994</v>
      </c>
      <c r="P256" s="23">
        <f>M256-'Part A (2&amp;3)'!T256</f>
        <v>-169.70480240000234</v>
      </c>
    </row>
    <row r="257" spans="5:16" x14ac:dyDescent="0.35">
      <c r="E257" s="8">
        <v>0.25900000000000001</v>
      </c>
      <c r="F257" s="27">
        <f t="shared" si="15"/>
        <v>0.12</v>
      </c>
      <c r="G257" s="23">
        <v>65.930000000000007</v>
      </c>
      <c r="H257">
        <f t="shared" si="16"/>
        <v>71.863700000000009</v>
      </c>
      <c r="I257">
        <v>23</v>
      </c>
      <c r="J257" s="28">
        <f t="shared" si="17"/>
        <v>26.220000000000002</v>
      </c>
      <c r="K257" s="23">
        <v>84.9</v>
      </c>
      <c r="L257" s="23">
        <f t="shared" si="18"/>
        <v>1958.9486400000003</v>
      </c>
      <c r="M257" s="23">
        <f t="shared" si="19"/>
        <v>74.68242599999985</v>
      </c>
      <c r="O257" s="23">
        <f>L257-'Part A (2&amp;3)'!R257</f>
        <v>511.9979400000002</v>
      </c>
      <c r="P257" s="23">
        <f>M257-'Part A (2&amp;3)'!T257</f>
        <v>144.12172599999985</v>
      </c>
    </row>
    <row r="258" spans="5:16" x14ac:dyDescent="0.35">
      <c r="E258" s="8">
        <v>0.26300000000000001</v>
      </c>
      <c r="F258" s="27">
        <f t="shared" si="15"/>
        <v>0.12</v>
      </c>
      <c r="G258" s="23">
        <v>1350.98</v>
      </c>
      <c r="H258">
        <f t="shared" si="16"/>
        <v>1472.5682000000002</v>
      </c>
      <c r="I258">
        <v>6</v>
      </c>
      <c r="J258" s="28">
        <f t="shared" si="17"/>
        <v>6.8400000000000007</v>
      </c>
      <c r="K258" s="23">
        <v>2210.4</v>
      </c>
      <c r="L258" s="23">
        <f t="shared" si="18"/>
        <v>13304.839680000001</v>
      </c>
      <c r="M258" s="23">
        <f t="shared" si="19"/>
        <v>3232.4731919999995</v>
      </c>
      <c r="O258" s="23">
        <f>L258-'Part A (2&amp;3)'!R258</f>
        <v>3530.4508800000003</v>
      </c>
      <c r="P258" s="23">
        <f>M258-'Part A (2&amp;3)'!T258</f>
        <v>1563.964391999999</v>
      </c>
    </row>
    <row r="259" spans="5:16" x14ac:dyDescent="0.35">
      <c r="E259" s="8">
        <v>0.26100000000000001</v>
      </c>
      <c r="F259" s="27">
        <f t="shared" ref="F259:F322" si="20">MIN(E259,$C$2)</f>
        <v>0.12</v>
      </c>
      <c r="G259" s="23">
        <v>1231.8</v>
      </c>
      <c r="H259">
        <f t="shared" ref="H259:H322" si="21">G259*(1+$C$3)</f>
        <v>1342.662</v>
      </c>
      <c r="I259">
        <v>6</v>
      </c>
      <c r="J259" s="28">
        <f t="shared" ref="J259:J322" si="22">I259*(1+$C$4)</f>
        <v>6.8400000000000007</v>
      </c>
      <c r="K259" s="23">
        <v>2015.99</v>
      </c>
      <c r="L259" s="23">
        <f t="shared" ref="L259:L322" si="23">K259*(1-F259)*J259</f>
        <v>12134.647008000002</v>
      </c>
      <c r="M259" s="23">
        <f t="shared" ref="M259:M322" si="24">L259-(H259*J259)</f>
        <v>2950.838928000001</v>
      </c>
      <c r="O259" s="23">
        <f>L259-'Part A (2&amp;3)'!R259</f>
        <v>3195.7473480000008</v>
      </c>
      <c r="P259" s="23">
        <f>M259-'Part A (2&amp;3)'!T259</f>
        <v>1402.7392679999994</v>
      </c>
    </row>
    <row r="260" spans="5:16" x14ac:dyDescent="0.35">
      <c r="E260" s="8">
        <v>0.13600000000000001</v>
      </c>
      <c r="F260" s="27">
        <f t="shared" si="20"/>
        <v>0.12</v>
      </c>
      <c r="G260" s="23">
        <v>928.68</v>
      </c>
      <c r="H260">
        <f t="shared" si="21"/>
        <v>1012.2612</v>
      </c>
      <c r="I260">
        <v>16</v>
      </c>
      <c r="J260" s="28">
        <f t="shared" si="22"/>
        <v>18.240000000000002</v>
      </c>
      <c r="K260" s="23">
        <v>2145.17</v>
      </c>
      <c r="L260" s="23">
        <f t="shared" si="23"/>
        <v>34432.552704000009</v>
      </c>
      <c r="M260" s="23">
        <f t="shared" si="24"/>
        <v>15968.908416000006</v>
      </c>
      <c r="O260" s="23">
        <f>L260-'Part A (2&amp;3)'!R260</f>
        <v>4777.7226240000091</v>
      </c>
      <c r="P260" s="23">
        <f>M260-'Part A (2&amp;3)'!T260</f>
        <v>1172.9583360000051</v>
      </c>
    </row>
    <row r="261" spans="5:16" x14ac:dyDescent="0.35">
      <c r="E261" s="8">
        <v>0.17599999999999999</v>
      </c>
      <c r="F261" s="27">
        <f t="shared" si="20"/>
        <v>0.12</v>
      </c>
      <c r="G261" s="23">
        <v>80.48</v>
      </c>
      <c r="H261">
        <f t="shared" si="21"/>
        <v>87.723200000000006</v>
      </c>
      <c r="I261">
        <v>13</v>
      </c>
      <c r="J261" s="28">
        <f t="shared" si="22"/>
        <v>14.820000000000002</v>
      </c>
      <c r="K261" s="23">
        <v>65.650000000000006</v>
      </c>
      <c r="L261" s="23">
        <f t="shared" si="23"/>
        <v>856.18104000000017</v>
      </c>
      <c r="M261" s="23">
        <f t="shared" si="24"/>
        <v>-443.87678400000004</v>
      </c>
      <c r="O261" s="23">
        <f>L261-'Part A (2&amp;3)'!R261</f>
        <v>152.93824000000006</v>
      </c>
      <c r="P261" s="23">
        <f>M261-'Part A (2&amp;3)'!T261</f>
        <v>-100.87958400000014</v>
      </c>
    </row>
    <row r="262" spans="5:16" x14ac:dyDescent="0.35">
      <c r="E262" s="8">
        <v>0.21</v>
      </c>
      <c r="F262" s="27">
        <f t="shared" si="20"/>
        <v>0.12</v>
      </c>
      <c r="G262" s="23">
        <v>624.23</v>
      </c>
      <c r="H262">
        <f t="shared" si="21"/>
        <v>680.41070000000002</v>
      </c>
      <c r="I262">
        <v>37</v>
      </c>
      <c r="J262" s="28">
        <f t="shared" si="22"/>
        <v>42.180000000000007</v>
      </c>
      <c r="K262" s="23">
        <v>1318.37</v>
      </c>
      <c r="L262" s="23">
        <f t="shared" si="23"/>
        <v>48935.785007999999</v>
      </c>
      <c r="M262" s="23">
        <f t="shared" si="24"/>
        <v>20236.061681999992</v>
      </c>
      <c r="O262" s="23">
        <f>L262-'Part A (2&amp;3)'!R262</f>
        <v>10399.829908</v>
      </c>
      <c r="P262" s="23">
        <f>M262-'Part A (2&amp;3)'!T262</f>
        <v>4796.6165819999951</v>
      </c>
    </row>
    <row r="263" spans="5:16" x14ac:dyDescent="0.35">
      <c r="E263" s="8">
        <v>0.24299999999999999</v>
      </c>
      <c r="F263" s="27">
        <f t="shared" si="20"/>
        <v>0.12</v>
      </c>
      <c r="G263" s="23">
        <v>1477.84</v>
      </c>
      <c r="H263">
        <f t="shared" si="21"/>
        <v>1610.8456000000001</v>
      </c>
      <c r="I263">
        <v>24</v>
      </c>
      <c r="J263" s="28">
        <f t="shared" si="22"/>
        <v>27.360000000000003</v>
      </c>
      <c r="K263" s="23">
        <v>3197.47</v>
      </c>
      <c r="L263" s="23">
        <f t="shared" si="23"/>
        <v>76984.845696000004</v>
      </c>
      <c r="M263" s="23">
        <f t="shared" si="24"/>
        <v>32912.110079999999</v>
      </c>
      <c r="O263" s="23">
        <f>L263-'Part A (2&amp;3)'!R263</f>
        <v>18893.210736000001</v>
      </c>
      <c r="P263" s="23">
        <f>M263-'Part A (2&amp;3)'!T263</f>
        <v>10288.635119999992</v>
      </c>
    </row>
    <row r="264" spans="5:16" x14ac:dyDescent="0.35">
      <c r="E264" s="8">
        <v>0</v>
      </c>
      <c r="F264" s="27">
        <f t="shared" si="20"/>
        <v>0</v>
      </c>
      <c r="G264" s="23">
        <v>1407.05</v>
      </c>
      <c r="H264">
        <f t="shared" si="21"/>
        <v>1533.6845000000001</v>
      </c>
      <c r="I264">
        <v>12</v>
      </c>
      <c r="J264" s="28">
        <f t="shared" si="22"/>
        <v>13.680000000000001</v>
      </c>
      <c r="K264" s="23">
        <v>2858.93</v>
      </c>
      <c r="L264" s="23">
        <f t="shared" si="23"/>
        <v>39110.162400000001</v>
      </c>
      <c r="M264" s="23">
        <f t="shared" si="24"/>
        <v>18129.358439999996</v>
      </c>
      <c r="O264" s="23">
        <f>L264-'Part A (2&amp;3)'!R264</f>
        <v>4803.0024000000049</v>
      </c>
      <c r="P264" s="23">
        <f>M264-'Part A (2&amp;3)'!T264</f>
        <v>706.79843999999866</v>
      </c>
    </row>
    <row r="265" spans="5:16" x14ac:dyDescent="0.35">
      <c r="E265" s="8">
        <v>0</v>
      </c>
      <c r="F265" s="27">
        <f t="shared" si="20"/>
        <v>0</v>
      </c>
      <c r="G265" s="23">
        <v>322.44</v>
      </c>
      <c r="H265">
        <f t="shared" si="21"/>
        <v>351.45960000000002</v>
      </c>
      <c r="I265">
        <v>34</v>
      </c>
      <c r="J265" s="28">
        <f t="shared" si="22"/>
        <v>38.760000000000005</v>
      </c>
      <c r="K265" s="23">
        <v>395.61</v>
      </c>
      <c r="L265" s="23">
        <f t="shared" si="23"/>
        <v>15333.843600000002</v>
      </c>
      <c r="M265" s="23">
        <f t="shared" si="24"/>
        <v>1711.2695039999999</v>
      </c>
      <c r="O265" s="23">
        <f>L265-'Part A (2&amp;3)'!R265</f>
        <v>1883.1036000000022</v>
      </c>
      <c r="P265" s="23">
        <f>M265-'Part A (2&amp;3)'!T265</f>
        <v>-776.51049600000078</v>
      </c>
    </row>
    <row r="266" spans="5:16" x14ac:dyDescent="0.35">
      <c r="E266" s="8">
        <v>0.17299999999999999</v>
      </c>
      <c r="F266" s="27">
        <f t="shared" si="20"/>
        <v>0.12</v>
      </c>
      <c r="G266" s="23">
        <v>1035.19</v>
      </c>
      <c r="H266">
        <f t="shared" si="21"/>
        <v>1128.3571000000002</v>
      </c>
      <c r="I266">
        <v>8</v>
      </c>
      <c r="J266" s="28">
        <f t="shared" si="22"/>
        <v>9.120000000000001</v>
      </c>
      <c r="K266" s="23">
        <v>2322.6999999999998</v>
      </c>
      <c r="L266" s="23">
        <f t="shared" si="23"/>
        <v>18641.061120000002</v>
      </c>
      <c r="M266" s="23">
        <f t="shared" si="24"/>
        <v>8350.4443679999986</v>
      </c>
      <c r="O266" s="23">
        <f>L266-'Part A (2&amp;3)'!R266</f>
        <v>3274.0779200000034</v>
      </c>
      <c r="P266" s="23">
        <f>M266-'Part A (2&amp;3)'!T266</f>
        <v>1264.9811680000003</v>
      </c>
    </row>
    <row r="267" spans="5:16" x14ac:dyDescent="0.35">
      <c r="E267" s="8">
        <v>0.20100000000000001</v>
      </c>
      <c r="F267" s="27">
        <f t="shared" si="20"/>
        <v>0.12</v>
      </c>
      <c r="G267" s="23">
        <v>231.11</v>
      </c>
      <c r="H267">
        <f t="shared" si="21"/>
        <v>251.90990000000002</v>
      </c>
      <c r="I267">
        <v>60</v>
      </c>
      <c r="J267" s="28">
        <f t="shared" si="22"/>
        <v>68.400000000000006</v>
      </c>
      <c r="K267" s="23">
        <v>318.17</v>
      </c>
      <c r="L267" s="23">
        <f t="shared" si="23"/>
        <v>19151.288640000002</v>
      </c>
      <c r="M267" s="23">
        <f t="shared" si="24"/>
        <v>1920.6514800000004</v>
      </c>
      <c r="O267" s="23">
        <f>L267-'Part A (2&amp;3)'!R267</f>
        <v>3898.2188400000032</v>
      </c>
      <c r="P267" s="23">
        <f>M267-'Part A (2&amp;3)'!T267</f>
        <v>534.18168000000151</v>
      </c>
    </row>
    <row r="268" spans="5:16" x14ac:dyDescent="0.35">
      <c r="E268" s="8">
        <v>0.13200000000000001</v>
      </c>
      <c r="F268" s="27">
        <f t="shared" si="20"/>
        <v>0.12</v>
      </c>
      <c r="G268" s="23">
        <v>5.34</v>
      </c>
      <c r="H268">
        <f t="shared" si="21"/>
        <v>5.8206000000000007</v>
      </c>
      <c r="I268">
        <v>10</v>
      </c>
      <c r="J268" s="28">
        <f t="shared" si="22"/>
        <v>11.400000000000002</v>
      </c>
      <c r="K268" s="23">
        <v>12.69</v>
      </c>
      <c r="L268" s="23">
        <f t="shared" si="23"/>
        <v>127.30608000000002</v>
      </c>
      <c r="M268" s="23">
        <f t="shared" si="24"/>
        <v>60.951239999999999</v>
      </c>
      <c r="O268" s="23">
        <f>L268-'Part A (2&amp;3)'!R268</f>
        <v>17.156880000000029</v>
      </c>
      <c r="P268" s="23">
        <f>M268-'Part A (2&amp;3)'!T268</f>
        <v>4.2020400000000038</v>
      </c>
    </row>
    <row r="269" spans="5:16" x14ac:dyDescent="0.35">
      <c r="E269" s="8">
        <v>0.16900000000000001</v>
      </c>
      <c r="F269" s="27">
        <f t="shared" si="20"/>
        <v>0.12</v>
      </c>
      <c r="G269" s="23">
        <v>248.24</v>
      </c>
      <c r="H269">
        <f t="shared" si="21"/>
        <v>270.58160000000004</v>
      </c>
      <c r="I269">
        <v>11</v>
      </c>
      <c r="J269" s="28">
        <f t="shared" si="22"/>
        <v>12.540000000000001</v>
      </c>
      <c r="K269" s="23">
        <v>464.05</v>
      </c>
      <c r="L269" s="23">
        <f t="shared" si="23"/>
        <v>5120.8845600000004</v>
      </c>
      <c r="M269" s="23">
        <f t="shared" si="24"/>
        <v>1727.7912959999999</v>
      </c>
      <c r="O269" s="23">
        <f>L269-'Part A (2&amp;3)'!R269</f>
        <v>879.00351000000046</v>
      </c>
      <c r="P269" s="23">
        <f>M269-'Part A (2&amp;3)'!T269</f>
        <v>216.55024600000024</v>
      </c>
    </row>
    <row r="270" spans="5:16" x14ac:dyDescent="0.35">
      <c r="E270" s="8">
        <v>0.11899999999999999</v>
      </c>
      <c r="F270" s="27">
        <f t="shared" si="20"/>
        <v>0.11899999999999999</v>
      </c>
      <c r="G270" s="23">
        <v>225.01</v>
      </c>
      <c r="H270">
        <f t="shared" si="21"/>
        <v>245.26090000000002</v>
      </c>
      <c r="I270">
        <v>12</v>
      </c>
      <c r="J270" s="28">
        <f t="shared" si="22"/>
        <v>13.680000000000001</v>
      </c>
      <c r="K270" s="23">
        <v>333.48</v>
      </c>
      <c r="L270" s="23">
        <f t="shared" si="23"/>
        <v>4019.1276384000007</v>
      </c>
      <c r="M270" s="23">
        <f t="shared" si="24"/>
        <v>663.95852640000021</v>
      </c>
      <c r="O270" s="23">
        <f>L270-'Part A (2&amp;3)'!R270</f>
        <v>493.57707840000057</v>
      </c>
      <c r="P270" s="23">
        <f>M270-'Part A (2&amp;3)'!T270</f>
        <v>-161.47203360000003</v>
      </c>
    </row>
    <row r="271" spans="5:16" x14ac:dyDescent="0.35">
      <c r="E271" s="8">
        <v>6.3E-2</v>
      </c>
      <c r="F271" s="27">
        <f t="shared" si="20"/>
        <v>6.3E-2</v>
      </c>
      <c r="G271" s="23">
        <v>988.83</v>
      </c>
      <c r="H271">
        <f t="shared" si="21"/>
        <v>1077.8247000000001</v>
      </c>
      <c r="I271">
        <v>34</v>
      </c>
      <c r="J271" s="28">
        <f t="shared" si="22"/>
        <v>38.760000000000005</v>
      </c>
      <c r="K271" s="23">
        <v>1206.04</v>
      </c>
      <c r="L271" s="23">
        <f t="shared" si="23"/>
        <v>43801.105444800014</v>
      </c>
      <c r="M271" s="23">
        <f t="shared" si="24"/>
        <v>2024.620072800004</v>
      </c>
      <c r="O271" s="23">
        <f>L271-'Part A (2&amp;3)'!R271</f>
        <v>5379.0831248000104</v>
      </c>
      <c r="P271" s="23">
        <f>M271-'Part A (2&amp;3)'!T271</f>
        <v>-2777.1822471999985</v>
      </c>
    </row>
    <row r="272" spans="5:16" x14ac:dyDescent="0.35">
      <c r="E272" s="8">
        <v>0.23699999999999999</v>
      </c>
      <c r="F272" s="27">
        <f t="shared" si="20"/>
        <v>0.12</v>
      </c>
      <c r="G272" s="23">
        <v>441.08</v>
      </c>
      <c r="H272">
        <f t="shared" si="21"/>
        <v>480.77719999999999</v>
      </c>
      <c r="I272">
        <v>6</v>
      </c>
      <c r="J272" s="28">
        <f t="shared" si="22"/>
        <v>6.8400000000000007</v>
      </c>
      <c r="K272" s="23">
        <v>1054.29</v>
      </c>
      <c r="L272" s="23">
        <f t="shared" si="23"/>
        <v>6345.982368</v>
      </c>
      <c r="M272" s="23">
        <f t="shared" si="24"/>
        <v>3057.4663199999995</v>
      </c>
      <c r="O272" s="23">
        <f>L272-'Part A (2&amp;3)'!R272</f>
        <v>1519.4427480000004</v>
      </c>
      <c r="P272" s="23">
        <f>M272-'Part A (2&amp;3)'!T272</f>
        <v>877.4067</v>
      </c>
    </row>
    <row r="273" spans="5:16" x14ac:dyDescent="0.35">
      <c r="E273" s="8">
        <v>0.16700000000000001</v>
      </c>
      <c r="F273" s="27">
        <f t="shared" si="20"/>
        <v>0.12</v>
      </c>
      <c r="G273" s="23">
        <v>65.64</v>
      </c>
      <c r="H273">
        <f t="shared" si="21"/>
        <v>71.547600000000003</v>
      </c>
      <c r="I273">
        <v>23</v>
      </c>
      <c r="J273" s="28">
        <f t="shared" si="22"/>
        <v>26.220000000000002</v>
      </c>
      <c r="K273" s="23">
        <v>151.88</v>
      </c>
      <c r="L273" s="23">
        <f t="shared" si="23"/>
        <v>3504.4183680000006</v>
      </c>
      <c r="M273" s="23">
        <f t="shared" si="24"/>
        <v>1628.4402960000002</v>
      </c>
      <c r="O273" s="23">
        <f>L273-'Part A (2&amp;3)'!R273</f>
        <v>594.54944800000067</v>
      </c>
      <c r="P273" s="23">
        <f>M273-'Part A (2&amp;3)'!T273</f>
        <v>228.29137600000035</v>
      </c>
    </row>
    <row r="274" spans="5:16" x14ac:dyDescent="0.35">
      <c r="E274" s="8">
        <v>0.24299999999999999</v>
      </c>
      <c r="F274" s="27">
        <f t="shared" si="20"/>
        <v>0.12</v>
      </c>
      <c r="G274" s="23">
        <v>712.84</v>
      </c>
      <c r="H274">
        <f t="shared" si="21"/>
        <v>776.99560000000008</v>
      </c>
      <c r="I274">
        <v>27</v>
      </c>
      <c r="J274" s="28">
        <f t="shared" si="22"/>
        <v>30.780000000000005</v>
      </c>
      <c r="K274" s="23">
        <v>927.51</v>
      </c>
      <c r="L274" s="23">
        <f t="shared" si="23"/>
        <v>25122.906864000004</v>
      </c>
      <c r="M274" s="23">
        <f t="shared" si="24"/>
        <v>1206.9822959999983</v>
      </c>
      <c r="O274" s="23">
        <f>L274-'Part A (2&amp;3)'!R274</f>
        <v>6165.5299740000046</v>
      </c>
      <c r="P274" s="23">
        <f>M274-'Part A (2&amp;3)'!T274</f>
        <v>1496.2854059999991</v>
      </c>
    </row>
    <row r="275" spans="5:16" x14ac:dyDescent="0.35">
      <c r="E275" s="8">
        <v>0.152</v>
      </c>
      <c r="F275" s="27">
        <f t="shared" si="20"/>
        <v>0.12</v>
      </c>
      <c r="G275" s="23">
        <v>738.16</v>
      </c>
      <c r="H275">
        <f t="shared" si="21"/>
        <v>804.59440000000006</v>
      </c>
      <c r="I275">
        <v>5</v>
      </c>
      <c r="J275" s="28">
        <f t="shared" si="22"/>
        <v>5.7000000000000011</v>
      </c>
      <c r="K275" s="23">
        <v>956.49</v>
      </c>
      <c r="L275" s="23">
        <f t="shared" si="23"/>
        <v>4797.7538400000003</v>
      </c>
      <c r="M275" s="23">
        <f t="shared" si="24"/>
        <v>211.5657599999995</v>
      </c>
      <c r="O275" s="23">
        <f>L275-'Part A (2&amp;3)'!R275</f>
        <v>742.23624000000063</v>
      </c>
      <c r="P275" s="23">
        <f>M275-'Part A (2&amp;3)'!T275</f>
        <v>-153.15184000000045</v>
      </c>
    </row>
    <row r="276" spans="5:16" x14ac:dyDescent="0.35">
      <c r="E276" s="8">
        <v>0.27200000000000002</v>
      </c>
      <c r="F276" s="27">
        <f t="shared" si="20"/>
        <v>0.12</v>
      </c>
      <c r="G276" s="23">
        <v>1029.67</v>
      </c>
      <c r="H276">
        <f t="shared" si="21"/>
        <v>1122.3403000000001</v>
      </c>
      <c r="I276">
        <v>9</v>
      </c>
      <c r="J276" s="28">
        <f t="shared" si="22"/>
        <v>10.260000000000002</v>
      </c>
      <c r="K276" s="23">
        <v>1118.43</v>
      </c>
      <c r="L276" s="23">
        <f t="shared" si="23"/>
        <v>10098.080784000002</v>
      </c>
      <c r="M276" s="23">
        <f t="shared" si="24"/>
        <v>-1417.1306940000013</v>
      </c>
      <c r="O276" s="23">
        <f>L276-'Part A (2&amp;3)'!R276</f>
        <v>2770.1274240000012</v>
      </c>
      <c r="P276" s="23">
        <f>M276-'Part A (2&amp;3)'!T276</f>
        <v>521.94594599999891</v>
      </c>
    </row>
    <row r="277" spans="5:16" x14ac:dyDescent="0.35">
      <c r="E277" s="8">
        <v>0.254</v>
      </c>
      <c r="F277" s="27">
        <f t="shared" si="20"/>
        <v>0.12</v>
      </c>
      <c r="G277" s="23">
        <v>1137.4100000000001</v>
      </c>
      <c r="H277">
        <f t="shared" si="21"/>
        <v>1239.7769000000001</v>
      </c>
      <c r="I277">
        <v>9</v>
      </c>
      <c r="J277" s="28">
        <f t="shared" si="22"/>
        <v>10.260000000000002</v>
      </c>
      <c r="K277" s="23">
        <v>1680.93</v>
      </c>
      <c r="L277" s="23">
        <f t="shared" si="23"/>
        <v>15176.780784000002</v>
      </c>
      <c r="M277" s="23">
        <f t="shared" si="24"/>
        <v>2456.6697899999999</v>
      </c>
      <c r="O277" s="23">
        <f>L277-'Part A (2&amp;3)'!R277</f>
        <v>3891.0167640000018</v>
      </c>
      <c r="P277" s="23">
        <f>M277-'Part A (2&amp;3)'!T277</f>
        <v>1407.5957699999999</v>
      </c>
    </row>
    <row r="278" spans="5:16" x14ac:dyDescent="0.35">
      <c r="E278" s="8">
        <v>8.9999999999999993E-3</v>
      </c>
      <c r="F278" s="27">
        <f t="shared" si="20"/>
        <v>8.9999999999999993E-3</v>
      </c>
      <c r="G278" s="23">
        <v>985.45</v>
      </c>
      <c r="H278">
        <f t="shared" si="21"/>
        <v>1074.1405000000002</v>
      </c>
      <c r="I278">
        <v>19</v>
      </c>
      <c r="J278" s="28">
        <f t="shared" si="22"/>
        <v>21.660000000000004</v>
      </c>
      <c r="K278" s="23">
        <v>1802.44</v>
      </c>
      <c r="L278" s="23">
        <f t="shared" si="23"/>
        <v>38689.482746400005</v>
      </c>
      <c r="M278" s="23">
        <f t="shared" si="24"/>
        <v>15423.599516399998</v>
      </c>
      <c r="O278" s="23">
        <f>L278-'Part A (2&amp;3)'!R278</f>
        <v>4751.3399864000021</v>
      </c>
      <c r="P278" s="23">
        <f>M278-'Part A (2&amp;3)'!T278</f>
        <v>209.00675639999463</v>
      </c>
    </row>
    <row r="279" spans="5:16" x14ac:dyDescent="0.35">
      <c r="E279" s="8">
        <v>0.11899999999999999</v>
      </c>
      <c r="F279" s="27">
        <f t="shared" si="20"/>
        <v>0.11899999999999999</v>
      </c>
      <c r="G279" s="23">
        <v>1176.56</v>
      </c>
      <c r="H279">
        <f t="shared" si="21"/>
        <v>1282.4503999999999</v>
      </c>
      <c r="I279">
        <v>20</v>
      </c>
      <c r="J279" s="28">
        <f t="shared" si="22"/>
        <v>22.800000000000004</v>
      </c>
      <c r="K279" s="23">
        <v>1911.89</v>
      </c>
      <c r="L279" s="23">
        <f t="shared" si="23"/>
        <v>38403.752052000011</v>
      </c>
      <c r="M279" s="23">
        <f t="shared" si="24"/>
        <v>9163.8829320000077</v>
      </c>
      <c r="O279" s="23">
        <f>L279-'Part A (2&amp;3)'!R279</f>
        <v>4716.2502520000053</v>
      </c>
      <c r="P279" s="23">
        <f>M279-'Part A (2&amp;3)'!T279</f>
        <v>-992.41886800000066</v>
      </c>
    </row>
    <row r="280" spans="5:16" x14ac:dyDescent="0.35">
      <c r="E280" s="8">
        <v>0.112</v>
      </c>
      <c r="F280" s="27">
        <f t="shared" si="20"/>
        <v>0.112</v>
      </c>
      <c r="G280" s="23">
        <v>279.24</v>
      </c>
      <c r="H280">
        <f t="shared" si="21"/>
        <v>304.37160000000006</v>
      </c>
      <c r="I280">
        <v>9</v>
      </c>
      <c r="J280" s="28">
        <f t="shared" si="22"/>
        <v>10.260000000000002</v>
      </c>
      <c r="K280" s="23">
        <v>608.9</v>
      </c>
      <c r="L280" s="23">
        <f t="shared" si="23"/>
        <v>5547.6148320000011</v>
      </c>
      <c r="M280" s="23">
        <f t="shared" si="24"/>
        <v>2424.7622160000001</v>
      </c>
      <c r="O280" s="23">
        <f>L280-'Part A (2&amp;3)'!R280</f>
        <v>681.2860320000018</v>
      </c>
      <c r="P280" s="23">
        <f>M280-'Part A (2&amp;3)'!T280</f>
        <v>71.593416000000616</v>
      </c>
    </row>
    <row r="281" spans="5:16" x14ac:dyDescent="0.35">
      <c r="E281" s="8">
        <v>0.21099999999999999</v>
      </c>
      <c r="F281" s="27">
        <f t="shared" si="20"/>
        <v>0.12</v>
      </c>
      <c r="G281" s="23">
        <v>710.98</v>
      </c>
      <c r="H281">
        <f t="shared" si="21"/>
        <v>774.96820000000002</v>
      </c>
      <c r="I281">
        <v>9</v>
      </c>
      <c r="J281" s="28">
        <f t="shared" si="22"/>
        <v>10.260000000000002</v>
      </c>
      <c r="K281" s="23">
        <v>1481.45</v>
      </c>
      <c r="L281" s="23">
        <f t="shared" si="23"/>
        <v>13375.715760000003</v>
      </c>
      <c r="M281" s="23">
        <f t="shared" si="24"/>
        <v>5424.5420280000017</v>
      </c>
      <c r="O281" s="23">
        <f>L281-'Part A (2&amp;3)'!R281</f>
        <v>2855.9393100000016</v>
      </c>
      <c r="P281" s="23">
        <f>M281-'Part A (2&amp;3)'!T281</f>
        <v>1303.5855780000002</v>
      </c>
    </row>
    <row r="282" spans="5:16" x14ac:dyDescent="0.35">
      <c r="E282" s="8">
        <v>9.2999999999999999E-2</v>
      </c>
      <c r="F282" s="27">
        <f t="shared" si="20"/>
        <v>9.2999999999999999E-2</v>
      </c>
      <c r="G282" s="23">
        <v>1232.78</v>
      </c>
      <c r="H282">
        <f t="shared" si="21"/>
        <v>1343.7302</v>
      </c>
      <c r="I282">
        <v>16</v>
      </c>
      <c r="J282" s="28">
        <f t="shared" si="22"/>
        <v>18.240000000000002</v>
      </c>
      <c r="K282" s="23">
        <v>1731.75</v>
      </c>
      <c r="L282" s="23">
        <f t="shared" si="23"/>
        <v>28649.51784</v>
      </c>
      <c r="M282" s="23">
        <f t="shared" si="24"/>
        <v>4139.8789919999981</v>
      </c>
      <c r="O282" s="23">
        <f>L282-'Part A (2&amp;3)'!R282</f>
        <v>3518.3618400000014</v>
      </c>
      <c r="P282" s="23">
        <f>M282-'Part A (2&amp;3)'!T282</f>
        <v>-1266.7970080000014</v>
      </c>
    </row>
    <row r="283" spans="5:16" x14ac:dyDescent="0.35">
      <c r="E283" s="8">
        <v>0.22500000000000001</v>
      </c>
      <c r="F283" s="27">
        <f t="shared" si="20"/>
        <v>0.12</v>
      </c>
      <c r="G283" s="23">
        <v>648.64</v>
      </c>
      <c r="H283">
        <f t="shared" si="21"/>
        <v>707.01760000000002</v>
      </c>
      <c r="I283">
        <v>28</v>
      </c>
      <c r="J283" s="28">
        <f t="shared" si="22"/>
        <v>31.92</v>
      </c>
      <c r="K283" s="23">
        <v>815.19</v>
      </c>
      <c r="L283" s="23">
        <f t="shared" si="23"/>
        <v>22898.361024000002</v>
      </c>
      <c r="M283" s="23">
        <f t="shared" si="24"/>
        <v>330.35923199999888</v>
      </c>
      <c r="O283" s="23">
        <f>L283-'Part A (2&amp;3)'!R283</f>
        <v>5208.738024000002</v>
      </c>
      <c r="P283" s="23">
        <f>M283-'Part A (2&amp;3)'!T283</f>
        <v>802.65623199999754</v>
      </c>
    </row>
    <row r="284" spans="5:16" x14ac:dyDescent="0.35">
      <c r="E284" s="8">
        <v>0.13500000000000001</v>
      </c>
      <c r="F284" s="27">
        <f t="shared" si="20"/>
        <v>0.12</v>
      </c>
      <c r="G284" s="23">
        <v>287.61</v>
      </c>
      <c r="H284">
        <f t="shared" si="21"/>
        <v>313.49490000000003</v>
      </c>
      <c r="I284">
        <v>21</v>
      </c>
      <c r="J284" s="28">
        <f t="shared" si="22"/>
        <v>23.94</v>
      </c>
      <c r="K284" s="23">
        <v>628.54</v>
      </c>
      <c r="L284" s="23">
        <f t="shared" si="23"/>
        <v>13241.577888</v>
      </c>
      <c r="M284" s="23">
        <f t="shared" si="24"/>
        <v>5736.5099819999987</v>
      </c>
      <c r="O284" s="23">
        <f>L284-'Part A (2&amp;3)'!R284</f>
        <v>1824.1487880000004</v>
      </c>
      <c r="P284" s="23">
        <f>M284-'Part A (2&amp;3)'!T284</f>
        <v>358.89088199999969</v>
      </c>
    </row>
    <row r="285" spans="5:16" x14ac:dyDescent="0.35">
      <c r="E285" s="8">
        <v>6.8000000000000005E-2</v>
      </c>
      <c r="F285" s="27">
        <f t="shared" si="20"/>
        <v>6.8000000000000005E-2</v>
      </c>
      <c r="G285" s="23">
        <v>910.63</v>
      </c>
      <c r="H285">
        <f t="shared" si="21"/>
        <v>992.58670000000006</v>
      </c>
      <c r="I285">
        <v>9</v>
      </c>
      <c r="J285" s="28">
        <f t="shared" si="22"/>
        <v>10.260000000000002</v>
      </c>
      <c r="K285" s="23">
        <v>1269.4000000000001</v>
      </c>
      <c r="L285" s="23">
        <f t="shared" si="23"/>
        <v>12138.409008000001</v>
      </c>
      <c r="M285" s="23">
        <f t="shared" si="24"/>
        <v>1954.4694659999986</v>
      </c>
      <c r="O285" s="23">
        <f>L285-'Part A (2&amp;3)'!R285</f>
        <v>1490.6818080000012</v>
      </c>
      <c r="P285" s="23">
        <f>M285-'Part A (2&amp;3)'!T285</f>
        <v>-497.58773400000064</v>
      </c>
    </row>
    <row r="286" spans="5:16" x14ac:dyDescent="0.35">
      <c r="E286" s="8">
        <v>0.14799999999999999</v>
      </c>
      <c r="F286" s="27">
        <f t="shared" si="20"/>
        <v>0.12</v>
      </c>
      <c r="G286" s="23">
        <v>382.21</v>
      </c>
      <c r="H286">
        <f t="shared" si="21"/>
        <v>416.60890000000001</v>
      </c>
      <c r="I286">
        <v>26</v>
      </c>
      <c r="J286" s="28">
        <f t="shared" si="22"/>
        <v>29.640000000000004</v>
      </c>
      <c r="K286" s="23">
        <v>571.89</v>
      </c>
      <c r="L286" s="23">
        <f t="shared" si="23"/>
        <v>14916.721248000002</v>
      </c>
      <c r="M286" s="23">
        <f t="shared" si="24"/>
        <v>2568.4334519999993</v>
      </c>
      <c r="O286" s="23">
        <f>L286-'Part A (2&amp;3)'!R286</f>
        <v>2248.2139680000018</v>
      </c>
      <c r="P286" s="23">
        <f>M286-'Part A (2&amp;3)'!T286</f>
        <v>-162.61382800000138</v>
      </c>
    </row>
    <row r="287" spans="5:16" x14ac:dyDescent="0.35">
      <c r="E287" s="8">
        <v>0.11899999999999999</v>
      </c>
      <c r="F287" s="27">
        <f t="shared" si="20"/>
        <v>0.11899999999999999</v>
      </c>
      <c r="G287" s="23">
        <v>5.66</v>
      </c>
      <c r="H287">
        <f t="shared" si="21"/>
        <v>6.1694000000000004</v>
      </c>
      <c r="I287">
        <v>18</v>
      </c>
      <c r="J287" s="28">
        <f t="shared" si="22"/>
        <v>20.520000000000003</v>
      </c>
      <c r="K287" s="23">
        <v>4.22</v>
      </c>
      <c r="L287" s="23">
        <f t="shared" si="23"/>
        <v>76.289666400000002</v>
      </c>
      <c r="M287" s="23">
        <f t="shared" si="24"/>
        <v>-50.306421600000021</v>
      </c>
      <c r="O287" s="23">
        <f>L287-'Part A (2&amp;3)'!R287</f>
        <v>9.3689064000000002</v>
      </c>
      <c r="P287" s="23">
        <f>M287-'Part A (2&amp;3)'!T287</f>
        <v>-15.347181600000027</v>
      </c>
    </row>
    <row r="288" spans="5:16" x14ac:dyDescent="0.35">
      <c r="E288" s="8">
        <v>0.115</v>
      </c>
      <c r="F288" s="27">
        <f t="shared" si="20"/>
        <v>0.115</v>
      </c>
      <c r="G288" s="23">
        <v>1338.35</v>
      </c>
      <c r="H288">
        <f t="shared" si="21"/>
        <v>1458.8015</v>
      </c>
      <c r="I288">
        <v>40</v>
      </c>
      <c r="J288" s="28">
        <f t="shared" si="22"/>
        <v>45.600000000000009</v>
      </c>
      <c r="K288" s="23">
        <v>2247.14</v>
      </c>
      <c r="L288" s="23">
        <f t="shared" si="23"/>
        <v>90685.581840000013</v>
      </c>
      <c r="M288" s="23">
        <f t="shared" si="24"/>
        <v>24164.233439999996</v>
      </c>
      <c r="O288" s="23">
        <f>L288-'Part A (2&amp;3)'!R288</f>
        <v>11136.82584000002</v>
      </c>
      <c r="P288" s="23">
        <f>M288-'Part A (2&amp;3)'!T288</f>
        <v>-1850.5225599999976</v>
      </c>
    </row>
    <row r="289" spans="5:16" x14ac:dyDescent="0.35">
      <c r="E289" s="8">
        <v>0.13</v>
      </c>
      <c r="F289" s="27">
        <f t="shared" si="20"/>
        <v>0.12</v>
      </c>
      <c r="G289" s="23">
        <v>160.82</v>
      </c>
      <c r="H289">
        <f t="shared" si="21"/>
        <v>175.2938</v>
      </c>
      <c r="I289">
        <v>17</v>
      </c>
      <c r="J289" s="28">
        <f t="shared" si="22"/>
        <v>19.380000000000003</v>
      </c>
      <c r="K289" s="23">
        <v>258.52</v>
      </c>
      <c r="L289" s="23">
        <f t="shared" si="23"/>
        <v>4408.9034879999999</v>
      </c>
      <c r="M289" s="23">
        <f t="shared" si="24"/>
        <v>1011.7096439999996</v>
      </c>
      <c r="O289" s="23">
        <f>L289-'Part A (2&amp;3)'!R289</f>
        <v>585.39268799999991</v>
      </c>
      <c r="P289" s="23">
        <f>M289-'Part A (2&amp;3)'!T289</f>
        <v>-77.861156000000392</v>
      </c>
    </row>
    <row r="290" spans="5:16" x14ac:dyDescent="0.35">
      <c r="E290" s="8">
        <v>0.13900000000000001</v>
      </c>
      <c r="F290" s="27">
        <f t="shared" si="20"/>
        <v>0.12</v>
      </c>
      <c r="G290" s="23">
        <v>1025.51</v>
      </c>
      <c r="H290">
        <f t="shared" si="21"/>
        <v>1117.8059000000001</v>
      </c>
      <c r="I290">
        <v>28</v>
      </c>
      <c r="J290" s="28">
        <f t="shared" si="22"/>
        <v>31.92</v>
      </c>
      <c r="K290" s="23">
        <v>1436.54</v>
      </c>
      <c r="L290" s="23">
        <f t="shared" si="23"/>
        <v>40351.833983999997</v>
      </c>
      <c r="M290" s="23">
        <f t="shared" si="24"/>
        <v>4671.4696559999938</v>
      </c>
      <c r="O290" s="23">
        <f>L290-'Part A (2&amp;3)'!R290</f>
        <v>5719.7276639999982</v>
      </c>
      <c r="P290" s="23">
        <f>M290-'Part A (2&amp;3)'!T290</f>
        <v>-1246.3566640000063</v>
      </c>
    </row>
    <row r="291" spans="5:16" x14ac:dyDescent="0.35">
      <c r="E291" s="8">
        <v>0.13300000000000001</v>
      </c>
      <c r="F291" s="27">
        <f t="shared" si="20"/>
        <v>0.12</v>
      </c>
      <c r="G291" s="23">
        <v>1023.27</v>
      </c>
      <c r="H291">
        <f t="shared" si="21"/>
        <v>1115.3643</v>
      </c>
      <c r="I291">
        <v>7</v>
      </c>
      <c r="J291" s="28">
        <f t="shared" si="22"/>
        <v>7.98</v>
      </c>
      <c r="K291" s="23">
        <v>1343.64</v>
      </c>
      <c r="L291" s="23">
        <f t="shared" si="23"/>
        <v>9435.5775360000025</v>
      </c>
      <c r="M291" s="23">
        <f t="shared" si="24"/>
        <v>534.97042200000215</v>
      </c>
      <c r="O291" s="23">
        <f>L291-'Part A (2&amp;3)'!R291</f>
        <v>1281.0263760000016</v>
      </c>
      <c r="P291" s="23">
        <f>M291-'Part A (2&amp;3)'!T291</f>
        <v>-456.69073799999933</v>
      </c>
    </row>
    <row r="292" spans="5:16" x14ac:dyDescent="0.35">
      <c r="E292" s="8">
        <v>0.17</v>
      </c>
      <c r="F292" s="27">
        <f t="shared" si="20"/>
        <v>0.12</v>
      </c>
      <c r="G292" s="23">
        <v>1176.69</v>
      </c>
      <c r="H292">
        <f t="shared" si="21"/>
        <v>1282.5921000000001</v>
      </c>
      <c r="I292">
        <v>27</v>
      </c>
      <c r="J292" s="28">
        <f t="shared" si="22"/>
        <v>30.780000000000005</v>
      </c>
      <c r="K292" s="23">
        <v>2201.54</v>
      </c>
      <c r="L292" s="23">
        <f t="shared" si="23"/>
        <v>59631.79305600001</v>
      </c>
      <c r="M292" s="23">
        <f t="shared" si="24"/>
        <v>20153.608218000001</v>
      </c>
      <c r="O292" s="23">
        <f>L292-'Part A (2&amp;3)'!R292</f>
        <v>10295.281656000014</v>
      </c>
      <c r="P292" s="23">
        <f>M292-'Part A (2&amp;3)'!T292</f>
        <v>2587.7268180000065</v>
      </c>
    </row>
    <row r="293" spans="5:16" x14ac:dyDescent="0.35">
      <c r="E293" s="8">
        <v>0</v>
      </c>
      <c r="F293" s="27">
        <f t="shared" si="20"/>
        <v>0</v>
      </c>
      <c r="G293" s="23">
        <v>683.42</v>
      </c>
      <c r="H293">
        <f t="shared" si="21"/>
        <v>744.92780000000005</v>
      </c>
      <c r="I293">
        <v>14</v>
      </c>
      <c r="J293" s="28">
        <f t="shared" si="22"/>
        <v>15.96</v>
      </c>
      <c r="K293" s="23">
        <v>951.51</v>
      </c>
      <c r="L293" s="23">
        <f t="shared" si="23"/>
        <v>15186.099600000001</v>
      </c>
      <c r="M293" s="23">
        <f t="shared" si="24"/>
        <v>3297.0519120000008</v>
      </c>
      <c r="O293" s="23">
        <f>L293-'Part A (2&amp;3)'!R293</f>
        <v>1864.959600000002</v>
      </c>
      <c r="P293" s="23">
        <f>M293-'Part A (2&amp;3)'!T293</f>
        <v>-456.20808799999941</v>
      </c>
    </row>
    <row r="294" spans="5:16" x14ac:dyDescent="0.35">
      <c r="E294" s="8">
        <v>0.123</v>
      </c>
      <c r="F294" s="27">
        <f t="shared" si="20"/>
        <v>0.12</v>
      </c>
      <c r="G294" s="23">
        <v>395.07</v>
      </c>
      <c r="H294">
        <f t="shared" si="21"/>
        <v>430.62630000000001</v>
      </c>
      <c r="I294">
        <v>38</v>
      </c>
      <c r="J294" s="28">
        <f t="shared" si="22"/>
        <v>43.320000000000007</v>
      </c>
      <c r="K294" s="23">
        <v>970.27</v>
      </c>
      <c r="L294" s="23">
        <f t="shared" si="23"/>
        <v>36988.244832000004</v>
      </c>
      <c r="M294" s="23">
        <f t="shared" si="24"/>
        <v>18333.513515999999</v>
      </c>
      <c r="O294" s="23">
        <f>L294-'Part A (2&amp;3)'!R294</f>
        <v>4653.0268120000037</v>
      </c>
      <c r="P294" s="23">
        <f>M294-'Part A (2&amp;3)'!T294</f>
        <v>1010.9554959999987</v>
      </c>
    </row>
    <row r="295" spans="5:16" x14ac:dyDescent="0.35">
      <c r="E295" s="8">
        <v>0.154</v>
      </c>
      <c r="F295" s="27">
        <f t="shared" si="20"/>
        <v>0.12</v>
      </c>
      <c r="G295" s="23">
        <v>1366.48</v>
      </c>
      <c r="H295">
        <f t="shared" si="21"/>
        <v>1489.4632000000001</v>
      </c>
      <c r="I295">
        <v>10</v>
      </c>
      <c r="J295" s="28">
        <f t="shared" si="22"/>
        <v>11.400000000000002</v>
      </c>
      <c r="K295" s="23">
        <v>1678.14</v>
      </c>
      <c r="L295" s="23">
        <f t="shared" si="23"/>
        <v>16835.100480000005</v>
      </c>
      <c r="M295" s="23">
        <f t="shared" si="24"/>
        <v>-144.77999999999884</v>
      </c>
      <c r="O295" s="23">
        <f>L295-'Part A (2&amp;3)'!R295</f>
        <v>2638.0360800000035</v>
      </c>
      <c r="P295" s="23">
        <f>M295-'Part A (2&amp;3)'!T295</f>
        <v>-677.04440000000068</v>
      </c>
    </row>
    <row r="296" spans="5:16" x14ac:dyDescent="0.35">
      <c r="E296" s="8">
        <v>0.158</v>
      </c>
      <c r="F296" s="27">
        <f t="shared" si="20"/>
        <v>0.12</v>
      </c>
      <c r="G296" s="23">
        <v>1288.8499999999999</v>
      </c>
      <c r="H296">
        <f t="shared" si="21"/>
        <v>1404.8465000000001</v>
      </c>
      <c r="I296">
        <v>7</v>
      </c>
      <c r="J296" s="28">
        <f t="shared" si="22"/>
        <v>7.98</v>
      </c>
      <c r="K296" s="23">
        <v>2751.84</v>
      </c>
      <c r="L296" s="23">
        <f t="shared" si="23"/>
        <v>19324.521216000001</v>
      </c>
      <c r="M296" s="23">
        <f t="shared" si="24"/>
        <v>8113.8461459999999</v>
      </c>
      <c r="O296" s="23">
        <f>L296-'Part A (2&amp;3)'!R296</f>
        <v>3105.1762560000006</v>
      </c>
      <c r="P296" s="23">
        <f>M296-'Part A (2&amp;3)'!T296</f>
        <v>916.45118599999842</v>
      </c>
    </row>
    <row r="297" spans="5:16" x14ac:dyDescent="0.35">
      <c r="E297" s="8">
        <v>0.185</v>
      </c>
      <c r="F297" s="27">
        <f t="shared" si="20"/>
        <v>0.12</v>
      </c>
      <c r="G297" s="23">
        <v>1376.51</v>
      </c>
      <c r="H297">
        <f t="shared" si="21"/>
        <v>1500.3959000000002</v>
      </c>
      <c r="I297">
        <v>17</v>
      </c>
      <c r="J297" s="28">
        <f t="shared" si="22"/>
        <v>19.380000000000003</v>
      </c>
      <c r="K297" s="23">
        <v>1455.91</v>
      </c>
      <c r="L297" s="23">
        <f t="shared" si="23"/>
        <v>24829.671504000005</v>
      </c>
      <c r="M297" s="23">
        <f t="shared" si="24"/>
        <v>-4248.0010380000022</v>
      </c>
      <c r="O297" s="23">
        <f>L297-'Part A (2&amp;3)'!R297</f>
        <v>4658.038454000005</v>
      </c>
      <c r="P297" s="23">
        <f>M297-'Part A (2&amp;3)'!T297</f>
        <v>-1018.9640880000043</v>
      </c>
    </row>
    <row r="298" spans="5:16" x14ac:dyDescent="0.35">
      <c r="E298" s="8">
        <v>0.22500000000000001</v>
      </c>
      <c r="F298" s="27">
        <f t="shared" si="20"/>
        <v>0.12</v>
      </c>
      <c r="G298" s="23">
        <v>401.3</v>
      </c>
      <c r="H298">
        <f t="shared" si="21"/>
        <v>437.41700000000003</v>
      </c>
      <c r="I298">
        <v>13</v>
      </c>
      <c r="J298" s="28">
        <f t="shared" si="22"/>
        <v>14.820000000000002</v>
      </c>
      <c r="K298" s="23">
        <v>826.47</v>
      </c>
      <c r="L298" s="23">
        <f t="shared" si="23"/>
        <v>10778.491152000002</v>
      </c>
      <c r="M298" s="23">
        <f t="shared" si="24"/>
        <v>4295.9712120000013</v>
      </c>
      <c r="O298" s="23">
        <f>L298-'Part A (2&amp;3)'!R298</f>
        <v>2451.8059020000019</v>
      </c>
      <c r="P298" s="23">
        <f>M298-'Part A (2&amp;3)'!T298</f>
        <v>1186.1859620000014</v>
      </c>
    </row>
    <row r="299" spans="5:16" x14ac:dyDescent="0.35">
      <c r="E299" s="8">
        <v>0</v>
      </c>
      <c r="F299" s="27">
        <f t="shared" si="20"/>
        <v>0</v>
      </c>
      <c r="G299" s="23">
        <v>645.33000000000004</v>
      </c>
      <c r="H299">
        <f t="shared" si="21"/>
        <v>703.40970000000004</v>
      </c>
      <c r="I299">
        <v>10</v>
      </c>
      <c r="J299" s="28">
        <f t="shared" si="22"/>
        <v>11.400000000000002</v>
      </c>
      <c r="K299" s="23">
        <v>1321.85</v>
      </c>
      <c r="L299" s="23">
        <f t="shared" si="23"/>
        <v>15069.090000000002</v>
      </c>
      <c r="M299" s="23">
        <f t="shared" si="24"/>
        <v>7050.2194200000004</v>
      </c>
      <c r="O299" s="23">
        <f>L299-'Part A (2&amp;3)'!R299</f>
        <v>1850.590000000002</v>
      </c>
      <c r="P299" s="23">
        <f>M299-'Part A (2&amp;3)'!T299</f>
        <v>285.01942000000054</v>
      </c>
    </row>
    <row r="300" spans="5:16" x14ac:dyDescent="0.35">
      <c r="E300" s="8">
        <v>0.17499999999999999</v>
      </c>
      <c r="F300" s="27">
        <f t="shared" si="20"/>
        <v>0.12</v>
      </c>
      <c r="G300" s="23">
        <v>865.33</v>
      </c>
      <c r="H300">
        <f t="shared" si="21"/>
        <v>943.20970000000011</v>
      </c>
      <c r="I300">
        <v>13</v>
      </c>
      <c r="J300" s="28">
        <f t="shared" si="22"/>
        <v>14.820000000000002</v>
      </c>
      <c r="K300" s="23">
        <v>1395.64</v>
      </c>
      <c r="L300" s="23">
        <f t="shared" si="23"/>
        <v>18201.378624000004</v>
      </c>
      <c r="M300" s="23">
        <f t="shared" si="24"/>
        <v>4223.0108700000001</v>
      </c>
      <c r="O300" s="23">
        <f>L300-'Part A (2&amp;3)'!R300</f>
        <v>3233.1396240000049</v>
      </c>
      <c r="P300" s="23">
        <f>M300-'Part A (2&amp;3)'!T300</f>
        <v>504.06187000000136</v>
      </c>
    </row>
    <row r="301" spans="5:16" x14ac:dyDescent="0.35">
      <c r="E301" s="8">
        <v>0</v>
      </c>
      <c r="F301" s="27">
        <f t="shared" si="20"/>
        <v>0</v>
      </c>
      <c r="G301" s="23">
        <v>187.22</v>
      </c>
      <c r="H301">
        <f t="shared" si="21"/>
        <v>204.06980000000001</v>
      </c>
      <c r="I301">
        <v>5</v>
      </c>
      <c r="J301" s="28">
        <f t="shared" si="22"/>
        <v>5.7000000000000011</v>
      </c>
      <c r="K301" s="23">
        <v>309.47000000000003</v>
      </c>
      <c r="L301" s="23">
        <f t="shared" si="23"/>
        <v>1763.9790000000005</v>
      </c>
      <c r="M301" s="23">
        <f t="shared" si="24"/>
        <v>600.78114000000028</v>
      </c>
      <c r="O301" s="23">
        <f>L301-'Part A (2&amp;3)'!R301</f>
        <v>216.62900000000036</v>
      </c>
      <c r="P301" s="23">
        <f>M301-'Part A (2&amp;3)'!T301</f>
        <v>-10.468859999999836</v>
      </c>
    </row>
    <row r="302" spans="5:16" x14ac:dyDescent="0.35">
      <c r="E302" s="8">
        <v>9.4E-2</v>
      </c>
      <c r="F302" s="27">
        <f t="shared" si="20"/>
        <v>9.4E-2</v>
      </c>
      <c r="G302" s="23">
        <v>513.30999999999995</v>
      </c>
      <c r="H302">
        <f t="shared" si="21"/>
        <v>559.50789999999995</v>
      </c>
      <c r="I302">
        <v>15</v>
      </c>
      <c r="J302" s="28">
        <f t="shared" si="22"/>
        <v>17.100000000000001</v>
      </c>
      <c r="K302" s="23">
        <v>1186.26</v>
      </c>
      <c r="L302" s="23">
        <f t="shared" si="23"/>
        <v>18378.251676</v>
      </c>
      <c r="M302" s="23">
        <f t="shared" si="24"/>
        <v>8810.6665859999994</v>
      </c>
      <c r="O302" s="23">
        <f>L302-'Part A (2&amp;3)'!R302</f>
        <v>2256.978275999998</v>
      </c>
      <c r="P302" s="23">
        <f>M302-'Part A (2&amp;3)'!T302</f>
        <v>389.04318599999715</v>
      </c>
    </row>
    <row r="303" spans="5:16" x14ac:dyDescent="0.35">
      <c r="E303" s="8">
        <v>0.16700000000000001</v>
      </c>
      <c r="F303" s="27">
        <f t="shared" si="20"/>
        <v>0.12</v>
      </c>
      <c r="G303" s="23">
        <v>1232.77</v>
      </c>
      <c r="H303">
        <f t="shared" si="21"/>
        <v>1343.7193</v>
      </c>
      <c r="I303">
        <v>10</v>
      </c>
      <c r="J303" s="28">
        <f t="shared" si="22"/>
        <v>11.400000000000002</v>
      </c>
      <c r="K303" s="23">
        <v>891.73</v>
      </c>
      <c r="L303" s="23">
        <f t="shared" si="23"/>
        <v>8945.8353600000009</v>
      </c>
      <c r="M303" s="23">
        <f t="shared" si="24"/>
        <v>-6372.5646600000018</v>
      </c>
      <c r="O303" s="23">
        <f>L303-'Part A (2&amp;3)'!R303</f>
        <v>1517.7244600000022</v>
      </c>
      <c r="P303" s="23">
        <f>M303-'Part A (2&amp;3)'!T303</f>
        <v>-1472.9755599999999</v>
      </c>
    </row>
    <row r="304" spans="5:16" x14ac:dyDescent="0.35">
      <c r="E304" s="8">
        <v>3.4000000000000002E-2</v>
      </c>
      <c r="F304" s="27">
        <f t="shared" si="20"/>
        <v>3.4000000000000002E-2</v>
      </c>
      <c r="G304" s="23">
        <v>668.97</v>
      </c>
      <c r="H304">
        <f t="shared" si="21"/>
        <v>729.17730000000006</v>
      </c>
      <c r="I304">
        <v>15</v>
      </c>
      <c r="J304" s="28">
        <f t="shared" si="22"/>
        <v>17.100000000000001</v>
      </c>
      <c r="K304" s="23">
        <v>1667.44</v>
      </c>
      <c r="L304" s="23">
        <f t="shared" si="23"/>
        <v>27543.774384</v>
      </c>
      <c r="M304" s="23">
        <f t="shared" si="24"/>
        <v>15074.842553999999</v>
      </c>
      <c r="O304" s="23">
        <f>L304-'Part A (2&amp;3)'!R304</f>
        <v>3382.5687839999991</v>
      </c>
      <c r="P304" s="23">
        <f>M304-'Part A (2&amp;3)'!T304</f>
        <v>948.18695399999888</v>
      </c>
    </row>
    <row r="305" spans="5:16" x14ac:dyDescent="0.35">
      <c r="E305" s="8">
        <v>7.0999999999999994E-2</v>
      </c>
      <c r="F305" s="27">
        <f t="shared" si="20"/>
        <v>7.0999999999999994E-2</v>
      </c>
      <c r="G305" s="23">
        <v>901.19</v>
      </c>
      <c r="H305">
        <f t="shared" si="21"/>
        <v>982.29710000000011</v>
      </c>
      <c r="I305">
        <v>12</v>
      </c>
      <c r="J305" s="28">
        <f t="shared" si="22"/>
        <v>13.680000000000001</v>
      </c>
      <c r="K305" s="23">
        <v>2125.44</v>
      </c>
      <c r="L305" s="23">
        <f t="shared" si="23"/>
        <v>27011.621836800008</v>
      </c>
      <c r="M305" s="23">
        <f t="shared" si="24"/>
        <v>13573.797508800006</v>
      </c>
      <c r="O305" s="23">
        <f>L305-'Part A (2&amp;3)'!R305</f>
        <v>3317.2167168000087</v>
      </c>
      <c r="P305" s="23">
        <f>M305-'Part A (2&amp;3)'!T305</f>
        <v>693.67238880000696</v>
      </c>
    </row>
    <row r="306" spans="5:16" x14ac:dyDescent="0.35">
      <c r="E306" s="8">
        <v>0.13800000000000001</v>
      </c>
      <c r="F306" s="27">
        <f t="shared" si="20"/>
        <v>0.12</v>
      </c>
      <c r="G306" s="23">
        <v>930.71</v>
      </c>
      <c r="H306">
        <f t="shared" si="21"/>
        <v>1014.4739000000001</v>
      </c>
      <c r="I306">
        <v>7</v>
      </c>
      <c r="J306" s="28">
        <f t="shared" si="22"/>
        <v>7.98</v>
      </c>
      <c r="K306" s="23">
        <v>1625.42</v>
      </c>
      <c r="L306" s="23">
        <f t="shared" si="23"/>
        <v>11414.349408</v>
      </c>
      <c r="M306" s="23">
        <f t="shared" si="24"/>
        <v>3318.8476859999992</v>
      </c>
      <c r="O306" s="23">
        <f>L306-'Part A (2&amp;3)'!R306</f>
        <v>1606.5651280000002</v>
      </c>
      <c r="P306" s="23">
        <f>M306-'Part A (2&amp;3)'!T306</f>
        <v>26.033405999999559</v>
      </c>
    </row>
    <row r="307" spans="5:16" x14ac:dyDescent="0.35">
      <c r="E307" s="8">
        <v>3.1E-2</v>
      </c>
      <c r="F307" s="27">
        <f t="shared" si="20"/>
        <v>3.1E-2</v>
      </c>
      <c r="G307" s="23">
        <v>1295.3399999999999</v>
      </c>
      <c r="H307">
        <f t="shared" si="21"/>
        <v>1411.9205999999999</v>
      </c>
      <c r="I307">
        <v>6</v>
      </c>
      <c r="J307" s="28">
        <f t="shared" si="22"/>
        <v>6.8400000000000007</v>
      </c>
      <c r="K307" s="23">
        <v>2530.81</v>
      </c>
      <c r="L307" s="23">
        <f t="shared" si="23"/>
        <v>16774.107447600003</v>
      </c>
      <c r="M307" s="23">
        <f t="shared" si="24"/>
        <v>7116.5705436000026</v>
      </c>
      <c r="O307" s="23">
        <f>L307-'Part A (2&amp;3)'!R307</f>
        <v>2059.9781076000036</v>
      </c>
      <c r="P307" s="23">
        <f>M307-'Part A (2&amp;3)'!T307</f>
        <v>174.48120360000212</v>
      </c>
    </row>
    <row r="308" spans="5:16" x14ac:dyDescent="0.35">
      <c r="E308" s="8">
        <v>0</v>
      </c>
      <c r="F308" s="27">
        <f t="shared" si="20"/>
        <v>0</v>
      </c>
      <c r="G308" s="23">
        <v>1264.04</v>
      </c>
      <c r="H308">
        <f t="shared" si="21"/>
        <v>1377.8036</v>
      </c>
      <c r="I308">
        <v>13</v>
      </c>
      <c r="J308" s="28">
        <f t="shared" si="22"/>
        <v>14.820000000000002</v>
      </c>
      <c r="K308" s="23">
        <v>1870.89</v>
      </c>
      <c r="L308" s="23">
        <f t="shared" si="23"/>
        <v>27726.589800000005</v>
      </c>
      <c r="M308" s="23">
        <f t="shared" si="24"/>
        <v>7307.5404480000034</v>
      </c>
      <c r="O308" s="23">
        <f>L308-'Part A (2&amp;3)'!R308</f>
        <v>3405.0198000000055</v>
      </c>
      <c r="P308" s="23">
        <f>M308-'Part A (2&amp;3)'!T308</f>
        <v>-581.50955199999589</v>
      </c>
    </row>
    <row r="309" spans="5:16" x14ac:dyDescent="0.35">
      <c r="E309" s="8">
        <v>0.127</v>
      </c>
      <c r="F309" s="27">
        <f t="shared" si="20"/>
        <v>0.12</v>
      </c>
      <c r="G309" s="23">
        <v>1163.99</v>
      </c>
      <c r="H309">
        <f t="shared" si="21"/>
        <v>1268.7491</v>
      </c>
      <c r="I309">
        <v>14</v>
      </c>
      <c r="J309" s="28">
        <f t="shared" si="22"/>
        <v>15.96</v>
      </c>
      <c r="K309" s="23">
        <v>1617.85</v>
      </c>
      <c r="L309" s="23">
        <f t="shared" si="23"/>
        <v>22722.379679999998</v>
      </c>
      <c r="M309" s="23">
        <f t="shared" si="24"/>
        <v>2473.1440439999969</v>
      </c>
      <c r="O309" s="23">
        <f>L309-'Part A (2&amp;3)'!R309</f>
        <v>2949.0169800000003</v>
      </c>
      <c r="P309" s="23">
        <f>M309-'Part A (2&amp;3)'!T309</f>
        <v>-1004.3586560000003</v>
      </c>
    </row>
    <row r="310" spans="5:16" x14ac:dyDescent="0.35">
      <c r="E310" s="8">
        <v>8.8999999999999996E-2</v>
      </c>
      <c r="F310" s="27">
        <f t="shared" si="20"/>
        <v>8.8999999999999996E-2</v>
      </c>
      <c r="G310" s="23">
        <v>210.76</v>
      </c>
      <c r="H310">
        <f t="shared" si="21"/>
        <v>229.72839999999999</v>
      </c>
      <c r="I310">
        <v>5</v>
      </c>
      <c r="J310" s="28">
        <f t="shared" si="22"/>
        <v>5.7000000000000011</v>
      </c>
      <c r="K310" s="23">
        <v>221.58</v>
      </c>
      <c r="L310" s="23">
        <f t="shared" si="23"/>
        <v>1150.5984660000004</v>
      </c>
      <c r="M310" s="23">
        <f t="shared" si="24"/>
        <v>-158.85341399999993</v>
      </c>
      <c r="O310" s="23">
        <f>L310-'Part A (2&amp;3)'!R310</f>
        <v>141.30156600000021</v>
      </c>
      <c r="P310" s="23">
        <f>M310-'Part A (2&amp;3)'!T310</f>
        <v>-114.35031400000014</v>
      </c>
    </row>
    <row r="311" spans="5:16" x14ac:dyDescent="0.35">
      <c r="E311" s="8">
        <v>0.19700000000000001</v>
      </c>
      <c r="F311" s="27">
        <f t="shared" si="20"/>
        <v>0.12</v>
      </c>
      <c r="G311" s="23">
        <v>111.02</v>
      </c>
      <c r="H311">
        <f t="shared" si="21"/>
        <v>121.01180000000001</v>
      </c>
      <c r="I311">
        <v>29</v>
      </c>
      <c r="J311" s="28">
        <f t="shared" si="22"/>
        <v>33.06</v>
      </c>
      <c r="K311" s="23">
        <v>172.88</v>
      </c>
      <c r="L311" s="23">
        <f t="shared" si="23"/>
        <v>5029.5632640000003</v>
      </c>
      <c r="M311" s="23">
        <f t="shared" si="24"/>
        <v>1028.9131559999996</v>
      </c>
      <c r="O311" s="23">
        <f>L311-'Part A (2&amp;3)'!R311</f>
        <v>1003.7067040000011</v>
      </c>
      <c r="P311" s="23">
        <f>M311-'Part A (2&amp;3)'!T311</f>
        <v>222.63659600000028</v>
      </c>
    </row>
    <row r="312" spans="5:16" x14ac:dyDescent="0.35">
      <c r="E312" s="8">
        <v>0</v>
      </c>
      <c r="F312" s="27">
        <f t="shared" si="20"/>
        <v>0</v>
      </c>
      <c r="G312" s="23">
        <v>1421.14</v>
      </c>
      <c r="H312">
        <f t="shared" si="21"/>
        <v>1549.0426000000002</v>
      </c>
      <c r="I312">
        <v>31</v>
      </c>
      <c r="J312" s="28">
        <f t="shared" si="22"/>
        <v>35.340000000000003</v>
      </c>
      <c r="K312" s="23">
        <v>3524</v>
      </c>
      <c r="L312" s="23">
        <f t="shared" si="23"/>
        <v>124538.16000000002</v>
      </c>
      <c r="M312" s="23">
        <f t="shared" si="24"/>
        <v>69794.994516000006</v>
      </c>
      <c r="O312" s="23">
        <f>L312-'Part A (2&amp;3)'!R312</f>
        <v>15294.160000000018</v>
      </c>
      <c r="P312" s="23">
        <f>M312-'Part A (2&amp;3)'!T312</f>
        <v>4606.3345160000099</v>
      </c>
    </row>
    <row r="313" spans="5:16" x14ac:dyDescent="0.35">
      <c r="E313" s="8">
        <v>0.25600000000000001</v>
      </c>
      <c r="F313" s="27">
        <f t="shared" si="20"/>
        <v>0.12</v>
      </c>
      <c r="G313" s="23">
        <v>1484.23</v>
      </c>
      <c r="H313">
        <f t="shared" si="21"/>
        <v>1617.8107000000002</v>
      </c>
      <c r="I313">
        <v>12</v>
      </c>
      <c r="J313" s="28">
        <f t="shared" si="22"/>
        <v>13.680000000000001</v>
      </c>
      <c r="K313" s="23">
        <v>3472.81</v>
      </c>
      <c r="L313" s="23">
        <f t="shared" si="23"/>
        <v>41807.075904000005</v>
      </c>
      <c r="M313" s="23">
        <f t="shared" si="24"/>
        <v>19675.425528</v>
      </c>
      <c r="O313" s="23">
        <f>L313-'Part A (2&amp;3)'!R313</f>
        <v>10801.828224000004</v>
      </c>
      <c r="P313" s="23">
        <f>M313-'Part A (2&amp;3)'!T313</f>
        <v>6480.9378480000014</v>
      </c>
    </row>
    <row r="314" spans="5:16" x14ac:dyDescent="0.35">
      <c r="E314" s="8">
        <v>0.01</v>
      </c>
      <c r="F314" s="27">
        <f t="shared" si="20"/>
        <v>0.01</v>
      </c>
      <c r="G314" s="23">
        <v>1274.5899999999999</v>
      </c>
      <c r="H314">
        <f t="shared" si="21"/>
        <v>1389.3031000000001</v>
      </c>
      <c r="I314">
        <v>8</v>
      </c>
      <c r="J314" s="28">
        <f t="shared" si="22"/>
        <v>9.120000000000001</v>
      </c>
      <c r="K314" s="23">
        <v>2553.69</v>
      </c>
      <c r="L314" s="23">
        <f t="shared" si="23"/>
        <v>23056.756272000002</v>
      </c>
      <c r="M314" s="23">
        <f t="shared" si="24"/>
        <v>10386.312</v>
      </c>
      <c r="O314" s="23">
        <f>L314-'Part A (2&amp;3)'!R314</f>
        <v>2831.5314720000024</v>
      </c>
      <c r="P314" s="23">
        <f>M314-'Part A (2&amp;3)'!T314</f>
        <v>357.80719999999928</v>
      </c>
    </row>
    <row r="315" spans="5:16" x14ac:dyDescent="0.35">
      <c r="E315" s="8">
        <v>0.23899999999999999</v>
      </c>
      <c r="F315" s="27">
        <f t="shared" si="20"/>
        <v>0.12</v>
      </c>
      <c r="G315" s="23">
        <v>663.66</v>
      </c>
      <c r="H315">
        <f t="shared" si="21"/>
        <v>723.38940000000002</v>
      </c>
      <c r="I315">
        <v>11</v>
      </c>
      <c r="J315" s="28">
        <f t="shared" si="22"/>
        <v>12.540000000000001</v>
      </c>
      <c r="K315" s="23">
        <v>824.26</v>
      </c>
      <c r="L315" s="23">
        <f t="shared" si="23"/>
        <v>9095.8739519999999</v>
      </c>
      <c r="M315" s="23">
        <f t="shared" si="24"/>
        <v>24.570875999999771</v>
      </c>
      <c r="O315" s="23">
        <f>L315-'Part A (2&amp;3)'!R315</f>
        <v>2195.9934919999996</v>
      </c>
      <c r="P315" s="23">
        <f>M315-'Part A (2&amp;3)'!T315</f>
        <v>424.95041599999877</v>
      </c>
    </row>
    <row r="316" spans="5:16" x14ac:dyDescent="0.35">
      <c r="E316" s="8">
        <v>0.122</v>
      </c>
      <c r="F316" s="27">
        <f t="shared" si="20"/>
        <v>0.12</v>
      </c>
      <c r="G316" s="23">
        <v>857.42</v>
      </c>
      <c r="H316">
        <f t="shared" si="21"/>
        <v>934.58780000000002</v>
      </c>
      <c r="I316">
        <v>9</v>
      </c>
      <c r="J316" s="28">
        <f t="shared" si="22"/>
        <v>10.260000000000002</v>
      </c>
      <c r="K316" s="23">
        <v>1658.92</v>
      </c>
      <c r="L316" s="23">
        <f t="shared" si="23"/>
        <v>14978.056896000002</v>
      </c>
      <c r="M316" s="23">
        <f t="shared" si="24"/>
        <v>5389.1860680000009</v>
      </c>
      <c r="O316" s="23">
        <f>L316-'Part A (2&amp;3)'!R316</f>
        <v>1869.2710560000014</v>
      </c>
      <c r="P316" s="23">
        <f>M316-'Part A (2&amp;3)'!T316</f>
        <v>-2.8197719999998299</v>
      </c>
    </row>
    <row r="317" spans="5:16" x14ac:dyDescent="0.35">
      <c r="E317" s="8">
        <v>1.2E-2</v>
      </c>
      <c r="F317" s="27">
        <f t="shared" si="20"/>
        <v>1.2E-2</v>
      </c>
      <c r="G317" s="23">
        <v>1075.9000000000001</v>
      </c>
      <c r="H317">
        <f t="shared" si="21"/>
        <v>1172.7310000000002</v>
      </c>
      <c r="I317">
        <v>7</v>
      </c>
      <c r="J317" s="28">
        <f t="shared" si="22"/>
        <v>7.98</v>
      </c>
      <c r="K317" s="23">
        <v>1242.1500000000001</v>
      </c>
      <c r="L317" s="23">
        <f t="shared" si="23"/>
        <v>9793.4087160000017</v>
      </c>
      <c r="M317" s="23">
        <f t="shared" si="24"/>
        <v>435.01533599999857</v>
      </c>
      <c r="O317" s="23">
        <f>L317-'Part A (2&amp;3)'!R317</f>
        <v>1202.6993160000002</v>
      </c>
      <c r="P317" s="23">
        <f>M317-'Part A (2&amp;3)'!T317</f>
        <v>-624.39406400000189</v>
      </c>
    </row>
    <row r="318" spans="5:16" x14ac:dyDescent="0.35">
      <c r="E318" s="8">
        <v>0.182</v>
      </c>
      <c r="F318" s="27">
        <f t="shared" si="20"/>
        <v>0.12</v>
      </c>
      <c r="G318" s="23">
        <v>675.43</v>
      </c>
      <c r="H318">
        <f t="shared" si="21"/>
        <v>736.21870000000001</v>
      </c>
      <c r="I318">
        <v>22</v>
      </c>
      <c r="J318" s="28">
        <f t="shared" si="22"/>
        <v>25.080000000000002</v>
      </c>
      <c r="K318" s="23">
        <v>996.36</v>
      </c>
      <c r="L318" s="23">
        <f t="shared" si="23"/>
        <v>21990.063743999999</v>
      </c>
      <c r="M318" s="23">
        <f t="shared" si="24"/>
        <v>3525.6987479999989</v>
      </c>
      <c r="O318" s="23">
        <f>L318-'Part A (2&amp;3)'!R318</f>
        <v>4059.5691839999963</v>
      </c>
      <c r="P318" s="23">
        <f>M318-'Part A (2&amp;3)'!T318</f>
        <v>454.66418799999519</v>
      </c>
    </row>
    <row r="319" spans="5:16" x14ac:dyDescent="0.35">
      <c r="E319" s="8">
        <v>0.27800000000000002</v>
      </c>
      <c r="F319" s="27">
        <f t="shared" si="20"/>
        <v>0.12</v>
      </c>
      <c r="G319" s="23">
        <v>1157.51</v>
      </c>
      <c r="H319">
        <f t="shared" si="21"/>
        <v>1261.6859000000002</v>
      </c>
      <c r="I319">
        <v>12</v>
      </c>
      <c r="J319" s="28">
        <f t="shared" si="22"/>
        <v>13.680000000000001</v>
      </c>
      <c r="K319" s="23">
        <v>1394.3</v>
      </c>
      <c r="L319" s="23">
        <f t="shared" si="23"/>
        <v>16785.14112</v>
      </c>
      <c r="M319" s="23">
        <f t="shared" si="24"/>
        <v>-474.7219920000025</v>
      </c>
      <c r="O319" s="23">
        <f>L319-'Part A (2&amp;3)'!R319</f>
        <v>4704.9259200000015</v>
      </c>
      <c r="P319" s="23">
        <f>M319-'Part A (2&amp;3)'!T319</f>
        <v>1335.1828079999977</v>
      </c>
    </row>
    <row r="320" spans="5:16" x14ac:dyDescent="0.35">
      <c r="E320" s="8">
        <v>0.105</v>
      </c>
      <c r="F320" s="27">
        <f t="shared" si="20"/>
        <v>0.105</v>
      </c>
      <c r="G320" s="23">
        <v>673.88</v>
      </c>
      <c r="H320">
        <f t="shared" si="21"/>
        <v>734.52920000000006</v>
      </c>
      <c r="I320">
        <v>13</v>
      </c>
      <c r="J320" s="28">
        <f t="shared" si="22"/>
        <v>14.820000000000002</v>
      </c>
      <c r="K320" s="23">
        <v>1228.01</v>
      </c>
      <c r="L320" s="23">
        <f t="shared" si="23"/>
        <v>16288.201839000003</v>
      </c>
      <c r="M320" s="23">
        <f t="shared" si="24"/>
        <v>5402.4790950000006</v>
      </c>
      <c r="O320" s="23">
        <f>L320-'Part A (2&amp;3)'!R320</f>
        <v>2000.3054890000039</v>
      </c>
      <c r="P320" s="23">
        <f>M320-'Part A (2&amp;3)'!T320</f>
        <v>-124.97725499999797</v>
      </c>
    </row>
    <row r="321" spans="5:16" x14ac:dyDescent="0.35">
      <c r="E321" s="8">
        <v>0.254</v>
      </c>
      <c r="F321" s="27">
        <f t="shared" si="20"/>
        <v>0.12</v>
      </c>
      <c r="G321" s="23">
        <v>1481.74</v>
      </c>
      <c r="H321">
        <f t="shared" si="21"/>
        <v>1615.0966000000001</v>
      </c>
      <c r="I321">
        <v>9</v>
      </c>
      <c r="J321" s="28">
        <f t="shared" si="22"/>
        <v>10.260000000000002</v>
      </c>
      <c r="K321" s="23">
        <v>1848.97</v>
      </c>
      <c r="L321" s="23">
        <f t="shared" si="23"/>
        <v>16693.980336000001</v>
      </c>
      <c r="M321" s="23">
        <f t="shared" si="24"/>
        <v>123.08921999999802</v>
      </c>
      <c r="O321" s="23">
        <f>L321-'Part A (2&amp;3)'!R321</f>
        <v>4279.9957560000003</v>
      </c>
      <c r="P321" s="23">
        <f>M321-'Part A (2&amp;3)'!T321</f>
        <v>1044.7646399999976</v>
      </c>
    </row>
    <row r="322" spans="5:16" x14ac:dyDescent="0.35">
      <c r="E322" s="8">
        <v>2.1999999999999999E-2</v>
      </c>
      <c r="F322" s="27">
        <f t="shared" si="20"/>
        <v>2.1999999999999999E-2</v>
      </c>
      <c r="G322" s="23">
        <v>180.89</v>
      </c>
      <c r="H322">
        <f t="shared" si="21"/>
        <v>197.17009999999999</v>
      </c>
      <c r="I322">
        <v>8</v>
      </c>
      <c r="J322" s="28">
        <f t="shared" si="22"/>
        <v>9.120000000000001</v>
      </c>
      <c r="K322" s="23">
        <v>249.57</v>
      </c>
      <c r="L322" s="23">
        <f t="shared" si="23"/>
        <v>2226.0046752000003</v>
      </c>
      <c r="M322" s="23">
        <f t="shared" si="24"/>
        <v>427.81336320000014</v>
      </c>
      <c r="O322" s="23">
        <f>L322-'Part A (2&amp;3)'!R322</f>
        <v>273.36899520000043</v>
      </c>
      <c r="P322" s="23">
        <f>M322-'Part A (2&amp;3)'!T322</f>
        <v>-77.702316799999835</v>
      </c>
    </row>
    <row r="323" spans="5:16" x14ac:dyDescent="0.35">
      <c r="E323" s="8">
        <v>4.4999999999999998E-2</v>
      </c>
      <c r="F323" s="27">
        <f t="shared" ref="F323:F386" si="25">MIN(E323,$C$2)</f>
        <v>4.4999999999999998E-2</v>
      </c>
      <c r="G323" s="23">
        <v>51.13</v>
      </c>
      <c r="H323">
        <f t="shared" ref="H323:H386" si="26">G323*(1+$C$3)</f>
        <v>55.731700000000004</v>
      </c>
      <c r="I323">
        <v>16</v>
      </c>
      <c r="J323" s="28">
        <f t="shared" ref="J323:J386" si="27">I323*(1+$C$4)</f>
        <v>18.240000000000002</v>
      </c>
      <c r="K323" s="23">
        <v>57.53</v>
      </c>
      <c r="L323" s="23">
        <f t="shared" ref="L323:L386" si="28">K323*(1-F323)*J323</f>
        <v>1002.1265760000001</v>
      </c>
      <c r="M323" s="23">
        <f t="shared" ref="M323:M386" si="29">L323-(H323*J323)</f>
        <v>-14.419632000000092</v>
      </c>
      <c r="O323" s="23">
        <f>L323-'Part A (2&amp;3)'!R323</f>
        <v>123.06817600000011</v>
      </c>
      <c r="P323" s="23">
        <f>M323-'Part A (2&amp;3)'!T323</f>
        <v>-75.398032000000057</v>
      </c>
    </row>
    <row r="324" spans="5:16" x14ac:dyDescent="0.35">
      <c r="E324" s="8">
        <v>4.2000000000000003E-2</v>
      </c>
      <c r="F324" s="27">
        <f t="shared" si="25"/>
        <v>4.2000000000000003E-2</v>
      </c>
      <c r="G324" s="23">
        <v>465.02</v>
      </c>
      <c r="H324">
        <f t="shared" si="26"/>
        <v>506.87180000000001</v>
      </c>
      <c r="I324">
        <v>19</v>
      </c>
      <c r="J324" s="28">
        <f t="shared" si="27"/>
        <v>21.660000000000004</v>
      </c>
      <c r="K324" s="23">
        <v>651.55999999999995</v>
      </c>
      <c r="L324" s="23">
        <f t="shared" si="28"/>
        <v>13520.052436800001</v>
      </c>
      <c r="M324" s="23">
        <f t="shared" si="29"/>
        <v>2541.209248799998</v>
      </c>
      <c r="O324" s="23">
        <f>L324-'Part A (2&amp;3)'!R324</f>
        <v>1660.3573168000021</v>
      </c>
      <c r="P324" s="23">
        <f>M324-'Part A (2&amp;3)'!T324</f>
        <v>-483.10587120000127</v>
      </c>
    </row>
    <row r="325" spans="5:16" x14ac:dyDescent="0.35">
      <c r="E325" s="8">
        <v>0</v>
      </c>
      <c r="F325" s="27">
        <f t="shared" si="25"/>
        <v>0</v>
      </c>
      <c r="G325" s="23">
        <v>1227.08</v>
      </c>
      <c r="H325">
        <f t="shared" si="26"/>
        <v>1337.5172</v>
      </c>
      <c r="I325">
        <v>18</v>
      </c>
      <c r="J325" s="28">
        <f t="shared" si="27"/>
        <v>20.520000000000003</v>
      </c>
      <c r="K325" s="23">
        <v>1896.62</v>
      </c>
      <c r="L325" s="23">
        <f t="shared" si="28"/>
        <v>38918.642400000004</v>
      </c>
      <c r="M325" s="23">
        <f t="shared" si="29"/>
        <v>11472.789455999999</v>
      </c>
      <c r="O325" s="23">
        <f>L325-'Part A (2&amp;3)'!R325</f>
        <v>4779.4824000000081</v>
      </c>
      <c r="P325" s="23">
        <f>M325-'Part A (2&amp;3)'!T325</f>
        <v>-578.93054399999892</v>
      </c>
    </row>
    <row r="326" spans="5:16" x14ac:dyDescent="0.35">
      <c r="E326" s="8">
        <v>7.5999999999999998E-2</v>
      </c>
      <c r="F326" s="27">
        <f t="shared" si="25"/>
        <v>7.5999999999999998E-2</v>
      </c>
      <c r="G326" s="23">
        <v>986.85</v>
      </c>
      <c r="H326">
        <f t="shared" si="26"/>
        <v>1075.6665</v>
      </c>
      <c r="I326">
        <v>10</v>
      </c>
      <c r="J326" s="28">
        <f t="shared" si="27"/>
        <v>11.400000000000002</v>
      </c>
      <c r="K326" s="23">
        <v>2422.1</v>
      </c>
      <c r="L326" s="23">
        <f t="shared" si="28"/>
        <v>25513.432560000005</v>
      </c>
      <c r="M326" s="23">
        <f t="shared" si="29"/>
        <v>13250.834460000002</v>
      </c>
      <c r="O326" s="23">
        <f>L326-'Part A (2&amp;3)'!R326</f>
        <v>3133.2285600000032</v>
      </c>
      <c r="P326" s="23">
        <f>M326-'Part A (2&amp;3)'!T326</f>
        <v>739.13046000000031</v>
      </c>
    </row>
    <row r="327" spans="5:16" x14ac:dyDescent="0.35">
      <c r="E327" s="8">
        <v>0.187</v>
      </c>
      <c r="F327" s="27">
        <f t="shared" si="25"/>
        <v>0.12</v>
      </c>
      <c r="G327" s="23">
        <v>157.78</v>
      </c>
      <c r="H327">
        <f t="shared" si="26"/>
        <v>171.98020000000002</v>
      </c>
      <c r="I327">
        <v>9</v>
      </c>
      <c r="J327" s="28">
        <f t="shared" si="27"/>
        <v>10.260000000000002</v>
      </c>
      <c r="K327" s="23">
        <v>361.1</v>
      </c>
      <c r="L327" s="23">
        <f t="shared" si="28"/>
        <v>3260.299680000001</v>
      </c>
      <c r="M327" s="23">
        <f t="shared" si="29"/>
        <v>1495.7828280000006</v>
      </c>
      <c r="O327" s="23">
        <f>L327-'Part A (2&amp;3)'!R327</f>
        <v>618.13098000000127</v>
      </c>
      <c r="P327" s="23">
        <f>M327-'Part A (2&amp;3)'!T327</f>
        <v>273.63412800000083</v>
      </c>
    </row>
    <row r="328" spans="5:16" x14ac:dyDescent="0.35">
      <c r="E328" s="8">
        <v>0.22900000000000001</v>
      </c>
      <c r="F328" s="27">
        <f t="shared" si="25"/>
        <v>0.12</v>
      </c>
      <c r="G328" s="23">
        <v>292.94</v>
      </c>
      <c r="H328">
        <f t="shared" si="26"/>
        <v>319.30459999999999</v>
      </c>
      <c r="I328">
        <v>2</v>
      </c>
      <c r="J328" s="28">
        <f t="shared" si="27"/>
        <v>2.2800000000000002</v>
      </c>
      <c r="K328" s="23">
        <v>356.55</v>
      </c>
      <c r="L328" s="23">
        <f t="shared" si="28"/>
        <v>715.38192000000015</v>
      </c>
      <c r="M328" s="23">
        <f t="shared" si="29"/>
        <v>-12.632567999999878</v>
      </c>
      <c r="O328" s="23">
        <f>L328-'Part A (2&amp;3)'!R328</f>
        <v>165.58182000000011</v>
      </c>
      <c r="P328" s="23">
        <f>M328-'Part A (2&amp;3)'!T328</f>
        <v>23.447332000000074</v>
      </c>
    </row>
    <row r="329" spans="5:16" x14ac:dyDescent="0.35">
      <c r="E329" s="8">
        <v>0.192</v>
      </c>
      <c r="F329" s="27">
        <f t="shared" si="25"/>
        <v>0.12</v>
      </c>
      <c r="G329" s="23">
        <v>1295.18</v>
      </c>
      <c r="H329">
        <f t="shared" si="26"/>
        <v>1411.7462000000003</v>
      </c>
      <c r="I329">
        <v>8</v>
      </c>
      <c r="J329" s="28">
        <f t="shared" si="27"/>
        <v>9.120000000000001</v>
      </c>
      <c r="K329" s="23">
        <v>3024.03</v>
      </c>
      <c r="L329" s="23">
        <f t="shared" si="28"/>
        <v>24269.655168000005</v>
      </c>
      <c r="M329" s="23">
        <f t="shared" si="29"/>
        <v>11394.529824000001</v>
      </c>
      <c r="O329" s="23">
        <f>L329-'Part A (2&amp;3)'!R329</f>
        <v>4722.325248000001</v>
      </c>
      <c r="P329" s="23">
        <f>M329-'Part A (2&amp;3)'!T329</f>
        <v>2208.6399039999978</v>
      </c>
    </row>
    <row r="330" spans="5:16" x14ac:dyDescent="0.35">
      <c r="E330" s="8">
        <v>0.104</v>
      </c>
      <c r="F330" s="27">
        <f t="shared" si="25"/>
        <v>0.104</v>
      </c>
      <c r="G330" s="23">
        <v>1205.5</v>
      </c>
      <c r="H330">
        <f t="shared" si="26"/>
        <v>1313.9950000000001</v>
      </c>
      <c r="I330">
        <v>23</v>
      </c>
      <c r="J330" s="28">
        <f t="shared" si="27"/>
        <v>26.220000000000002</v>
      </c>
      <c r="K330" s="23">
        <v>2210.17</v>
      </c>
      <c r="L330" s="23">
        <f t="shared" si="28"/>
        <v>51923.789030400003</v>
      </c>
      <c r="M330" s="23">
        <f t="shared" si="29"/>
        <v>17470.8401304</v>
      </c>
      <c r="O330" s="23">
        <f>L330-'Part A (2&amp;3)'!R330</f>
        <v>6376.6056704000002</v>
      </c>
      <c r="P330" s="23">
        <f>M330-'Part A (2&amp;3)'!T330</f>
        <v>-349.84322960000281</v>
      </c>
    </row>
    <row r="331" spans="5:16" x14ac:dyDescent="0.35">
      <c r="E331" s="8">
        <v>0.02</v>
      </c>
      <c r="F331" s="27">
        <f t="shared" si="25"/>
        <v>0.02</v>
      </c>
      <c r="G331" s="23">
        <v>918.42</v>
      </c>
      <c r="H331">
        <f t="shared" si="26"/>
        <v>1001.0778</v>
      </c>
      <c r="I331">
        <v>8</v>
      </c>
      <c r="J331" s="28">
        <f t="shared" si="27"/>
        <v>9.120000000000001</v>
      </c>
      <c r="K331" s="23">
        <v>1511.71</v>
      </c>
      <c r="L331" s="23">
        <f t="shared" si="28"/>
        <v>13511.059296000001</v>
      </c>
      <c r="M331" s="23">
        <f t="shared" si="29"/>
        <v>4381.2297600000002</v>
      </c>
      <c r="O331" s="23">
        <f>L331-'Part A (2&amp;3)'!R331</f>
        <v>1659.2528960000018</v>
      </c>
      <c r="P331" s="23">
        <f>M331-'Part A (2&amp;3)'!T331</f>
        <v>-123.21663999999964</v>
      </c>
    </row>
    <row r="332" spans="5:16" x14ac:dyDescent="0.35">
      <c r="E332" s="8">
        <v>5.8999999999999997E-2</v>
      </c>
      <c r="F332" s="27">
        <f t="shared" si="25"/>
        <v>5.8999999999999997E-2</v>
      </c>
      <c r="G332" s="23">
        <v>1208.74</v>
      </c>
      <c r="H332">
        <f t="shared" si="26"/>
        <v>1317.5266000000001</v>
      </c>
      <c r="I332">
        <v>39</v>
      </c>
      <c r="J332" s="28">
        <f t="shared" si="27"/>
        <v>44.460000000000008</v>
      </c>
      <c r="K332" s="23">
        <v>1594.78</v>
      </c>
      <c r="L332" s="23">
        <f t="shared" si="28"/>
        <v>66720.587590800016</v>
      </c>
      <c r="M332" s="23">
        <f t="shared" si="29"/>
        <v>8143.354954800001</v>
      </c>
      <c r="O332" s="23">
        <f>L332-'Part A (2&amp;3)'!R332</f>
        <v>8193.7563708000162</v>
      </c>
      <c r="P332" s="23">
        <f>M332-'Part A (2&amp;3)'!T332</f>
        <v>-3242.6162651999985</v>
      </c>
    </row>
    <row r="333" spans="5:16" x14ac:dyDescent="0.35">
      <c r="E333" s="8">
        <v>7.1999999999999995E-2</v>
      </c>
      <c r="F333" s="27">
        <f t="shared" si="25"/>
        <v>7.1999999999999995E-2</v>
      </c>
      <c r="G333" s="23">
        <v>1253.25</v>
      </c>
      <c r="H333">
        <f t="shared" si="26"/>
        <v>1366.0425</v>
      </c>
      <c r="I333">
        <v>11</v>
      </c>
      <c r="J333" s="28">
        <f t="shared" si="27"/>
        <v>12.540000000000001</v>
      </c>
      <c r="K333" s="23">
        <v>3087.13</v>
      </c>
      <c r="L333" s="23">
        <f t="shared" si="28"/>
        <v>35925.30226560001</v>
      </c>
      <c r="M333" s="23">
        <f t="shared" si="29"/>
        <v>18795.12931560001</v>
      </c>
      <c r="O333" s="23">
        <f>L333-'Part A (2&amp;3)'!R333</f>
        <v>4411.8792256000088</v>
      </c>
      <c r="P333" s="23">
        <f>M333-'Part A (2&amp;3)'!T333</f>
        <v>1067.4562756000087</v>
      </c>
    </row>
    <row r="334" spans="5:16" x14ac:dyDescent="0.35">
      <c r="E334" s="8">
        <v>7.2999999999999995E-2</v>
      </c>
      <c r="F334" s="27">
        <f t="shared" si="25"/>
        <v>7.2999999999999995E-2</v>
      </c>
      <c r="G334" s="23">
        <v>1064.32</v>
      </c>
      <c r="H334">
        <f t="shared" si="26"/>
        <v>1160.1088</v>
      </c>
      <c r="I334">
        <v>38</v>
      </c>
      <c r="J334" s="28">
        <f t="shared" si="27"/>
        <v>43.320000000000007</v>
      </c>
      <c r="K334" s="23">
        <v>1848.39</v>
      </c>
      <c r="L334" s="23">
        <f t="shared" si="28"/>
        <v>74226.980199600017</v>
      </c>
      <c r="M334" s="23">
        <f t="shared" si="29"/>
        <v>23971.066983600009</v>
      </c>
      <c r="O334" s="23">
        <f>L334-'Part A (2&amp;3)'!R334</f>
        <v>9115.5940596000073</v>
      </c>
      <c r="P334" s="23">
        <f>M334-'Part A (2&amp;3)'!T334</f>
        <v>-696.15915640000458</v>
      </c>
    </row>
    <row r="335" spans="5:16" x14ac:dyDescent="0.35">
      <c r="E335" s="8">
        <v>0.13300000000000001</v>
      </c>
      <c r="F335" s="27">
        <f t="shared" si="25"/>
        <v>0.12</v>
      </c>
      <c r="G335" s="23">
        <v>1370.28</v>
      </c>
      <c r="H335">
        <f t="shared" si="26"/>
        <v>1493.6052</v>
      </c>
      <c r="I335">
        <v>16</v>
      </c>
      <c r="J335" s="28">
        <f t="shared" si="27"/>
        <v>18.240000000000002</v>
      </c>
      <c r="K335" s="23">
        <v>2209.66</v>
      </c>
      <c r="L335" s="23">
        <f t="shared" si="28"/>
        <v>35467.694592</v>
      </c>
      <c r="M335" s="23">
        <f t="shared" si="29"/>
        <v>8224.3357439999963</v>
      </c>
      <c r="O335" s="23">
        <f>L335-'Part A (2&amp;3)'!R335</f>
        <v>4815.2910720000036</v>
      </c>
      <c r="P335" s="23">
        <f>M335-'Part A (2&amp;3)'!T335</f>
        <v>-503.5877760000003</v>
      </c>
    </row>
    <row r="336" spans="5:16" x14ac:dyDescent="0.35">
      <c r="E336" s="8">
        <v>3.1E-2</v>
      </c>
      <c r="F336" s="27">
        <f t="shared" si="25"/>
        <v>3.1E-2</v>
      </c>
      <c r="G336" s="23">
        <v>597.85</v>
      </c>
      <c r="H336">
        <f t="shared" si="26"/>
        <v>651.65650000000005</v>
      </c>
      <c r="I336">
        <v>7</v>
      </c>
      <c r="J336" s="28">
        <f t="shared" si="27"/>
        <v>7.98</v>
      </c>
      <c r="K336" s="23">
        <v>741.92</v>
      </c>
      <c r="L336" s="23">
        <f t="shared" si="28"/>
        <v>5736.9854303999991</v>
      </c>
      <c r="M336" s="23">
        <f t="shared" si="29"/>
        <v>536.76656039999853</v>
      </c>
      <c r="O336" s="23">
        <f>L336-'Part A (2&amp;3)'!R336</f>
        <v>704.54207039999983</v>
      </c>
      <c r="P336" s="23">
        <f>M336-'Part A (2&amp;3)'!T336</f>
        <v>-310.72679960000096</v>
      </c>
    </row>
    <row r="337" spans="5:16" x14ac:dyDescent="0.35">
      <c r="E337" s="8">
        <v>0</v>
      </c>
      <c r="F337" s="27">
        <f t="shared" si="25"/>
        <v>0</v>
      </c>
      <c r="G337" s="23">
        <v>550.22</v>
      </c>
      <c r="H337">
        <f t="shared" si="26"/>
        <v>599.73980000000006</v>
      </c>
      <c r="I337">
        <v>27</v>
      </c>
      <c r="J337" s="28">
        <f t="shared" si="27"/>
        <v>30.780000000000005</v>
      </c>
      <c r="K337" s="23">
        <v>1025.05</v>
      </c>
      <c r="L337" s="23">
        <f t="shared" si="28"/>
        <v>31551.039000000004</v>
      </c>
      <c r="M337" s="23">
        <f t="shared" si="29"/>
        <v>13091.047955999999</v>
      </c>
      <c r="O337" s="23">
        <f>L337-'Part A (2&amp;3)'!R337</f>
        <v>3874.6890000000058</v>
      </c>
      <c r="P337" s="23">
        <f>M337-'Part A (2&amp;3)'!T337</f>
        <v>270.63795600000049</v>
      </c>
    </row>
    <row r="338" spans="5:16" x14ac:dyDescent="0.35">
      <c r="E338" s="8">
        <v>1.2E-2</v>
      </c>
      <c r="F338" s="27">
        <f t="shared" si="25"/>
        <v>1.2E-2</v>
      </c>
      <c r="G338" s="23">
        <v>1187.1300000000001</v>
      </c>
      <c r="H338">
        <f t="shared" si="26"/>
        <v>1293.9717000000003</v>
      </c>
      <c r="I338">
        <v>17</v>
      </c>
      <c r="J338" s="28">
        <f t="shared" si="27"/>
        <v>19.380000000000003</v>
      </c>
      <c r="K338" s="23">
        <v>1795.17</v>
      </c>
      <c r="L338" s="23">
        <f t="shared" si="28"/>
        <v>34372.909864800007</v>
      </c>
      <c r="M338" s="23">
        <f t="shared" si="29"/>
        <v>9295.7383187999985</v>
      </c>
      <c r="O338" s="23">
        <f>L338-'Part A (2&amp;3)'!R338</f>
        <v>4221.2345448000087</v>
      </c>
      <c r="P338" s="23">
        <f>M338-'Part A (2&amp;3)'!T338</f>
        <v>-674.72700119999718</v>
      </c>
    </row>
    <row r="339" spans="5:16" x14ac:dyDescent="0.35">
      <c r="E339" s="8">
        <v>0.216</v>
      </c>
      <c r="F339" s="27">
        <f t="shared" si="25"/>
        <v>0.12</v>
      </c>
      <c r="G339" s="23">
        <v>895.54</v>
      </c>
      <c r="H339">
        <f t="shared" si="26"/>
        <v>976.1386</v>
      </c>
      <c r="I339">
        <v>15</v>
      </c>
      <c r="J339" s="28">
        <f t="shared" si="27"/>
        <v>17.100000000000001</v>
      </c>
      <c r="K339" s="23">
        <v>1045</v>
      </c>
      <c r="L339" s="23">
        <f t="shared" si="28"/>
        <v>15725.160000000002</v>
      </c>
      <c r="M339" s="23">
        <f t="shared" si="29"/>
        <v>-966.81005999999797</v>
      </c>
      <c r="O339" s="23">
        <f>L339-'Part A (2&amp;3)'!R339</f>
        <v>3435.9600000000009</v>
      </c>
      <c r="P339" s="23">
        <f>M339-'Part A (2&amp;3)'!T339</f>
        <v>177.08993999999984</v>
      </c>
    </row>
    <row r="340" spans="5:16" x14ac:dyDescent="0.35">
      <c r="E340" s="8">
        <v>0.245</v>
      </c>
      <c r="F340" s="27">
        <f t="shared" si="25"/>
        <v>0.12</v>
      </c>
      <c r="G340" s="23">
        <v>817.23</v>
      </c>
      <c r="H340">
        <f t="shared" si="26"/>
        <v>890.78070000000014</v>
      </c>
      <c r="I340">
        <v>9</v>
      </c>
      <c r="J340" s="28">
        <f t="shared" si="27"/>
        <v>10.260000000000002</v>
      </c>
      <c r="K340" s="23">
        <v>1467.17</v>
      </c>
      <c r="L340" s="23">
        <f t="shared" si="28"/>
        <v>13246.784496000002</v>
      </c>
      <c r="M340" s="23">
        <f t="shared" si="29"/>
        <v>4107.3745139999992</v>
      </c>
      <c r="O340" s="23">
        <f>L340-'Part A (2&amp;3)'!R340</f>
        <v>3277.3643460000021</v>
      </c>
      <c r="P340" s="23">
        <f>M340-'Part A (2&amp;3)'!T340</f>
        <v>1493.024363999999</v>
      </c>
    </row>
    <row r="341" spans="5:16" x14ac:dyDescent="0.35">
      <c r="E341" s="8">
        <v>0.12</v>
      </c>
      <c r="F341" s="27">
        <f t="shared" si="25"/>
        <v>0.12</v>
      </c>
      <c r="G341" s="23">
        <v>1173.83</v>
      </c>
      <c r="H341">
        <f t="shared" si="26"/>
        <v>1279.4747</v>
      </c>
      <c r="I341">
        <v>17</v>
      </c>
      <c r="J341" s="28">
        <f t="shared" si="27"/>
        <v>19.380000000000003</v>
      </c>
      <c r="K341" s="23">
        <v>2328.9</v>
      </c>
      <c r="L341" s="23">
        <f t="shared" si="28"/>
        <v>39717.992160000009</v>
      </c>
      <c r="M341" s="23">
        <f t="shared" si="29"/>
        <v>14921.772474000005</v>
      </c>
      <c r="O341" s="23">
        <f>L341-'Part A (2&amp;3)'!R341</f>
        <v>4877.6481600000043</v>
      </c>
      <c r="P341" s="23">
        <f>M341-'Part A (2&amp;3)'!T341</f>
        <v>36.538474000000861</v>
      </c>
    </row>
    <row r="342" spans="5:16" x14ac:dyDescent="0.35">
      <c r="E342" s="8">
        <v>0.10299999999999999</v>
      </c>
      <c r="F342" s="27">
        <f t="shared" si="25"/>
        <v>0.10299999999999999</v>
      </c>
      <c r="G342" s="23">
        <v>1367.13</v>
      </c>
      <c r="H342">
        <f t="shared" si="26"/>
        <v>1490.1717000000003</v>
      </c>
      <c r="I342">
        <v>25</v>
      </c>
      <c r="J342" s="28">
        <f t="shared" si="27"/>
        <v>28.500000000000004</v>
      </c>
      <c r="K342" s="23">
        <v>3062.01</v>
      </c>
      <c r="L342" s="23">
        <f t="shared" si="28"/>
        <v>78278.754645000023</v>
      </c>
      <c r="M342" s="23">
        <f t="shared" si="29"/>
        <v>35808.861195000005</v>
      </c>
      <c r="O342" s="23">
        <f>L342-'Part A (2&amp;3)'!R342</f>
        <v>9613.1803950000176</v>
      </c>
      <c r="P342" s="23">
        <f>M342-'Part A (2&amp;3)'!T342</f>
        <v>1321.5369449999998</v>
      </c>
    </row>
    <row r="343" spans="5:16" x14ac:dyDescent="0.35">
      <c r="E343" s="8">
        <v>0.08</v>
      </c>
      <c r="F343" s="27">
        <f t="shared" si="25"/>
        <v>0.08</v>
      </c>
      <c r="G343" s="23">
        <v>231.63</v>
      </c>
      <c r="H343">
        <f t="shared" si="26"/>
        <v>252.47670000000002</v>
      </c>
      <c r="I343">
        <v>12</v>
      </c>
      <c r="J343" s="28">
        <f t="shared" si="27"/>
        <v>13.680000000000001</v>
      </c>
      <c r="K343" s="23">
        <v>537.39</v>
      </c>
      <c r="L343" s="23">
        <f t="shared" si="28"/>
        <v>6763.3755840000003</v>
      </c>
      <c r="M343" s="23">
        <f t="shared" si="29"/>
        <v>3309.4943279999998</v>
      </c>
      <c r="O343" s="23">
        <f>L343-'Part A (2&amp;3)'!R343</f>
        <v>830.58998400000019</v>
      </c>
      <c r="P343" s="23">
        <f>M343-'Part A (2&amp;3)'!T343</f>
        <v>156.26872799999956</v>
      </c>
    </row>
    <row r="344" spans="5:16" x14ac:dyDescent="0.35">
      <c r="E344" s="8">
        <v>0.11</v>
      </c>
      <c r="F344" s="27">
        <f t="shared" si="25"/>
        <v>0.11</v>
      </c>
      <c r="G344" s="23">
        <v>951.44</v>
      </c>
      <c r="H344">
        <f t="shared" si="26"/>
        <v>1037.0696</v>
      </c>
      <c r="I344">
        <v>24</v>
      </c>
      <c r="J344" s="28">
        <f t="shared" si="27"/>
        <v>27.360000000000003</v>
      </c>
      <c r="K344" s="23">
        <v>1646.43</v>
      </c>
      <c r="L344" s="23">
        <f t="shared" si="28"/>
        <v>40091.229072000009</v>
      </c>
      <c r="M344" s="23">
        <f t="shared" si="29"/>
        <v>11717.004816000004</v>
      </c>
      <c r="O344" s="23">
        <f>L344-'Part A (2&amp;3)'!R344</f>
        <v>4923.4842720000088</v>
      </c>
      <c r="P344" s="23">
        <f>M344-'Part A (2&amp;3)'!T344</f>
        <v>-616.17998399999487</v>
      </c>
    </row>
    <row r="345" spans="5:16" x14ac:dyDescent="0.35">
      <c r="E345" s="8">
        <v>0.22900000000000001</v>
      </c>
      <c r="F345" s="27">
        <f t="shared" si="25"/>
        <v>0.12</v>
      </c>
      <c r="G345" s="23">
        <v>242.31</v>
      </c>
      <c r="H345">
        <f t="shared" si="26"/>
        <v>264.11790000000002</v>
      </c>
      <c r="I345">
        <v>6</v>
      </c>
      <c r="J345" s="28">
        <f t="shared" si="27"/>
        <v>6.8400000000000007</v>
      </c>
      <c r="K345" s="23">
        <v>587.95000000000005</v>
      </c>
      <c r="L345" s="23">
        <f t="shared" si="28"/>
        <v>3538.9886400000009</v>
      </c>
      <c r="M345" s="23">
        <f t="shared" si="29"/>
        <v>1732.4222040000006</v>
      </c>
      <c r="O345" s="23">
        <f>L345-'Part A (2&amp;3)'!R345</f>
        <v>819.13194000000067</v>
      </c>
      <c r="P345" s="23">
        <f>M345-'Part A (2&amp;3)'!T345</f>
        <v>466.4255040000005</v>
      </c>
    </row>
    <row r="346" spans="5:16" x14ac:dyDescent="0.35">
      <c r="E346" s="8">
        <v>2.1999999999999999E-2</v>
      </c>
      <c r="F346" s="27">
        <f t="shared" si="25"/>
        <v>2.1999999999999999E-2</v>
      </c>
      <c r="G346" s="23">
        <v>1323.55</v>
      </c>
      <c r="H346">
        <f t="shared" si="26"/>
        <v>1442.6695</v>
      </c>
      <c r="I346">
        <v>26</v>
      </c>
      <c r="J346" s="28">
        <f t="shared" si="27"/>
        <v>29.640000000000004</v>
      </c>
      <c r="K346" s="23">
        <v>3230.35</v>
      </c>
      <c r="L346" s="23">
        <f t="shared" si="28"/>
        <v>93641.127372000003</v>
      </c>
      <c r="M346" s="23">
        <f t="shared" si="29"/>
        <v>50880.403392</v>
      </c>
      <c r="O346" s="23">
        <f>L346-'Part A (2&amp;3)'!R346</f>
        <v>11499.787572000016</v>
      </c>
      <c r="P346" s="23">
        <f>M346-'Part A (2&amp;3)'!T346</f>
        <v>3151.3635920000088</v>
      </c>
    </row>
    <row r="347" spans="5:16" x14ac:dyDescent="0.35">
      <c r="E347" s="8">
        <v>0.11799999999999999</v>
      </c>
      <c r="F347" s="27">
        <f t="shared" si="25"/>
        <v>0.11799999999999999</v>
      </c>
      <c r="G347" s="23">
        <v>5.36</v>
      </c>
      <c r="H347">
        <f t="shared" si="26"/>
        <v>5.8424000000000005</v>
      </c>
      <c r="I347">
        <v>9</v>
      </c>
      <c r="J347" s="28">
        <f t="shared" si="27"/>
        <v>10.260000000000002</v>
      </c>
      <c r="K347" s="23">
        <v>4.37</v>
      </c>
      <c r="L347" s="23">
        <f t="shared" si="28"/>
        <v>39.545528400000009</v>
      </c>
      <c r="M347" s="23">
        <f t="shared" si="29"/>
        <v>-20.397495600000006</v>
      </c>
      <c r="O347" s="23">
        <f>L347-'Part A (2&amp;3)'!R347</f>
        <v>4.8564684000000113</v>
      </c>
      <c r="P347" s="23">
        <f>M347-'Part A (2&amp;3)'!T347</f>
        <v>-6.8465556000000021</v>
      </c>
    </row>
    <row r="348" spans="5:16" x14ac:dyDescent="0.35">
      <c r="E348" s="8">
        <v>0.16800000000000001</v>
      </c>
      <c r="F348" s="27">
        <f t="shared" si="25"/>
        <v>0.12</v>
      </c>
      <c r="G348" s="23">
        <v>1491.85</v>
      </c>
      <c r="H348">
        <f t="shared" si="26"/>
        <v>1626.1165000000001</v>
      </c>
      <c r="I348">
        <v>4</v>
      </c>
      <c r="J348" s="28">
        <f t="shared" si="27"/>
        <v>4.5600000000000005</v>
      </c>
      <c r="K348" s="23">
        <v>2583.02</v>
      </c>
      <c r="L348" s="23">
        <f t="shared" si="28"/>
        <v>10365.142656000002</v>
      </c>
      <c r="M348" s="23">
        <f t="shared" si="29"/>
        <v>2950.0514160000002</v>
      </c>
      <c r="O348" s="23">
        <f>L348-'Part A (2&amp;3)'!R348</f>
        <v>1768.8520960000023</v>
      </c>
      <c r="P348" s="23">
        <f>M348-'Part A (2&amp;3)'!T348</f>
        <v>321.16085600000042</v>
      </c>
    </row>
    <row r="349" spans="5:16" x14ac:dyDescent="0.35">
      <c r="E349" s="8">
        <v>7.1999999999999995E-2</v>
      </c>
      <c r="F349" s="27">
        <f t="shared" si="25"/>
        <v>7.1999999999999995E-2</v>
      </c>
      <c r="G349" s="23">
        <v>1112.98</v>
      </c>
      <c r="H349">
        <f t="shared" si="26"/>
        <v>1213.1482000000001</v>
      </c>
      <c r="I349">
        <v>17</v>
      </c>
      <c r="J349" s="28">
        <f t="shared" si="27"/>
        <v>19.380000000000003</v>
      </c>
      <c r="K349" s="23">
        <v>2095.73</v>
      </c>
      <c r="L349" s="23">
        <f t="shared" si="28"/>
        <v>37690.949587200004</v>
      </c>
      <c r="M349" s="23">
        <f t="shared" si="29"/>
        <v>14180.1374712</v>
      </c>
      <c r="O349" s="23">
        <f>L349-'Part A (2&amp;3)'!R349</f>
        <v>4628.7131071999975</v>
      </c>
      <c r="P349" s="23">
        <f>M349-'Part A (2&amp;3)'!T349</f>
        <v>38.560991199992714</v>
      </c>
    </row>
    <row r="350" spans="5:16" x14ac:dyDescent="0.35">
      <c r="E350" s="8">
        <v>7.2999999999999995E-2</v>
      </c>
      <c r="F350" s="27">
        <f t="shared" si="25"/>
        <v>7.2999999999999995E-2</v>
      </c>
      <c r="G350" s="23">
        <v>753.43</v>
      </c>
      <c r="H350">
        <f t="shared" si="26"/>
        <v>821.23869999999999</v>
      </c>
      <c r="I350">
        <v>9</v>
      </c>
      <c r="J350" s="28">
        <f t="shared" si="27"/>
        <v>10.260000000000002</v>
      </c>
      <c r="K350" s="23">
        <v>1787.2</v>
      </c>
      <c r="L350" s="23">
        <f t="shared" si="28"/>
        <v>16998.094944000004</v>
      </c>
      <c r="M350" s="23">
        <f t="shared" si="29"/>
        <v>8572.1858820000034</v>
      </c>
      <c r="O350" s="23">
        <f>L350-'Part A (2&amp;3)'!R350</f>
        <v>2087.4853440000024</v>
      </c>
      <c r="P350" s="23">
        <f>M350-'Part A (2&amp;3)'!T350</f>
        <v>442.4462820000017</v>
      </c>
    </row>
    <row r="351" spans="5:16" x14ac:dyDescent="0.35">
      <c r="E351" s="8">
        <v>0.18</v>
      </c>
      <c r="F351" s="27">
        <f t="shared" si="25"/>
        <v>0.12</v>
      </c>
      <c r="G351" s="23">
        <v>1062.3800000000001</v>
      </c>
      <c r="H351">
        <f t="shared" si="26"/>
        <v>1157.9942000000001</v>
      </c>
      <c r="I351">
        <v>6</v>
      </c>
      <c r="J351" s="28">
        <f t="shared" si="27"/>
        <v>6.8400000000000007</v>
      </c>
      <c r="K351" s="23">
        <v>1503.96</v>
      </c>
      <c r="L351" s="23">
        <f t="shared" si="28"/>
        <v>9052.6360320000003</v>
      </c>
      <c r="M351" s="23">
        <f t="shared" si="29"/>
        <v>1131.9557039999991</v>
      </c>
      <c r="O351" s="23">
        <f>L351-'Part A (2&amp;3)'!R351</f>
        <v>1653.1528319999998</v>
      </c>
      <c r="P351" s="23">
        <f>M351-'Part A (2&amp;3)'!T351</f>
        <v>106.75250399999913</v>
      </c>
    </row>
    <row r="352" spans="5:16" x14ac:dyDescent="0.35">
      <c r="E352" s="8">
        <v>0</v>
      </c>
      <c r="F352" s="27">
        <f t="shared" si="25"/>
        <v>0</v>
      </c>
      <c r="G352" s="23">
        <v>748.39</v>
      </c>
      <c r="H352">
        <f t="shared" si="26"/>
        <v>815.74510000000009</v>
      </c>
      <c r="I352">
        <v>23</v>
      </c>
      <c r="J352" s="28">
        <f t="shared" si="27"/>
        <v>26.220000000000002</v>
      </c>
      <c r="K352" s="23">
        <v>979.42</v>
      </c>
      <c r="L352" s="23">
        <f t="shared" si="28"/>
        <v>25680.392400000001</v>
      </c>
      <c r="M352" s="23">
        <f t="shared" si="29"/>
        <v>4291.5558779999956</v>
      </c>
      <c r="O352" s="23">
        <f>L352-'Part A (2&amp;3)'!R352</f>
        <v>3153.7324000000008</v>
      </c>
      <c r="P352" s="23">
        <f>M352-'Part A (2&amp;3)'!T352</f>
        <v>-1022.1341220000031</v>
      </c>
    </row>
    <row r="353" spans="5:16" x14ac:dyDescent="0.35">
      <c r="E353" s="8">
        <v>6.6000000000000003E-2</v>
      </c>
      <c r="F353" s="27">
        <f t="shared" si="25"/>
        <v>6.6000000000000003E-2</v>
      </c>
      <c r="G353" s="23">
        <v>647.26</v>
      </c>
      <c r="H353">
        <f t="shared" si="26"/>
        <v>705.51340000000005</v>
      </c>
      <c r="I353">
        <v>22</v>
      </c>
      <c r="J353" s="28">
        <f t="shared" si="27"/>
        <v>25.080000000000002</v>
      </c>
      <c r="K353" s="23">
        <v>1374.72</v>
      </c>
      <c r="L353" s="23">
        <f t="shared" si="28"/>
        <v>32202.431078400001</v>
      </c>
      <c r="M353" s="23">
        <f t="shared" si="29"/>
        <v>14508.155006399997</v>
      </c>
      <c r="O353" s="23">
        <f>L353-'Part A (2&amp;3)'!R353</f>
        <v>3954.6845184000013</v>
      </c>
      <c r="P353" s="23">
        <f>M353-'Part A (2&amp;3)'!T353</f>
        <v>500.12844639999639</v>
      </c>
    </row>
    <row r="354" spans="5:16" x14ac:dyDescent="0.35">
      <c r="E354" s="8">
        <v>7.0999999999999994E-2</v>
      </c>
      <c r="F354" s="27">
        <f t="shared" si="25"/>
        <v>7.0999999999999994E-2</v>
      </c>
      <c r="G354" s="23">
        <v>105.13</v>
      </c>
      <c r="H354">
        <f t="shared" si="26"/>
        <v>114.5917</v>
      </c>
      <c r="I354">
        <v>14</v>
      </c>
      <c r="J354" s="28">
        <f t="shared" si="27"/>
        <v>15.96</v>
      </c>
      <c r="K354" s="23">
        <v>244.13</v>
      </c>
      <c r="L354" s="23">
        <f t="shared" si="28"/>
        <v>3619.6764492000002</v>
      </c>
      <c r="M354" s="23">
        <f t="shared" si="29"/>
        <v>1790.7929172000001</v>
      </c>
      <c r="O354" s="23">
        <f>L354-'Part A (2&amp;3)'!R354</f>
        <v>444.52166920000036</v>
      </c>
      <c r="P354" s="23">
        <f>M354-'Part A (2&amp;3)'!T354</f>
        <v>87.458137200000237</v>
      </c>
    </row>
    <row r="355" spans="5:16" x14ac:dyDescent="0.35">
      <c r="E355" s="8">
        <v>0.17499999999999999</v>
      </c>
      <c r="F355" s="27">
        <f t="shared" si="25"/>
        <v>0.12</v>
      </c>
      <c r="G355" s="23">
        <v>702.98</v>
      </c>
      <c r="H355">
        <f t="shared" si="26"/>
        <v>766.24820000000011</v>
      </c>
      <c r="I355">
        <v>12</v>
      </c>
      <c r="J355" s="28">
        <f t="shared" si="27"/>
        <v>13.680000000000001</v>
      </c>
      <c r="K355" s="23">
        <v>1104.8</v>
      </c>
      <c r="L355" s="23">
        <f t="shared" si="28"/>
        <v>13300.02432</v>
      </c>
      <c r="M355" s="23">
        <f t="shared" si="29"/>
        <v>2817.7489439999972</v>
      </c>
      <c r="O355" s="23">
        <f>L355-'Part A (2&amp;3)'!R355</f>
        <v>2362.5043200000018</v>
      </c>
      <c r="P355" s="23">
        <f>M355-'Part A (2&amp;3)'!T355</f>
        <v>315.98894399999881</v>
      </c>
    </row>
    <row r="356" spans="5:16" x14ac:dyDescent="0.35">
      <c r="E356" s="8">
        <v>0.254</v>
      </c>
      <c r="F356" s="27">
        <f t="shared" si="25"/>
        <v>0.12</v>
      </c>
      <c r="G356" s="23">
        <v>801.77</v>
      </c>
      <c r="H356">
        <f t="shared" si="26"/>
        <v>873.92930000000001</v>
      </c>
      <c r="I356">
        <v>16</v>
      </c>
      <c r="J356" s="28">
        <f t="shared" si="27"/>
        <v>18.240000000000002</v>
      </c>
      <c r="K356" s="23">
        <v>1218.92</v>
      </c>
      <c r="L356" s="23">
        <f t="shared" si="28"/>
        <v>19565.128704000002</v>
      </c>
      <c r="M356" s="23">
        <f t="shared" si="29"/>
        <v>3624.6582720000006</v>
      </c>
      <c r="O356" s="23">
        <f>L356-'Part A (2&amp;3)'!R356</f>
        <v>5016.0995840000014</v>
      </c>
      <c r="P356" s="23">
        <f>M356-'Part A (2&amp;3)'!T356</f>
        <v>1903.9491519999992</v>
      </c>
    </row>
    <row r="357" spans="5:16" x14ac:dyDescent="0.35">
      <c r="E357" s="8">
        <v>5.8000000000000003E-2</v>
      </c>
      <c r="F357" s="27">
        <f t="shared" si="25"/>
        <v>5.8000000000000003E-2</v>
      </c>
      <c r="G357" s="23">
        <v>941.35</v>
      </c>
      <c r="H357">
        <f t="shared" si="26"/>
        <v>1026.0715</v>
      </c>
      <c r="I357">
        <v>18</v>
      </c>
      <c r="J357" s="28">
        <f t="shared" si="27"/>
        <v>20.520000000000003</v>
      </c>
      <c r="K357" s="23">
        <v>899.83</v>
      </c>
      <c r="L357" s="23">
        <f t="shared" si="28"/>
        <v>17393.569927200002</v>
      </c>
      <c r="M357" s="23">
        <f t="shared" si="29"/>
        <v>-3661.4172528000017</v>
      </c>
      <c r="O357" s="23">
        <f>L357-'Part A (2&amp;3)'!R357</f>
        <v>2136.0524472000016</v>
      </c>
      <c r="P357" s="23">
        <f>M357-'Part A (2&amp;3)'!T357</f>
        <v>-1974.6347328000029</v>
      </c>
    </row>
    <row r="358" spans="5:16" x14ac:dyDescent="0.35">
      <c r="E358" s="8">
        <v>0.125</v>
      </c>
      <c r="F358" s="27">
        <f t="shared" si="25"/>
        <v>0.12</v>
      </c>
      <c r="G358" s="23">
        <v>857.24</v>
      </c>
      <c r="H358">
        <f t="shared" si="26"/>
        <v>934.39160000000004</v>
      </c>
      <c r="I358">
        <v>6</v>
      </c>
      <c r="J358" s="28">
        <f t="shared" si="27"/>
        <v>6.8400000000000007</v>
      </c>
      <c r="K358" s="23">
        <v>758.23</v>
      </c>
      <c r="L358" s="23">
        <f t="shared" si="28"/>
        <v>4563.9380160000001</v>
      </c>
      <c r="M358" s="23">
        <f t="shared" si="29"/>
        <v>-1827.3005280000007</v>
      </c>
      <c r="O358" s="23">
        <f>L358-'Part A (2&amp;3)'!R358</f>
        <v>583.23051600000008</v>
      </c>
      <c r="P358" s="23">
        <f>M358-'Part A (2&amp;3)'!T358</f>
        <v>-664.56802800000014</v>
      </c>
    </row>
    <row r="359" spans="5:16" x14ac:dyDescent="0.35">
      <c r="E359" s="8">
        <v>0.126</v>
      </c>
      <c r="F359" s="27">
        <f t="shared" si="25"/>
        <v>0.12</v>
      </c>
      <c r="G359" s="23">
        <v>501.5</v>
      </c>
      <c r="H359">
        <f t="shared" si="26"/>
        <v>546.63499999999999</v>
      </c>
      <c r="I359">
        <v>5</v>
      </c>
      <c r="J359" s="28">
        <f t="shared" si="27"/>
        <v>5.7000000000000011</v>
      </c>
      <c r="K359" s="23">
        <v>1201.47</v>
      </c>
      <c r="L359" s="23">
        <f t="shared" si="28"/>
        <v>6026.5735200000008</v>
      </c>
      <c r="M359" s="23">
        <f t="shared" si="29"/>
        <v>2910.7540200000003</v>
      </c>
      <c r="O359" s="23">
        <f>L359-'Part A (2&amp;3)'!R359</f>
        <v>776.14962000000014</v>
      </c>
      <c r="P359" s="23">
        <f>M359-'Part A (2&amp;3)'!T359</f>
        <v>167.83011999999962</v>
      </c>
    </row>
    <row r="360" spans="5:16" x14ac:dyDescent="0.35">
      <c r="E360" s="8">
        <v>7.1999999999999995E-2</v>
      </c>
      <c r="F360" s="27">
        <f t="shared" si="25"/>
        <v>7.1999999999999995E-2</v>
      </c>
      <c r="G360" s="23">
        <v>1494.4</v>
      </c>
      <c r="H360">
        <f t="shared" si="26"/>
        <v>1628.8960000000002</v>
      </c>
      <c r="I360">
        <v>7</v>
      </c>
      <c r="J360" s="28">
        <f t="shared" si="27"/>
        <v>7.98</v>
      </c>
      <c r="K360" s="23">
        <v>3661.07</v>
      </c>
      <c r="L360" s="23">
        <f t="shared" si="28"/>
        <v>27111.834220800007</v>
      </c>
      <c r="M360" s="23">
        <f t="shared" si="29"/>
        <v>14113.244140800005</v>
      </c>
      <c r="O360" s="23">
        <f>L360-'Part A (2&amp;3)'!R360</f>
        <v>3329.5235008000054</v>
      </c>
      <c r="P360" s="23">
        <f>M360-'Part A (2&amp;3)'!T360</f>
        <v>791.73342080000475</v>
      </c>
    </row>
    <row r="361" spans="5:16" x14ac:dyDescent="0.35">
      <c r="E361" s="8">
        <v>0.10299999999999999</v>
      </c>
      <c r="F361" s="27">
        <f t="shared" si="25"/>
        <v>0.10299999999999999</v>
      </c>
      <c r="G361" s="23">
        <v>986.81</v>
      </c>
      <c r="H361">
        <f t="shared" si="26"/>
        <v>1075.6229000000001</v>
      </c>
      <c r="I361">
        <v>43</v>
      </c>
      <c r="J361" s="28">
        <f t="shared" si="27"/>
        <v>49.02</v>
      </c>
      <c r="K361" s="23">
        <v>2050.31</v>
      </c>
      <c r="L361" s="23">
        <f t="shared" si="28"/>
        <v>90154.057991400012</v>
      </c>
      <c r="M361" s="23">
        <f t="shared" si="29"/>
        <v>37427.023433400005</v>
      </c>
      <c r="O361" s="23">
        <f>L361-'Part A (2&amp;3)'!R361</f>
        <v>11071.550981400011</v>
      </c>
      <c r="P361" s="23">
        <f>M361-'Part A (2&amp;3)'!T361</f>
        <v>777.34642339999846</v>
      </c>
    </row>
    <row r="362" spans="5:16" x14ac:dyDescent="0.35">
      <c r="E362" s="8">
        <v>0.192</v>
      </c>
      <c r="F362" s="27">
        <f t="shared" si="25"/>
        <v>0.12</v>
      </c>
      <c r="G362" s="23">
        <v>1339.24</v>
      </c>
      <c r="H362">
        <f t="shared" si="26"/>
        <v>1459.7716</v>
      </c>
      <c r="I362">
        <v>24</v>
      </c>
      <c r="J362" s="28">
        <f t="shared" si="27"/>
        <v>27.360000000000003</v>
      </c>
      <c r="K362" s="23">
        <v>1558.89</v>
      </c>
      <c r="L362" s="23">
        <f t="shared" si="28"/>
        <v>37533.082752000002</v>
      </c>
      <c r="M362" s="23">
        <f t="shared" si="29"/>
        <v>-2406.2682240000067</v>
      </c>
      <c r="O362" s="23">
        <f>L362-'Part A (2&amp;3)'!R362</f>
        <v>7303.0878720000001</v>
      </c>
      <c r="P362" s="23">
        <f>M362-'Part A (2&amp;3)'!T362</f>
        <v>-494.50310400000672</v>
      </c>
    </row>
    <row r="363" spans="5:16" x14ac:dyDescent="0.35">
      <c r="E363" s="8">
        <v>0.122</v>
      </c>
      <c r="F363" s="27">
        <f t="shared" si="25"/>
        <v>0.12</v>
      </c>
      <c r="G363" s="23">
        <v>798.97</v>
      </c>
      <c r="H363">
        <f t="shared" si="26"/>
        <v>870.8773000000001</v>
      </c>
      <c r="I363">
        <v>16</v>
      </c>
      <c r="J363" s="28">
        <f t="shared" si="27"/>
        <v>18.240000000000002</v>
      </c>
      <c r="K363" s="23">
        <v>1814.06</v>
      </c>
      <c r="L363" s="23">
        <f t="shared" si="28"/>
        <v>29117.839872</v>
      </c>
      <c r="M363" s="23">
        <f t="shared" si="29"/>
        <v>13233.037919999997</v>
      </c>
      <c r="O363" s="23">
        <f>L363-'Part A (2&amp;3)'!R363</f>
        <v>3633.9249920000002</v>
      </c>
      <c r="P363" s="23">
        <f>M363-'Part A (2&amp;3)'!T363</f>
        <v>532.6430399999972</v>
      </c>
    </row>
    <row r="364" spans="5:16" x14ac:dyDescent="0.35">
      <c r="E364" s="8">
        <v>0.192</v>
      </c>
      <c r="F364" s="27">
        <f t="shared" si="25"/>
        <v>0.12</v>
      </c>
      <c r="G364" s="23">
        <v>1252.52</v>
      </c>
      <c r="H364">
        <f t="shared" si="26"/>
        <v>1365.2468000000001</v>
      </c>
      <c r="I364">
        <v>5</v>
      </c>
      <c r="J364" s="28">
        <f t="shared" si="27"/>
        <v>5.7000000000000011</v>
      </c>
      <c r="K364" s="23">
        <v>1417.24</v>
      </c>
      <c r="L364" s="23">
        <f t="shared" si="28"/>
        <v>7108.8758400000015</v>
      </c>
      <c r="M364" s="23">
        <f t="shared" si="29"/>
        <v>-673.03092000000106</v>
      </c>
      <c r="O364" s="23">
        <f>L364-'Part A (2&amp;3)'!R364</f>
        <v>1383.2262400000009</v>
      </c>
      <c r="P364" s="23">
        <f>M364-'Part A (2&amp;3)'!T364</f>
        <v>-136.08052000000134</v>
      </c>
    </row>
    <row r="365" spans="5:16" x14ac:dyDescent="0.35">
      <c r="E365" s="8">
        <v>0.14099999999999999</v>
      </c>
      <c r="F365" s="27">
        <f t="shared" si="25"/>
        <v>0.12</v>
      </c>
      <c r="G365" s="23">
        <v>643.21</v>
      </c>
      <c r="H365">
        <f t="shared" si="26"/>
        <v>701.09890000000007</v>
      </c>
      <c r="I365">
        <v>4</v>
      </c>
      <c r="J365" s="28">
        <f t="shared" si="27"/>
        <v>4.5600000000000005</v>
      </c>
      <c r="K365" s="23">
        <v>1112.81</v>
      </c>
      <c r="L365" s="23">
        <f t="shared" si="28"/>
        <v>4465.4839680000005</v>
      </c>
      <c r="M365" s="23">
        <f t="shared" si="29"/>
        <v>1268.472984</v>
      </c>
      <c r="O365" s="23">
        <f>L365-'Part A (2&amp;3)'!R365</f>
        <v>641.86880800000063</v>
      </c>
      <c r="P365" s="23">
        <f>M365-'Part A (2&amp;3)'!T365</f>
        <v>17.69782400000031</v>
      </c>
    </row>
    <row r="366" spans="5:16" x14ac:dyDescent="0.35">
      <c r="E366" s="8">
        <v>0.113</v>
      </c>
      <c r="F366" s="27">
        <f t="shared" si="25"/>
        <v>0.113</v>
      </c>
      <c r="G366" s="23">
        <v>352.79</v>
      </c>
      <c r="H366">
        <f t="shared" si="26"/>
        <v>384.54110000000003</v>
      </c>
      <c r="I366">
        <v>7</v>
      </c>
      <c r="J366" s="28">
        <f t="shared" si="27"/>
        <v>7.98</v>
      </c>
      <c r="K366" s="23">
        <v>754.22</v>
      </c>
      <c r="L366" s="23">
        <f t="shared" si="28"/>
        <v>5338.5652572000008</v>
      </c>
      <c r="M366" s="23">
        <f t="shared" si="29"/>
        <v>2269.9272792000006</v>
      </c>
      <c r="O366" s="23">
        <f>L366-'Part A (2&amp;3)'!R366</f>
        <v>655.61327720000099</v>
      </c>
      <c r="P366" s="23">
        <f>M366-'Part A (2&amp;3)'!T366</f>
        <v>56.505299200000991</v>
      </c>
    </row>
    <row r="367" spans="5:16" x14ac:dyDescent="0.35">
      <c r="E367" s="8">
        <v>0.111</v>
      </c>
      <c r="F367" s="27">
        <f t="shared" si="25"/>
        <v>0.111</v>
      </c>
      <c r="G367" s="23">
        <v>436.58</v>
      </c>
      <c r="H367">
        <f t="shared" si="26"/>
        <v>475.87220000000002</v>
      </c>
      <c r="I367">
        <v>19</v>
      </c>
      <c r="J367" s="28">
        <f t="shared" si="27"/>
        <v>21.660000000000004</v>
      </c>
      <c r="K367" s="23">
        <v>527.48</v>
      </c>
      <c r="L367" s="23">
        <f t="shared" si="28"/>
        <v>10157.017735200003</v>
      </c>
      <c r="M367" s="23">
        <f t="shared" si="29"/>
        <v>-150.37411679999968</v>
      </c>
      <c r="O367" s="23">
        <f>L367-'Part A (2&amp;3)'!R367</f>
        <v>1247.3530552000011</v>
      </c>
      <c r="P367" s="23">
        <f>M367-'Part A (2&amp;3)'!T367</f>
        <v>-765.01879680000093</v>
      </c>
    </row>
    <row r="368" spans="5:16" x14ac:dyDescent="0.35">
      <c r="E368" s="8">
        <v>0.17899999999999999</v>
      </c>
      <c r="F368" s="27">
        <f t="shared" si="25"/>
        <v>0.12</v>
      </c>
      <c r="G368" s="23">
        <v>1233.3599999999999</v>
      </c>
      <c r="H368">
        <f t="shared" si="26"/>
        <v>1344.3624</v>
      </c>
      <c r="I368">
        <v>20</v>
      </c>
      <c r="J368" s="28">
        <f t="shared" si="27"/>
        <v>22.800000000000004</v>
      </c>
      <c r="K368" s="23">
        <v>2120.4</v>
      </c>
      <c r="L368" s="23">
        <f t="shared" si="28"/>
        <v>42543.705600000008</v>
      </c>
      <c r="M368" s="23">
        <f t="shared" si="29"/>
        <v>11892.242880000002</v>
      </c>
      <c r="O368" s="23">
        <f>L368-'Part A (2&amp;3)'!R368</f>
        <v>7726.7376000000077</v>
      </c>
      <c r="P368" s="23">
        <f>M368-'Part A (2&amp;3)'!T368</f>
        <v>1742.4748799999979</v>
      </c>
    </row>
    <row r="369" spans="5:16" x14ac:dyDescent="0.35">
      <c r="E369" s="8">
        <v>0.105</v>
      </c>
      <c r="F369" s="27">
        <f t="shared" si="25"/>
        <v>0.105</v>
      </c>
      <c r="G369" s="23">
        <v>229.96</v>
      </c>
      <c r="H369">
        <f t="shared" si="26"/>
        <v>250.65640000000002</v>
      </c>
      <c r="I369">
        <v>5</v>
      </c>
      <c r="J369" s="28">
        <f t="shared" si="27"/>
        <v>5.7000000000000011</v>
      </c>
      <c r="K369" s="23">
        <v>564.26</v>
      </c>
      <c r="L369" s="23">
        <f t="shared" si="28"/>
        <v>2878.5723900000007</v>
      </c>
      <c r="M369" s="23">
        <f t="shared" si="29"/>
        <v>1449.8309100000004</v>
      </c>
      <c r="O369" s="23">
        <f>L369-'Part A (2&amp;3)'!R369</f>
        <v>353.50889000000052</v>
      </c>
      <c r="P369" s="23">
        <f>M369-'Part A (2&amp;3)'!T369</f>
        <v>74.567410000000109</v>
      </c>
    </row>
    <row r="370" spans="5:16" x14ac:dyDescent="0.35">
      <c r="E370" s="8">
        <v>0.23599999999999999</v>
      </c>
      <c r="F370" s="27">
        <f t="shared" si="25"/>
        <v>0.12</v>
      </c>
      <c r="G370" s="23">
        <v>797.8</v>
      </c>
      <c r="H370">
        <f t="shared" si="26"/>
        <v>869.60199999999998</v>
      </c>
      <c r="I370">
        <v>36</v>
      </c>
      <c r="J370" s="28">
        <f t="shared" si="27"/>
        <v>41.040000000000006</v>
      </c>
      <c r="K370" s="23">
        <v>886.22</v>
      </c>
      <c r="L370" s="23">
        <f t="shared" si="28"/>
        <v>32006.012544000005</v>
      </c>
      <c r="M370" s="23">
        <f t="shared" si="29"/>
        <v>-3682.4535360000009</v>
      </c>
      <c r="O370" s="23">
        <f>L370-'Part A (2&amp;3)'!R370</f>
        <v>7631.4176640000042</v>
      </c>
      <c r="P370" s="23">
        <f>M370-'Part A (2&amp;3)'!T370</f>
        <v>663.75158399999782</v>
      </c>
    </row>
    <row r="371" spans="5:16" x14ac:dyDescent="0.35">
      <c r="E371" s="8">
        <v>0.18</v>
      </c>
      <c r="F371" s="27">
        <f t="shared" si="25"/>
        <v>0.12</v>
      </c>
      <c r="G371" s="23">
        <v>850.7</v>
      </c>
      <c r="H371">
        <f t="shared" si="26"/>
        <v>927.26300000000015</v>
      </c>
      <c r="I371">
        <v>19</v>
      </c>
      <c r="J371" s="28">
        <f t="shared" si="27"/>
        <v>21.660000000000004</v>
      </c>
      <c r="K371" s="23">
        <v>1118.56</v>
      </c>
      <c r="L371" s="23">
        <f t="shared" si="28"/>
        <v>21320.648448</v>
      </c>
      <c r="M371" s="23">
        <f t="shared" si="29"/>
        <v>1236.1318679999931</v>
      </c>
      <c r="O371" s="23">
        <f>L371-'Part A (2&amp;3)'!R371</f>
        <v>3893.4836479999976</v>
      </c>
      <c r="P371" s="23">
        <f>M371-'Part A (2&amp;3)'!T371</f>
        <v>-27.732932000008077</v>
      </c>
    </row>
    <row r="372" spans="5:16" x14ac:dyDescent="0.35">
      <c r="E372" s="8">
        <v>0.123</v>
      </c>
      <c r="F372" s="27">
        <f t="shared" si="25"/>
        <v>0.12</v>
      </c>
      <c r="G372" s="23">
        <v>1138.8</v>
      </c>
      <c r="H372">
        <f t="shared" si="26"/>
        <v>1241.2920000000001</v>
      </c>
      <c r="I372">
        <v>12</v>
      </c>
      <c r="J372" s="28">
        <f t="shared" si="27"/>
        <v>13.680000000000001</v>
      </c>
      <c r="K372" s="23">
        <v>2250.81</v>
      </c>
      <c r="L372" s="23">
        <f t="shared" si="28"/>
        <v>27096.151104000004</v>
      </c>
      <c r="M372" s="23">
        <f t="shared" si="29"/>
        <v>10115.276544</v>
      </c>
      <c r="O372" s="23">
        <f>L372-'Part A (2&amp;3)'!R372</f>
        <v>3408.6266640000031</v>
      </c>
      <c r="P372" s="23">
        <f>M372-'Part A (2&amp;3)'!T372</f>
        <v>93.35210399999778</v>
      </c>
    </row>
    <row r="373" spans="5:16" x14ac:dyDescent="0.35">
      <c r="E373" s="8">
        <v>8.6999999999999994E-2</v>
      </c>
      <c r="F373" s="27">
        <f t="shared" si="25"/>
        <v>8.6999999999999994E-2</v>
      </c>
      <c r="G373" s="23">
        <v>1291.7</v>
      </c>
      <c r="H373">
        <f t="shared" si="26"/>
        <v>1407.9530000000002</v>
      </c>
      <c r="I373">
        <v>21</v>
      </c>
      <c r="J373" s="28">
        <f t="shared" si="27"/>
        <v>23.94</v>
      </c>
      <c r="K373" s="23">
        <v>2657.84</v>
      </c>
      <c r="L373" s="23">
        <f t="shared" si="28"/>
        <v>58092.993604800009</v>
      </c>
      <c r="M373" s="23">
        <f t="shared" si="29"/>
        <v>24386.5987848</v>
      </c>
      <c r="O373" s="23">
        <f>L373-'Part A (2&amp;3)'!R373</f>
        <v>7134.2272848000066</v>
      </c>
      <c r="P373" s="23">
        <f>M373-'Part A (2&amp;3)'!T373</f>
        <v>553.53246479999871</v>
      </c>
    </row>
    <row r="374" spans="5:16" x14ac:dyDescent="0.35">
      <c r="E374" s="8">
        <v>0.13300000000000001</v>
      </c>
      <c r="F374" s="27">
        <f t="shared" si="25"/>
        <v>0.12</v>
      </c>
      <c r="G374" s="23">
        <v>165.3</v>
      </c>
      <c r="H374">
        <f t="shared" si="26"/>
        <v>180.17700000000002</v>
      </c>
      <c r="I374">
        <v>25</v>
      </c>
      <c r="J374" s="28">
        <f t="shared" si="27"/>
        <v>28.500000000000004</v>
      </c>
      <c r="K374" s="23">
        <v>275.07</v>
      </c>
      <c r="L374" s="23">
        <f t="shared" si="28"/>
        <v>6898.7556000000004</v>
      </c>
      <c r="M374" s="23">
        <f t="shared" si="29"/>
        <v>1763.7110999999995</v>
      </c>
      <c r="O374" s="23">
        <f>L374-'Part A (2&amp;3)'!R374</f>
        <v>936.61335000000054</v>
      </c>
      <c r="P374" s="23">
        <f>M374-'Part A (2&amp;3)'!T374</f>
        <v>-65.931150000000343</v>
      </c>
    </row>
    <row r="375" spans="5:16" x14ac:dyDescent="0.35">
      <c r="E375" s="8">
        <v>0.3</v>
      </c>
      <c r="F375" s="27">
        <f t="shared" si="25"/>
        <v>0.12</v>
      </c>
      <c r="G375" s="23">
        <v>1154.03</v>
      </c>
      <c r="H375">
        <f t="shared" si="26"/>
        <v>1257.8927000000001</v>
      </c>
      <c r="I375">
        <v>18</v>
      </c>
      <c r="J375" s="28">
        <f t="shared" si="27"/>
        <v>20.520000000000003</v>
      </c>
      <c r="K375" s="23">
        <v>1590.36</v>
      </c>
      <c r="L375" s="23">
        <f t="shared" si="28"/>
        <v>28718.084736000001</v>
      </c>
      <c r="M375" s="23">
        <f t="shared" si="29"/>
        <v>2906.1265319999948</v>
      </c>
      <c r="O375" s="23">
        <f>L375-'Part A (2&amp;3)'!R375</f>
        <v>8679.5487360000006</v>
      </c>
      <c r="P375" s="23">
        <f>M375-'Part A (2&amp;3)'!T375</f>
        <v>3640.1305319999956</v>
      </c>
    </row>
    <row r="376" spans="5:16" x14ac:dyDescent="0.35">
      <c r="E376" s="8">
        <v>0</v>
      </c>
      <c r="F376" s="27">
        <f t="shared" si="25"/>
        <v>0</v>
      </c>
      <c r="G376" s="23">
        <v>297.58999999999997</v>
      </c>
      <c r="H376">
        <f t="shared" si="26"/>
        <v>324.37310000000002</v>
      </c>
      <c r="I376">
        <v>10</v>
      </c>
      <c r="J376" s="28">
        <f t="shared" si="27"/>
        <v>11.400000000000002</v>
      </c>
      <c r="K376" s="23">
        <v>666.41</v>
      </c>
      <c r="L376" s="23">
        <f t="shared" si="28"/>
        <v>7597.0740000000014</v>
      </c>
      <c r="M376" s="23">
        <f t="shared" si="29"/>
        <v>3899.2206600000004</v>
      </c>
      <c r="O376" s="23">
        <f>L376-'Part A (2&amp;3)'!R376</f>
        <v>932.97400000000198</v>
      </c>
      <c r="P376" s="23">
        <f>M376-'Part A (2&amp;3)'!T376</f>
        <v>211.02066000000059</v>
      </c>
    </row>
    <row r="377" spans="5:16" x14ac:dyDescent="0.35">
      <c r="E377" s="8">
        <v>0.16</v>
      </c>
      <c r="F377" s="27">
        <f t="shared" si="25"/>
        <v>0.12</v>
      </c>
      <c r="G377" s="23">
        <v>1337.01</v>
      </c>
      <c r="H377">
        <f t="shared" si="26"/>
        <v>1457.3409000000001</v>
      </c>
      <c r="I377">
        <v>7</v>
      </c>
      <c r="J377" s="28">
        <f t="shared" si="27"/>
        <v>7.98</v>
      </c>
      <c r="K377" s="23">
        <v>1269.78</v>
      </c>
      <c r="L377" s="23">
        <f t="shared" si="28"/>
        <v>8916.903072000001</v>
      </c>
      <c r="M377" s="23">
        <f t="shared" si="29"/>
        <v>-2712.6773100000009</v>
      </c>
      <c r="O377" s="23">
        <f>L377-'Part A (2&amp;3)'!R377</f>
        <v>1450.5966720000024</v>
      </c>
      <c r="P377" s="23">
        <f>M377-'Part A (2&amp;3)'!T377</f>
        <v>-819.91370999999981</v>
      </c>
    </row>
    <row r="378" spans="5:16" x14ac:dyDescent="0.35">
      <c r="E378" s="8">
        <v>4.2999999999999997E-2</v>
      </c>
      <c r="F378" s="27">
        <f t="shared" si="25"/>
        <v>4.2999999999999997E-2</v>
      </c>
      <c r="G378" s="23">
        <v>90.04</v>
      </c>
      <c r="H378">
        <f t="shared" si="26"/>
        <v>98.143600000000021</v>
      </c>
      <c r="I378">
        <v>32</v>
      </c>
      <c r="J378" s="28">
        <f t="shared" si="27"/>
        <v>36.480000000000004</v>
      </c>
      <c r="K378" s="23">
        <v>194.62</v>
      </c>
      <c r="L378" s="23">
        <f t="shared" si="28"/>
        <v>6794.4488832000006</v>
      </c>
      <c r="M378" s="23">
        <f t="shared" si="29"/>
        <v>3214.1703551999994</v>
      </c>
      <c r="O378" s="23">
        <f>L378-'Part A (2&amp;3)'!R378</f>
        <v>834.40600320000067</v>
      </c>
      <c r="P378" s="23">
        <f>M378-'Part A (2&amp;3)'!T378</f>
        <v>135.40747519999968</v>
      </c>
    </row>
    <row r="379" spans="5:16" x14ac:dyDescent="0.35">
      <c r="E379" s="8">
        <v>0</v>
      </c>
      <c r="F379" s="27">
        <f t="shared" si="25"/>
        <v>0</v>
      </c>
      <c r="G379" s="23">
        <v>1432.52</v>
      </c>
      <c r="H379">
        <f t="shared" si="26"/>
        <v>1561.4468000000002</v>
      </c>
      <c r="I379">
        <v>9</v>
      </c>
      <c r="J379" s="28">
        <f t="shared" si="27"/>
        <v>10.260000000000002</v>
      </c>
      <c r="K379" s="23">
        <v>3036.87</v>
      </c>
      <c r="L379" s="23">
        <f t="shared" si="28"/>
        <v>31158.286200000002</v>
      </c>
      <c r="M379" s="23">
        <f t="shared" si="29"/>
        <v>15137.842031999999</v>
      </c>
      <c r="O379" s="23">
        <f>L379-'Part A (2&amp;3)'!R379</f>
        <v>3826.4562000000042</v>
      </c>
      <c r="P379" s="23">
        <f>M379-'Part A (2&amp;3)'!T379</f>
        <v>698.69203200000084</v>
      </c>
    </row>
    <row r="380" spans="5:16" x14ac:dyDescent="0.35">
      <c r="E380" s="8">
        <v>3.6999999999999998E-2</v>
      </c>
      <c r="F380" s="27">
        <f t="shared" si="25"/>
        <v>3.6999999999999998E-2</v>
      </c>
      <c r="G380" s="23">
        <v>1024.01</v>
      </c>
      <c r="H380">
        <f t="shared" si="26"/>
        <v>1116.1709000000001</v>
      </c>
      <c r="I380">
        <v>27</v>
      </c>
      <c r="J380" s="28">
        <f t="shared" si="27"/>
        <v>30.780000000000005</v>
      </c>
      <c r="K380" s="23">
        <v>1580.97</v>
      </c>
      <c r="L380" s="23">
        <f t="shared" si="28"/>
        <v>46861.753105800002</v>
      </c>
      <c r="M380" s="23">
        <f t="shared" si="29"/>
        <v>12506.012803799997</v>
      </c>
      <c r="O380" s="23">
        <f>L380-'Part A (2&amp;3)'!R380</f>
        <v>5754.9521357999984</v>
      </c>
      <c r="P380" s="23">
        <f>M380-'Part A (2&amp;3)'!T380</f>
        <v>-952.51816620000682</v>
      </c>
    </row>
    <row r="381" spans="5:16" x14ac:dyDescent="0.35">
      <c r="E381" s="8">
        <v>2.5000000000000001E-2</v>
      </c>
      <c r="F381" s="27">
        <f t="shared" si="25"/>
        <v>2.5000000000000001E-2</v>
      </c>
      <c r="G381" s="23">
        <v>896.75</v>
      </c>
      <c r="H381">
        <f t="shared" si="26"/>
        <v>977.4575000000001</v>
      </c>
      <c r="I381">
        <v>15</v>
      </c>
      <c r="J381" s="28">
        <f t="shared" si="27"/>
        <v>17.100000000000001</v>
      </c>
      <c r="K381" s="23">
        <v>1651.14</v>
      </c>
      <c r="L381" s="23">
        <f t="shared" si="28"/>
        <v>27528.631650000003</v>
      </c>
      <c r="M381" s="23">
        <f t="shared" si="29"/>
        <v>10814.108400000001</v>
      </c>
      <c r="O381" s="23">
        <f>L381-'Part A (2&amp;3)'!R381</f>
        <v>3380.7091500000024</v>
      </c>
      <c r="P381" s="23">
        <f>M381-'Part A (2&amp;3)'!T381</f>
        <v>117.4359000000004</v>
      </c>
    </row>
    <row r="382" spans="5:16" x14ac:dyDescent="0.35">
      <c r="E382" s="8">
        <v>0.13400000000000001</v>
      </c>
      <c r="F382" s="27">
        <f t="shared" si="25"/>
        <v>0.12</v>
      </c>
      <c r="G382" s="23">
        <v>1394.65</v>
      </c>
      <c r="H382">
        <f t="shared" si="26"/>
        <v>1520.1685000000002</v>
      </c>
      <c r="I382">
        <v>13</v>
      </c>
      <c r="J382" s="28">
        <f t="shared" si="27"/>
        <v>14.820000000000002</v>
      </c>
      <c r="K382" s="23">
        <v>3144.1</v>
      </c>
      <c r="L382" s="23">
        <f t="shared" si="28"/>
        <v>41004.094560000005</v>
      </c>
      <c r="M382" s="23">
        <f t="shared" si="29"/>
        <v>18475.197389999998</v>
      </c>
      <c r="O382" s="23">
        <f>L382-'Part A (2&amp;3)'!R382</f>
        <v>5607.8167600000088</v>
      </c>
      <c r="P382" s="23">
        <f>M382-'Part A (2&amp;3)'!T382</f>
        <v>1209.3695900000021</v>
      </c>
    </row>
    <row r="383" spans="5:16" x14ac:dyDescent="0.35">
      <c r="E383" s="8">
        <v>0.24099999999999999</v>
      </c>
      <c r="F383" s="27">
        <f t="shared" si="25"/>
        <v>0.12</v>
      </c>
      <c r="G383" s="23">
        <v>466.16</v>
      </c>
      <c r="H383">
        <f t="shared" si="26"/>
        <v>508.11440000000005</v>
      </c>
      <c r="I383">
        <v>8</v>
      </c>
      <c r="J383" s="28">
        <f t="shared" si="27"/>
        <v>9.120000000000001</v>
      </c>
      <c r="K383" s="23">
        <v>876.81</v>
      </c>
      <c r="L383" s="23">
        <f t="shared" si="28"/>
        <v>7036.9263360000004</v>
      </c>
      <c r="M383" s="23">
        <f t="shared" si="29"/>
        <v>2402.9230079999998</v>
      </c>
      <c r="O383" s="23">
        <f>L383-'Part A (2&amp;3)'!R383</f>
        <v>1712.9360160000006</v>
      </c>
      <c r="P383" s="23">
        <f>M383-'Part A (2&amp;3)'!T383</f>
        <v>808.21268800000007</v>
      </c>
    </row>
    <row r="384" spans="5:16" x14ac:dyDescent="0.35">
      <c r="E384" s="8">
        <v>0.125</v>
      </c>
      <c r="F384" s="27">
        <f t="shared" si="25"/>
        <v>0.12</v>
      </c>
      <c r="G384" s="23">
        <v>1189.03</v>
      </c>
      <c r="H384">
        <f t="shared" si="26"/>
        <v>1296.0427</v>
      </c>
      <c r="I384">
        <v>13</v>
      </c>
      <c r="J384" s="28">
        <f t="shared" si="27"/>
        <v>14.820000000000002</v>
      </c>
      <c r="K384" s="23">
        <v>2949.62</v>
      </c>
      <c r="L384" s="23">
        <f t="shared" si="28"/>
        <v>38467.764192000002</v>
      </c>
      <c r="M384" s="23">
        <f t="shared" si="29"/>
        <v>19260.411378000001</v>
      </c>
      <c r="O384" s="23">
        <f>L384-'Part A (2&amp;3)'!R384</f>
        <v>4915.8366920000044</v>
      </c>
      <c r="P384" s="23">
        <f>M384-'Part A (2&amp;3)'!T384</f>
        <v>1165.8738780000022</v>
      </c>
    </row>
    <row r="385" spans="5:16" x14ac:dyDescent="0.35">
      <c r="E385" s="8">
        <v>0.14299999999999999</v>
      </c>
      <c r="F385" s="27">
        <f t="shared" si="25"/>
        <v>0.12</v>
      </c>
      <c r="G385" s="23">
        <v>462.94</v>
      </c>
      <c r="H385">
        <f t="shared" si="26"/>
        <v>504.60460000000006</v>
      </c>
      <c r="I385">
        <v>14</v>
      </c>
      <c r="J385" s="28">
        <f t="shared" si="27"/>
        <v>15.96</v>
      </c>
      <c r="K385" s="23">
        <v>1015.7</v>
      </c>
      <c r="L385" s="23">
        <f t="shared" si="28"/>
        <v>14265.303360000002</v>
      </c>
      <c r="M385" s="23">
        <f t="shared" si="29"/>
        <v>6211.8139440000004</v>
      </c>
      <c r="O385" s="23">
        <f>L385-'Part A (2&amp;3)'!R385</f>
        <v>2078.9347600000001</v>
      </c>
      <c r="P385" s="23">
        <f>M385-'Part A (2&amp;3)'!T385</f>
        <v>506.60534399999869</v>
      </c>
    </row>
    <row r="386" spans="5:16" x14ac:dyDescent="0.35">
      <c r="E386" s="8">
        <v>0.11600000000000001</v>
      </c>
      <c r="F386" s="27">
        <f t="shared" si="25"/>
        <v>0.11600000000000001</v>
      </c>
      <c r="G386" s="23">
        <v>197.63</v>
      </c>
      <c r="H386">
        <f t="shared" si="26"/>
        <v>215.41670000000002</v>
      </c>
      <c r="I386">
        <v>10</v>
      </c>
      <c r="J386" s="28">
        <f t="shared" si="27"/>
        <v>11.400000000000002</v>
      </c>
      <c r="K386" s="23">
        <v>325.79000000000002</v>
      </c>
      <c r="L386" s="23">
        <f t="shared" si="28"/>
        <v>3283.1813040000011</v>
      </c>
      <c r="M386" s="23">
        <f t="shared" si="29"/>
        <v>827.43092400000023</v>
      </c>
      <c r="O386" s="23">
        <f>L386-'Part A (2&amp;3)'!R386</f>
        <v>403.19770400000107</v>
      </c>
      <c r="P386" s="23">
        <f>M386-'Part A (2&amp;3)'!T386</f>
        <v>-76.252675999999838</v>
      </c>
    </row>
    <row r="387" spans="5:16" x14ac:dyDescent="0.35">
      <c r="E387" s="8">
        <v>9.0999999999999998E-2</v>
      </c>
      <c r="F387" s="27">
        <f t="shared" ref="F387:F450" si="30">MIN(E387,$C$2)</f>
        <v>9.0999999999999998E-2</v>
      </c>
      <c r="G387" s="23">
        <v>43.23</v>
      </c>
      <c r="H387">
        <f t="shared" ref="H387:H450" si="31">G387*(1+$C$3)</f>
        <v>47.120699999999999</v>
      </c>
      <c r="I387">
        <v>55</v>
      </c>
      <c r="J387" s="28">
        <f t="shared" ref="J387:J450" si="32">I387*(1+$C$4)</f>
        <v>62.70000000000001</v>
      </c>
      <c r="K387" s="23">
        <v>94.78</v>
      </c>
      <c r="L387" s="23">
        <f t="shared" ref="L387:L450" si="33">K387*(1-F387)*J387</f>
        <v>5401.9197540000014</v>
      </c>
      <c r="M387" s="23">
        <f t="shared" ref="M387:M450" si="34">L387-(H387*J387)</f>
        <v>2447.451864000001</v>
      </c>
      <c r="O387" s="23">
        <f>L387-'Part A (2&amp;3)'!R387</f>
        <v>663.39365400000133</v>
      </c>
      <c r="P387" s="23">
        <f>M387-'Part A (2&amp;3)'!T387</f>
        <v>86.575764000000618</v>
      </c>
    </row>
    <row r="388" spans="5:16" x14ac:dyDescent="0.35">
      <c r="E388" s="8">
        <v>0.187</v>
      </c>
      <c r="F388" s="27">
        <f t="shared" si="30"/>
        <v>0.12</v>
      </c>
      <c r="G388" s="23">
        <v>195.54</v>
      </c>
      <c r="H388">
        <f t="shared" si="31"/>
        <v>213.1386</v>
      </c>
      <c r="I388">
        <v>16</v>
      </c>
      <c r="J388" s="28">
        <f t="shared" si="32"/>
        <v>18.240000000000002</v>
      </c>
      <c r="K388" s="23">
        <v>405.97</v>
      </c>
      <c r="L388" s="23">
        <f t="shared" si="33"/>
        <v>6516.3056640000004</v>
      </c>
      <c r="M388" s="23">
        <f t="shared" si="34"/>
        <v>2628.6576</v>
      </c>
      <c r="O388" s="23">
        <f>L388-'Part A (2&amp;3)'!R388</f>
        <v>1235.4479040000006</v>
      </c>
      <c r="P388" s="23">
        <f>M388-'Part A (2&amp;3)'!T388</f>
        <v>476.43984</v>
      </c>
    </row>
    <row r="389" spans="5:16" x14ac:dyDescent="0.35">
      <c r="E389" s="8">
        <v>0.122</v>
      </c>
      <c r="F389" s="27">
        <f t="shared" si="30"/>
        <v>0.12</v>
      </c>
      <c r="G389" s="23">
        <v>1174.17</v>
      </c>
      <c r="H389">
        <f t="shared" si="31"/>
        <v>1279.8453000000002</v>
      </c>
      <c r="I389">
        <v>9</v>
      </c>
      <c r="J389" s="28">
        <f t="shared" si="32"/>
        <v>10.260000000000002</v>
      </c>
      <c r="K389" s="23">
        <v>1641.61</v>
      </c>
      <c r="L389" s="23">
        <f t="shared" si="33"/>
        <v>14821.768368000003</v>
      </c>
      <c r="M389" s="23">
        <f t="shared" si="34"/>
        <v>1690.5555899999981</v>
      </c>
      <c r="O389" s="23">
        <f>L389-'Part A (2&amp;3)'!R389</f>
        <v>1849.7661480000024</v>
      </c>
      <c r="P389" s="23">
        <f>M389-'Part A (2&amp;3)'!T389</f>
        <v>-713.91663000000153</v>
      </c>
    </row>
    <row r="390" spans="5:16" x14ac:dyDescent="0.35">
      <c r="E390" s="8">
        <v>0.16300000000000001</v>
      </c>
      <c r="F390" s="27">
        <f t="shared" si="30"/>
        <v>0.12</v>
      </c>
      <c r="G390" s="23">
        <v>1368.17</v>
      </c>
      <c r="H390">
        <f t="shared" si="31"/>
        <v>1491.3053000000002</v>
      </c>
      <c r="I390">
        <v>21</v>
      </c>
      <c r="J390" s="28">
        <f t="shared" si="32"/>
        <v>23.94</v>
      </c>
      <c r="K390" s="23">
        <v>2307.75</v>
      </c>
      <c r="L390" s="23">
        <f t="shared" si="33"/>
        <v>48617.830800000003</v>
      </c>
      <c r="M390" s="23">
        <f t="shared" si="34"/>
        <v>12915.981917999998</v>
      </c>
      <c r="O390" s="23">
        <f>L390-'Part A (2&amp;3)'!R390</f>
        <v>8054.5090500000078</v>
      </c>
      <c r="P390" s="23">
        <f>M390-'Part A (2&amp;3)'!T390</f>
        <v>1084.2301680000019</v>
      </c>
    </row>
    <row r="391" spans="5:16" x14ac:dyDescent="0.35">
      <c r="E391" s="8">
        <v>0.13400000000000001</v>
      </c>
      <c r="F391" s="27">
        <f t="shared" si="30"/>
        <v>0.12</v>
      </c>
      <c r="G391" s="23">
        <v>1066.6500000000001</v>
      </c>
      <c r="H391">
        <f t="shared" si="31"/>
        <v>1162.6485000000002</v>
      </c>
      <c r="I391">
        <v>9</v>
      </c>
      <c r="J391" s="28">
        <f t="shared" si="32"/>
        <v>10.260000000000002</v>
      </c>
      <c r="K391" s="23">
        <v>2569.77</v>
      </c>
      <c r="L391" s="23">
        <f t="shared" si="33"/>
        <v>23201.939376000002</v>
      </c>
      <c r="M391" s="23">
        <f t="shared" si="34"/>
        <v>11273.165765999998</v>
      </c>
      <c r="O391" s="23">
        <f>L391-'Part A (2&amp;3)'!R391</f>
        <v>3173.1519960000005</v>
      </c>
      <c r="P391" s="23">
        <f>M391-'Part A (2&amp;3)'!T391</f>
        <v>844.22838599999704</v>
      </c>
    </row>
    <row r="392" spans="5:16" x14ac:dyDescent="0.35">
      <c r="E392" s="8">
        <v>0.214</v>
      </c>
      <c r="F392" s="27">
        <f t="shared" si="30"/>
        <v>0.12</v>
      </c>
      <c r="G392" s="23">
        <v>181.74</v>
      </c>
      <c r="H392">
        <f t="shared" si="31"/>
        <v>198.09660000000002</v>
      </c>
      <c r="I392">
        <v>13</v>
      </c>
      <c r="J392" s="28">
        <f t="shared" si="32"/>
        <v>14.820000000000002</v>
      </c>
      <c r="K392" s="23">
        <v>190.84</v>
      </c>
      <c r="L392" s="23">
        <f t="shared" si="33"/>
        <v>2488.8589440000005</v>
      </c>
      <c r="M392" s="23">
        <f t="shared" si="34"/>
        <v>-446.93266800000038</v>
      </c>
      <c r="O392" s="23">
        <f>L392-'Part A (2&amp;3)'!R392</f>
        <v>538.85582400000044</v>
      </c>
      <c r="P392" s="23">
        <f>M392-'Part A (2&amp;3)'!T392</f>
        <v>-34.315788000000566</v>
      </c>
    </row>
    <row r="393" spans="5:16" x14ac:dyDescent="0.35">
      <c r="E393" s="8">
        <v>0.128</v>
      </c>
      <c r="F393" s="27">
        <f t="shared" si="30"/>
        <v>0.12</v>
      </c>
      <c r="G393" s="23">
        <v>1166.18</v>
      </c>
      <c r="H393">
        <f t="shared" si="31"/>
        <v>1271.1362000000001</v>
      </c>
      <c r="I393">
        <v>6</v>
      </c>
      <c r="J393" s="28">
        <f t="shared" si="32"/>
        <v>6.8400000000000007</v>
      </c>
      <c r="K393" s="23">
        <v>1335.02</v>
      </c>
      <c r="L393" s="23">
        <f t="shared" si="33"/>
        <v>8035.7523840000013</v>
      </c>
      <c r="M393" s="23">
        <f t="shared" si="34"/>
        <v>-658.81922400000076</v>
      </c>
      <c r="O393" s="23">
        <f>L393-'Part A (2&amp;3)'!R393</f>
        <v>1050.9277440000014</v>
      </c>
      <c r="P393" s="23">
        <f>M393-'Part A (2&amp;3)'!T393</f>
        <v>-646.56386400000065</v>
      </c>
    </row>
    <row r="394" spans="5:16" x14ac:dyDescent="0.35">
      <c r="E394" s="8">
        <v>5.0999999999999997E-2</v>
      </c>
      <c r="F394" s="27">
        <f t="shared" si="30"/>
        <v>5.0999999999999997E-2</v>
      </c>
      <c r="G394" s="23">
        <v>1010.33</v>
      </c>
      <c r="H394">
        <f t="shared" si="31"/>
        <v>1101.2597000000001</v>
      </c>
      <c r="I394">
        <v>11</v>
      </c>
      <c r="J394" s="28">
        <f t="shared" si="32"/>
        <v>12.540000000000001</v>
      </c>
      <c r="K394" s="23">
        <v>2492.14</v>
      </c>
      <c r="L394" s="23">
        <f t="shared" si="33"/>
        <v>29657.612384399996</v>
      </c>
      <c r="M394" s="23">
        <f t="shared" si="34"/>
        <v>15847.815746399994</v>
      </c>
      <c r="O394" s="23">
        <f>L394-'Part A (2&amp;3)'!R394</f>
        <v>3642.1629243999996</v>
      </c>
      <c r="P394" s="23">
        <f>M394-'Part A (2&amp;3)'!T394</f>
        <v>945.99628639999901</v>
      </c>
    </row>
    <row r="395" spans="5:16" x14ac:dyDescent="0.35">
      <c r="E395" s="8">
        <v>4.2000000000000003E-2</v>
      </c>
      <c r="F395" s="27">
        <f t="shared" si="30"/>
        <v>4.2000000000000003E-2</v>
      </c>
      <c r="G395" s="23">
        <v>1133.08</v>
      </c>
      <c r="H395">
        <f t="shared" si="31"/>
        <v>1235.0572</v>
      </c>
      <c r="I395">
        <v>27</v>
      </c>
      <c r="J395" s="28">
        <f t="shared" si="32"/>
        <v>30.780000000000005</v>
      </c>
      <c r="K395" s="23">
        <v>976.17</v>
      </c>
      <c r="L395" s="23">
        <f t="shared" si="33"/>
        <v>28784.559070800002</v>
      </c>
      <c r="M395" s="23">
        <f t="shared" si="34"/>
        <v>-9230.5015452000007</v>
      </c>
      <c r="O395" s="23">
        <f>L395-'Part A (2&amp;3)'!R395</f>
        <v>3534.9458508000025</v>
      </c>
      <c r="P395" s="23">
        <f>M395-'Part A (2&amp;3)'!T395</f>
        <v>-3886.9547652000037</v>
      </c>
    </row>
    <row r="396" spans="5:16" x14ac:dyDescent="0.35">
      <c r="E396" s="8">
        <v>0.20300000000000001</v>
      </c>
      <c r="F396" s="27">
        <f t="shared" si="30"/>
        <v>0.12</v>
      </c>
      <c r="G396" s="23">
        <v>1248.3900000000001</v>
      </c>
      <c r="H396">
        <f t="shared" si="31"/>
        <v>1360.7451000000003</v>
      </c>
      <c r="I396">
        <v>11</v>
      </c>
      <c r="J396" s="28">
        <f t="shared" si="32"/>
        <v>12.540000000000001</v>
      </c>
      <c r="K396" s="23">
        <v>1805.11</v>
      </c>
      <c r="L396" s="23">
        <f t="shared" si="33"/>
        <v>19919.749872</v>
      </c>
      <c r="M396" s="23">
        <f t="shared" si="34"/>
        <v>2856.0063179999961</v>
      </c>
      <c r="O396" s="23">
        <f>L396-'Part A (2&amp;3)'!R396</f>
        <v>4094.350502000003</v>
      </c>
      <c r="P396" s="23">
        <f>M396-'Part A (2&amp;3)'!T396</f>
        <v>762.89694799999961</v>
      </c>
    </row>
    <row r="397" spans="5:16" x14ac:dyDescent="0.35">
      <c r="E397" s="8">
        <v>0.126</v>
      </c>
      <c r="F397" s="27">
        <f t="shared" si="30"/>
        <v>0.12</v>
      </c>
      <c r="G397" s="23">
        <v>1338.99</v>
      </c>
      <c r="H397">
        <f t="shared" si="31"/>
        <v>1459.4991000000002</v>
      </c>
      <c r="I397">
        <v>24</v>
      </c>
      <c r="J397" s="28">
        <f t="shared" si="32"/>
        <v>27.360000000000003</v>
      </c>
      <c r="K397" s="23">
        <v>1765.76</v>
      </c>
      <c r="L397" s="23">
        <f t="shared" si="33"/>
        <v>42513.850368000007</v>
      </c>
      <c r="M397" s="23">
        <f t="shared" si="34"/>
        <v>2581.954991999999</v>
      </c>
      <c r="O397" s="23">
        <f>L397-'Part A (2&amp;3)'!R397</f>
        <v>5475.2686080000058</v>
      </c>
      <c r="P397" s="23">
        <f>M397-'Part A (2&amp;3)'!T397</f>
        <v>-2320.8667679999999</v>
      </c>
    </row>
    <row r="398" spans="5:16" x14ac:dyDescent="0.35">
      <c r="E398" s="8">
        <v>0.16900000000000001</v>
      </c>
      <c r="F398" s="27">
        <f t="shared" si="30"/>
        <v>0.12</v>
      </c>
      <c r="G398" s="23">
        <v>1405.56</v>
      </c>
      <c r="H398">
        <f t="shared" si="31"/>
        <v>1532.0604000000001</v>
      </c>
      <c r="I398">
        <v>5</v>
      </c>
      <c r="J398" s="28">
        <f t="shared" si="32"/>
        <v>5.7000000000000011</v>
      </c>
      <c r="K398" s="23">
        <v>2968.87</v>
      </c>
      <c r="L398" s="23">
        <f t="shared" si="33"/>
        <v>14891.851920000003</v>
      </c>
      <c r="M398" s="23">
        <f t="shared" si="34"/>
        <v>6159.1076400000002</v>
      </c>
      <c r="O398" s="23">
        <f>L398-'Part A (2&amp;3)'!R398</f>
        <v>2556.1970700000038</v>
      </c>
      <c r="P398" s="23">
        <f>M398-'Part A (2&amp;3)'!T398</f>
        <v>851.25279000000046</v>
      </c>
    </row>
    <row r="399" spans="5:16" x14ac:dyDescent="0.35">
      <c r="E399" s="8">
        <v>0.26600000000000001</v>
      </c>
      <c r="F399" s="27">
        <f t="shared" si="30"/>
        <v>0.12</v>
      </c>
      <c r="G399" s="23">
        <v>386.96</v>
      </c>
      <c r="H399">
        <f t="shared" si="31"/>
        <v>421.78640000000001</v>
      </c>
      <c r="I399">
        <v>41</v>
      </c>
      <c r="J399" s="28">
        <f t="shared" si="32"/>
        <v>46.74</v>
      </c>
      <c r="K399" s="23">
        <v>937.46</v>
      </c>
      <c r="L399" s="23">
        <f t="shared" si="33"/>
        <v>38558.854752000007</v>
      </c>
      <c r="M399" s="23">
        <f t="shared" si="34"/>
        <v>18844.558416000003</v>
      </c>
      <c r="O399" s="23">
        <f>L399-'Part A (2&amp;3)'!R399</f>
        <v>10346.933512000007</v>
      </c>
      <c r="P399" s="23">
        <f>M399-'Part A (2&amp;3)'!T399</f>
        <v>6497.9971760000026</v>
      </c>
    </row>
    <row r="400" spans="5:16" x14ac:dyDescent="0.35">
      <c r="E400" s="8">
        <v>0.159</v>
      </c>
      <c r="F400" s="27">
        <f t="shared" si="30"/>
        <v>0.12</v>
      </c>
      <c r="G400" s="23">
        <v>1378.8</v>
      </c>
      <c r="H400">
        <f t="shared" si="31"/>
        <v>1502.8920000000001</v>
      </c>
      <c r="I400">
        <v>19</v>
      </c>
      <c r="J400" s="28">
        <f t="shared" si="32"/>
        <v>21.660000000000004</v>
      </c>
      <c r="K400" s="23">
        <v>1952.04</v>
      </c>
      <c r="L400" s="23">
        <f t="shared" si="33"/>
        <v>37207.444032000007</v>
      </c>
      <c r="M400" s="23">
        <f t="shared" si="34"/>
        <v>4654.803312</v>
      </c>
      <c r="O400" s="23">
        <f>L400-'Part A (2&amp;3)'!R400</f>
        <v>6015.7968720000063</v>
      </c>
      <c r="P400" s="23">
        <f>M400-'Part A (2&amp;3)'!T400</f>
        <v>-339.64384799999971</v>
      </c>
    </row>
    <row r="401" spans="5:16" x14ac:dyDescent="0.35">
      <c r="E401" s="8">
        <v>2.1000000000000001E-2</v>
      </c>
      <c r="F401" s="27">
        <f t="shared" si="30"/>
        <v>2.1000000000000001E-2</v>
      </c>
      <c r="G401" s="23">
        <v>1297</v>
      </c>
      <c r="H401">
        <f t="shared" si="31"/>
        <v>1413.73</v>
      </c>
      <c r="I401">
        <v>18</v>
      </c>
      <c r="J401" s="28">
        <f t="shared" si="32"/>
        <v>20.520000000000003</v>
      </c>
      <c r="K401" s="23">
        <v>2411.52</v>
      </c>
      <c r="L401" s="23">
        <f t="shared" si="33"/>
        <v>48445.218201600008</v>
      </c>
      <c r="M401" s="23">
        <f t="shared" si="34"/>
        <v>19435.478601600003</v>
      </c>
      <c r="O401" s="23">
        <f>L401-'Part A (2&amp;3)'!R401</f>
        <v>5949.4127616000114</v>
      </c>
      <c r="P401" s="23">
        <f>M401-'Part A (2&amp;3)'!T401</f>
        <v>285.67316160000701</v>
      </c>
    </row>
    <row r="402" spans="5:16" x14ac:dyDescent="0.35">
      <c r="E402" s="8">
        <v>0</v>
      </c>
      <c r="F402" s="27">
        <f t="shared" si="30"/>
        <v>0</v>
      </c>
      <c r="G402" s="23">
        <v>558.19000000000005</v>
      </c>
      <c r="H402">
        <f t="shared" si="31"/>
        <v>608.42710000000011</v>
      </c>
      <c r="I402">
        <v>21</v>
      </c>
      <c r="J402" s="28">
        <f t="shared" si="32"/>
        <v>23.94</v>
      </c>
      <c r="K402" s="23">
        <v>1031.6400000000001</v>
      </c>
      <c r="L402" s="23">
        <f t="shared" si="33"/>
        <v>24697.461600000002</v>
      </c>
      <c r="M402" s="23">
        <f t="shared" si="34"/>
        <v>10131.716826</v>
      </c>
      <c r="O402" s="23">
        <f>L402-'Part A (2&amp;3)'!R402</f>
        <v>3033.0216</v>
      </c>
      <c r="P402" s="23">
        <f>M402-'Part A (2&amp;3)'!T402</f>
        <v>189.26682599999913</v>
      </c>
    </row>
    <row r="403" spans="5:16" x14ac:dyDescent="0.35">
      <c r="E403" s="8">
        <v>0.152</v>
      </c>
      <c r="F403" s="27">
        <f t="shared" si="30"/>
        <v>0.12</v>
      </c>
      <c r="G403" s="23">
        <v>1095.6099999999999</v>
      </c>
      <c r="H403">
        <f t="shared" si="31"/>
        <v>1194.2148999999999</v>
      </c>
      <c r="I403">
        <v>9</v>
      </c>
      <c r="J403" s="28">
        <f t="shared" si="32"/>
        <v>10.260000000000002</v>
      </c>
      <c r="K403" s="23">
        <v>2366.5100000000002</v>
      </c>
      <c r="L403" s="23">
        <f t="shared" si="33"/>
        <v>21366.745488000004</v>
      </c>
      <c r="M403" s="23">
        <f t="shared" si="34"/>
        <v>9114.1006140000027</v>
      </c>
      <c r="O403" s="23">
        <f>L403-'Part A (2&amp;3)'!R403</f>
        <v>3305.5411679999997</v>
      </c>
      <c r="P403" s="23">
        <f>M403-'Part A (2&amp;3)'!T403</f>
        <v>913.38629399999809</v>
      </c>
    </row>
    <row r="404" spans="5:16" x14ac:dyDescent="0.35">
      <c r="E404" s="8">
        <v>6.3E-2</v>
      </c>
      <c r="F404" s="27">
        <f t="shared" si="30"/>
        <v>6.3E-2</v>
      </c>
      <c r="G404" s="23">
        <v>1132.6099999999999</v>
      </c>
      <c r="H404">
        <f t="shared" si="31"/>
        <v>1234.5448999999999</v>
      </c>
      <c r="I404">
        <v>20</v>
      </c>
      <c r="J404" s="28">
        <f t="shared" si="32"/>
        <v>22.800000000000004</v>
      </c>
      <c r="K404" s="23">
        <v>2206.63</v>
      </c>
      <c r="L404" s="23">
        <f t="shared" si="33"/>
        <v>47141.56066800002</v>
      </c>
      <c r="M404" s="23">
        <f t="shared" si="34"/>
        <v>18993.936948000017</v>
      </c>
      <c r="O404" s="23">
        <f>L404-'Part A (2&amp;3)'!R404</f>
        <v>5789.3144680000114</v>
      </c>
      <c r="P404" s="23">
        <f>M404-'Part A (2&amp;3)'!T404</f>
        <v>293.89074800000526</v>
      </c>
    </row>
    <row r="405" spans="5:16" x14ac:dyDescent="0.35">
      <c r="E405" s="8">
        <v>9.9000000000000005E-2</v>
      </c>
      <c r="F405" s="27">
        <f t="shared" si="30"/>
        <v>9.9000000000000005E-2</v>
      </c>
      <c r="G405" s="23">
        <v>412.09</v>
      </c>
      <c r="H405">
        <f t="shared" si="31"/>
        <v>449.17810000000003</v>
      </c>
      <c r="I405">
        <v>23</v>
      </c>
      <c r="J405" s="28">
        <f t="shared" si="32"/>
        <v>26.220000000000002</v>
      </c>
      <c r="K405" s="23">
        <v>968.94</v>
      </c>
      <c r="L405" s="23">
        <f t="shared" si="33"/>
        <v>22890.451726800002</v>
      </c>
      <c r="M405" s="23">
        <f t="shared" si="34"/>
        <v>11113.0019448</v>
      </c>
      <c r="O405" s="23">
        <f>L405-'Part A (2&amp;3)'!R405</f>
        <v>2811.1081067999985</v>
      </c>
      <c r="P405" s="23">
        <f>M405-'Part A (2&amp;3)'!T405</f>
        <v>511.7283247999967</v>
      </c>
    </row>
    <row r="406" spans="5:16" x14ac:dyDescent="0.35">
      <c r="E406" s="8">
        <v>0.184</v>
      </c>
      <c r="F406" s="27">
        <f t="shared" si="30"/>
        <v>0.12</v>
      </c>
      <c r="G406" s="23">
        <v>1108.1099999999999</v>
      </c>
      <c r="H406">
        <f t="shared" si="31"/>
        <v>1207.8398999999999</v>
      </c>
      <c r="I406">
        <v>19</v>
      </c>
      <c r="J406" s="28">
        <f t="shared" si="32"/>
        <v>21.660000000000004</v>
      </c>
      <c r="K406" s="23">
        <v>2503.79</v>
      </c>
      <c r="L406" s="23">
        <f t="shared" si="33"/>
        <v>47724.240432000006</v>
      </c>
      <c r="M406" s="23">
        <f t="shared" si="34"/>
        <v>21562.428198000001</v>
      </c>
      <c r="O406" s="23">
        <f>L406-'Part A (2&amp;3)'!R406</f>
        <v>8905.4802720000007</v>
      </c>
      <c r="P406" s="23">
        <f>M406-'Part A (2&amp;3)'!T406</f>
        <v>3797.7580379999927</v>
      </c>
    </row>
    <row r="407" spans="5:16" x14ac:dyDescent="0.35">
      <c r="E407" s="8">
        <v>0.13900000000000001</v>
      </c>
      <c r="F407" s="27">
        <f t="shared" si="30"/>
        <v>0.12</v>
      </c>
      <c r="G407" s="23">
        <v>343.85</v>
      </c>
      <c r="H407">
        <f t="shared" si="31"/>
        <v>374.79650000000004</v>
      </c>
      <c r="I407">
        <v>5</v>
      </c>
      <c r="J407" s="28">
        <f t="shared" si="32"/>
        <v>5.7000000000000011</v>
      </c>
      <c r="K407" s="23">
        <v>538.04</v>
      </c>
      <c r="L407" s="23">
        <f t="shared" si="33"/>
        <v>2698.8086400000002</v>
      </c>
      <c r="M407" s="23">
        <f t="shared" si="34"/>
        <v>562.46858999999949</v>
      </c>
      <c r="O407" s="23">
        <f>L407-'Part A (2&amp;3)'!R407</f>
        <v>382.54644000000053</v>
      </c>
      <c r="P407" s="23">
        <f>M407-'Part A (2&amp;3)'!T407</f>
        <v>-34.543610000000172</v>
      </c>
    </row>
    <row r="408" spans="5:16" x14ac:dyDescent="0.35">
      <c r="E408" s="8">
        <v>0.14599999999999999</v>
      </c>
      <c r="F408" s="27">
        <f t="shared" si="30"/>
        <v>0.12</v>
      </c>
      <c r="G408" s="23">
        <v>1389.46</v>
      </c>
      <c r="H408">
        <f t="shared" si="31"/>
        <v>1514.5114000000001</v>
      </c>
      <c r="I408">
        <v>33</v>
      </c>
      <c r="J408" s="28">
        <f t="shared" si="32"/>
        <v>37.620000000000005</v>
      </c>
      <c r="K408" s="23">
        <v>1784.7</v>
      </c>
      <c r="L408" s="23">
        <f t="shared" si="33"/>
        <v>59083.564320000012</v>
      </c>
      <c r="M408" s="23">
        <f t="shared" si="34"/>
        <v>2107.6454520000043</v>
      </c>
      <c r="O408" s="23">
        <f>L408-'Part A (2&amp;3)'!R408</f>
        <v>8787.1489200000142</v>
      </c>
      <c r="P408" s="23">
        <f>M408-'Part A (2&amp;3)'!T408</f>
        <v>-2336.5899479999935</v>
      </c>
    </row>
    <row r="409" spans="5:16" x14ac:dyDescent="0.35">
      <c r="E409" s="8">
        <v>4.0000000000000001E-3</v>
      </c>
      <c r="F409" s="27">
        <f t="shared" si="30"/>
        <v>4.0000000000000001E-3</v>
      </c>
      <c r="G409" s="23">
        <v>391.64</v>
      </c>
      <c r="H409">
        <f t="shared" si="31"/>
        <v>426.88760000000002</v>
      </c>
      <c r="I409">
        <v>13</v>
      </c>
      <c r="J409" s="28">
        <f t="shared" si="32"/>
        <v>14.820000000000002</v>
      </c>
      <c r="K409" s="23">
        <v>504.76</v>
      </c>
      <c r="L409" s="23">
        <f t="shared" si="33"/>
        <v>7450.6210272000008</v>
      </c>
      <c r="M409" s="23">
        <f t="shared" si="34"/>
        <v>1124.1467951999994</v>
      </c>
      <c r="O409" s="23">
        <f>L409-'Part A (2&amp;3)'!R409</f>
        <v>914.98854720000054</v>
      </c>
      <c r="P409" s="23">
        <f>M409-'Part A (2&amp;3)'!T409</f>
        <v>-320.16568480000115</v>
      </c>
    </row>
    <row r="410" spans="5:16" x14ac:dyDescent="0.35">
      <c r="E410" s="8">
        <v>4.7E-2</v>
      </c>
      <c r="F410" s="27">
        <f t="shared" si="30"/>
        <v>4.7E-2</v>
      </c>
      <c r="G410" s="23">
        <v>816.7</v>
      </c>
      <c r="H410">
        <f t="shared" si="31"/>
        <v>890.20300000000009</v>
      </c>
      <c r="I410">
        <v>43</v>
      </c>
      <c r="J410" s="28">
        <f t="shared" si="32"/>
        <v>49.02</v>
      </c>
      <c r="K410" s="23">
        <v>1010.75</v>
      </c>
      <c r="L410" s="23">
        <f t="shared" si="33"/>
        <v>47218.257644999998</v>
      </c>
      <c r="M410" s="23">
        <f t="shared" si="34"/>
        <v>3580.5065849999883</v>
      </c>
      <c r="O410" s="23">
        <f>L410-'Part A (2&amp;3)'!R410</f>
        <v>5798.7333950000029</v>
      </c>
      <c r="P410" s="23">
        <f>M410-'Part A (2&amp;3)'!T410</f>
        <v>-2720.9176650000081</v>
      </c>
    </row>
    <row r="411" spans="5:16" x14ac:dyDescent="0.35">
      <c r="E411" s="8">
        <v>0.187</v>
      </c>
      <c r="F411" s="27">
        <f t="shared" si="30"/>
        <v>0.12</v>
      </c>
      <c r="G411" s="23">
        <v>859.35</v>
      </c>
      <c r="H411">
        <f t="shared" si="31"/>
        <v>936.69150000000013</v>
      </c>
      <c r="I411">
        <v>24</v>
      </c>
      <c r="J411" s="28">
        <f t="shared" si="32"/>
        <v>27.360000000000003</v>
      </c>
      <c r="K411" s="23">
        <v>1825.61</v>
      </c>
      <c r="L411" s="23">
        <f t="shared" si="33"/>
        <v>43954.846848000001</v>
      </c>
      <c r="M411" s="23">
        <f t="shared" si="34"/>
        <v>18326.967407999993</v>
      </c>
      <c r="O411" s="23">
        <f>L411-'Part A (2&amp;3)'!R411</f>
        <v>8333.5445280000058</v>
      </c>
      <c r="P411" s="23">
        <f>M411-'Part A (2&amp;3)'!T411</f>
        <v>3330.0650879999994</v>
      </c>
    </row>
    <row r="412" spans="5:16" x14ac:dyDescent="0.35">
      <c r="E412" s="8">
        <v>0</v>
      </c>
      <c r="F412" s="27">
        <f t="shared" si="30"/>
        <v>0</v>
      </c>
      <c r="G412" s="23">
        <v>82.14</v>
      </c>
      <c r="H412">
        <f t="shared" si="31"/>
        <v>89.532600000000002</v>
      </c>
      <c r="I412">
        <v>10</v>
      </c>
      <c r="J412" s="28">
        <f t="shared" si="32"/>
        <v>11.400000000000002</v>
      </c>
      <c r="K412" s="23">
        <v>166.04</v>
      </c>
      <c r="L412" s="23">
        <f t="shared" si="33"/>
        <v>1892.8560000000002</v>
      </c>
      <c r="M412" s="23">
        <f t="shared" si="34"/>
        <v>872.18435999999997</v>
      </c>
      <c r="O412" s="23">
        <f>L412-'Part A (2&amp;3)'!R412</f>
        <v>232.45600000000036</v>
      </c>
      <c r="P412" s="23">
        <f>M412-'Part A (2&amp;3)'!T412</f>
        <v>33.184360000000083</v>
      </c>
    </row>
    <row r="413" spans="5:16" x14ac:dyDescent="0.35">
      <c r="E413" s="8">
        <v>0.29499999999999998</v>
      </c>
      <c r="F413" s="27">
        <f t="shared" si="30"/>
        <v>0.12</v>
      </c>
      <c r="G413" s="23">
        <v>72.94</v>
      </c>
      <c r="H413">
        <f t="shared" si="31"/>
        <v>79.504599999999996</v>
      </c>
      <c r="I413">
        <v>8</v>
      </c>
      <c r="J413" s="28">
        <f t="shared" si="32"/>
        <v>9.120000000000001</v>
      </c>
      <c r="K413" s="23">
        <v>106.3</v>
      </c>
      <c r="L413" s="23">
        <f t="shared" si="33"/>
        <v>853.12128000000007</v>
      </c>
      <c r="M413" s="23">
        <f t="shared" si="34"/>
        <v>128.03932800000007</v>
      </c>
      <c r="O413" s="23">
        <f>L413-'Part A (2&amp;3)'!R413</f>
        <v>253.58928000000003</v>
      </c>
      <c r="P413" s="23">
        <f>M413-'Part A (2&amp;3)'!T413</f>
        <v>112.02732800000001</v>
      </c>
    </row>
    <row r="414" spans="5:16" x14ac:dyDescent="0.35">
      <c r="E414" s="8">
        <v>0</v>
      </c>
      <c r="F414" s="27">
        <f t="shared" si="30"/>
        <v>0</v>
      </c>
      <c r="G414" s="23">
        <v>942.02</v>
      </c>
      <c r="H414">
        <f t="shared" si="31"/>
        <v>1026.8018</v>
      </c>
      <c r="I414">
        <v>9</v>
      </c>
      <c r="J414" s="28">
        <f t="shared" si="32"/>
        <v>10.260000000000002</v>
      </c>
      <c r="K414" s="23">
        <v>1028.46</v>
      </c>
      <c r="L414" s="23">
        <f t="shared" si="33"/>
        <v>10551.999600000003</v>
      </c>
      <c r="M414" s="23">
        <f t="shared" si="34"/>
        <v>17.01313200000186</v>
      </c>
      <c r="O414" s="23">
        <f>L414-'Part A (2&amp;3)'!R414</f>
        <v>1295.8596000000034</v>
      </c>
      <c r="P414" s="23">
        <f>M414-'Part A (2&amp;3)'!T414</f>
        <v>-760.94686799999727</v>
      </c>
    </row>
    <row r="415" spans="5:16" x14ac:dyDescent="0.35">
      <c r="E415" s="8">
        <v>0.153</v>
      </c>
      <c r="F415" s="27">
        <f t="shared" si="30"/>
        <v>0.12</v>
      </c>
      <c r="G415" s="23">
        <v>1023.06</v>
      </c>
      <c r="H415">
        <f t="shared" si="31"/>
        <v>1115.1354000000001</v>
      </c>
      <c r="I415">
        <v>23</v>
      </c>
      <c r="J415" s="28">
        <f t="shared" si="32"/>
        <v>26.220000000000002</v>
      </c>
      <c r="K415" s="23">
        <v>1355.61</v>
      </c>
      <c r="L415" s="23">
        <f t="shared" si="33"/>
        <v>31278.802896000001</v>
      </c>
      <c r="M415" s="23">
        <f t="shared" si="34"/>
        <v>2039.9527079999971</v>
      </c>
      <c r="O415" s="23">
        <f>L415-'Part A (2&amp;3)'!R415</f>
        <v>4870.1644860000015</v>
      </c>
      <c r="P415" s="23">
        <f>M415-'Part A (2&amp;3)'!T415</f>
        <v>-838.30570200000511</v>
      </c>
    </row>
    <row r="416" spans="5:16" x14ac:dyDescent="0.35">
      <c r="E416" s="8">
        <v>0.23699999999999999</v>
      </c>
      <c r="F416" s="27">
        <f t="shared" si="30"/>
        <v>0.12</v>
      </c>
      <c r="G416" s="23">
        <v>1084.3900000000001</v>
      </c>
      <c r="H416">
        <f t="shared" si="31"/>
        <v>1181.9851000000001</v>
      </c>
      <c r="I416">
        <v>31</v>
      </c>
      <c r="J416" s="28">
        <f t="shared" si="32"/>
        <v>35.340000000000003</v>
      </c>
      <c r="K416" s="23">
        <v>759.33</v>
      </c>
      <c r="L416" s="23">
        <f t="shared" si="33"/>
        <v>23614.555536000003</v>
      </c>
      <c r="M416" s="23">
        <f t="shared" si="34"/>
        <v>-18156.797898000001</v>
      </c>
      <c r="O416" s="23">
        <f>L416-'Part A (2&amp;3)'!R416</f>
        <v>5654.1230460000043</v>
      </c>
      <c r="P416" s="23">
        <f>M416-'Part A (2&amp;3)'!T416</f>
        <v>-2501.1403879999962</v>
      </c>
    </row>
    <row r="417" spans="5:16" x14ac:dyDescent="0.35">
      <c r="E417" s="8">
        <v>0.185</v>
      </c>
      <c r="F417" s="27">
        <f t="shared" si="30"/>
        <v>0.12</v>
      </c>
      <c r="G417" s="23">
        <v>1406.4</v>
      </c>
      <c r="H417">
        <f t="shared" si="31"/>
        <v>1532.9760000000001</v>
      </c>
      <c r="I417">
        <v>17</v>
      </c>
      <c r="J417" s="28">
        <f t="shared" si="32"/>
        <v>19.380000000000003</v>
      </c>
      <c r="K417" s="23">
        <v>1564.76</v>
      </c>
      <c r="L417" s="23">
        <f t="shared" si="33"/>
        <v>26686.042944000004</v>
      </c>
      <c r="M417" s="23">
        <f t="shared" si="34"/>
        <v>-3023.031936000003</v>
      </c>
      <c r="O417" s="23">
        <f>L417-'Part A (2&amp;3)'!R417</f>
        <v>5006.2931440000066</v>
      </c>
      <c r="P417" s="23">
        <f>M417-'Part A (2&amp;3)'!T417</f>
        <v>-793.98173599999791</v>
      </c>
    </row>
    <row r="418" spans="5:16" x14ac:dyDescent="0.35">
      <c r="E418" s="8">
        <v>0.02</v>
      </c>
      <c r="F418" s="27">
        <f t="shared" si="30"/>
        <v>0.02</v>
      </c>
      <c r="G418" s="23">
        <v>1331.77</v>
      </c>
      <c r="H418">
        <f t="shared" si="31"/>
        <v>1451.6293000000001</v>
      </c>
      <c r="I418">
        <v>6</v>
      </c>
      <c r="J418" s="28">
        <f t="shared" si="32"/>
        <v>6.8400000000000007</v>
      </c>
      <c r="K418" s="23">
        <v>2606.11</v>
      </c>
      <c r="L418" s="23">
        <f t="shared" si="33"/>
        <v>17469.276551999999</v>
      </c>
      <c r="M418" s="23">
        <f t="shared" si="34"/>
        <v>7540.1321399999979</v>
      </c>
      <c r="O418" s="23">
        <f>L418-'Part A (2&amp;3)'!R418</f>
        <v>2145.3497520000001</v>
      </c>
      <c r="P418" s="23">
        <f>M418-'Part A (2&amp;3)'!T418</f>
        <v>206.8253399999985</v>
      </c>
    </row>
    <row r="419" spans="5:16" x14ac:dyDescent="0.35">
      <c r="E419" s="8">
        <v>0.3</v>
      </c>
      <c r="F419" s="27">
        <f t="shared" si="30"/>
        <v>0.12</v>
      </c>
      <c r="G419" s="23">
        <v>1396.48</v>
      </c>
      <c r="H419">
        <f t="shared" si="31"/>
        <v>1522.1632000000002</v>
      </c>
      <c r="I419">
        <v>14</v>
      </c>
      <c r="J419" s="28">
        <f t="shared" si="32"/>
        <v>15.96</v>
      </c>
      <c r="K419" s="23">
        <v>3204.5</v>
      </c>
      <c r="L419" s="23">
        <f t="shared" si="33"/>
        <v>45006.561600000001</v>
      </c>
      <c r="M419" s="23">
        <f t="shared" si="34"/>
        <v>20712.836927999997</v>
      </c>
      <c r="O419" s="23">
        <f>L419-'Part A (2&amp;3)'!R419</f>
        <v>13602.461600000002</v>
      </c>
      <c r="P419" s="23">
        <f>M419-'Part A (2&amp;3)'!T419</f>
        <v>8859.4569279999996</v>
      </c>
    </row>
    <row r="420" spans="5:16" x14ac:dyDescent="0.35">
      <c r="E420" s="8">
        <v>0.14499999999999999</v>
      </c>
      <c r="F420" s="27">
        <f t="shared" si="30"/>
        <v>0.12</v>
      </c>
      <c r="G420" s="23">
        <v>446.66</v>
      </c>
      <c r="H420">
        <f t="shared" si="31"/>
        <v>486.85940000000005</v>
      </c>
      <c r="I420">
        <v>15</v>
      </c>
      <c r="J420" s="28">
        <f t="shared" si="32"/>
        <v>17.100000000000001</v>
      </c>
      <c r="K420" s="23">
        <v>527.64</v>
      </c>
      <c r="L420" s="23">
        <f t="shared" si="33"/>
        <v>7939.9267200000004</v>
      </c>
      <c r="M420" s="23">
        <f t="shared" si="34"/>
        <v>-385.369020000001</v>
      </c>
      <c r="O420" s="23">
        <f>L420-'Part A (2&amp;3)'!R420</f>
        <v>1172.9437200000011</v>
      </c>
      <c r="P420" s="23">
        <f>M420-'Part A (2&amp;3)'!T420</f>
        <v>-452.45201999999972</v>
      </c>
    </row>
    <row r="421" spans="5:16" x14ac:dyDescent="0.35">
      <c r="E421" s="8">
        <v>5.2999999999999999E-2</v>
      </c>
      <c r="F421" s="27">
        <f t="shared" si="30"/>
        <v>5.2999999999999999E-2</v>
      </c>
      <c r="G421" s="23">
        <v>317.25</v>
      </c>
      <c r="H421">
        <f t="shared" si="31"/>
        <v>345.80250000000001</v>
      </c>
      <c r="I421">
        <v>9</v>
      </c>
      <c r="J421" s="28">
        <f t="shared" si="32"/>
        <v>10.260000000000002</v>
      </c>
      <c r="K421" s="23">
        <v>758.92</v>
      </c>
      <c r="L421" s="23">
        <f t="shared" si="33"/>
        <v>7373.8336824000007</v>
      </c>
      <c r="M421" s="23">
        <f t="shared" si="34"/>
        <v>3825.9000323999999</v>
      </c>
      <c r="O421" s="23">
        <f>L421-'Part A (2&amp;3)'!R421</f>
        <v>905.55852240000149</v>
      </c>
      <c r="P421" s="23">
        <f>M421-'Part A (2&amp;3)'!T421</f>
        <v>212.87487240000064</v>
      </c>
    </row>
    <row r="422" spans="5:16" x14ac:dyDescent="0.35">
      <c r="E422" s="8">
        <v>0</v>
      </c>
      <c r="F422" s="27">
        <f t="shared" si="30"/>
        <v>0</v>
      </c>
      <c r="G422" s="23">
        <v>805.81</v>
      </c>
      <c r="H422">
        <f t="shared" si="31"/>
        <v>878.3329</v>
      </c>
      <c r="I422">
        <v>11</v>
      </c>
      <c r="J422" s="28">
        <f t="shared" si="32"/>
        <v>12.540000000000001</v>
      </c>
      <c r="K422" s="23">
        <v>1823.04</v>
      </c>
      <c r="L422" s="23">
        <f t="shared" si="33"/>
        <v>22860.921600000001</v>
      </c>
      <c r="M422" s="23">
        <f t="shared" si="34"/>
        <v>11846.627034000001</v>
      </c>
      <c r="O422" s="23">
        <f>L422-'Part A (2&amp;3)'!R422</f>
        <v>2807.4816000000028</v>
      </c>
      <c r="P422" s="23">
        <f>M422-'Part A (2&amp;3)'!T422</f>
        <v>657.09703400000217</v>
      </c>
    </row>
    <row r="423" spans="5:16" x14ac:dyDescent="0.35">
      <c r="E423" s="8">
        <v>7.1999999999999995E-2</v>
      </c>
      <c r="F423" s="27">
        <f t="shared" si="30"/>
        <v>7.1999999999999995E-2</v>
      </c>
      <c r="G423" s="23">
        <v>811.05</v>
      </c>
      <c r="H423">
        <f t="shared" si="31"/>
        <v>884.04449999999997</v>
      </c>
      <c r="I423">
        <v>5</v>
      </c>
      <c r="J423" s="28">
        <f t="shared" si="32"/>
        <v>5.7000000000000011</v>
      </c>
      <c r="K423" s="23">
        <v>1217.71</v>
      </c>
      <c r="L423" s="23">
        <f t="shared" si="33"/>
        <v>6441.1988160000019</v>
      </c>
      <c r="M423" s="23">
        <f t="shared" si="34"/>
        <v>1402.1451660000012</v>
      </c>
      <c r="O423" s="23">
        <f>L423-'Part A (2&amp;3)'!R423</f>
        <v>791.02441600000111</v>
      </c>
      <c r="P423" s="23">
        <f>M423-'Part A (2&amp;3)'!T423</f>
        <v>-192.77923399999963</v>
      </c>
    </row>
    <row r="424" spans="5:16" x14ac:dyDescent="0.35">
      <c r="E424" s="8">
        <v>0.115</v>
      </c>
      <c r="F424" s="27">
        <f t="shared" si="30"/>
        <v>0.115</v>
      </c>
      <c r="G424" s="23">
        <v>599.84</v>
      </c>
      <c r="H424">
        <f t="shared" si="31"/>
        <v>653.82560000000012</v>
      </c>
      <c r="I424">
        <v>11</v>
      </c>
      <c r="J424" s="28">
        <f t="shared" si="32"/>
        <v>12.540000000000001</v>
      </c>
      <c r="K424" s="23">
        <v>1330.85</v>
      </c>
      <c r="L424" s="23">
        <f t="shared" si="33"/>
        <v>14769.640215000001</v>
      </c>
      <c r="M424" s="23">
        <f t="shared" si="34"/>
        <v>6570.6671909999986</v>
      </c>
      <c r="O424" s="23">
        <f>L424-'Part A (2&amp;3)'!R424</f>
        <v>1813.8154650000033</v>
      </c>
      <c r="P424" s="23">
        <f>M424-'Part A (2&amp;3)'!T424</f>
        <v>213.08244100000138</v>
      </c>
    </row>
    <row r="425" spans="5:16" x14ac:dyDescent="0.35">
      <c r="E425" s="8">
        <v>0.255</v>
      </c>
      <c r="F425" s="27">
        <f t="shared" si="30"/>
        <v>0.12</v>
      </c>
      <c r="G425" s="23">
        <v>1233.58</v>
      </c>
      <c r="H425">
        <f t="shared" si="31"/>
        <v>1344.6022</v>
      </c>
      <c r="I425">
        <v>51</v>
      </c>
      <c r="J425" s="28">
        <f t="shared" si="32"/>
        <v>58.140000000000008</v>
      </c>
      <c r="K425" s="23">
        <v>1912.51</v>
      </c>
      <c r="L425" s="23">
        <f t="shared" si="33"/>
        <v>97850.131632000019</v>
      </c>
      <c r="M425" s="23">
        <f t="shared" si="34"/>
        <v>19674.959724</v>
      </c>
      <c r="O425" s="23">
        <f>L425-'Part A (2&amp;3)'!R425</f>
        <v>25184.314182000016</v>
      </c>
      <c r="P425" s="23">
        <f>M425-'Part A (2&amp;3)'!T425</f>
        <v>9921.7222739999925</v>
      </c>
    </row>
    <row r="426" spans="5:16" x14ac:dyDescent="0.35">
      <c r="E426" s="8">
        <v>5.7000000000000002E-2</v>
      </c>
      <c r="F426" s="27">
        <f t="shared" si="30"/>
        <v>5.7000000000000002E-2</v>
      </c>
      <c r="G426" s="23">
        <v>1363.51</v>
      </c>
      <c r="H426">
        <f t="shared" si="31"/>
        <v>1486.2259000000001</v>
      </c>
      <c r="I426">
        <v>8</v>
      </c>
      <c r="J426" s="28">
        <f t="shared" si="32"/>
        <v>9.120000000000001</v>
      </c>
      <c r="K426" s="23">
        <v>1433.9</v>
      </c>
      <c r="L426" s="23">
        <f t="shared" si="33"/>
        <v>12331.769424000002</v>
      </c>
      <c r="M426" s="23">
        <f t="shared" si="34"/>
        <v>-1222.6107840000004</v>
      </c>
      <c r="O426" s="23">
        <f>L426-'Part A (2&amp;3)'!R426</f>
        <v>1514.4278240000021</v>
      </c>
      <c r="P426" s="23">
        <f>M426-'Part A (2&amp;3)'!T426</f>
        <v>-1131.8723840000002</v>
      </c>
    </row>
    <row r="427" spans="5:16" x14ac:dyDescent="0.35">
      <c r="E427" s="8">
        <v>0</v>
      </c>
      <c r="F427" s="27">
        <f t="shared" si="30"/>
        <v>0</v>
      </c>
      <c r="G427" s="23">
        <v>840.68</v>
      </c>
      <c r="H427">
        <f t="shared" si="31"/>
        <v>916.34119999999996</v>
      </c>
      <c r="I427">
        <v>27</v>
      </c>
      <c r="J427" s="28">
        <f t="shared" si="32"/>
        <v>30.780000000000005</v>
      </c>
      <c r="K427" s="23">
        <v>1493.53</v>
      </c>
      <c r="L427" s="23">
        <f t="shared" si="33"/>
        <v>45970.853400000007</v>
      </c>
      <c r="M427" s="23">
        <f t="shared" si="34"/>
        <v>17765.871264000005</v>
      </c>
      <c r="O427" s="23">
        <f>L427-'Part A (2&amp;3)'!R427</f>
        <v>5645.5434000000096</v>
      </c>
      <c r="P427" s="23">
        <f>M427-'Part A (2&amp;3)'!T427</f>
        <v>138.92126400000416</v>
      </c>
    </row>
    <row r="428" spans="5:16" x14ac:dyDescent="0.35">
      <c r="E428" s="8">
        <v>0.19700000000000001</v>
      </c>
      <c r="F428" s="27">
        <f t="shared" si="30"/>
        <v>0.12</v>
      </c>
      <c r="G428" s="23">
        <v>740.68</v>
      </c>
      <c r="H428">
        <f t="shared" si="31"/>
        <v>807.34119999999996</v>
      </c>
      <c r="I428">
        <v>17</v>
      </c>
      <c r="J428" s="28">
        <f t="shared" si="32"/>
        <v>19.380000000000003</v>
      </c>
      <c r="K428" s="23">
        <v>1837.19</v>
      </c>
      <c r="L428" s="23">
        <f t="shared" si="33"/>
        <v>31332.173136000005</v>
      </c>
      <c r="M428" s="23">
        <f t="shared" si="34"/>
        <v>15685.900680000004</v>
      </c>
      <c r="O428" s="23">
        <f>L428-'Part A (2&amp;3)'!R428</f>
        <v>6252.6924460000082</v>
      </c>
      <c r="P428" s="23">
        <f>M428-'Part A (2&amp;3)'!T428</f>
        <v>3197.9799900000071</v>
      </c>
    </row>
    <row r="429" spans="5:16" x14ac:dyDescent="0.35">
      <c r="E429" s="8">
        <v>0.106</v>
      </c>
      <c r="F429" s="27">
        <f t="shared" si="30"/>
        <v>0.106</v>
      </c>
      <c r="G429" s="23">
        <v>1020.4</v>
      </c>
      <c r="H429">
        <f t="shared" si="31"/>
        <v>1112.2360000000001</v>
      </c>
      <c r="I429">
        <v>16</v>
      </c>
      <c r="J429" s="28">
        <f t="shared" si="32"/>
        <v>18.240000000000002</v>
      </c>
      <c r="K429" s="23">
        <v>1184.71</v>
      </c>
      <c r="L429" s="23">
        <f t="shared" si="33"/>
        <v>19318.544697600002</v>
      </c>
      <c r="M429" s="23">
        <f t="shared" si="34"/>
        <v>-968.63994240000102</v>
      </c>
      <c r="O429" s="23">
        <f>L429-'Part A (2&amp;3)'!R429</f>
        <v>2372.4528576000012</v>
      </c>
      <c r="P429" s="23">
        <f>M429-'Part A (2&amp;3)'!T429</f>
        <v>-1588.3317824000023</v>
      </c>
    </row>
    <row r="430" spans="5:16" x14ac:dyDescent="0.35">
      <c r="E430" s="8">
        <v>0.29199999999999998</v>
      </c>
      <c r="F430" s="27">
        <f t="shared" si="30"/>
        <v>0.12</v>
      </c>
      <c r="G430" s="23">
        <v>1454.11</v>
      </c>
      <c r="H430">
        <f t="shared" si="31"/>
        <v>1584.9799</v>
      </c>
      <c r="I430">
        <v>8</v>
      </c>
      <c r="J430" s="28">
        <f t="shared" si="32"/>
        <v>9.120000000000001</v>
      </c>
      <c r="K430" s="23">
        <v>2629.75</v>
      </c>
      <c r="L430" s="23">
        <f t="shared" si="33"/>
        <v>21105.321599999999</v>
      </c>
      <c r="M430" s="23">
        <f t="shared" si="34"/>
        <v>6650.3049119999978</v>
      </c>
      <c r="O430" s="23">
        <f>L430-'Part A (2&amp;3)'!R430</f>
        <v>6210.4176000000007</v>
      </c>
      <c r="P430" s="23">
        <f>M430-'Part A (2&amp;3)'!T430</f>
        <v>3388.2809119999984</v>
      </c>
    </row>
    <row r="431" spans="5:16" x14ac:dyDescent="0.35">
      <c r="E431" s="8">
        <v>0.128</v>
      </c>
      <c r="F431" s="27">
        <f t="shared" si="30"/>
        <v>0.12</v>
      </c>
      <c r="G431" s="23">
        <v>55.35</v>
      </c>
      <c r="H431">
        <f t="shared" si="31"/>
        <v>60.331500000000005</v>
      </c>
      <c r="I431">
        <v>10</v>
      </c>
      <c r="J431" s="28">
        <f t="shared" si="32"/>
        <v>11.400000000000002</v>
      </c>
      <c r="K431" s="23">
        <v>128.68</v>
      </c>
      <c r="L431" s="23">
        <f t="shared" si="33"/>
        <v>1290.9177600000005</v>
      </c>
      <c r="M431" s="23">
        <f t="shared" si="34"/>
        <v>603.1386600000003</v>
      </c>
      <c r="O431" s="23">
        <f>L431-'Part A (2&amp;3)'!R431</f>
        <v>168.82816000000025</v>
      </c>
      <c r="P431" s="23">
        <f>M431-'Part A (2&amp;3)'!T431</f>
        <v>34.549060000000054</v>
      </c>
    </row>
    <row r="432" spans="5:16" x14ac:dyDescent="0.35">
      <c r="E432" s="8">
        <v>0.11</v>
      </c>
      <c r="F432" s="27">
        <f t="shared" si="30"/>
        <v>0.11</v>
      </c>
      <c r="G432" s="23">
        <v>803.28</v>
      </c>
      <c r="H432">
        <f t="shared" si="31"/>
        <v>875.5752</v>
      </c>
      <c r="I432">
        <v>4</v>
      </c>
      <c r="J432" s="28">
        <f t="shared" si="32"/>
        <v>4.5600000000000005</v>
      </c>
      <c r="K432" s="23">
        <v>1009</v>
      </c>
      <c r="L432" s="23">
        <f t="shared" si="33"/>
        <v>4094.9256000000005</v>
      </c>
      <c r="M432" s="23">
        <f t="shared" si="34"/>
        <v>102.30268800000022</v>
      </c>
      <c r="O432" s="23">
        <f>L432-'Part A (2&amp;3)'!R432</f>
        <v>502.88560000000052</v>
      </c>
      <c r="P432" s="23">
        <f>M432-'Part A (2&amp;3)'!T432</f>
        <v>-276.61731199999986</v>
      </c>
    </row>
    <row r="433" spans="5:16" x14ac:dyDescent="0.35">
      <c r="E433" s="8">
        <v>6.7000000000000004E-2</v>
      </c>
      <c r="F433" s="27">
        <f t="shared" si="30"/>
        <v>6.7000000000000004E-2</v>
      </c>
      <c r="G433" s="23">
        <v>164.53</v>
      </c>
      <c r="H433">
        <f t="shared" si="31"/>
        <v>179.33770000000001</v>
      </c>
      <c r="I433">
        <v>14</v>
      </c>
      <c r="J433" s="28">
        <f t="shared" si="32"/>
        <v>15.96</v>
      </c>
      <c r="K433" s="23">
        <v>327.72</v>
      </c>
      <c r="L433" s="23">
        <f t="shared" si="33"/>
        <v>4879.9736496000005</v>
      </c>
      <c r="M433" s="23">
        <f t="shared" si="34"/>
        <v>2017.7439576000002</v>
      </c>
      <c r="O433" s="23">
        <f>L433-'Part A (2&amp;3)'!R433</f>
        <v>599.29500960000041</v>
      </c>
      <c r="P433" s="23">
        <f>M433-'Part A (2&amp;3)'!T433</f>
        <v>40.485317600000144</v>
      </c>
    </row>
    <row r="434" spans="5:16" x14ac:dyDescent="0.35">
      <c r="E434" s="8">
        <v>0.108</v>
      </c>
      <c r="F434" s="27">
        <f t="shared" si="30"/>
        <v>0.108</v>
      </c>
      <c r="G434" s="23">
        <v>903.41</v>
      </c>
      <c r="H434">
        <f t="shared" si="31"/>
        <v>984.71690000000001</v>
      </c>
      <c r="I434">
        <v>5</v>
      </c>
      <c r="J434" s="28">
        <f t="shared" si="32"/>
        <v>5.7000000000000011</v>
      </c>
      <c r="K434" s="23">
        <v>1860.41</v>
      </c>
      <c r="L434" s="23">
        <f t="shared" si="33"/>
        <v>9459.0686040000019</v>
      </c>
      <c r="M434" s="23">
        <f t="shared" si="34"/>
        <v>3846.1822740000007</v>
      </c>
      <c r="O434" s="23">
        <f>L434-'Part A (2&amp;3)'!R434</f>
        <v>1161.6400040000008</v>
      </c>
      <c r="P434" s="23">
        <f>M434-'Part A (2&amp;3)'!T434</f>
        <v>65.803673999999774</v>
      </c>
    </row>
    <row r="435" spans="5:16" x14ac:dyDescent="0.35">
      <c r="E435" s="8">
        <v>7.3999999999999996E-2</v>
      </c>
      <c r="F435" s="27">
        <f t="shared" si="30"/>
        <v>7.3999999999999996E-2</v>
      </c>
      <c r="G435" s="23">
        <v>1008.16</v>
      </c>
      <c r="H435">
        <f t="shared" si="31"/>
        <v>1098.8944000000001</v>
      </c>
      <c r="I435">
        <v>15</v>
      </c>
      <c r="J435" s="28">
        <f t="shared" si="32"/>
        <v>17.100000000000001</v>
      </c>
      <c r="K435" s="23">
        <v>2077.5</v>
      </c>
      <c r="L435" s="23">
        <f t="shared" si="33"/>
        <v>32896.381500000003</v>
      </c>
      <c r="M435" s="23">
        <f t="shared" si="34"/>
        <v>14105.287260000001</v>
      </c>
      <c r="O435" s="23">
        <f>L435-'Part A (2&amp;3)'!R435</f>
        <v>4039.906500000001</v>
      </c>
      <c r="P435" s="23">
        <f>M435-'Part A (2&amp;3)'!T435</f>
        <v>371.21225999999842</v>
      </c>
    </row>
    <row r="436" spans="5:16" x14ac:dyDescent="0.35">
      <c r="E436" s="8">
        <v>0.129</v>
      </c>
      <c r="F436" s="27">
        <f t="shared" si="30"/>
        <v>0.12</v>
      </c>
      <c r="G436" s="23">
        <v>1203.58</v>
      </c>
      <c r="H436">
        <f t="shared" si="31"/>
        <v>1311.9022</v>
      </c>
      <c r="I436">
        <v>22</v>
      </c>
      <c r="J436" s="28">
        <f t="shared" si="32"/>
        <v>25.080000000000002</v>
      </c>
      <c r="K436" s="23">
        <v>1856.16</v>
      </c>
      <c r="L436" s="23">
        <f t="shared" si="33"/>
        <v>40966.193664000006</v>
      </c>
      <c r="M436" s="23">
        <f t="shared" si="34"/>
        <v>8063.6864880000066</v>
      </c>
      <c r="O436" s="23">
        <f>L436-'Part A (2&amp;3)'!R436</f>
        <v>5398.455743999999</v>
      </c>
      <c r="P436" s="23">
        <f>M436-'Part A (2&amp;3)'!T436</f>
        <v>-1025.2914320000018</v>
      </c>
    </row>
    <row r="437" spans="5:16" x14ac:dyDescent="0.35">
      <c r="E437" s="8">
        <v>0.186</v>
      </c>
      <c r="F437" s="27">
        <f t="shared" si="30"/>
        <v>0.12</v>
      </c>
      <c r="G437" s="23">
        <v>1122.68</v>
      </c>
      <c r="H437">
        <f t="shared" si="31"/>
        <v>1223.7212000000002</v>
      </c>
      <c r="I437">
        <v>3</v>
      </c>
      <c r="J437" s="28">
        <f t="shared" si="32"/>
        <v>3.4200000000000004</v>
      </c>
      <c r="K437" s="23">
        <v>1997.19</v>
      </c>
      <c r="L437" s="23">
        <f t="shared" si="33"/>
        <v>6010.7430240000003</v>
      </c>
      <c r="M437" s="23">
        <f t="shared" si="34"/>
        <v>1825.6165199999996</v>
      </c>
      <c r="O437" s="23">
        <f>L437-'Part A (2&amp;3)'!R437</f>
        <v>1133.6050439999999</v>
      </c>
      <c r="P437" s="23">
        <f>M437-'Part A (2&amp;3)'!T437</f>
        <v>316.51853999999912</v>
      </c>
    </row>
    <row r="438" spans="5:16" x14ac:dyDescent="0.35">
      <c r="E438" s="8">
        <v>0.21099999999999999</v>
      </c>
      <c r="F438" s="27">
        <f t="shared" si="30"/>
        <v>0.12</v>
      </c>
      <c r="G438" s="23">
        <v>1335.76</v>
      </c>
      <c r="H438">
        <f t="shared" si="31"/>
        <v>1455.9784000000002</v>
      </c>
      <c r="I438">
        <v>40</v>
      </c>
      <c r="J438" s="28">
        <f t="shared" si="32"/>
        <v>45.600000000000009</v>
      </c>
      <c r="K438" s="23">
        <v>2665.91</v>
      </c>
      <c r="L438" s="23">
        <f t="shared" si="33"/>
        <v>106977.63648000002</v>
      </c>
      <c r="M438" s="23">
        <f t="shared" si="34"/>
        <v>40585.021439999997</v>
      </c>
      <c r="O438" s="23">
        <f>L438-'Part A (2&amp;3)'!R438</f>
        <v>22841.51688000001</v>
      </c>
      <c r="P438" s="23">
        <f>M438-'Part A (2&amp;3)'!T438</f>
        <v>9879.3018399999928</v>
      </c>
    </row>
    <row r="439" spans="5:16" x14ac:dyDescent="0.35">
      <c r="E439" s="8">
        <v>0</v>
      </c>
      <c r="F439" s="27">
        <f t="shared" si="30"/>
        <v>0</v>
      </c>
      <c r="G439" s="23">
        <v>769.9</v>
      </c>
      <c r="H439">
        <f t="shared" si="31"/>
        <v>839.19100000000003</v>
      </c>
      <c r="I439">
        <v>5</v>
      </c>
      <c r="J439" s="28">
        <f t="shared" si="32"/>
        <v>5.7000000000000011</v>
      </c>
      <c r="K439" s="23">
        <v>814.36</v>
      </c>
      <c r="L439" s="23">
        <f t="shared" si="33"/>
        <v>4641.8520000000008</v>
      </c>
      <c r="M439" s="23">
        <f t="shared" si="34"/>
        <v>-141.53670000000056</v>
      </c>
      <c r="O439" s="23">
        <f>L439-'Part A (2&amp;3)'!R439</f>
        <v>570.05200000000059</v>
      </c>
      <c r="P439" s="23">
        <f>M439-'Part A (2&amp;3)'!T439</f>
        <v>-363.83670000000075</v>
      </c>
    </row>
    <row r="440" spans="5:16" x14ac:dyDescent="0.35">
      <c r="E440" s="8">
        <v>0.16300000000000001</v>
      </c>
      <c r="F440" s="27">
        <f t="shared" si="30"/>
        <v>0.12</v>
      </c>
      <c r="G440" s="23">
        <v>143.33000000000001</v>
      </c>
      <c r="H440">
        <f t="shared" si="31"/>
        <v>156.22970000000004</v>
      </c>
      <c r="I440">
        <v>14</v>
      </c>
      <c r="J440" s="28">
        <f t="shared" si="32"/>
        <v>15.96</v>
      </c>
      <c r="K440" s="23">
        <v>233.51</v>
      </c>
      <c r="L440" s="23">
        <f t="shared" si="33"/>
        <v>3279.6012479999999</v>
      </c>
      <c r="M440" s="23">
        <f t="shared" si="34"/>
        <v>786.17523599999913</v>
      </c>
      <c r="O440" s="23">
        <f>L440-'Part A (2&amp;3)'!R440</f>
        <v>543.33106799999996</v>
      </c>
      <c r="P440" s="23">
        <f>M440-'Part A (2&amp;3)'!T440</f>
        <v>56.525055999999267</v>
      </c>
    </row>
    <row r="441" spans="5:16" x14ac:dyDescent="0.35">
      <c r="E441" s="8">
        <v>0</v>
      </c>
      <c r="F441" s="27">
        <f t="shared" si="30"/>
        <v>0</v>
      </c>
      <c r="G441" s="23">
        <v>117.64</v>
      </c>
      <c r="H441">
        <f t="shared" si="31"/>
        <v>128.22760000000002</v>
      </c>
      <c r="I441">
        <v>10</v>
      </c>
      <c r="J441" s="28">
        <f t="shared" si="32"/>
        <v>11.400000000000002</v>
      </c>
      <c r="K441" s="23">
        <v>175.67</v>
      </c>
      <c r="L441" s="23">
        <f t="shared" si="33"/>
        <v>2002.6380000000001</v>
      </c>
      <c r="M441" s="23">
        <f t="shared" si="34"/>
        <v>540.84335999999962</v>
      </c>
      <c r="O441" s="23">
        <f>L441-'Part A (2&amp;3)'!R441</f>
        <v>245.93800000000033</v>
      </c>
      <c r="P441" s="23">
        <f>M441-'Part A (2&amp;3)'!T441</f>
        <v>-39.456640000000107</v>
      </c>
    </row>
    <row r="442" spans="5:16" x14ac:dyDescent="0.35">
      <c r="E442" s="8">
        <v>0.245</v>
      </c>
      <c r="F442" s="27">
        <f t="shared" si="30"/>
        <v>0.12</v>
      </c>
      <c r="G442" s="23">
        <v>851.49</v>
      </c>
      <c r="H442">
        <f t="shared" si="31"/>
        <v>928.12410000000011</v>
      </c>
      <c r="I442">
        <v>16</v>
      </c>
      <c r="J442" s="28">
        <f t="shared" si="32"/>
        <v>18.240000000000002</v>
      </c>
      <c r="K442" s="23">
        <v>901.79</v>
      </c>
      <c r="L442" s="23">
        <f t="shared" si="33"/>
        <v>14474.811648000001</v>
      </c>
      <c r="M442" s="23">
        <f t="shared" si="34"/>
        <v>-2454.1719360000043</v>
      </c>
      <c r="O442" s="23">
        <f>L442-'Part A (2&amp;3)'!R442</f>
        <v>3581.1884480000008</v>
      </c>
      <c r="P442" s="23">
        <f>M442-'Part A (2&amp;3)'!T442</f>
        <v>276.04486399999587</v>
      </c>
    </row>
    <row r="443" spans="5:16" x14ac:dyDescent="0.35">
      <c r="E443" s="8">
        <v>5.5E-2</v>
      </c>
      <c r="F443" s="27">
        <f t="shared" si="30"/>
        <v>5.5E-2</v>
      </c>
      <c r="G443" s="23">
        <v>1195.98</v>
      </c>
      <c r="H443">
        <f t="shared" si="31"/>
        <v>1303.6182000000001</v>
      </c>
      <c r="I443">
        <v>19</v>
      </c>
      <c r="J443" s="28">
        <f t="shared" si="32"/>
        <v>21.660000000000004</v>
      </c>
      <c r="K443" s="23">
        <v>1841.9</v>
      </c>
      <c r="L443" s="23">
        <f t="shared" si="33"/>
        <v>37701.298530000007</v>
      </c>
      <c r="M443" s="23">
        <f t="shared" si="34"/>
        <v>9464.9283179999984</v>
      </c>
      <c r="O443" s="23">
        <f>L443-'Part A (2&amp;3)'!R443</f>
        <v>4629.9840300000069</v>
      </c>
      <c r="P443" s="23">
        <f>M443-'Part A (2&amp;3)'!T443</f>
        <v>-882.76618200000303</v>
      </c>
    </row>
    <row r="444" spans="5:16" x14ac:dyDescent="0.35">
      <c r="E444" s="8">
        <v>0.23799999999999999</v>
      </c>
      <c r="F444" s="27">
        <f t="shared" si="30"/>
        <v>0.12</v>
      </c>
      <c r="G444" s="23">
        <v>72.06</v>
      </c>
      <c r="H444">
        <f t="shared" si="31"/>
        <v>78.545400000000015</v>
      </c>
      <c r="I444">
        <v>8</v>
      </c>
      <c r="J444" s="28">
        <f t="shared" si="32"/>
        <v>9.120000000000001</v>
      </c>
      <c r="K444" s="23">
        <v>122.74</v>
      </c>
      <c r="L444" s="23">
        <f t="shared" si="33"/>
        <v>985.0621440000001</v>
      </c>
      <c r="M444" s="23">
        <f t="shared" si="34"/>
        <v>268.72809599999994</v>
      </c>
      <c r="O444" s="23">
        <f>L444-'Part A (2&amp;3)'!R444</f>
        <v>236.83910400000013</v>
      </c>
      <c r="P444" s="23">
        <f>M444-'Part A (2&amp;3)'!T444</f>
        <v>96.985055999999986</v>
      </c>
    </row>
    <row r="445" spans="5:16" x14ac:dyDescent="0.35">
      <c r="E445" s="8">
        <v>0.18</v>
      </c>
      <c r="F445" s="27">
        <f t="shared" si="30"/>
        <v>0.12</v>
      </c>
      <c r="G445" s="23">
        <v>107.03</v>
      </c>
      <c r="H445">
        <f t="shared" si="31"/>
        <v>116.66270000000002</v>
      </c>
      <c r="I445">
        <v>30</v>
      </c>
      <c r="J445" s="28">
        <f t="shared" si="32"/>
        <v>34.200000000000003</v>
      </c>
      <c r="K445" s="23">
        <v>242.29</v>
      </c>
      <c r="L445" s="23">
        <f t="shared" si="33"/>
        <v>7291.9598399999995</v>
      </c>
      <c r="M445" s="23">
        <f t="shared" si="34"/>
        <v>3302.0954999999985</v>
      </c>
      <c r="O445" s="23">
        <f>L445-'Part A (2&amp;3)'!R445</f>
        <v>1331.6258399999988</v>
      </c>
      <c r="P445" s="23">
        <f>M445-'Part A (2&amp;3)'!T445</f>
        <v>552.66149999999789</v>
      </c>
    </row>
    <row r="446" spans="5:16" x14ac:dyDescent="0.35">
      <c r="E446" s="8">
        <v>0.17</v>
      </c>
      <c r="F446" s="27">
        <f t="shared" si="30"/>
        <v>0.12</v>
      </c>
      <c r="G446" s="23">
        <v>1035.24</v>
      </c>
      <c r="H446">
        <f t="shared" si="31"/>
        <v>1128.4116000000001</v>
      </c>
      <c r="I446">
        <v>15</v>
      </c>
      <c r="J446" s="28">
        <f t="shared" si="32"/>
        <v>17.100000000000001</v>
      </c>
      <c r="K446" s="23">
        <v>2383.41</v>
      </c>
      <c r="L446" s="23">
        <f t="shared" si="33"/>
        <v>35865.553680000005</v>
      </c>
      <c r="M446" s="23">
        <f t="shared" si="34"/>
        <v>16569.715319999999</v>
      </c>
      <c r="O446" s="23">
        <f>L446-'Part A (2&amp;3)'!R446</f>
        <v>6192.099180000012</v>
      </c>
      <c r="P446" s="23">
        <f>M446-'Part A (2&amp;3)'!T446</f>
        <v>2424.8608200000072</v>
      </c>
    </row>
    <row r="447" spans="5:16" x14ac:dyDescent="0.35">
      <c r="E447" s="8">
        <v>9.1999999999999998E-2</v>
      </c>
      <c r="F447" s="27">
        <f t="shared" si="30"/>
        <v>9.1999999999999998E-2</v>
      </c>
      <c r="G447" s="23">
        <v>257.44</v>
      </c>
      <c r="H447">
        <f t="shared" si="31"/>
        <v>280.6096</v>
      </c>
      <c r="I447">
        <v>23</v>
      </c>
      <c r="J447" s="28">
        <f t="shared" si="32"/>
        <v>26.220000000000002</v>
      </c>
      <c r="K447" s="23">
        <v>290.33</v>
      </c>
      <c r="L447" s="23">
        <f t="shared" si="33"/>
        <v>6912.1069608000007</v>
      </c>
      <c r="M447" s="23">
        <f t="shared" si="34"/>
        <v>-445.47675119999985</v>
      </c>
      <c r="O447" s="23">
        <f>L447-'Part A (2&amp;3)'!R447</f>
        <v>848.85524080000141</v>
      </c>
      <c r="P447" s="23">
        <f>M447-'Part A (2&amp;3)'!T447</f>
        <v>-587.60847119999926</v>
      </c>
    </row>
    <row r="448" spans="5:16" x14ac:dyDescent="0.35">
      <c r="E448" s="8">
        <v>0.109</v>
      </c>
      <c r="F448" s="27">
        <f t="shared" si="30"/>
        <v>0.109</v>
      </c>
      <c r="G448" s="23">
        <v>891.08</v>
      </c>
      <c r="H448">
        <f t="shared" si="31"/>
        <v>971.27720000000011</v>
      </c>
      <c r="I448">
        <v>28</v>
      </c>
      <c r="J448" s="28">
        <f t="shared" si="32"/>
        <v>31.92</v>
      </c>
      <c r="K448" s="23">
        <v>1040.0999999999999</v>
      </c>
      <c r="L448" s="23">
        <f t="shared" si="33"/>
        <v>29581.192872</v>
      </c>
      <c r="M448" s="23">
        <f t="shared" si="34"/>
        <v>-1421.9753520000049</v>
      </c>
      <c r="O448" s="23">
        <f>L448-'Part A (2&amp;3)'!R448</f>
        <v>3632.7780720000046</v>
      </c>
      <c r="P448" s="23">
        <f>M448-'Part A (2&amp;3)'!T448</f>
        <v>-2420.1501519999983</v>
      </c>
    </row>
    <row r="449" spans="5:16" x14ac:dyDescent="0.35">
      <c r="E449" s="8">
        <v>5.8999999999999997E-2</v>
      </c>
      <c r="F449" s="27">
        <f t="shared" si="30"/>
        <v>5.8999999999999997E-2</v>
      </c>
      <c r="G449" s="23">
        <v>488.68</v>
      </c>
      <c r="H449">
        <f t="shared" si="31"/>
        <v>532.66120000000001</v>
      </c>
      <c r="I449">
        <v>14</v>
      </c>
      <c r="J449" s="28">
        <f t="shared" si="32"/>
        <v>15.96</v>
      </c>
      <c r="K449" s="23">
        <v>984.36</v>
      </c>
      <c r="L449" s="23">
        <f t="shared" si="33"/>
        <v>14783.472849600003</v>
      </c>
      <c r="M449" s="23">
        <f t="shared" si="34"/>
        <v>6282.2000976000018</v>
      </c>
      <c r="O449" s="23">
        <f>L449-'Part A (2&amp;3)'!R449</f>
        <v>1815.5142096000018</v>
      </c>
      <c r="P449" s="23">
        <f>M449-'Part A (2&amp;3)'!T449</f>
        <v>155.76145760000145</v>
      </c>
    </row>
    <row r="450" spans="5:16" x14ac:dyDescent="0.35">
      <c r="E450" s="8">
        <v>0.24099999999999999</v>
      </c>
      <c r="F450" s="27">
        <f t="shared" si="30"/>
        <v>0.12</v>
      </c>
      <c r="G450" s="23">
        <v>1202.47</v>
      </c>
      <c r="H450">
        <f t="shared" si="31"/>
        <v>1310.6923000000002</v>
      </c>
      <c r="I450">
        <v>17</v>
      </c>
      <c r="J450" s="28">
        <f t="shared" si="32"/>
        <v>19.380000000000003</v>
      </c>
      <c r="K450" s="23">
        <v>1444.72</v>
      </c>
      <c r="L450" s="23">
        <f t="shared" si="33"/>
        <v>24638.832768000007</v>
      </c>
      <c r="M450" s="23">
        <f t="shared" si="34"/>
        <v>-762.38400600000023</v>
      </c>
      <c r="O450" s="23">
        <f>L450-'Part A (2&amp;3)'!R450</f>
        <v>5997.6106080000063</v>
      </c>
      <c r="P450" s="23">
        <f>M450-'Part A (2&amp;3)'!T450</f>
        <v>1038.3838340000002</v>
      </c>
    </row>
    <row r="451" spans="5:16" x14ac:dyDescent="0.35">
      <c r="E451" s="8">
        <v>8.9999999999999993E-3</v>
      </c>
      <c r="F451" s="27">
        <f t="shared" ref="F451:F514" si="35">MIN(E451,$C$2)</f>
        <v>8.9999999999999993E-3</v>
      </c>
      <c r="G451" s="23">
        <v>1412.15</v>
      </c>
      <c r="H451">
        <f t="shared" ref="H451:H514" si="36">G451*(1+$C$3)</f>
        <v>1539.2435000000003</v>
      </c>
      <c r="I451">
        <v>6</v>
      </c>
      <c r="J451" s="28">
        <f t="shared" ref="J451:J514" si="37">I451*(1+$C$4)</f>
        <v>6.8400000000000007</v>
      </c>
      <c r="K451" s="23">
        <v>1631.04</v>
      </c>
      <c r="L451" s="23">
        <f t="shared" ref="L451:L514" si="38">K451*(1-F451)*J451</f>
        <v>11055.906777600001</v>
      </c>
      <c r="M451" s="23">
        <f t="shared" ref="M451:M514" si="39">L451-(H451*J451)</f>
        <v>527.48123759999726</v>
      </c>
      <c r="O451" s="23">
        <f>L451-'Part A (2&amp;3)'!R451</f>
        <v>1357.7429376000018</v>
      </c>
      <c r="P451" s="23">
        <f>M451-'Part A (2&amp;3)'!T451</f>
        <v>-697.78260240000054</v>
      </c>
    </row>
    <row r="452" spans="5:16" x14ac:dyDescent="0.35">
      <c r="E452" s="8">
        <v>4.7E-2</v>
      </c>
      <c r="F452" s="27">
        <f t="shared" si="35"/>
        <v>4.7E-2</v>
      </c>
      <c r="G452" s="23">
        <v>717.55</v>
      </c>
      <c r="H452">
        <f t="shared" si="36"/>
        <v>782.12950000000001</v>
      </c>
      <c r="I452">
        <v>18</v>
      </c>
      <c r="J452" s="28">
        <f t="shared" si="37"/>
        <v>20.520000000000003</v>
      </c>
      <c r="K452" s="23">
        <v>546.42999999999995</v>
      </c>
      <c r="L452" s="23">
        <f t="shared" si="38"/>
        <v>10685.744650799999</v>
      </c>
      <c r="M452" s="23">
        <f t="shared" si="39"/>
        <v>-5363.5526892000034</v>
      </c>
      <c r="O452" s="23">
        <f>L452-'Part A (2&amp;3)'!R452</f>
        <v>1312.2844308000003</v>
      </c>
      <c r="P452" s="23">
        <f>M452-'Part A (2&amp;3)'!T452</f>
        <v>-1821.1129092000028</v>
      </c>
    </row>
    <row r="453" spans="5:16" x14ac:dyDescent="0.35">
      <c r="E453" s="8">
        <v>0.14699999999999999</v>
      </c>
      <c r="F453" s="27">
        <f t="shared" si="35"/>
        <v>0.12</v>
      </c>
      <c r="G453" s="23">
        <v>346.82</v>
      </c>
      <c r="H453">
        <f t="shared" si="36"/>
        <v>378.03380000000004</v>
      </c>
      <c r="I453">
        <v>8</v>
      </c>
      <c r="J453" s="28">
        <f t="shared" si="37"/>
        <v>9.120000000000001</v>
      </c>
      <c r="K453" s="23">
        <v>701.95</v>
      </c>
      <c r="L453" s="23">
        <f t="shared" si="38"/>
        <v>5633.5699200000008</v>
      </c>
      <c r="M453" s="23">
        <f t="shared" si="39"/>
        <v>2185.901664</v>
      </c>
      <c r="O453" s="23">
        <f>L453-'Part A (2&amp;3)'!R453</f>
        <v>843.46312000000034</v>
      </c>
      <c r="P453" s="23">
        <f>M453-'Part A (2&amp;3)'!T453</f>
        <v>170.35486399999945</v>
      </c>
    </row>
    <row r="454" spans="5:16" x14ac:dyDescent="0.35">
      <c r="E454" s="8">
        <v>0.10199999999999999</v>
      </c>
      <c r="F454" s="27">
        <f t="shared" si="35"/>
        <v>0.10199999999999999</v>
      </c>
      <c r="G454" s="23">
        <v>722.87</v>
      </c>
      <c r="H454">
        <f t="shared" si="36"/>
        <v>787.92830000000004</v>
      </c>
      <c r="I454">
        <v>28</v>
      </c>
      <c r="J454" s="28">
        <f t="shared" si="37"/>
        <v>31.92</v>
      </c>
      <c r="K454" s="23">
        <v>867.44399999999996</v>
      </c>
      <c r="L454" s="23">
        <f t="shared" si="38"/>
        <v>24864.553607040001</v>
      </c>
      <c r="M454" s="23">
        <f t="shared" si="39"/>
        <v>-286.11772896000184</v>
      </c>
      <c r="O454" s="23">
        <f>L454-'Part A (2&amp;3)'!R454</f>
        <v>3053.5416710399986</v>
      </c>
      <c r="P454" s="23">
        <f>M454-'Part A (2&amp;3)'!T454</f>
        <v>-1856.7696649600039</v>
      </c>
    </row>
    <row r="455" spans="5:16" x14ac:dyDescent="0.35">
      <c r="E455" s="8">
        <v>7.6999999999999999E-2</v>
      </c>
      <c r="F455" s="27">
        <f t="shared" si="35"/>
        <v>7.6999999999999999E-2</v>
      </c>
      <c r="G455" s="23">
        <v>1361.34</v>
      </c>
      <c r="H455">
        <f t="shared" si="36"/>
        <v>1483.8606</v>
      </c>
      <c r="I455">
        <v>14</v>
      </c>
      <c r="J455" s="28">
        <f t="shared" si="37"/>
        <v>15.96</v>
      </c>
      <c r="K455" s="23">
        <v>1737.9</v>
      </c>
      <c r="L455" s="23">
        <f t="shared" si="38"/>
        <v>25601.143932000003</v>
      </c>
      <c r="M455" s="23">
        <f t="shared" si="39"/>
        <v>1918.7287560000004</v>
      </c>
      <c r="O455" s="23">
        <f>L455-'Part A (2&amp;3)'!R455</f>
        <v>3144.000132000001</v>
      </c>
      <c r="P455" s="23">
        <f>M455-'Part A (2&amp;3)'!T455</f>
        <v>-1479.6550440000028</v>
      </c>
    </row>
    <row r="456" spans="5:16" x14ac:dyDescent="0.35">
      <c r="E456" s="8">
        <v>0.192</v>
      </c>
      <c r="F456" s="27">
        <f t="shared" si="35"/>
        <v>0.12</v>
      </c>
      <c r="G456" s="23">
        <v>699.57</v>
      </c>
      <c r="H456">
        <f t="shared" si="36"/>
        <v>762.5313000000001</v>
      </c>
      <c r="I456">
        <v>26</v>
      </c>
      <c r="J456" s="28">
        <f t="shared" si="37"/>
        <v>29.640000000000004</v>
      </c>
      <c r="K456" s="23">
        <v>572.71</v>
      </c>
      <c r="L456" s="23">
        <f t="shared" si="38"/>
        <v>14938.109472000002</v>
      </c>
      <c r="M456" s="23">
        <f t="shared" si="39"/>
        <v>-7663.3182600000055</v>
      </c>
      <c r="O456" s="23">
        <f>L456-'Part A (2&amp;3)'!R456</f>
        <v>2906.6177920000009</v>
      </c>
      <c r="P456" s="23">
        <f>M456-'Part A (2&amp;3)'!T456</f>
        <v>-1505.9899400000068</v>
      </c>
    </row>
    <row r="457" spans="5:16" x14ac:dyDescent="0.35">
      <c r="E457" s="8">
        <v>0.01</v>
      </c>
      <c r="F457" s="27">
        <f t="shared" si="35"/>
        <v>0.01</v>
      </c>
      <c r="G457" s="23">
        <v>501.81</v>
      </c>
      <c r="H457">
        <f t="shared" si="36"/>
        <v>546.9729000000001</v>
      </c>
      <c r="I457">
        <v>9</v>
      </c>
      <c r="J457" s="28">
        <f t="shared" si="37"/>
        <v>10.260000000000002</v>
      </c>
      <c r="K457" s="23">
        <v>921.62</v>
      </c>
      <c r="L457" s="23">
        <f t="shared" si="38"/>
        <v>9361.2629880000022</v>
      </c>
      <c r="M457" s="23">
        <f t="shared" si="39"/>
        <v>3749.3210340000005</v>
      </c>
      <c r="O457" s="23">
        <f>L457-'Part A (2&amp;3)'!R457</f>
        <v>1149.6287880000018</v>
      </c>
      <c r="P457" s="23">
        <f>M457-'Part A (2&amp;3)'!T457</f>
        <v>53.976834000000053</v>
      </c>
    </row>
    <row r="458" spans="5:16" x14ac:dyDescent="0.35">
      <c r="E458" s="8">
        <v>0.113</v>
      </c>
      <c r="F458" s="27">
        <f t="shared" si="35"/>
        <v>0.113</v>
      </c>
      <c r="G458" s="23">
        <v>126.15</v>
      </c>
      <c r="H458">
        <f t="shared" si="36"/>
        <v>137.5035</v>
      </c>
      <c r="I458">
        <v>22</v>
      </c>
      <c r="J458" s="28">
        <f t="shared" si="37"/>
        <v>25.080000000000002</v>
      </c>
      <c r="K458" s="23">
        <v>284.23</v>
      </c>
      <c r="L458" s="23">
        <f t="shared" si="38"/>
        <v>6322.9692108000008</v>
      </c>
      <c r="M458" s="23">
        <f t="shared" si="39"/>
        <v>2874.3814308000005</v>
      </c>
      <c r="O458" s="23">
        <f>L458-'Part A (2&amp;3)'!R458</f>
        <v>776.50499080000009</v>
      </c>
      <c r="P458" s="23">
        <f>M458-'Part A (2&amp;3)'!T458</f>
        <v>103.21721079999998</v>
      </c>
    </row>
    <row r="459" spans="5:16" x14ac:dyDescent="0.35">
      <c r="E459" s="8">
        <v>0.14699999999999999</v>
      </c>
      <c r="F459" s="27">
        <f t="shared" si="35"/>
        <v>0.12</v>
      </c>
      <c r="G459" s="23">
        <v>586.07000000000005</v>
      </c>
      <c r="H459">
        <f t="shared" si="36"/>
        <v>638.81630000000007</v>
      </c>
      <c r="I459">
        <v>4</v>
      </c>
      <c r="J459" s="28">
        <f t="shared" si="37"/>
        <v>4.5600000000000005</v>
      </c>
      <c r="K459" s="23">
        <v>845.97</v>
      </c>
      <c r="L459" s="23">
        <f t="shared" si="38"/>
        <v>3394.7084160000004</v>
      </c>
      <c r="M459" s="23">
        <f t="shared" si="39"/>
        <v>481.70608799999991</v>
      </c>
      <c r="O459" s="23">
        <f>L459-'Part A (2&amp;3)'!R459</f>
        <v>508.25877600000058</v>
      </c>
      <c r="P459" s="23">
        <f>M459-'Part A (2&amp;3)'!T459</f>
        <v>-60.463551999999709</v>
      </c>
    </row>
    <row r="460" spans="5:16" x14ac:dyDescent="0.35">
      <c r="E460" s="8">
        <v>8.6999999999999994E-2</v>
      </c>
      <c r="F460" s="27">
        <f t="shared" si="35"/>
        <v>8.6999999999999994E-2</v>
      </c>
      <c r="G460" s="23">
        <v>495.59</v>
      </c>
      <c r="H460">
        <f t="shared" si="36"/>
        <v>540.19309999999996</v>
      </c>
      <c r="I460">
        <v>17</v>
      </c>
      <c r="J460" s="28">
        <f t="shared" si="37"/>
        <v>19.380000000000003</v>
      </c>
      <c r="K460" s="23">
        <v>631.78</v>
      </c>
      <c r="L460" s="23">
        <f t="shared" si="38"/>
        <v>11178.677413200003</v>
      </c>
      <c r="M460" s="23">
        <f t="shared" si="39"/>
        <v>709.73513520000233</v>
      </c>
      <c r="O460" s="23">
        <f>L460-'Part A (2&amp;3)'!R460</f>
        <v>1372.8200332000015</v>
      </c>
      <c r="P460" s="23">
        <f>M460-'Part A (2&amp;3)'!T460</f>
        <v>-671.09224480000012</v>
      </c>
    </row>
    <row r="461" spans="5:16" x14ac:dyDescent="0.35">
      <c r="E461" s="8">
        <v>0.184</v>
      </c>
      <c r="F461" s="27">
        <f t="shared" si="35"/>
        <v>0.12</v>
      </c>
      <c r="G461" s="23">
        <v>1391.99</v>
      </c>
      <c r="H461">
        <f t="shared" si="36"/>
        <v>1517.2691000000002</v>
      </c>
      <c r="I461">
        <v>23</v>
      </c>
      <c r="J461" s="28">
        <f t="shared" si="37"/>
        <v>26.220000000000002</v>
      </c>
      <c r="K461" s="23">
        <v>3469.7</v>
      </c>
      <c r="L461" s="23">
        <f t="shared" si="38"/>
        <v>80058.469920000003</v>
      </c>
      <c r="M461" s="23">
        <f t="shared" si="39"/>
        <v>40275.674117999995</v>
      </c>
      <c r="O461" s="23">
        <f>L461-'Part A (2&amp;3)'!R461</f>
        <v>14939.140320000006</v>
      </c>
      <c r="P461" s="23">
        <f>M461-'Part A (2&amp;3)'!T461</f>
        <v>7172.1145180000021</v>
      </c>
    </row>
    <row r="462" spans="5:16" x14ac:dyDescent="0.35">
      <c r="E462" s="8">
        <v>0.111</v>
      </c>
      <c r="F462" s="27">
        <f t="shared" si="35"/>
        <v>0.111</v>
      </c>
      <c r="G462" s="23">
        <v>1146.72</v>
      </c>
      <c r="H462">
        <f t="shared" si="36"/>
        <v>1249.9248000000002</v>
      </c>
      <c r="I462">
        <v>8</v>
      </c>
      <c r="J462" s="28">
        <f t="shared" si="37"/>
        <v>9.120000000000001</v>
      </c>
      <c r="K462" s="23">
        <v>2074.34</v>
      </c>
      <c r="L462" s="23">
        <f t="shared" si="38"/>
        <v>16818.084931200003</v>
      </c>
      <c r="M462" s="23">
        <f t="shared" si="39"/>
        <v>5418.7707551999993</v>
      </c>
      <c r="O462" s="23">
        <f>L462-'Part A (2&amp;3)'!R462</f>
        <v>2065.378851200001</v>
      </c>
      <c r="P462" s="23">
        <f>M462-'Part A (2&amp;3)'!T462</f>
        <v>-160.17532480000227</v>
      </c>
    </row>
    <row r="463" spans="5:16" x14ac:dyDescent="0.35">
      <c r="E463" s="8">
        <v>0</v>
      </c>
      <c r="F463" s="27">
        <f t="shared" si="35"/>
        <v>0</v>
      </c>
      <c r="G463" s="23">
        <v>1201.31</v>
      </c>
      <c r="H463">
        <f t="shared" si="36"/>
        <v>1309.4279000000001</v>
      </c>
      <c r="I463">
        <v>21</v>
      </c>
      <c r="J463" s="28">
        <f t="shared" si="37"/>
        <v>23.94</v>
      </c>
      <c r="K463" s="23">
        <v>2764.65</v>
      </c>
      <c r="L463" s="23">
        <f t="shared" si="38"/>
        <v>66185.721000000005</v>
      </c>
      <c r="M463" s="23">
        <f t="shared" si="39"/>
        <v>34838.017074000003</v>
      </c>
      <c r="O463" s="23">
        <f>L463-'Part A (2&amp;3)'!R463</f>
        <v>8128.0710000000036</v>
      </c>
      <c r="P463" s="23">
        <f>M463-'Part A (2&amp;3)'!T463</f>
        <v>2007.8770740000036</v>
      </c>
    </row>
    <row r="464" spans="5:16" x14ac:dyDescent="0.35">
      <c r="E464" s="8">
        <v>0.185</v>
      </c>
      <c r="F464" s="27">
        <f t="shared" si="35"/>
        <v>0.12</v>
      </c>
      <c r="G464" s="23">
        <v>1399.72</v>
      </c>
      <c r="H464">
        <f t="shared" si="36"/>
        <v>1525.6948000000002</v>
      </c>
      <c r="I464">
        <v>12</v>
      </c>
      <c r="J464" s="28">
        <f t="shared" si="37"/>
        <v>13.680000000000001</v>
      </c>
      <c r="K464" s="23">
        <v>3149.21</v>
      </c>
      <c r="L464" s="23">
        <f t="shared" si="38"/>
        <v>37911.449664</v>
      </c>
      <c r="M464" s="23">
        <f t="shared" si="39"/>
        <v>17039.944799999994</v>
      </c>
      <c r="O464" s="23">
        <f>L464-'Part A (2&amp;3)'!R464</f>
        <v>7112.1758639999971</v>
      </c>
      <c r="P464" s="23">
        <f>M464-'Part A (2&amp;3)'!T464</f>
        <v>3037.3109999999906</v>
      </c>
    </row>
    <row r="465" spans="5:16" x14ac:dyDescent="0.35">
      <c r="E465" s="8">
        <v>0.25</v>
      </c>
      <c r="F465" s="27">
        <f t="shared" si="35"/>
        <v>0.12</v>
      </c>
      <c r="G465" s="23">
        <v>908.6</v>
      </c>
      <c r="H465">
        <f t="shared" si="36"/>
        <v>990.37400000000014</v>
      </c>
      <c r="I465">
        <v>20</v>
      </c>
      <c r="J465" s="28">
        <f t="shared" si="37"/>
        <v>22.800000000000004</v>
      </c>
      <c r="K465" s="23">
        <v>691.37</v>
      </c>
      <c r="L465" s="23">
        <f t="shared" si="38"/>
        <v>13871.647680000004</v>
      </c>
      <c r="M465" s="23">
        <f t="shared" si="39"/>
        <v>-8708.879520000004</v>
      </c>
      <c r="O465" s="23">
        <f>L465-'Part A (2&amp;3)'!R465</f>
        <v>3501.0976800000044</v>
      </c>
      <c r="P465" s="23">
        <f>M465-'Part A (2&amp;3)'!T465</f>
        <v>-907.42952000000332</v>
      </c>
    </row>
    <row r="466" spans="5:16" x14ac:dyDescent="0.35">
      <c r="E466" s="8">
        <v>0</v>
      </c>
      <c r="F466" s="27">
        <f t="shared" si="35"/>
        <v>0</v>
      </c>
      <c r="G466" s="23">
        <v>1428.33</v>
      </c>
      <c r="H466">
        <f t="shared" si="36"/>
        <v>1556.8797</v>
      </c>
      <c r="I466">
        <v>11</v>
      </c>
      <c r="J466" s="28">
        <f t="shared" si="37"/>
        <v>12.540000000000001</v>
      </c>
      <c r="K466" s="23">
        <v>3028.05</v>
      </c>
      <c r="L466" s="23">
        <f t="shared" si="38"/>
        <v>37971.747000000003</v>
      </c>
      <c r="M466" s="23">
        <f t="shared" si="39"/>
        <v>18448.475562000003</v>
      </c>
      <c r="O466" s="23">
        <f>L466-'Part A (2&amp;3)'!R466</f>
        <v>4663.1970000000001</v>
      </c>
      <c r="P466" s="23">
        <f>M466-'Part A (2&amp;3)'!T466</f>
        <v>851.55556199999774</v>
      </c>
    </row>
    <row r="467" spans="5:16" x14ac:dyDescent="0.35">
      <c r="E467" s="8">
        <v>9.1999999999999998E-2</v>
      </c>
      <c r="F467" s="27">
        <f t="shared" si="35"/>
        <v>9.1999999999999998E-2</v>
      </c>
      <c r="G467" s="23">
        <v>432.13</v>
      </c>
      <c r="H467">
        <f t="shared" si="36"/>
        <v>471.02170000000001</v>
      </c>
      <c r="I467">
        <v>7</v>
      </c>
      <c r="J467" s="28">
        <f t="shared" si="37"/>
        <v>7.98</v>
      </c>
      <c r="K467" s="23">
        <v>1034.6600000000001</v>
      </c>
      <c r="L467" s="23">
        <f t="shared" si="38"/>
        <v>7496.9808144000008</v>
      </c>
      <c r="M467" s="23">
        <f t="shared" si="39"/>
        <v>3738.2276484000004</v>
      </c>
      <c r="O467" s="23">
        <f>L467-'Part A (2&amp;3)'!R467</f>
        <v>920.68185439999979</v>
      </c>
      <c r="P467" s="23">
        <f>M467-'Part A (2&amp;3)'!T467</f>
        <v>186.83868839999923</v>
      </c>
    </row>
    <row r="468" spans="5:16" x14ac:dyDescent="0.35">
      <c r="E468" s="8">
        <v>0.187</v>
      </c>
      <c r="F468" s="27">
        <f t="shared" si="35"/>
        <v>0.12</v>
      </c>
      <c r="G468" s="23">
        <v>304.77999999999997</v>
      </c>
      <c r="H468">
        <f t="shared" si="36"/>
        <v>332.21019999999999</v>
      </c>
      <c r="I468">
        <v>8</v>
      </c>
      <c r="J468" s="28">
        <f t="shared" si="37"/>
        <v>9.120000000000001</v>
      </c>
      <c r="K468" s="23">
        <v>537.27</v>
      </c>
      <c r="L468" s="23">
        <f t="shared" si="38"/>
        <v>4311.9141120000004</v>
      </c>
      <c r="M468" s="23">
        <f t="shared" si="39"/>
        <v>1282.1570880000004</v>
      </c>
      <c r="O468" s="23">
        <f>L468-'Part A (2&amp;3)'!R468</f>
        <v>817.51003200000059</v>
      </c>
      <c r="P468" s="23">
        <f>M468-'Part A (2&amp;3)'!T468</f>
        <v>225.99300800000037</v>
      </c>
    </row>
    <row r="469" spans="5:16" x14ac:dyDescent="0.35">
      <c r="E469" s="8">
        <v>0.19</v>
      </c>
      <c r="F469" s="27">
        <f t="shared" si="35"/>
        <v>0.12</v>
      </c>
      <c r="G469" s="23">
        <v>725.62</v>
      </c>
      <c r="H469">
        <f t="shared" si="36"/>
        <v>790.92580000000009</v>
      </c>
      <c r="I469">
        <v>12</v>
      </c>
      <c r="J469" s="28">
        <f t="shared" si="37"/>
        <v>13.680000000000001</v>
      </c>
      <c r="K469" s="23">
        <v>1559.19</v>
      </c>
      <c r="L469" s="23">
        <f t="shared" si="38"/>
        <v>18770.152896000003</v>
      </c>
      <c r="M469" s="23">
        <f t="shared" si="39"/>
        <v>7950.2879520000006</v>
      </c>
      <c r="O469" s="23">
        <f>L469-'Part A (2&amp;3)'!R469</f>
        <v>3614.8260960000025</v>
      </c>
      <c r="P469" s="23">
        <f>M469-'Part A (2&amp;3)'!T469</f>
        <v>1502.4011520000004</v>
      </c>
    </row>
    <row r="470" spans="5:16" x14ac:dyDescent="0.35">
      <c r="E470" s="8">
        <v>6.5000000000000002E-2</v>
      </c>
      <c r="F470" s="27">
        <f t="shared" si="35"/>
        <v>6.5000000000000002E-2</v>
      </c>
      <c r="G470" s="23">
        <v>100.69</v>
      </c>
      <c r="H470">
        <f t="shared" si="36"/>
        <v>109.7521</v>
      </c>
      <c r="I470">
        <v>12</v>
      </c>
      <c r="J470" s="28">
        <f t="shared" si="37"/>
        <v>13.680000000000001</v>
      </c>
      <c r="K470" s="23">
        <v>226.14</v>
      </c>
      <c r="L470" s="23">
        <f t="shared" si="38"/>
        <v>2892.5115120000005</v>
      </c>
      <c r="M470" s="23">
        <f t="shared" si="39"/>
        <v>1391.1027840000004</v>
      </c>
      <c r="O470" s="23">
        <f>L470-'Part A (2&amp;3)'!R470</f>
        <v>355.22071200000028</v>
      </c>
      <c r="P470" s="23">
        <f>M470-'Part A (2&amp;3)'!T470</f>
        <v>62.091984000000139</v>
      </c>
    </row>
    <row r="471" spans="5:16" x14ac:dyDescent="0.35">
      <c r="E471" s="8">
        <v>0.21099999999999999</v>
      </c>
      <c r="F471" s="27">
        <f t="shared" si="35"/>
        <v>0.12</v>
      </c>
      <c r="G471" s="23">
        <v>594.74</v>
      </c>
      <c r="H471">
        <f t="shared" si="36"/>
        <v>648.26660000000004</v>
      </c>
      <c r="I471">
        <v>6</v>
      </c>
      <c r="J471" s="28">
        <f t="shared" si="37"/>
        <v>6.8400000000000007</v>
      </c>
      <c r="K471" s="23">
        <v>1020.69</v>
      </c>
      <c r="L471" s="23">
        <f t="shared" si="38"/>
        <v>6143.7372480000013</v>
      </c>
      <c r="M471" s="23">
        <f t="shared" si="39"/>
        <v>1709.5937040000008</v>
      </c>
      <c r="O471" s="23">
        <f>L471-'Part A (2&amp;3)'!R471</f>
        <v>1311.7907880000012</v>
      </c>
      <c r="P471" s="23">
        <f>M471-'Part A (2&amp;3)'!T471</f>
        <v>446.08724400000074</v>
      </c>
    </row>
    <row r="472" spans="5:16" x14ac:dyDescent="0.35">
      <c r="E472" s="8">
        <v>0.11899999999999999</v>
      </c>
      <c r="F472" s="27">
        <f t="shared" si="35"/>
        <v>0.11899999999999999</v>
      </c>
      <c r="G472" s="23">
        <v>142.09</v>
      </c>
      <c r="H472">
        <f t="shared" si="36"/>
        <v>154.87810000000002</v>
      </c>
      <c r="I472">
        <v>11</v>
      </c>
      <c r="J472" s="28">
        <f t="shared" si="37"/>
        <v>12.540000000000001</v>
      </c>
      <c r="K472" s="23">
        <v>218.5</v>
      </c>
      <c r="L472" s="23">
        <f t="shared" si="38"/>
        <v>2413.9311900000002</v>
      </c>
      <c r="M472" s="23">
        <f t="shared" si="39"/>
        <v>471.75981599999977</v>
      </c>
      <c r="O472" s="23">
        <f>L472-'Part A (2&amp;3)'!R472</f>
        <v>296.44769000000042</v>
      </c>
      <c r="P472" s="23">
        <f>M472-'Part A (2&amp;3)'!T472</f>
        <v>-82.733684000000039</v>
      </c>
    </row>
    <row r="473" spans="5:16" x14ac:dyDescent="0.35">
      <c r="E473" s="8">
        <v>0.111</v>
      </c>
      <c r="F473" s="27">
        <f t="shared" si="35"/>
        <v>0.111</v>
      </c>
      <c r="G473" s="23">
        <v>974.11</v>
      </c>
      <c r="H473">
        <f t="shared" si="36"/>
        <v>1061.7799</v>
      </c>
      <c r="I473">
        <v>10</v>
      </c>
      <c r="J473" s="28">
        <f t="shared" si="37"/>
        <v>11.400000000000002</v>
      </c>
      <c r="K473" s="23">
        <v>880.99</v>
      </c>
      <c r="L473" s="23">
        <f t="shared" si="38"/>
        <v>8928.4812540000021</v>
      </c>
      <c r="M473" s="23">
        <f t="shared" si="39"/>
        <v>-3175.8096060000007</v>
      </c>
      <c r="O473" s="23">
        <f>L473-'Part A (2&amp;3)'!R473</f>
        <v>1096.4801540000026</v>
      </c>
      <c r="P473" s="23">
        <f>M473-'Part A (2&amp;3)'!T473</f>
        <v>-1266.7107059999998</v>
      </c>
    </row>
    <row r="474" spans="5:16" x14ac:dyDescent="0.35">
      <c r="E474" s="8">
        <v>0.182</v>
      </c>
      <c r="F474" s="27">
        <f t="shared" si="35"/>
        <v>0.12</v>
      </c>
      <c r="G474" s="23">
        <v>204.11</v>
      </c>
      <c r="H474">
        <f t="shared" si="36"/>
        <v>222.47990000000004</v>
      </c>
      <c r="I474">
        <v>13</v>
      </c>
      <c r="J474" s="28">
        <f t="shared" si="37"/>
        <v>14.820000000000002</v>
      </c>
      <c r="K474" s="23">
        <v>236.87</v>
      </c>
      <c r="L474" s="23">
        <f t="shared" si="38"/>
        <v>3089.1637920000007</v>
      </c>
      <c r="M474" s="23">
        <f t="shared" si="39"/>
        <v>-207.98832600000014</v>
      </c>
      <c r="O474" s="23">
        <f>L474-'Part A (2&amp;3)'!R474</f>
        <v>570.28821200000039</v>
      </c>
      <c r="P474" s="23">
        <f>M474-'Part A (2&amp;3)'!T474</f>
        <v>-73.433906000000206</v>
      </c>
    </row>
    <row r="475" spans="5:16" x14ac:dyDescent="0.35">
      <c r="E475" s="8">
        <v>0.14799999999999999</v>
      </c>
      <c r="F475" s="27">
        <f t="shared" si="35"/>
        <v>0.12</v>
      </c>
      <c r="G475" s="23">
        <v>1030.44</v>
      </c>
      <c r="H475">
        <f t="shared" si="36"/>
        <v>1123.1796000000002</v>
      </c>
      <c r="I475">
        <v>13</v>
      </c>
      <c r="J475" s="28">
        <f t="shared" si="37"/>
        <v>14.820000000000002</v>
      </c>
      <c r="K475" s="23">
        <v>2562.84</v>
      </c>
      <c r="L475" s="23">
        <f t="shared" si="38"/>
        <v>33423.534144000005</v>
      </c>
      <c r="M475" s="23">
        <f t="shared" si="39"/>
        <v>16778.012471999999</v>
      </c>
      <c r="O475" s="23">
        <f>L475-'Part A (2&amp;3)'!R475</f>
        <v>5037.5183040000084</v>
      </c>
      <c r="P475" s="23">
        <f>M475-'Part A (2&amp;3)'!T475</f>
        <v>1787.7166320000033</v>
      </c>
    </row>
    <row r="476" spans="5:16" x14ac:dyDescent="0.35">
      <c r="E476" s="8">
        <v>0</v>
      </c>
      <c r="F476" s="27">
        <f t="shared" si="35"/>
        <v>0</v>
      </c>
      <c r="G476" s="23">
        <v>591.72</v>
      </c>
      <c r="H476">
        <f t="shared" si="36"/>
        <v>644.97480000000007</v>
      </c>
      <c r="I476">
        <v>22</v>
      </c>
      <c r="J476" s="28">
        <f t="shared" si="37"/>
        <v>25.080000000000002</v>
      </c>
      <c r="K476" s="23">
        <v>577.24</v>
      </c>
      <c r="L476" s="23">
        <f t="shared" si="38"/>
        <v>14477.1792</v>
      </c>
      <c r="M476" s="23">
        <f t="shared" si="39"/>
        <v>-1698.7887840000021</v>
      </c>
      <c r="O476" s="23">
        <f>L476-'Part A (2&amp;3)'!R476</f>
        <v>1777.8991999999998</v>
      </c>
      <c r="P476" s="23">
        <f>M476-'Part A (2&amp;3)'!T476</f>
        <v>-1380.2287840000026</v>
      </c>
    </row>
    <row r="477" spans="5:16" x14ac:dyDescent="0.35">
      <c r="E477" s="8">
        <v>0.153</v>
      </c>
      <c r="F477" s="27">
        <f t="shared" si="35"/>
        <v>0.12</v>
      </c>
      <c r="G477" s="23">
        <v>122.29</v>
      </c>
      <c r="H477">
        <f t="shared" si="36"/>
        <v>133.29610000000002</v>
      </c>
      <c r="I477">
        <v>28</v>
      </c>
      <c r="J477" s="28">
        <f t="shared" si="37"/>
        <v>31.92</v>
      </c>
      <c r="K477" s="23">
        <v>224.95</v>
      </c>
      <c r="L477" s="23">
        <f t="shared" si="38"/>
        <v>6318.7555199999997</v>
      </c>
      <c r="M477" s="23">
        <f t="shared" si="39"/>
        <v>2063.9440079999986</v>
      </c>
      <c r="O477" s="23">
        <f>L477-'Part A (2&amp;3)'!R477</f>
        <v>983.84132000000045</v>
      </c>
      <c r="P477" s="23">
        <f>M477-'Part A (2&amp;3)'!T477</f>
        <v>153.14980799999967</v>
      </c>
    </row>
    <row r="478" spans="5:16" x14ac:dyDescent="0.35">
      <c r="E478" s="8">
        <v>0</v>
      </c>
      <c r="F478" s="27">
        <f t="shared" si="35"/>
        <v>0</v>
      </c>
      <c r="G478" s="23">
        <v>1253.22</v>
      </c>
      <c r="H478">
        <f t="shared" si="36"/>
        <v>1366.0098</v>
      </c>
      <c r="I478">
        <v>17</v>
      </c>
      <c r="J478" s="28">
        <f t="shared" si="37"/>
        <v>19.380000000000003</v>
      </c>
      <c r="K478" s="23">
        <v>3104.71</v>
      </c>
      <c r="L478" s="23">
        <f t="shared" si="38"/>
        <v>60169.279800000011</v>
      </c>
      <c r="M478" s="23">
        <f t="shared" si="39"/>
        <v>33696.009876000011</v>
      </c>
      <c r="O478" s="23">
        <f>L478-'Part A (2&amp;3)'!R478</f>
        <v>7389.2098000000115</v>
      </c>
      <c r="P478" s="23">
        <f>M478-'Part A (2&amp;3)'!T478</f>
        <v>2220.6798760000129</v>
      </c>
    </row>
    <row r="479" spans="5:16" x14ac:dyDescent="0.35">
      <c r="E479" s="8">
        <v>0</v>
      </c>
      <c r="F479" s="27">
        <f t="shared" si="35"/>
        <v>0</v>
      </c>
      <c r="G479" s="23">
        <v>1445.27</v>
      </c>
      <c r="H479">
        <f t="shared" si="36"/>
        <v>1575.3443000000002</v>
      </c>
      <c r="I479">
        <v>9</v>
      </c>
      <c r="J479" s="28">
        <f t="shared" si="37"/>
        <v>10.260000000000002</v>
      </c>
      <c r="K479" s="23">
        <v>2691.45</v>
      </c>
      <c r="L479" s="23">
        <f t="shared" si="38"/>
        <v>27614.277000000002</v>
      </c>
      <c r="M479" s="23">
        <f t="shared" si="39"/>
        <v>11451.244481999996</v>
      </c>
      <c r="O479" s="23">
        <f>L479-'Part A (2&amp;3)'!R479</f>
        <v>3391.2270000000026</v>
      </c>
      <c r="P479" s="23">
        <f>M479-'Part A (2&amp;3)'!T479</f>
        <v>235.62448199999744</v>
      </c>
    </row>
    <row r="480" spans="5:16" x14ac:dyDescent="0.35">
      <c r="E480" s="8">
        <v>0.16300000000000001</v>
      </c>
      <c r="F480" s="27">
        <f t="shared" si="35"/>
        <v>0.12</v>
      </c>
      <c r="G480" s="23">
        <v>378.26</v>
      </c>
      <c r="H480">
        <f t="shared" si="36"/>
        <v>412.30340000000001</v>
      </c>
      <c r="I480">
        <v>25</v>
      </c>
      <c r="J480" s="28">
        <f t="shared" si="37"/>
        <v>28.500000000000004</v>
      </c>
      <c r="K480" s="23">
        <v>541.55999999999995</v>
      </c>
      <c r="L480" s="23">
        <f t="shared" si="38"/>
        <v>13582.3248</v>
      </c>
      <c r="M480" s="23">
        <f t="shared" si="39"/>
        <v>1831.6778999999988</v>
      </c>
      <c r="O480" s="23">
        <f>L480-'Part A (2&amp;3)'!R480</f>
        <v>2250.1818000000021</v>
      </c>
      <c r="P480" s="23">
        <f>M480-'Part A (2&amp;3)'!T480</f>
        <v>-43.965099999999438</v>
      </c>
    </row>
    <row r="481" spans="5:16" x14ac:dyDescent="0.35">
      <c r="E481" s="8">
        <v>0.19600000000000001</v>
      </c>
      <c r="F481" s="27">
        <f t="shared" si="35"/>
        <v>0.12</v>
      </c>
      <c r="G481" s="23">
        <v>766.59</v>
      </c>
      <c r="H481">
        <f t="shared" si="36"/>
        <v>835.58310000000006</v>
      </c>
      <c r="I481">
        <v>5</v>
      </c>
      <c r="J481" s="28">
        <f t="shared" si="37"/>
        <v>5.7000000000000011</v>
      </c>
      <c r="K481" s="23">
        <v>1912.8</v>
      </c>
      <c r="L481" s="23">
        <f t="shared" si="38"/>
        <v>9594.604800000001</v>
      </c>
      <c r="M481" s="23">
        <f t="shared" si="39"/>
        <v>4831.7811299999994</v>
      </c>
      <c r="O481" s="23">
        <f>L481-'Part A (2&amp;3)'!R481</f>
        <v>1905.1488000000008</v>
      </c>
      <c r="P481" s="23">
        <f>M481-'Part A (2&amp;3)'!T481</f>
        <v>975.27512999999954</v>
      </c>
    </row>
    <row r="482" spans="5:16" x14ac:dyDescent="0.35">
      <c r="E482" s="8">
        <v>5.5E-2</v>
      </c>
      <c r="F482" s="27">
        <f t="shared" si="35"/>
        <v>5.5E-2</v>
      </c>
      <c r="G482" s="23">
        <v>1016.32</v>
      </c>
      <c r="H482">
        <f t="shared" si="36"/>
        <v>1107.7888</v>
      </c>
      <c r="I482">
        <v>12</v>
      </c>
      <c r="J482" s="28">
        <f t="shared" si="37"/>
        <v>13.680000000000001</v>
      </c>
      <c r="K482" s="23">
        <v>2253.42</v>
      </c>
      <c r="L482" s="23">
        <f t="shared" si="38"/>
        <v>29131.312392</v>
      </c>
      <c r="M482" s="23">
        <f t="shared" si="39"/>
        <v>13976.761607999997</v>
      </c>
      <c r="O482" s="23">
        <f>L482-'Part A (2&amp;3)'!R482</f>
        <v>3577.529591999999</v>
      </c>
      <c r="P482" s="23">
        <f>M482-'Part A (2&amp;3)'!T482</f>
        <v>618.81880799999635</v>
      </c>
    </row>
    <row r="483" spans="5:16" x14ac:dyDescent="0.35">
      <c r="E483" s="8">
        <v>6.8000000000000005E-2</v>
      </c>
      <c r="F483" s="27">
        <f t="shared" si="35"/>
        <v>6.8000000000000005E-2</v>
      </c>
      <c r="G483" s="23">
        <v>586.21</v>
      </c>
      <c r="H483">
        <f t="shared" si="36"/>
        <v>638.96890000000008</v>
      </c>
      <c r="I483">
        <v>15</v>
      </c>
      <c r="J483" s="28">
        <f t="shared" si="37"/>
        <v>17.100000000000001</v>
      </c>
      <c r="K483" s="23">
        <v>727.22</v>
      </c>
      <c r="L483" s="23">
        <f t="shared" si="38"/>
        <v>11589.850584000002</v>
      </c>
      <c r="M483" s="23">
        <f t="shared" si="39"/>
        <v>663.48239399999875</v>
      </c>
      <c r="O483" s="23">
        <f>L483-'Part A (2&amp;3)'!R483</f>
        <v>1423.3149840000005</v>
      </c>
      <c r="P483" s="23">
        <f>M483-'Part A (2&amp;3)'!T483</f>
        <v>-709.90320600000086</v>
      </c>
    </row>
    <row r="484" spans="5:16" x14ac:dyDescent="0.35">
      <c r="E484" s="8">
        <v>3.2000000000000001E-2</v>
      </c>
      <c r="F484" s="27">
        <f t="shared" si="35"/>
        <v>3.2000000000000001E-2</v>
      </c>
      <c r="G484" s="23">
        <v>837.39</v>
      </c>
      <c r="H484">
        <f t="shared" si="36"/>
        <v>912.75510000000008</v>
      </c>
      <c r="I484">
        <v>18</v>
      </c>
      <c r="J484" s="28">
        <f t="shared" si="37"/>
        <v>20.520000000000003</v>
      </c>
      <c r="K484" s="23">
        <v>1905.42</v>
      </c>
      <c r="L484" s="23">
        <f t="shared" si="38"/>
        <v>37848.043411200008</v>
      </c>
      <c r="M484" s="23">
        <f t="shared" si="39"/>
        <v>19118.308759200005</v>
      </c>
      <c r="O484" s="23">
        <f>L484-'Part A (2&amp;3)'!R484</f>
        <v>4648.0053312000091</v>
      </c>
      <c r="P484" s="23">
        <f>M484-'Part A (2&amp;3)'!T484</f>
        <v>991.29067920000671</v>
      </c>
    </row>
    <row r="485" spans="5:16" x14ac:dyDescent="0.35">
      <c r="E485" s="8">
        <v>0.13500000000000001</v>
      </c>
      <c r="F485" s="27">
        <f t="shared" si="35"/>
        <v>0.12</v>
      </c>
      <c r="G485" s="23">
        <v>90.68</v>
      </c>
      <c r="H485">
        <f t="shared" si="36"/>
        <v>98.841200000000015</v>
      </c>
      <c r="I485">
        <v>21</v>
      </c>
      <c r="J485" s="28">
        <f t="shared" si="37"/>
        <v>23.94</v>
      </c>
      <c r="K485" s="23">
        <v>118.17</v>
      </c>
      <c r="L485" s="23">
        <f t="shared" si="38"/>
        <v>2489.5110239999999</v>
      </c>
      <c r="M485" s="23">
        <f t="shared" si="39"/>
        <v>123.25269599999956</v>
      </c>
      <c r="O485" s="23">
        <f>L485-'Part A (2&amp;3)'!R485</f>
        <v>342.95297399999981</v>
      </c>
      <c r="P485" s="23">
        <f>M485-'Part A (2&amp;3)'!T485</f>
        <v>-119.02535400000033</v>
      </c>
    </row>
    <row r="486" spans="5:16" x14ac:dyDescent="0.35">
      <c r="E486" s="8">
        <v>3.5000000000000003E-2</v>
      </c>
      <c r="F486" s="27">
        <f t="shared" si="35"/>
        <v>3.5000000000000003E-2</v>
      </c>
      <c r="G486" s="23">
        <v>1154.6400000000001</v>
      </c>
      <c r="H486">
        <f t="shared" si="36"/>
        <v>1258.5576000000001</v>
      </c>
      <c r="I486">
        <v>11</v>
      </c>
      <c r="J486" s="28">
        <f t="shared" si="37"/>
        <v>12.540000000000001</v>
      </c>
      <c r="K486" s="23">
        <v>2794.13</v>
      </c>
      <c r="L486" s="23">
        <f t="shared" si="38"/>
        <v>33812.046543000004</v>
      </c>
      <c r="M486" s="23">
        <f t="shared" si="39"/>
        <v>18029.734239000001</v>
      </c>
      <c r="O486" s="23">
        <f>L486-'Part A (2&amp;3)'!R486</f>
        <v>4152.3565930000041</v>
      </c>
      <c r="P486" s="23">
        <f>M486-'Part A (2&amp;3)'!T486</f>
        <v>1071.0842890000022</v>
      </c>
    </row>
    <row r="487" spans="5:16" x14ac:dyDescent="0.35">
      <c r="E487" s="8">
        <v>6.3E-2</v>
      </c>
      <c r="F487" s="27">
        <f t="shared" si="35"/>
        <v>6.3E-2</v>
      </c>
      <c r="G487" s="23">
        <v>414.95</v>
      </c>
      <c r="H487">
        <f t="shared" si="36"/>
        <v>452.2955</v>
      </c>
      <c r="I487">
        <v>8</v>
      </c>
      <c r="J487" s="28">
        <f t="shared" si="37"/>
        <v>9.120000000000001</v>
      </c>
      <c r="K487" s="23">
        <v>1027.73</v>
      </c>
      <c r="L487" s="23">
        <f t="shared" si="38"/>
        <v>8782.4050512000013</v>
      </c>
      <c r="M487" s="23">
        <f t="shared" si="39"/>
        <v>4657.4700912000008</v>
      </c>
      <c r="O487" s="23">
        <f>L487-'Part A (2&amp;3)'!R487</f>
        <v>1078.540971200001</v>
      </c>
      <c r="P487" s="23">
        <f>M487-'Part A (2&amp;3)'!T487</f>
        <v>273.20601119999992</v>
      </c>
    </row>
    <row r="488" spans="5:16" x14ac:dyDescent="0.35">
      <c r="E488" s="8">
        <v>0.127</v>
      </c>
      <c r="F488" s="27">
        <f t="shared" si="35"/>
        <v>0.12</v>
      </c>
      <c r="G488" s="23">
        <v>815.83</v>
      </c>
      <c r="H488">
        <f t="shared" si="36"/>
        <v>889.25470000000007</v>
      </c>
      <c r="I488">
        <v>6</v>
      </c>
      <c r="J488" s="28">
        <f t="shared" si="37"/>
        <v>6.8400000000000007</v>
      </c>
      <c r="K488" s="23">
        <v>1982.18</v>
      </c>
      <c r="L488" s="23">
        <f t="shared" si="38"/>
        <v>11931.137856000001</v>
      </c>
      <c r="M488" s="23">
        <f t="shared" si="39"/>
        <v>5848.6357079999998</v>
      </c>
      <c r="O488" s="23">
        <f>L488-'Part A (2&amp;3)'!R488</f>
        <v>1548.4790160000011</v>
      </c>
      <c r="P488" s="23">
        <f>M488-'Part A (2&amp;3)'!T488</f>
        <v>360.95686800000021</v>
      </c>
    </row>
    <row r="489" spans="5:16" x14ac:dyDescent="0.35">
      <c r="E489" s="8">
        <v>8.6999999999999994E-2</v>
      </c>
      <c r="F489" s="27">
        <f t="shared" si="35"/>
        <v>8.6999999999999994E-2</v>
      </c>
      <c r="G489" s="23">
        <v>1162.8599999999999</v>
      </c>
      <c r="H489">
        <f t="shared" si="36"/>
        <v>1267.5174</v>
      </c>
      <c r="I489">
        <v>12</v>
      </c>
      <c r="J489" s="28">
        <f t="shared" si="37"/>
        <v>13.680000000000001</v>
      </c>
      <c r="K489" s="23">
        <v>1447.68</v>
      </c>
      <c r="L489" s="23">
        <f t="shared" si="38"/>
        <v>18081.291571200003</v>
      </c>
      <c r="M489" s="23">
        <f t="shared" si="39"/>
        <v>741.65353920000052</v>
      </c>
      <c r="O489" s="23">
        <f>L489-'Part A (2&amp;3)'!R489</f>
        <v>2220.5094912000022</v>
      </c>
      <c r="P489" s="23">
        <f>M489-'Part A (2&amp;3)'!T489</f>
        <v>-1164.8085408000006</v>
      </c>
    </row>
    <row r="490" spans="5:16" x14ac:dyDescent="0.35">
      <c r="E490" s="8">
        <v>8.7999999999999995E-2</v>
      </c>
      <c r="F490" s="27">
        <f t="shared" si="35"/>
        <v>8.7999999999999995E-2</v>
      </c>
      <c r="G490" s="23">
        <v>1027.26</v>
      </c>
      <c r="H490">
        <f t="shared" si="36"/>
        <v>1119.7134000000001</v>
      </c>
      <c r="I490">
        <v>6</v>
      </c>
      <c r="J490" s="28">
        <f t="shared" si="37"/>
        <v>6.8400000000000007</v>
      </c>
      <c r="K490" s="23">
        <v>2200.41</v>
      </c>
      <c r="L490" s="23">
        <f t="shared" si="38"/>
        <v>13726.333612800001</v>
      </c>
      <c r="M490" s="23">
        <f t="shared" si="39"/>
        <v>6067.4939568</v>
      </c>
      <c r="O490" s="23">
        <f>L490-'Part A (2&amp;3)'!R490</f>
        <v>1685.6900928000014</v>
      </c>
      <c r="P490" s="23">
        <f>M490-'Part A (2&amp;3)'!T490</f>
        <v>190.41043679999984</v>
      </c>
    </row>
    <row r="491" spans="5:16" x14ac:dyDescent="0.35">
      <c r="E491" s="8">
        <v>4.2000000000000003E-2</v>
      </c>
      <c r="F491" s="27">
        <f t="shared" si="35"/>
        <v>4.2000000000000003E-2</v>
      </c>
      <c r="G491" s="23">
        <v>730.42</v>
      </c>
      <c r="H491">
        <f t="shared" si="36"/>
        <v>796.15780000000007</v>
      </c>
      <c r="I491">
        <v>22</v>
      </c>
      <c r="J491" s="28">
        <f t="shared" si="37"/>
        <v>25.080000000000002</v>
      </c>
      <c r="K491" s="23">
        <v>956.7</v>
      </c>
      <c r="L491" s="23">
        <f t="shared" si="38"/>
        <v>22986.286488000002</v>
      </c>
      <c r="M491" s="23">
        <f t="shared" si="39"/>
        <v>3018.6488639999989</v>
      </c>
      <c r="O491" s="23">
        <f>L491-'Part A (2&amp;3)'!R491</f>
        <v>2822.8772879999997</v>
      </c>
      <c r="P491" s="23">
        <f>M491-'Part A (2&amp;3)'!T491</f>
        <v>-1075.5203360000032</v>
      </c>
    </row>
    <row r="492" spans="5:16" x14ac:dyDescent="0.35">
      <c r="E492" s="8">
        <v>4.2999999999999997E-2</v>
      </c>
      <c r="F492" s="27">
        <f t="shared" si="35"/>
        <v>4.2999999999999997E-2</v>
      </c>
      <c r="G492" s="23">
        <v>1133.47</v>
      </c>
      <c r="H492">
        <f t="shared" si="36"/>
        <v>1235.4823000000001</v>
      </c>
      <c r="I492">
        <v>5</v>
      </c>
      <c r="J492" s="28">
        <f t="shared" si="37"/>
        <v>5.7000000000000011</v>
      </c>
      <c r="K492" s="23">
        <v>1698.75</v>
      </c>
      <c r="L492" s="23">
        <f t="shared" si="38"/>
        <v>9266.5113750000019</v>
      </c>
      <c r="M492" s="23">
        <f t="shared" si="39"/>
        <v>2224.2622650000003</v>
      </c>
      <c r="O492" s="23">
        <f>L492-'Part A (2&amp;3)'!R492</f>
        <v>1137.9926250000026</v>
      </c>
      <c r="P492" s="23">
        <f>M492-'Part A (2&amp;3)'!T492</f>
        <v>-236.90648499999861</v>
      </c>
    </row>
    <row r="493" spans="5:16" x14ac:dyDescent="0.35">
      <c r="E493" s="8">
        <v>0.17399999999999999</v>
      </c>
      <c r="F493" s="27">
        <f t="shared" si="35"/>
        <v>0.12</v>
      </c>
      <c r="G493" s="23">
        <v>325.87</v>
      </c>
      <c r="H493">
        <f t="shared" si="36"/>
        <v>355.19830000000002</v>
      </c>
      <c r="I493">
        <v>16</v>
      </c>
      <c r="J493" s="28">
        <f t="shared" si="37"/>
        <v>18.240000000000002</v>
      </c>
      <c r="K493" s="23">
        <v>538.79</v>
      </c>
      <c r="L493" s="23">
        <f t="shared" si="38"/>
        <v>8648.2260480000004</v>
      </c>
      <c r="M493" s="23">
        <f t="shared" si="39"/>
        <v>2169.4090559999995</v>
      </c>
      <c r="O493" s="23">
        <f>L493-'Part A (2&amp;3)'!R493</f>
        <v>1527.5774080000001</v>
      </c>
      <c r="P493" s="23">
        <f>M493-'Part A (2&amp;3)'!T493</f>
        <v>262.68041599999924</v>
      </c>
    </row>
    <row r="494" spans="5:16" x14ac:dyDescent="0.35">
      <c r="E494" s="8">
        <v>0.13800000000000001</v>
      </c>
      <c r="F494" s="27">
        <f t="shared" si="35"/>
        <v>0.12</v>
      </c>
      <c r="G494" s="23">
        <v>1437.39</v>
      </c>
      <c r="H494">
        <f t="shared" si="36"/>
        <v>1566.7551000000003</v>
      </c>
      <c r="I494">
        <v>18</v>
      </c>
      <c r="J494" s="28">
        <f t="shared" si="37"/>
        <v>20.520000000000003</v>
      </c>
      <c r="K494" s="23">
        <v>1388.31</v>
      </c>
      <c r="L494" s="23">
        <f t="shared" si="38"/>
        <v>25069.546656000006</v>
      </c>
      <c r="M494" s="23">
        <f t="shared" si="39"/>
        <v>-7080.267996000006</v>
      </c>
      <c r="O494" s="23">
        <f>L494-'Part A (2&amp;3)'!R494</f>
        <v>3528.5286960000085</v>
      </c>
      <c r="P494" s="23">
        <f>M494-'Part A (2&amp;3)'!T494</f>
        <v>-2748.2659560000029</v>
      </c>
    </row>
    <row r="495" spans="5:16" x14ac:dyDescent="0.35">
      <c r="E495" s="8">
        <v>1.9E-2</v>
      </c>
      <c r="F495" s="27">
        <f t="shared" si="35"/>
        <v>1.9E-2</v>
      </c>
      <c r="G495" s="23">
        <v>1205.26</v>
      </c>
      <c r="H495">
        <f t="shared" si="36"/>
        <v>1313.7334000000001</v>
      </c>
      <c r="I495">
        <v>6</v>
      </c>
      <c r="J495" s="28">
        <f t="shared" si="37"/>
        <v>6.8400000000000007</v>
      </c>
      <c r="K495" s="23">
        <v>1696.35</v>
      </c>
      <c r="L495" s="23">
        <f t="shared" si="38"/>
        <v>11382.576354000001</v>
      </c>
      <c r="M495" s="23">
        <f t="shared" si="39"/>
        <v>2396.6398979999994</v>
      </c>
      <c r="O495" s="23">
        <f>L495-'Part A (2&amp;3)'!R495</f>
        <v>1397.8602540000029</v>
      </c>
      <c r="P495" s="23">
        <f>M495-'Part A (2&amp;3)'!T495</f>
        <v>-356.51620199999888</v>
      </c>
    </row>
    <row r="496" spans="5:16" x14ac:dyDescent="0.35">
      <c r="E496" s="8">
        <v>0.17299999999999999</v>
      </c>
      <c r="F496" s="27">
        <f t="shared" si="35"/>
        <v>0.12</v>
      </c>
      <c r="G496" s="23">
        <v>51.86</v>
      </c>
      <c r="H496">
        <f t="shared" si="36"/>
        <v>56.5274</v>
      </c>
      <c r="I496">
        <v>7</v>
      </c>
      <c r="J496" s="28">
        <f t="shared" si="37"/>
        <v>7.98</v>
      </c>
      <c r="K496" s="23">
        <v>45.98</v>
      </c>
      <c r="L496" s="23">
        <f t="shared" si="38"/>
        <v>322.88995199999999</v>
      </c>
      <c r="M496" s="23">
        <f t="shared" si="39"/>
        <v>-128.19870000000003</v>
      </c>
      <c r="O496" s="23">
        <f>L496-'Part A (2&amp;3)'!R496</f>
        <v>56.71173200000004</v>
      </c>
      <c r="P496" s="23">
        <f>M496-'Part A (2&amp;3)'!T496</f>
        <v>-31.356920000000002</v>
      </c>
    </row>
    <row r="497" spans="5:16" x14ac:dyDescent="0.35">
      <c r="E497" s="8">
        <v>0.14199999999999999</v>
      </c>
      <c r="F497" s="27">
        <f t="shared" si="35"/>
        <v>0.12</v>
      </c>
      <c r="G497" s="23">
        <v>555.95000000000005</v>
      </c>
      <c r="H497">
        <f t="shared" si="36"/>
        <v>605.98550000000012</v>
      </c>
      <c r="I497">
        <v>11</v>
      </c>
      <c r="J497" s="28">
        <f t="shared" si="37"/>
        <v>12.540000000000001</v>
      </c>
      <c r="K497" s="23">
        <v>468.09</v>
      </c>
      <c r="L497" s="23">
        <f t="shared" si="38"/>
        <v>5165.4667680000002</v>
      </c>
      <c r="M497" s="23">
        <f t="shared" si="39"/>
        <v>-2433.5914020000018</v>
      </c>
      <c r="O497" s="23">
        <f>L497-'Part A (2&amp;3)'!R497</f>
        <v>747.6333480000003</v>
      </c>
      <c r="P497" s="23">
        <f>M497-'Part A (2&amp;3)'!T497</f>
        <v>-735.97482200000104</v>
      </c>
    </row>
    <row r="498" spans="5:16" x14ac:dyDescent="0.35">
      <c r="E498" s="8">
        <v>9.4E-2</v>
      </c>
      <c r="F498" s="27">
        <f t="shared" si="35"/>
        <v>9.4E-2</v>
      </c>
      <c r="G498" s="23">
        <v>331.57</v>
      </c>
      <c r="H498">
        <f t="shared" si="36"/>
        <v>361.41130000000004</v>
      </c>
      <c r="I498">
        <v>10</v>
      </c>
      <c r="J498" s="28">
        <f t="shared" si="37"/>
        <v>11.400000000000002</v>
      </c>
      <c r="K498" s="23">
        <v>548.4</v>
      </c>
      <c r="L498" s="23">
        <f t="shared" si="38"/>
        <v>5664.0945600000005</v>
      </c>
      <c r="M498" s="23">
        <f t="shared" si="39"/>
        <v>1544.0057399999996</v>
      </c>
      <c r="O498" s="23">
        <f>L498-'Part A (2&amp;3)'!R498</f>
        <v>695.59056000000055</v>
      </c>
      <c r="P498" s="23">
        <f>M498-'Part A (2&amp;3)'!T498</f>
        <v>-108.79826000000048</v>
      </c>
    </row>
    <row r="499" spans="5:16" x14ac:dyDescent="0.35">
      <c r="E499" s="8">
        <v>0.19600000000000001</v>
      </c>
      <c r="F499" s="27">
        <f t="shared" si="35"/>
        <v>0.12</v>
      </c>
      <c r="G499" s="23">
        <v>475.66</v>
      </c>
      <c r="H499">
        <f t="shared" si="36"/>
        <v>518.46940000000006</v>
      </c>
      <c r="I499">
        <v>11</v>
      </c>
      <c r="J499" s="28">
        <f t="shared" si="37"/>
        <v>12.540000000000001</v>
      </c>
      <c r="K499" s="23">
        <v>529.14</v>
      </c>
      <c r="L499" s="23">
        <f t="shared" si="38"/>
        <v>5839.1657279999999</v>
      </c>
      <c r="M499" s="23">
        <f t="shared" si="39"/>
        <v>-662.4405480000014</v>
      </c>
      <c r="O499" s="23">
        <f>L499-'Part A (2&amp;3)'!R499</f>
        <v>1159.4515679999995</v>
      </c>
      <c r="P499" s="23">
        <f>M499-'Part A (2&amp;3)'!T499</f>
        <v>-109.89470800000163</v>
      </c>
    </row>
    <row r="500" spans="5:16" x14ac:dyDescent="0.35">
      <c r="E500" s="8">
        <v>7.0000000000000007E-2</v>
      </c>
      <c r="F500" s="27">
        <f t="shared" si="35"/>
        <v>7.0000000000000007E-2</v>
      </c>
      <c r="G500" s="23">
        <v>996.73</v>
      </c>
      <c r="H500">
        <f t="shared" si="36"/>
        <v>1086.4357</v>
      </c>
      <c r="I500">
        <v>9</v>
      </c>
      <c r="J500" s="28">
        <f t="shared" si="37"/>
        <v>10.260000000000002</v>
      </c>
      <c r="K500" s="23">
        <v>1217.43</v>
      </c>
      <c r="L500" s="23">
        <f t="shared" si="38"/>
        <v>11616.473574000003</v>
      </c>
      <c r="M500" s="23">
        <f t="shared" si="39"/>
        <v>469.64329200000248</v>
      </c>
      <c r="O500" s="23">
        <f>L500-'Part A (2&amp;3)'!R500</f>
        <v>1426.584474000003</v>
      </c>
      <c r="P500" s="23">
        <f>M500-'Part A (2&amp;3)'!T500</f>
        <v>-749.67580799999814</v>
      </c>
    </row>
    <row r="501" spans="5:16" x14ac:dyDescent="0.35">
      <c r="E501" s="8">
        <v>0.187</v>
      </c>
      <c r="F501" s="27">
        <f t="shared" si="35"/>
        <v>0.12</v>
      </c>
      <c r="G501" s="23">
        <v>783.72</v>
      </c>
      <c r="H501">
        <f t="shared" si="36"/>
        <v>854.25480000000005</v>
      </c>
      <c r="I501">
        <v>4</v>
      </c>
      <c r="J501" s="28">
        <f t="shared" si="37"/>
        <v>4.5600000000000005</v>
      </c>
      <c r="K501" s="23">
        <v>1355.94</v>
      </c>
      <c r="L501" s="23">
        <f t="shared" si="38"/>
        <v>5441.1160320000008</v>
      </c>
      <c r="M501" s="23">
        <f t="shared" si="39"/>
        <v>1545.714144</v>
      </c>
      <c r="O501" s="23">
        <f>L501-'Part A (2&amp;3)'!R501</f>
        <v>1031.5991520000007</v>
      </c>
      <c r="P501" s="23">
        <f>M501-'Part A (2&amp;3)'!T501</f>
        <v>271.07726400000001</v>
      </c>
    </row>
    <row r="502" spans="5:16" x14ac:dyDescent="0.35">
      <c r="E502" s="8">
        <v>0.122</v>
      </c>
      <c r="F502" s="27">
        <f t="shared" si="35"/>
        <v>0.12</v>
      </c>
      <c r="G502" s="23">
        <v>116.97</v>
      </c>
      <c r="H502">
        <f t="shared" si="36"/>
        <v>127.49730000000001</v>
      </c>
      <c r="I502">
        <v>5</v>
      </c>
      <c r="J502" s="28">
        <f t="shared" si="37"/>
        <v>5.7000000000000011</v>
      </c>
      <c r="K502" s="23">
        <v>140.82</v>
      </c>
      <c r="L502" s="23">
        <f t="shared" si="38"/>
        <v>706.3531200000001</v>
      </c>
      <c r="M502" s="23">
        <f t="shared" si="39"/>
        <v>-20.381490000000099</v>
      </c>
      <c r="O502" s="23">
        <f>L502-'Part A (2&amp;3)'!R502</f>
        <v>88.153320000000235</v>
      </c>
      <c r="P502" s="23">
        <f>M502-'Part A (2&amp;3)'!T502</f>
        <v>-53.731289999999944</v>
      </c>
    </row>
    <row r="503" spans="5:16" x14ac:dyDescent="0.35">
      <c r="E503" s="8">
        <v>8.1000000000000003E-2</v>
      </c>
      <c r="F503" s="27">
        <f t="shared" si="35"/>
        <v>8.1000000000000003E-2</v>
      </c>
      <c r="G503" s="23">
        <v>1317.58</v>
      </c>
      <c r="H503">
        <f t="shared" si="36"/>
        <v>1436.1622</v>
      </c>
      <c r="I503">
        <v>6</v>
      </c>
      <c r="J503" s="28">
        <f t="shared" si="37"/>
        <v>6.8400000000000007</v>
      </c>
      <c r="K503" s="23">
        <v>1897.74</v>
      </c>
      <c r="L503" s="23">
        <f t="shared" si="38"/>
        <v>11929.117730400001</v>
      </c>
      <c r="M503" s="23">
        <f t="shared" si="39"/>
        <v>2105.7682824000003</v>
      </c>
      <c r="O503" s="23">
        <f>L503-'Part A (2&amp;3)'!R503</f>
        <v>1464.9793704000003</v>
      </c>
      <c r="P503" s="23">
        <f>M503-'Part A (2&amp;3)'!T503</f>
        <v>-452.89007760000095</v>
      </c>
    </row>
    <row r="504" spans="5:16" x14ac:dyDescent="0.35">
      <c r="E504" s="8">
        <v>0.3</v>
      </c>
      <c r="F504" s="27">
        <f t="shared" si="35"/>
        <v>0.12</v>
      </c>
      <c r="G504" s="23">
        <v>1106.96</v>
      </c>
      <c r="H504">
        <f t="shared" si="36"/>
        <v>1206.5864000000001</v>
      </c>
      <c r="I504">
        <v>7</v>
      </c>
      <c r="J504" s="28">
        <f t="shared" si="37"/>
        <v>7.98</v>
      </c>
      <c r="K504" s="23">
        <v>2726.62</v>
      </c>
      <c r="L504" s="23">
        <f t="shared" si="38"/>
        <v>19147.416288</v>
      </c>
      <c r="M504" s="23">
        <f t="shared" si="39"/>
        <v>9518.8568159999995</v>
      </c>
      <c r="O504" s="23">
        <f>L504-'Part A (2&amp;3)'!R504</f>
        <v>5786.9782880000002</v>
      </c>
      <c r="P504" s="23">
        <f>M504-'Part A (2&amp;3)'!T504</f>
        <v>3907.1388159999997</v>
      </c>
    </row>
    <row r="505" spans="5:16" x14ac:dyDescent="0.35">
      <c r="E505" s="8">
        <v>0.217</v>
      </c>
      <c r="F505" s="27">
        <f t="shared" si="35"/>
        <v>0.12</v>
      </c>
      <c r="G505" s="23">
        <v>80.59</v>
      </c>
      <c r="H505">
        <f t="shared" si="36"/>
        <v>87.843100000000007</v>
      </c>
      <c r="I505">
        <v>6</v>
      </c>
      <c r="J505" s="28">
        <f t="shared" si="37"/>
        <v>6.8400000000000007</v>
      </c>
      <c r="K505" s="23">
        <v>157.82</v>
      </c>
      <c r="L505" s="23">
        <f t="shared" si="38"/>
        <v>949.95014400000002</v>
      </c>
      <c r="M505" s="23">
        <f t="shared" si="39"/>
        <v>349.10333999999989</v>
      </c>
      <c r="O505" s="23">
        <f>L505-'Part A (2&amp;3)'!R505</f>
        <v>208.51178400000003</v>
      </c>
      <c r="P505" s="23">
        <f>M505-'Part A (2&amp;3)'!T505</f>
        <v>91.204979999999921</v>
      </c>
    </row>
    <row r="506" spans="5:16" x14ac:dyDescent="0.35">
      <c r="E506" s="8">
        <v>0.105</v>
      </c>
      <c r="F506" s="27">
        <f t="shared" si="35"/>
        <v>0.105</v>
      </c>
      <c r="G506" s="23">
        <v>935.83</v>
      </c>
      <c r="H506">
        <f t="shared" si="36"/>
        <v>1020.0547000000001</v>
      </c>
      <c r="I506">
        <v>9</v>
      </c>
      <c r="J506" s="28">
        <f t="shared" si="37"/>
        <v>10.260000000000002</v>
      </c>
      <c r="K506" s="23">
        <v>2303.46</v>
      </c>
      <c r="L506" s="23">
        <f t="shared" si="38"/>
        <v>21151.982142000004</v>
      </c>
      <c r="M506" s="23">
        <f t="shared" si="39"/>
        <v>10686.220920000002</v>
      </c>
      <c r="O506" s="23">
        <f>L506-'Part A (2&amp;3)'!R506</f>
        <v>2597.6118420000057</v>
      </c>
      <c r="P506" s="23">
        <f>M506-'Part A (2&amp;3)'!T506</f>
        <v>554.32062000000406</v>
      </c>
    </row>
    <row r="507" spans="5:16" x14ac:dyDescent="0.35">
      <c r="E507" s="8">
        <v>8.9999999999999993E-3</v>
      </c>
      <c r="F507" s="27">
        <f t="shared" si="35"/>
        <v>8.9999999999999993E-3</v>
      </c>
      <c r="G507" s="23">
        <v>1055.45</v>
      </c>
      <c r="H507">
        <f t="shared" si="36"/>
        <v>1150.4405000000002</v>
      </c>
      <c r="I507">
        <v>18</v>
      </c>
      <c r="J507" s="28">
        <f t="shared" si="37"/>
        <v>20.520000000000003</v>
      </c>
      <c r="K507" s="23">
        <v>1210.04</v>
      </c>
      <c r="L507" s="23">
        <f t="shared" si="38"/>
        <v>24606.550612800002</v>
      </c>
      <c r="M507" s="23">
        <f t="shared" si="39"/>
        <v>999.51155279999512</v>
      </c>
      <c r="O507" s="23">
        <f>L507-'Part A (2&amp;3)'!R507</f>
        <v>3021.8570928000008</v>
      </c>
      <c r="P507" s="23">
        <f>M507-'Part A (2&amp;3)'!T507</f>
        <v>-1587.0819672000034</v>
      </c>
    </row>
    <row r="508" spans="5:16" x14ac:dyDescent="0.35">
      <c r="E508" s="8">
        <v>4.5999999999999999E-2</v>
      </c>
      <c r="F508" s="27">
        <f t="shared" si="35"/>
        <v>4.5999999999999999E-2</v>
      </c>
      <c r="G508" s="23">
        <v>663.61</v>
      </c>
      <c r="H508">
        <f t="shared" si="36"/>
        <v>723.33490000000006</v>
      </c>
      <c r="I508">
        <v>17</v>
      </c>
      <c r="J508" s="28">
        <f t="shared" si="37"/>
        <v>19.380000000000003</v>
      </c>
      <c r="K508" s="23">
        <v>1002.11</v>
      </c>
      <c r="L508" s="23">
        <f t="shared" si="38"/>
        <v>18527.530777200001</v>
      </c>
      <c r="M508" s="23">
        <f t="shared" si="39"/>
        <v>4509.3004151999976</v>
      </c>
      <c r="O508" s="23">
        <f>L508-'Part A (2&amp;3)'!R508</f>
        <v>2275.3107972000034</v>
      </c>
      <c r="P508" s="23">
        <f>M508-'Part A (2&amp;3)'!T508</f>
        <v>-461.54956479999964</v>
      </c>
    </row>
    <row r="509" spans="5:16" x14ac:dyDescent="0.35">
      <c r="E509" s="8">
        <v>0.10100000000000001</v>
      </c>
      <c r="F509" s="27">
        <f t="shared" si="35"/>
        <v>0.10100000000000001</v>
      </c>
      <c r="G509" s="23">
        <v>1133.03</v>
      </c>
      <c r="H509">
        <f t="shared" si="36"/>
        <v>1235.0027</v>
      </c>
      <c r="I509">
        <v>5</v>
      </c>
      <c r="J509" s="28">
        <f t="shared" si="37"/>
        <v>5.7000000000000011</v>
      </c>
      <c r="K509" s="23">
        <v>1921.51</v>
      </c>
      <c r="L509" s="23">
        <f t="shared" si="38"/>
        <v>9846.3936930000018</v>
      </c>
      <c r="M509" s="23">
        <f t="shared" si="39"/>
        <v>2806.8783030000004</v>
      </c>
      <c r="O509" s="23">
        <f>L509-'Part A (2&amp;3)'!R509</f>
        <v>1209.2062430000024</v>
      </c>
      <c r="P509" s="23">
        <f>M509-'Part A (2&amp;3)'!T509</f>
        <v>-165.15914699999939</v>
      </c>
    </row>
    <row r="510" spans="5:16" x14ac:dyDescent="0.35">
      <c r="E510" s="8">
        <v>6.4000000000000001E-2</v>
      </c>
      <c r="F510" s="27">
        <f t="shared" si="35"/>
        <v>6.4000000000000001E-2</v>
      </c>
      <c r="G510" s="23">
        <v>23.83</v>
      </c>
      <c r="H510">
        <f t="shared" si="36"/>
        <v>25.974699999999999</v>
      </c>
      <c r="I510">
        <v>19</v>
      </c>
      <c r="J510" s="28">
        <f t="shared" si="37"/>
        <v>21.660000000000004</v>
      </c>
      <c r="K510" s="23">
        <v>47.29</v>
      </c>
      <c r="L510" s="23">
        <f t="shared" si="38"/>
        <v>958.74611040000002</v>
      </c>
      <c r="M510" s="23">
        <f t="shared" si="39"/>
        <v>396.13410839999995</v>
      </c>
      <c r="O510" s="23">
        <f>L510-'Part A (2&amp;3)'!R510</f>
        <v>117.74075040000002</v>
      </c>
      <c r="P510" s="23">
        <f>M510-'Part A (2&amp;3)'!T510</f>
        <v>7.8987483999999313</v>
      </c>
    </row>
    <row r="511" spans="5:16" x14ac:dyDescent="0.35">
      <c r="E511" s="8">
        <v>0.104</v>
      </c>
      <c r="F511" s="27">
        <f t="shared" si="35"/>
        <v>0.104</v>
      </c>
      <c r="G511" s="23">
        <v>1421.19</v>
      </c>
      <c r="H511">
        <f t="shared" si="36"/>
        <v>1549.0971000000002</v>
      </c>
      <c r="I511">
        <v>13</v>
      </c>
      <c r="J511" s="28">
        <f t="shared" si="37"/>
        <v>14.820000000000002</v>
      </c>
      <c r="K511" s="23">
        <v>1808.26</v>
      </c>
      <c r="L511" s="23">
        <f t="shared" si="38"/>
        <v>24011.378227200006</v>
      </c>
      <c r="M511" s="23">
        <f t="shared" si="39"/>
        <v>1053.7592052</v>
      </c>
      <c r="O511" s="23">
        <f>L511-'Part A (2&amp;3)'!R511</f>
        <v>2948.7657472000064</v>
      </c>
      <c r="P511" s="23">
        <f>M511-'Part A (2&amp;3)'!T511</f>
        <v>-1533.3832747999986</v>
      </c>
    </row>
    <row r="512" spans="5:16" x14ac:dyDescent="0.35">
      <c r="E512" s="8">
        <v>0.1</v>
      </c>
      <c r="F512" s="27">
        <f t="shared" si="35"/>
        <v>0.1</v>
      </c>
      <c r="G512" s="23">
        <v>1450.43</v>
      </c>
      <c r="H512">
        <f t="shared" si="36"/>
        <v>1580.9687000000001</v>
      </c>
      <c r="I512">
        <v>24</v>
      </c>
      <c r="J512" s="28">
        <f t="shared" si="37"/>
        <v>27.360000000000003</v>
      </c>
      <c r="K512" s="23">
        <v>1994.67</v>
      </c>
      <c r="L512" s="23">
        <f t="shared" si="38"/>
        <v>49116.754080000013</v>
      </c>
      <c r="M512" s="23">
        <f t="shared" si="39"/>
        <v>5861.4504480000032</v>
      </c>
      <c r="O512" s="23">
        <f>L512-'Part A (2&amp;3)'!R512</f>
        <v>6031.8820800000103</v>
      </c>
      <c r="P512" s="23">
        <f>M512-'Part A (2&amp;3)'!T512</f>
        <v>-2413.1015520000001</v>
      </c>
    </row>
    <row r="513" spans="5:16" x14ac:dyDescent="0.35">
      <c r="E513" s="8">
        <v>7.1999999999999995E-2</v>
      </c>
      <c r="F513" s="27">
        <f t="shared" si="35"/>
        <v>7.1999999999999995E-2</v>
      </c>
      <c r="G513" s="23">
        <v>259.93</v>
      </c>
      <c r="H513">
        <f t="shared" si="36"/>
        <v>283.32370000000003</v>
      </c>
      <c r="I513">
        <v>22</v>
      </c>
      <c r="J513" s="28">
        <f t="shared" si="37"/>
        <v>25.080000000000002</v>
      </c>
      <c r="K513" s="23">
        <v>255.94</v>
      </c>
      <c r="L513" s="23">
        <f t="shared" si="38"/>
        <v>5956.8089856000006</v>
      </c>
      <c r="M513" s="23">
        <f t="shared" si="39"/>
        <v>-1148.9494104000005</v>
      </c>
      <c r="O513" s="23">
        <f>L513-'Part A (2&amp;3)'!R513</f>
        <v>731.53794560000006</v>
      </c>
      <c r="P513" s="23">
        <f>M513-'Part A (2&amp;3)'!T513</f>
        <v>-655.76045040000099</v>
      </c>
    </row>
    <row r="514" spans="5:16" x14ac:dyDescent="0.35">
      <c r="E514" s="8">
        <v>0.156</v>
      </c>
      <c r="F514" s="27">
        <f t="shared" si="35"/>
        <v>0.12</v>
      </c>
      <c r="G514" s="23">
        <v>71.62</v>
      </c>
      <c r="H514">
        <f t="shared" si="36"/>
        <v>78.06580000000001</v>
      </c>
      <c r="I514">
        <v>11</v>
      </c>
      <c r="J514" s="28">
        <f t="shared" si="37"/>
        <v>12.540000000000001</v>
      </c>
      <c r="K514" s="23">
        <v>118.37</v>
      </c>
      <c r="L514" s="23">
        <f t="shared" si="38"/>
        <v>1306.2366240000001</v>
      </c>
      <c r="M514" s="23">
        <f t="shared" si="39"/>
        <v>327.29149199999995</v>
      </c>
      <c r="O514" s="23">
        <f>L514-'Part A (2&amp;3)'!R514</f>
        <v>207.28954399999998</v>
      </c>
      <c r="P514" s="23">
        <f>M514-'Part A (2&amp;3)'!T514</f>
        <v>16.164411999999857</v>
      </c>
    </row>
    <row r="515" spans="5:16" x14ac:dyDescent="0.35">
      <c r="E515" s="8">
        <v>0.29299999999999998</v>
      </c>
      <c r="F515" s="27">
        <f t="shared" ref="F515:F578" si="40">MIN(E515,$C$2)</f>
        <v>0.12</v>
      </c>
      <c r="G515" s="23">
        <v>194.6</v>
      </c>
      <c r="H515">
        <f t="shared" ref="H515:H578" si="41">G515*(1+$C$3)</f>
        <v>212.114</v>
      </c>
      <c r="I515">
        <v>25</v>
      </c>
      <c r="J515" s="28">
        <f t="shared" ref="J515:J578" si="42">I515*(1+$C$4)</f>
        <v>28.500000000000004</v>
      </c>
      <c r="K515" s="23">
        <v>314.87</v>
      </c>
      <c r="L515" s="23">
        <f t="shared" ref="L515:L578" si="43">K515*(1-F515)*J515</f>
        <v>7896.9396000000006</v>
      </c>
      <c r="M515" s="23">
        <f t="shared" ref="M515:M578" si="44">L515-(H515*J515)</f>
        <v>1851.6905999999999</v>
      </c>
      <c r="O515" s="23">
        <f>L515-'Part A (2&amp;3)'!R515</f>
        <v>2331.6123500000003</v>
      </c>
      <c r="P515" s="23">
        <f>M515-'Part A (2&amp;3)'!T515</f>
        <v>1151.3633499999996</v>
      </c>
    </row>
    <row r="516" spans="5:16" x14ac:dyDescent="0.35">
      <c r="E516" s="8">
        <v>0</v>
      </c>
      <c r="F516" s="27">
        <f t="shared" si="40"/>
        <v>0</v>
      </c>
      <c r="G516" s="23">
        <v>862.08</v>
      </c>
      <c r="H516">
        <f t="shared" si="41"/>
        <v>939.66720000000009</v>
      </c>
      <c r="I516">
        <v>7</v>
      </c>
      <c r="J516" s="28">
        <f t="shared" si="42"/>
        <v>7.98</v>
      </c>
      <c r="K516" s="23">
        <v>1952.83</v>
      </c>
      <c r="L516" s="23">
        <f t="shared" si="43"/>
        <v>15583.5834</v>
      </c>
      <c r="M516" s="23">
        <f t="shared" si="44"/>
        <v>8085.0391439999985</v>
      </c>
      <c r="O516" s="23">
        <f>L516-'Part A (2&amp;3)'!R516</f>
        <v>1913.7734</v>
      </c>
      <c r="P516" s="23">
        <f>M516-'Part A (2&amp;3)'!T516</f>
        <v>449.7891439999994</v>
      </c>
    </row>
    <row r="517" spans="5:16" x14ac:dyDescent="0.35">
      <c r="E517" s="8">
        <v>1.4E-2</v>
      </c>
      <c r="F517" s="27">
        <f t="shared" si="40"/>
        <v>1.4E-2</v>
      </c>
      <c r="G517" s="23">
        <v>156.55000000000001</v>
      </c>
      <c r="H517">
        <f t="shared" si="41"/>
        <v>170.63950000000003</v>
      </c>
      <c r="I517">
        <v>13</v>
      </c>
      <c r="J517" s="28">
        <f t="shared" si="42"/>
        <v>14.820000000000002</v>
      </c>
      <c r="K517" s="23">
        <v>227.45</v>
      </c>
      <c r="L517" s="23">
        <f t="shared" si="43"/>
        <v>3323.6176740000001</v>
      </c>
      <c r="M517" s="23">
        <f t="shared" si="44"/>
        <v>794.74028399999952</v>
      </c>
      <c r="O517" s="23">
        <f>L517-'Part A (2&amp;3)'!R517</f>
        <v>408.16357400000015</v>
      </c>
      <c r="P517" s="23">
        <f>M517-'Part A (2&amp;3)'!T517</f>
        <v>-85.563816000000315</v>
      </c>
    </row>
    <row r="518" spans="5:16" x14ac:dyDescent="0.35">
      <c r="E518" s="8">
        <v>0.13400000000000001</v>
      </c>
      <c r="F518" s="27">
        <f t="shared" si="40"/>
        <v>0.12</v>
      </c>
      <c r="G518" s="23">
        <v>7.02</v>
      </c>
      <c r="H518">
        <f t="shared" si="41"/>
        <v>7.6517999999999997</v>
      </c>
      <c r="I518">
        <v>14</v>
      </c>
      <c r="J518" s="28">
        <f t="shared" si="42"/>
        <v>15.96</v>
      </c>
      <c r="K518" s="23">
        <v>6.28</v>
      </c>
      <c r="L518" s="23">
        <f t="shared" si="43"/>
        <v>88.20134400000002</v>
      </c>
      <c r="M518" s="23">
        <f t="shared" si="44"/>
        <v>-33.921383999999975</v>
      </c>
      <c r="O518" s="23">
        <f>L518-'Part A (2&amp;3)'!R518</f>
        <v>12.062624000000014</v>
      </c>
      <c r="P518" s="23">
        <f>M518-'Part A (2&amp;3)'!T518</f>
        <v>-11.78010399999998</v>
      </c>
    </row>
    <row r="519" spans="5:16" x14ac:dyDescent="0.35">
      <c r="E519" s="8">
        <v>3.4000000000000002E-2</v>
      </c>
      <c r="F519" s="27">
        <f t="shared" si="40"/>
        <v>3.4000000000000002E-2</v>
      </c>
      <c r="G519" s="23">
        <v>290.14</v>
      </c>
      <c r="H519">
        <f t="shared" si="41"/>
        <v>316.25260000000003</v>
      </c>
      <c r="I519">
        <v>17</v>
      </c>
      <c r="J519" s="28">
        <f t="shared" si="42"/>
        <v>19.380000000000003</v>
      </c>
      <c r="K519" s="23">
        <v>250.73</v>
      </c>
      <c r="L519" s="23">
        <f t="shared" si="43"/>
        <v>4693.9363884000004</v>
      </c>
      <c r="M519" s="23">
        <f t="shared" si="44"/>
        <v>-1435.0389996000013</v>
      </c>
      <c r="O519" s="23">
        <f>L519-'Part A (2&amp;3)'!R519</f>
        <v>576.44832840000072</v>
      </c>
      <c r="P519" s="23">
        <f>M519-'Part A (2&amp;3)'!T519</f>
        <v>-620.14705960000083</v>
      </c>
    </row>
    <row r="520" spans="5:16" x14ac:dyDescent="0.35">
      <c r="E520" s="8">
        <v>0.14699999999999999</v>
      </c>
      <c r="F520" s="27">
        <f t="shared" si="40"/>
        <v>0.12</v>
      </c>
      <c r="G520" s="23">
        <v>855.78</v>
      </c>
      <c r="H520">
        <f t="shared" si="41"/>
        <v>932.80020000000002</v>
      </c>
      <c r="I520">
        <v>38</v>
      </c>
      <c r="J520" s="28">
        <f t="shared" si="42"/>
        <v>43.320000000000007</v>
      </c>
      <c r="K520" s="23">
        <v>977.38</v>
      </c>
      <c r="L520" s="23">
        <f t="shared" si="43"/>
        <v>37259.289408000004</v>
      </c>
      <c r="M520" s="23">
        <f t="shared" si="44"/>
        <v>-3149.6152560000046</v>
      </c>
      <c r="O520" s="23">
        <f>L520-'Part A (2&amp;3)'!R520</f>
        <v>5578.4940880000031</v>
      </c>
      <c r="P520" s="23">
        <f>M520-'Part A (2&amp;3)'!T520</f>
        <v>-2310.7705760000063</v>
      </c>
    </row>
    <row r="521" spans="5:16" x14ac:dyDescent="0.35">
      <c r="E521" s="8">
        <v>0.13900000000000001</v>
      </c>
      <c r="F521" s="27">
        <f t="shared" si="40"/>
        <v>0.12</v>
      </c>
      <c r="G521" s="23">
        <v>754.77</v>
      </c>
      <c r="H521">
        <f t="shared" si="41"/>
        <v>822.69929999999999</v>
      </c>
      <c r="I521">
        <v>14</v>
      </c>
      <c r="J521" s="28">
        <f t="shared" si="42"/>
        <v>15.96</v>
      </c>
      <c r="K521" s="23">
        <v>1666.18</v>
      </c>
      <c r="L521" s="23">
        <f t="shared" si="43"/>
        <v>23401.164864000002</v>
      </c>
      <c r="M521" s="23">
        <f t="shared" si="44"/>
        <v>10270.884036000001</v>
      </c>
      <c r="O521" s="23">
        <f>L521-'Part A (2&amp;3)'!R521</f>
        <v>3317.0311440000005</v>
      </c>
      <c r="P521" s="23">
        <f>M521-'Part A (2&amp;3)'!T521</f>
        <v>753.53031599999849</v>
      </c>
    </row>
    <row r="522" spans="5:16" x14ac:dyDescent="0.35">
      <c r="E522" s="8">
        <v>0.14199999999999999</v>
      </c>
      <c r="F522" s="27">
        <f t="shared" si="40"/>
        <v>0.12</v>
      </c>
      <c r="G522" s="23">
        <v>264.19</v>
      </c>
      <c r="H522">
        <f t="shared" si="41"/>
        <v>287.96710000000002</v>
      </c>
      <c r="I522">
        <v>12</v>
      </c>
      <c r="J522" s="28">
        <f t="shared" si="42"/>
        <v>13.680000000000001</v>
      </c>
      <c r="K522" s="23">
        <v>620.92999999999995</v>
      </c>
      <c r="L522" s="23">
        <f t="shared" si="43"/>
        <v>7475.0037119999997</v>
      </c>
      <c r="M522" s="23">
        <f t="shared" si="44"/>
        <v>3535.6137839999992</v>
      </c>
      <c r="O522" s="23">
        <f>L522-'Part A (2&amp;3)'!R522</f>
        <v>1081.9084320000002</v>
      </c>
      <c r="P522" s="23">
        <f>M522-'Part A (2&amp;3)'!T522</f>
        <v>312.79850399999941</v>
      </c>
    </row>
    <row r="523" spans="5:16" x14ac:dyDescent="0.35">
      <c r="E523" s="8">
        <v>3.7999999999999999E-2</v>
      </c>
      <c r="F523" s="27">
        <f t="shared" si="40"/>
        <v>3.7999999999999999E-2</v>
      </c>
      <c r="G523" s="23">
        <v>86.68</v>
      </c>
      <c r="H523">
        <f t="shared" si="41"/>
        <v>94.481200000000015</v>
      </c>
      <c r="I523">
        <v>8</v>
      </c>
      <c r="J523" s="28">
        <f t="shared" si="42"/>
        <v>9.120000000000001</v>
      </c>
      <c r="K523" s="23">
        <v>213.32</v>
      </c>
      <c r="L523" s="23">
        <f t="shared" si="43"/>
        <v>1871.5502208</v>
      </c>
      <c r="M523" s="23">
        <f t="shared" si="44"/>
        <v>1009.8816767999998</v>
      </c>
      <c r="O523" s="23">
        <f>L523-'Part A (2&amp;3)'!R523</f>
        <v>229.83950080000022</v>
      </c>
      <c r="P523" s="23">
        <f>M523-'Part A (2&amp;3)'!T523</f>
        <v>61.610956800000054</v>
      </c>
    </row>
    <row r="524" spans="5:16" x14ac:dyDescent="0.35">
      <c r="E524" s="8">
        <v>0.124</v>
      </c>
      <c r="F524" s="27">
        <f t="shared" si="40"/>
        <v>0.12</v>
      </c>
      <c r="G524" s="23">
        <v>113.74</v>
      </c>
      <c r="H524">
        <f t="shared" si="41"/>
        <v>123.9766</v>
      </c>
      <c r="I524">
        <v>13</v>
      </c>
      <c r="J524" s="28">
        <f t="shared" si="42"/>
        <v>14.820000000000002</v>
      </c>
      <c r="K524" s="23">
        <v>165.7</v>
      </c>
      <c r="L524" s="23">
        <f t="shared" si="43"/>
        <v>2160.9931200000005</v>
      </c>
      <c r="M524" s="23">
        <f t="shared" si="44"/>
        <v>323.65990800000031</v>
      </c>
      <c r="O524" s="23">
        <f>L524-'Part A (2&amp;3)'!R524</f>
        <v>274.00152000000071</v>
      </c>
      <c r="P524" s="23">
        <f>M524-'Part A (2&amp;3)'!T524</f>
        <v>-84.71169199999963</v>
      </c>
    </row>
    <row r="525" spans="5:16" x14ac:dyDescent="0.35">
      <c r="E525" s="8">
        <v>0.08</v>
      </c>
      <c r="F525" s="27">
        <f t="shared" si="40"/>
        <v>0.08</v>
      </c>
      <c r="G525" s="23">
        <v>786.2</v>
      </c>
      <c r="H525">
        <f t="shared" si="41"/>
        <v>856.95800000000008</v>
      </c>
      <c r="I525">
        <v>9</v>
      </c>
      <c r="J525" s="28">
        <f t="shared" si="42"/>
        <v>10.260000000000002</v>
      </c>
      <c r="K525" s="23">
        <v>1075.3</v>
      </c>
      <c r="L525" s="23">
        <f t="shared" si="43"/>
        <v>10149.97176</v>
      </c>
      <c r="M525" s="23">
        <f t="shared" si="44"/>
        <v>1357.5826799999977</v>
      </c>
      <c r="O525" s="23">
        <f>L525-'Part A (2&amp;3)'!R525</f>
        <v>1246.4877600000018</v>
      </c>
      <c r="P525" s="23">
        <f>M525-'Part A (2&amp;3)'!T525</f>
        <v>-470.10132000000067</v>
      </c>
    </row>
    <row r="526" spans="5:16" x14ac:dyDescent="0.35">
      <c r="E526" s="8">
        <v>2.5000000000000001E-2</v>
      </c>
      <c r="F526" s="27">
        <f t="shared" si="40"/>
        <v>2.5000000000000001E-2</v>
      </c>
      <c r="G526" s="23">
        <v>1119.04</v>
      </c>
      <c r="H526">
        <f t="shared" si="41"/>
        <v>1219.7536</v>
      </c>
      <c r="I526">
        <v>14</v>
      </c>
      <c r="J526" s="28">
        <f t="shared" si="42"/>
        <v>15.96</v>
      </c>
      <c r="K526" s="23">
        <v>1299.02</v>
      </c>
      <c r="L526" s="23">
        <f t="shared" si="43"/>
        <v>20214.050220000001</v>
      </c>
      <c r="M526" s="23">
        <f t="shared" si="44"/>
        <v>746.78276399999959</v>
      </c>
      <c r="O526" s="23">
        <f>L526-'Part A (2&amp;3)'!R526</f>
        <v>2482.4272200000014</v>
      </c>
      <c r="P526" s="23">
        <f>M526-'Part A (2&amp;3)'!T526</f>
        <v>-1318.2802360000005</v>
      </c>
    </row>
    <row r="527" spans="5:16" x14ac:dyDescent="0.35">
      <c r="E527" s="8">
        <v>2.9000000000000001E-2</v>
      </c>
      <c r="F527" s="27">
        <f t="shared" si="40"/>
        <v>2.9000000000000001E-2</v>
      </c>
      <c r="G527" s="23">
        <v>138.9</v>
      </c>
      <c r="H527">
        <f t="shared" si="41"/>
        <v>151.40100000000001</v>
      </c>
      <c r="I527">
        <v>12</v>
      </c>
      <c r="J527" s="28">
        <f t="shared" si="42"/>
        <v>13.680000000000001</v>
      </c>
      <c r="K527" s="23">
        <v>289.92</v>
      </c>
      <c r="L527" s="23">
        <f t="shared" si="43"/>
        <v>3851.0885376000001</v>
      </c>
      <c r="M527" s="23">
        <f t="shared" si="44"/>
        <v>1779.9228575999996</v>
      </c>
      <c r="O527" s="23">
        <f>L527-'Part A (2&amp;3)'!R527</f>
        <v>472.94069760000002</v>
      </c>
      <c r="P527" s="23">
        <f>M527-'Part A (2&amp;3)'!T527</f>
        <v>68.575017599999683</v>
      </c>
    </row>
    <row r="528" spans="5:16" x14ac:dyDescent="0.35">
      <c r="E528" s="8">
        <v>0.255</v>
      </c>
      <c r="F528" s="27">
        <f t="shared" si="40"/>
        <v>0.12</v>
      </c>
      <c r="G528" s="23">
        <v>1413.87</v>
      </c>
      <c r="H528">
        <f t="shared" si="41"/>
        <v>1541.1183000000001</v>
      </c>
      <c r="I528">
        <v>38</v>
      </c>
      <c r="J528" s="28">
        <f t="shared" si="42"/>
        <v>43.320000000000007</v>
      </c>
      <c r="K528" s="23">
        <v>3275</v>
      </c>
      <c r="L528" s="23">
        <f t="shared" si="43"/>
        <v>124848.24000000002</v>
      </c>
      <c r="M528" s="23">
        <f t="shared" si="44"/>
        <v>58086.995244000005</v>
      </c>
      <c r="O528" s="23">
        <f>L528-'Part A (2&amp;3)'!R528</f>
        <v>32132.99000000002</v>
      </c>
      <c r="P528" s="23">
        <f>M528-'Part A (2&amp;3)'!T528</f>
        <v>19098.805244000003</v>
      </c>
    </row>
    <row r="529" spans="5:16" x14ac:dyDescent="0.35">
      <c r="E529" s="8">
        <v>0.13100000000000001</v>
      </c>
      <c r="F529" s="27">
        <f t="shared" si="40"/>
        <v>0.12</v>
      </c>
      <c r="G529" s="23">
        <v>763.32</v>
      </c>
      <c r="H529">
        <f t="shared" si="41"/>
        <v>832.01880000000017</v>
      </c>
      <c r="I529">
        <v>16</v>
      </c>
      <c r="J529" s="28">
        <f t="shared" si="42"/>
        <v>18.240000000000002</v>
      </c>
      <c r="K529" s="23">
        <v>568.29</v>
      </c>
      <c r="L529" s="23">
        <f t="shared" si="43"/>
        <v>9121.7364480000015</v>
      </c>
      <c r="M529" s="23">
        <f t="shared" si="44"/>
        <v>-6054.2864640000025</v>
      </c>
      <c r="O529" s="23">
        <f>L529-'Part A (2&amp;3)'!R529</f>
        <v>1220.232288000002</v>
      </c>
      <c r="P529" s="23">
        <f>M529-'Part A (2&amp;3)'!T529</f>
        <v>-1742.6706240000012</v>
      </c>
    </row>
    <row r="530" spans="5:16" x14ac:dyDescent="0.35">
      <c r="E530" s="8">
        <v>0.126</v>
      </c>
      <c r="F530" s="27">
        <f t="shared" si="40"/>
        <v>0.12</v>
      </c>
      <c r="G530" s="23">
        <v>1457.44</v>
      </c>
      <c r="H530">
        <f t="shared" si="41"/>
        <v>1588.6096000000002</v>
      </c>
      <c r="I530">
        <v>23</v>
      </c>
      <c r="J530" s="28">
        <f t="shared" si="42"/>
        <v>26.220000000000002</v>
      </c>
      <c r="K530" s="23">
        <v>1996.81</v>
      </c>
      <c r="L530" s="23">
        <f t="shared" si="43"/>
        <v>46073.595216000002</v>
      </c>
      <c r="M530" s="23">
        <f t="shared" si="44"/>
        <v>4420.2515039999926</v>
      </c>
      <c r="O530" s="23">
        <f>L530-'Part A (2&amp;3)'!R530</f>
        <v>5933.7205960000065</v>
      </c>
      <c r="P530" s="23">
        <f>M530-'Part A (2&amp;3)'!T530</f>
        <v>-2198.5031159999999</v>
      </c>
    </row>
    <row r="531" spans="5:16" x14ac:dyDescent="0.35">
      <c r="E531" s="8">
        <v>4.1000000000000002E-2</v>
      </c>
      <c r="F531" s="27">
        <f t="shared" si="40"/>
        <v>4.1000000000000002E-2</v>
      </c>
      <c r="G531" s="23">
        <v>719.41</v>
      </c>
      <c r="H531">
        <f t="shared" si="41"/>
        <v>784.15690000000006</v>
      </c>
      <c r="I531">
        <v>21</v>
      </c>
      <c r="J531" s="28">
        <f t="shared" si="42"/>
        <v>23.94</v>
      </c>
      <c r="K531" s="23">
        <v>1125.99</v>
      </c>
      <c r="L531" s="23">
        <f t="shared" si="43"/>
        <v>25850.996375399998</v>
      </c>
      <c r="M531" s="23">
        <f t="shared" si="44"/>
        <v>7078.2801893999967</v>
      </c>
      <c r="O531" s="23">
        <f>L531-'Part A (2&amp;3)'!R531</f>
        <v>3174.6837653999974</v>
      </c>
      <c r="P531" s="23">
        <f>M531-'Part A (2&amp;3)'!T531</f>
        <v>-490.42242060000535</v>
      </c>
    </row>
    <row r="532" spans="5:16" x14ac:dyDescent="0.35">
      <c r="E532" s="8">
        <v>0.186</v>
      </c>
      <c r="F532" s="27">
        <f t="shared" si="40"/>
        <v>0.12</v>
      </c>
      <c r="G532" s="23">
        <v>168.68</v>
      </c>
      <c r="H532">
        <f t="shared" si="41"/>
        <v>183.86120000000003</v>
      </c>
      <c r="I532">
        <v>7</v>
      </c>
      <c r="J532" s="28">
        <f t="shared" si="42"/>
        <v>7.98</v>
      </c>
      <c r="K532" s="23">
        <v>413.34</v>
      </c>
      <c r="L532" s="23">
        <f t="shared" si="43"/>
        <v>2902.6388160000001</v>
      </c>
      <c r="M532" s="23">
        <f t="shared" si="44"/>
        <v>1435.42644</v>
      </c>
      <c r="O532" s="23">
        <f>L532-'Part A (2&amp;3)'!R532</f>
        <v>547.42749600000025</v>
      </c>
      <c r="P532" s="23">
        <f>M532-'Part A (2&amp;3)'!T532</f>
        <v>260.97512000000006</v>
      </c>
    </row>
    <row r="533" spans="5:16" x14ac:dyDescent="0.35">
      <c r="E533" s="8">
        <v>0.151</v>
      </c>
      <c r="F533" s="27">
        <f t="shared" si="40"/>
        <v>0.12</v>
      </c>
      <c r="G533" s="23">
        <v>20.149999999999999</v>
      </c>
      <c r="H533">
        <f t="shared" si="41"/>
        <v>21.9635</v>
      </c>
      <c r="I533">
        <v>18</v>
      </c>
      <c r="J533" s="28">
        <f t="shared" si="42"/>
        <v>20.520000000000003</v>
      </c>
      <c r="K533" s="23">
        <v>39.74</v>
      </c>
      <c r="L533" s="23">
        <f t="shared" si="43"/>
        <v>717.6090240000002</v>
      </c>
      <c r="M533" s="23">
        <f t="shared" si="44"/>
        <v>266.91800400000017</v>
      </c>
      <c r="O533" s="23">
        <f>L533-'Part A (2&amp;3)'!R533</f>
        <v>110.30234400000018</v>
      </c>
      <c r="P533" s="23">
        <f>M533-'Part A (2&amp;3)'!T533</f>
        <v>22.311324000000127</v>
      </c>
    </row>
    <row r="534" spans="5:16" x14ac:dyDescent="0.35">
      <c r="E534" s="8">
        <v>0.114</v>
      </c>
      <c r="F534" s="27">
        <f t="shared" si="40"/>
        <v>0.114</v>
      </c>
      <c r="G534" s="23">
        <v>59.51</v>
      </c>
      <c r="H534">
        <f t="shared" si="41"/>
        <v>64.865899999999996</v>
      </c>
      <c r="I534">
        <v>9</v>
      </c>
      <c r="J534" s="28">
        <f t="shared" si="42"/>
        <v>10.260000000000002</v>
      </c>
      <c r="K534" s="23">
        <v>67.040000000000006</v>
      </c>
      <c r="L534" s="23">
        <f t="shared" si="43"/>
        <v>609.41773440000009</v>
      </c>
      <c r="M534" s="23">
        <f t="shared" si="44"/>
        <v>-56.106399600000032</v>
      </c>
      <c r="O534" s="23">
        <f>L534-'Part A (2&amp;3)'!R534</f>
        <v>74.8407744000001</v>
      </c>
      <c r="P534" s="23">
        <f>M534-'Part A (2&amp;3)'!T534</f>
        <v>-55.093359599999985</v>
      </c>
    </row>
    <row r="535" spans="5:16" x14ac:dyDescent="0.35">
      <c r="E535" s="8">
        <v>0.215</v>
      </c>
      <c r="F535" s="27">
        <f t="shared" si="40"/>
        <v>0.12</v>
      </c>
      <c r="G535" s="23">
        <v>23.24</v>
      </c>
      <c r="H535">
        <f t="shared" si="41"/>
        <v>25.331600000000002</v>
      </c>
      <c r="I535">
        <v>15</v>
      </c>
      <c r="J535" s="28">
        <f t="shared" si="42"/>
        <v>17.100000000000001</v>
      </c>
      <c r="K535" s="23">
        <v>44.57</v>
      </c>
      <c r="L535" s="23">
        <f t="shared" si="43"/>
        <v>670.68936000000008</v>
      </c>
      <c r="M535" s="23">
        <f t="shared" si="44"/>
        <v>237.51900000000001</v>
      </c>
      <c r="O535" s="23">
        <f>L535-'Part A (2&amp;3)'!R535</f>
        <v>145.87761000000012</v>
      </c>
      <c r="P535" s="23">
        <f>M535-'Part A (2&amp;3)'!T535</f>
        <v>61.30725000000001</v>
      </c>
    </row>
    <row r="536" spans="5:16" x14ac:dyDescent="0.35">
      <c r="E536" s="8">
        <v>0.109</v>
      </c>
      <c r="F536" s="27">
        <f t="shared" si="40"/>
        <v>0.109</v>
      </c>
      <c r="G536" s="23">
        <v>394.13</v>
      </c>
      <c r="H536">
        <f t="shared" si="41"/>
        <v>429.60170000000005</v>
      </c>
      <c r="I536">
        <v>7</v>
      </c>
      <c r="J536" s="28">
        <f t="shared" si="42"/>
        <v>7.98</v>
      </c>
      <c r="K536" s="23">
        <v>932.29</v>
      </c>
      <c r="L536" s="23">
        <f t="shared" si="43"/>
        <v>6628.7497122000004</v>
      </c>
      <c r="M536" s="23">
        <f t="shared" si="44"/>
        <v>3200.5281461999998</v>
      </c>
      <c r="O536" s="23">
        <f>L536-'Part A (2&amp;3)'!R536</f>
        <v>814.05698220000068</v>
      </c>
      <c r="P536" s="23">
        <f>M536-'Part A (2&amp;3)'!T536</f>
        <v>144.74541619999991</v>
      </c>
    </row>
    <row r="537" spans="5:16" x14ac:dyDescent="0.35">
      <c r="E537" s="8">
        <v>0.2</v>
      </c>
      <c r="F537" s="27">
        <f t="shared" si="40"/>
        <v>0.12</v>
      </c>
      <c r="G537" s="23">
        <v>603.45000000000005</v>
      </c>
      <c r="H537">
        <f t="shared" si="41"/>
        <v>657.76050000000009</v>
      </c>
      <c r="I537">
        <v>11</v>
      </c>
      <c r="J537" s="28">
        <f t="shared" si="42"/>
        <v>12.540000000000001</v>
      </c>
      <c r="K537" s="23">
        <v>1244.08</v>
      </c>
      <c r="L537" s="23">
        <f t="shared" si="43"/>
        <v>13728.671616</v>
      </c>
      <c r="M537" s="23">
        <f t="shared" si="44"/>
        <v>5480.3549459999977</v>
      </c>
      <c r="O537" s="23">
        <f>L537-'Part A (2&amp;3)'!R537</f>
        <v>2780.7676159999992</v>
      </c>
      <c r="P537" s="23">
        <f>M537-'Part A (2&amp;3)'!T537</f>
        <v>1170.4009459999979</v>
      </c>
    </row>
    <row r="538" spans="5:16" x14ac:dyDescent="0.35">
      <c r="E538" s="8">
        <v>0.14499999999999999</v>
      </c>
      <c r="F538" s="27">
        <f t="shared" si="40"/>
        <v>0.12</v>
      </c>
      <c r="G538" s="23">
        <v>481.32</v>
      </c>
      <c r="H538">
        <f t="shared" si="41"/>
        <v>524.63880000000006</v>
      </c>
      <c r="I538">
        <v>5</v>
      </c>
      <c r="J538" s="28">
        <f t="shared" si="42"/>
        <v>5.7000000000000011</v>
      </c>
      <c r="K538" s="23">
        <v>1135.99</v>
      </c>
      <c r="L538" s="23">
        <f t="shared" si="43"/>
        <v>5698.1258400000006</v>
      </c>
      <c r="M538" s="23">
        <f t="shared" si="44"/>
        <v>2707.6846799999998</v>
      </c>
      <c r="O538" s="23">
        <f>L538-'Part A (2&amp;3)'!R538</f>
        <v>841.76859000000059</v>
      </c>
      <c r="P538" s="23">
        <f>M538-'Part A (2&amp;3)'!T538</f>
        <v>257.92742999999973</v>
      </c>
    </row>
    <row r="539" spans="5:16" x14ac:dyDescent="0.35">
      <c r="E539" s="8">
        <v>0.23499999999999999</v>
      </c>
      <c r="F539" s="27">
        <f t="shared" si="40"/>
        <v>0.12</v>
      </c>
      <c r="G539" s="23">
        <v>932.26</v>
      </c>
      <c r="H539">
        <f t="shared" si="41"/>
        <v>1016.1634</v>
      </c>
      <c r="I539">
        <v>28</v>
      </c>
      <c r="J539" s="28">
        <f t="shared" si="42"/>
        <v>31.92</v>
      </c>
      <c r="K539" s="23">
        <v>1624.67</v>
      </c>
      <c r="L539" s="23">
        <f t="shared" si="43"/>
        <v>45636.33043200001</v>
      </c>
      <c r="M539" s="23">
        <f t="shared" si="44"/>
        <v>13200.394704000006</v>
      </c>
      <c r="O539" s="23">
        <f>L539-'Part A (2&amp;3)'!R539</f>
        <v>10835.899032000008</v>
      </c>
      <c r="P539" s="23">
        <f>M539-'Part A (2&amp;3)'!T539</f>
        <v>4503.2433040000033</v>
      </c>
    </row>
    <row r="540" spans="5:16" x14ac:dyDescent="0.35">
      <c r="E540" s="8">
        <v>7.3999999999999996E-2</v>
      </c>
      <c r="F540" s="27">
        <f t="shared" si="40"/>
        <v>7.3999999999999996E-2</v>
      </c>
      <c r="G540" s="23">
        <v>691.19</v>
      </c>
      <c r="H540">
        <f t="shared" si="41"/>
        <v>753.39710000000014</v>
      </c>
      <c r="I540">
        <v>7</v>
      </c>
      <c r="J540" s="28">
        <f t="shared" si="42"/>
        <v>7.98</v>
      </c>
      <c r="K540" s="23">
        <v>1284.3</v>
      </c>
      <c r="L540" s="23">
        <f t="shared" si="43"/>
        <v>9490.3091640000002</v>
      </c>
      <c r="M540" s="23">
        <f t="shared" si="44"/>
        <v>3478.2003059999988</v>
      </c>
      <c r="O540" s="23">
        <f>L540-'Part A (2&amp;3)'!R540</f>
        <v>1165.4765639999987</v>
      </c>
      <c r="P540" s="23">
        <f>M540-'Part A (2&amp;3)'!T540</f>
        <v>-8.3022940000028029</v>
      </c>
    </row>
    <row r="541" spans="5:16" x14ac:dyDescent="0.35">
      <c r="E541" s="8">
        <v>5.2999999999999999E-2</v>
      </c>
      <c r="F541" s="27">
        <f t="shared" si="40"/>
        <v>5.2999999999999999E-2</v>
      </c>
      <c r="G541" s="23">
        <v>350.76</v>
      </c>
      <c r="H541">
        <f t="shared" si="41"/>
        <v>382.32840000000004</v>
      </c>
      <c r="I541">
        <v>11</v>
      </c>
      <c r="J541" s="28">
        <f t="shared" si="42"/>
        <v>12.540000000000001</v>
      </c>
      <c r="K541" s="23">
        <v>492.18</v>
      </c>
      <c r="L541" s="23">
        <f t="shared" si="43"/>
        <v>5844.8245284000004</v>
      </c>
      <c r="M541" s="23">
        <f t="shared" si="44"/>
        <v>1050.4263923999997</v>
      </c>
      <c r="O541" s="23">
        <f>L541-'Part A (2&amp;3)'!R541</f>
        <v>717.78546840000035</v>
      </c>
      <c r="P541" s="23">
        <f>M541-'Part A (2&amp;3)'!T541</f>
        <v>-218.25266760000068</v>
      </c>
    </row>
    <row r="542" spans="5:16" x14ac:dyDescent="0.35">
      <c r="E542" s="8">
        <v>0.20499999999999999</v>
      </c>
      <c r="F542" s="27">
        <f t="shared" si="40"/>
        <v>0.12</v>
      </c>
      <c r="G542" s="23">
        <v>1057.5999999999999</v>
      </c>
      <c r="H542">
        <f t="shared" si="41"/>
        <v>1152.7839999999999</v>
      </c>
      <c r="I542">
        <v>4</v>
      </c>
      <c r="J542" s="28">
        <f t="shared" si="42"/>
        <v>4.5600000000000005</v>
      </c>
      <c r="K542" s="23">
        <v>1437.06</v>
      </c>
      <c r="L542" s="23">
        <f t="shared" si="43"/>
        <v>5766.634368</v>
      </c>
      <c r="M542" s="23">
        <f t="shared" si="44"/>
        <v>509.93932800000039</v>
      </c>
      <c r="O542" s="23">
        <f>L542-'Part A (2&amp;3)'!R542</f>
        <v>1196.7835679999998</v>
      </c>
      <c r="P542" s="23">
        <f>M542-'Part A (2&amp;3)'!T542</f>
        <v>170.48852799999986</v>
      </c>
    </row>
    <row r="543" spans="5:16" x14ac:dyDescent="0.35">
      <c r="E543" s="8">
        <v>0.17499999999999999</v>
      </c>
      <c r="F543" s="27">
        <f t="shared" si="40"/>
        <v>0.12</v>
      </c>
      <c r="G543" s="23">
        <v>935.98</v>
      </c>
      <c r="H543">
        <f t="shared" si="41"/>
        <v>1020.2182000000001</v>
      </c>
      <c r="I543">
        <v>24</v>
      </c>
      <c r="J543" s="28">
        <f t="shared" si="42"/>
        <v>27.360000000000003</v>
      </c>
      <c r="K543" s="23">
        <v>2077.69</v>
      </c>
      <c r="L543" s="23">
        <f t="shared" si="43"/>
        <v>50024.126592000008</v>
      </c>
      <c r="M543" s="23">
        <f t="shared" si="44"/>
        <v>22110.95664</v>
      </c>
      <c r="O543" s="23">
        <f>L543-'Part A (2&amp;3)'!R543</f>
        <v>8885.8645920000126</v>
      </c>
      <c r="P543" s="23">
        <f>M543-'Part A (2&amp;3)'!T543</f>
        <v>3436.2146400000056</v>
      </c>
    </row>
    <row r="544" spans="5:16" x14ac:dyDescent="0.35">
      <c r="E544" s="8">
        <v>5.6000000000000001E-2</v>
      </c>
      <c r="F544" s="27">
        <f t="shared" si="40"/>
        <v>5.6000000000000001E-2</v>
      </c>
      <c r="G544" s="23">
        <v>862.89</v>
      </c>
      <c r="H544">
        <f t="shared" si="41"/>
        <v>940.55010000000004</v>
      </c>
      <c r="I544">
        <v>19</v>
      </c>
      <c r="J544" s="28">
        <f t="shared" si="42"/>
        <v>21.660000000000004</v>
      </c>
      <c r="K544" s="23">
        <v>1426.03</v>
      </c>
      <c r="L544" s="23">
        <f t="shared" si="43"/>
        <v>29158.092451200002</v>
      </c>
      <c r="M544" s="23">
        <f t="shared" si="44"/>
        <v>8785.777285199998</v>
      </c>
      <c r="O544" s="23">
        <f>L544-'Part A (2&amp;3)'!R544</f>
        <v>3580.8183712000027</v>
      </c>
      <c r="P544" s="23">
        <f>M544-'Part A (2&amp;3)'!T544</f>
        <v>-396.58679480000137</v>
      </c>
    </row>
    <row r="545" spans="5:16" x14ac:dyDescent="0.35">
      <c r="E545" s="8">
        <v>0.104</v>
      </c>
      <c r="F545" s="27">
        <f t="shared" si="40"/>
        <v>0.104</v>
      </c>
      <c r="G545" s="23">
        <v>320.12</v>
      </c>
      <c r="H545">
        <f t="shared" si="41"/>
        <v>348.93080000000003</v>
      </c>
      <c r="I545">
        <v>18</v>
      </c>
      <c r="J545" s="28">
        <f t="shared" si="42"/>
        <v>20.520000000000003</v>
      </c>
      <c r="K545" s="23">
        <v>594.41999999999996</v>
      </c>
      <c r="L545" s="23">
        <f t="shared" si="43"/>
        <v>10928.958566400002</v>
      </c>
      <c r="M545" s="23">
        <f t="shared" si="44"/>
        <v>3768.8985504000002</v>
      </c>
      <c r="O545" s="23">
        <f>L545-'Part A (2&amp;3)'!R545</f>
        <v>1342.1528064000031</v>
      </c>
      <c r="P545" s="23">
        <f>M545-'Part A (2&amp;3)'!T545</f>
        <v>-55.747209599999223</v>
      </c>
    </row>
    <row r="546" spans="5:16" x14ac:dyDescent="0.35">
      <c r="E546" s="8">
        <v>8.4000000000000005E-2</v>
      </c>
      <c r="F546" s="27">
        <f t="shared" si="40"/>
        <v>8.4000000000000005E-2</v>
      </c>
      <c r="G546" s="23">
        <v>170.39</v>
      </c>
      <c r="H546">
        <f t="shared" si="41"/>
        <v>185.7251</v>
      </c>
      <c r="I546">
        <v>15</v>
      </c>
      <c r="J546" s="28">
        <f t="shared" si="42"/>
        <v>17.100000000000001</v>
      </c>
      <c r="K546" s="23">
        <v>388.04</v>
      </c>
      <c r="L546" s="23">
        <f t="shared" si="43"/>
        <v>6078.103344000001</v>
      </c>
      <c r="M546" s="23">
        <f t="shared" si="44"/>
        <v>2902.204134000001</v>
      </c>
      <c r="O546" s="23">
        <f>L546-'Part A (2&amp;3)'!R546</f>
        <v>746.43374400000084</v>
      </c>
      <c r="P546" s="23">
        <f>M546-'Part A (2&amp;3)'!T546</f>
        <v>126.38453400000071</v>
      </c>
    </row>
    <row r="547" spans="5:16" x14ac:dyDescent="0.35">
      <c r="E547" s="8">
        <v>5.3999999999999999E-2</v>
      </c>
      <c r="F547" s="27">
        <f t="shared" si="40"/>
        <v>5.3999999999999999E-2</v>
      </c>
      <c r="G547" s="23">
        <v>883.5</v>
      </c>
      <c r="H547">
        <f t="shared" si="41"/>
        <v>963.0150000000001</v>
      </c>
      <c r="I547">
        <v>27</v>
      </c>
      <c r="J547" s="28">
        <f t="shared" si="42"/>
        <v>30.780000000000005</v>
      </c>
      <c r="K547" s="23">
        <v>1978.91</v>
      </c>
      <c r="L547" s="23">
        <f t="shared" si="43"/>
        <v>57621.663910800002</v>
      </c>
      <c r="M547" s="23">
        <f t="shared" si="44"/>
        <v>27980.062210799995</v>
      </c>
      <c r="O547" s="23">
        <f>L547-'Part A (2&amp;3)'!R547</f>
        <v>7076.3446908000042</v>
      </c>
      <c r="P547" s="23">
        <f>M547-'Part A (2&amp;3)'!T547</f>
        <v>1289.2429907999976</v>
      </c>
    </row>
    <row r="548" spans="5:16" x14ac:dyDescent="0.35">
      <c r="E548" s="8">
        <v>0.13500000000000001</v>
      </c>
      <c r="F548" s="27">
        <f t="shared" si="40"/>
        <v>0.12</v>
      </c>
      <c r="G548" s="23">
        <v>1466.5</v>
      </c>
      <c r="H548">
        <f t="shared" si="41"/>
        <v>1598.4850000000001</v>
      </c>
      <c r="I548">
        <v>4</v>
      </c>
      <c r="J548" s="28">
        <f t="shared" si="42"/>
        <v>4.5600000000000005</v>
      </c>
      <c r="K548" s="23">
        <v>2778.74</v>
      </c>
      <c r="L548" s="23">
        <f t="shared" si="43"/>
        <v>11150.527872000001</v>
      </c>
      <c r="M548" s="23">
        <f t="shared" si="44"/>
        <v>3861.436271999999</v>
      </c>
      <c r="O548" s="23">
        <f>L548-'Part A (2&amp;3)'!R548</f>
        <v>1536.0874720000011</v>
      </c>
      <c r="P548" s="23">
        <f>M548-'Part A (2&amp;3)'!T548</f>
        <v>112.99587199999951</v>
      </c>
    </row>
    <row r="549" spans="5:16" x14ac:dyDescent="0.35">
      <c r="E549" s="8">
        <v>9.5000000000000001E-2</v>
      </c>
      <c r="F549" s="27">
        <f t="shared" si="40"/>
        <v>9.5000000000000001E-2</v>
      </c>
      <c r="G549" s="23">
        <v>918.12</v>
      </c>
      <c r="H549">
        <f t="shared" si="41"/>
        <v>1000.7508</v>
      </c>
      <c r="I549">
        <v>8</v>
      </c>
      <c r="J549" s="28">
        <f t="shared" si="42"/>
        <v>9.120000000000001</v>
      </c>
      <c r="K549" s="23">
        <v>1337.69</v>
      </c>
      <c r="L549" s="23">
        <f t="shared" si="43"/>
        <v>11040.758184000002</v>
      </c>
      <c r="M549" s="23">
        <f t="shared" si="44"/>
        <v>1913.9108880000003</v>
      </c>
      <c r="O549" s="23">
        <f>L549-'Part A (2&amp;3)'!R549</f>
        <v>1355.8825840000009</v>
      </c>
      <c r="P549" s="23">
        <f>M549-'Part A (2&amp;3)'!T549</f>
        <v>-426.00471200000084</v>
      </c>
    </row>
    <row r="550" spans="5:16" x14ac:dyDescent="0.35">
      <c r="E550" s="8">
        <v>0.15</v>
      </c>
      <c r="F550" s="27">
        <f t="shared" si="40"/>
        <v>0.12</v>
      </c>
      <c r="G550" s="23">
        <v>1144.3800000000001</v>
      </c>
      <c r="H550">
        <f t="shared" si="41"/>
        <v>1247.3742000000002</v>
      </c>
      <c r="I550">
        <v>17</v>
      </c>
      <c r="J550" s="28">
        <f t="shared" si="42"/>
        <v>19.380000000000003</v>
      </c>
      <c r="K550" s="23">
        <v>2755.04</v>
      </c>
      <c r="L550" s="23">
        <f t="shared" si="43"/>
        <v>46985.554176000005</v>
      </c>
      <c r="M550" s="23">
        <f t="shared" si="44"/>
        <v>22811.442179999998</v>
      </c>
      <c r="O550" s="23">
        <f>L550-'Part A (2&amp;3)'!R550</f>
        <v>7175.2261760000038</v>
      </c>
      <c r="P550" s="23">
        <f>M550-'Part A (2&amp;3)'!T550</f>
        <v>2455.5741799999996</v>
      </c>
    </row>
    <row r="551" spans="5:16" x14ac:dyDescent="0.35">
      <c r="E551" s="8">
        <v>0.114</v>
      </c>
      <c r="F551" s="27">
        <f t="shared" si="40"/>
        <v>0.114</v>
      </c>
      <c r="G551" s="23">
        <v>623.4</v>
      </c>
      <c r="H551">
        <f t="shared" si="41"/>
        <v>679.50599999999997</v>
      </c>
      <c r="I551">
        <v>12</v>
      </c>
      <c r="J551" s="28">
        <f t="shared" si="42"/>
        <v>13.680000000000001</v>
      </c>
      <c r="K551" s="23">
        <v>1100.0899999999999</v>
      </c>
      <c r="L551" s="23">
        <f t="shared" si="43"/>
        <v>13333.6188432</v>
      </c>
      <c r="M551" s="23">
        <f t="shared" si="44"/>
        <v>4037.9767631999985</v>
      </c>
      <c r="O551" s="23">
        <f>L551-'Part A (2&amp;3)'!R551</f>
        <v>1637.4619632000013</v>
      </c>
      <c r="P551" s="23">
        <f>M551-'Part A (2&amp;3)'!T551</f>
        <v>-177.38011680000091</v>
      </c>
    </row>
    <row r="552" spans="5:16" x14ac:dyDescent="0.35">
      <c r="E552" s="8">
        <v>0.107</v>
      </c>
      <c r="F552" s="27">
        <f t="shared" si="40"/>
        <v>0.107</v>
      </c>
      <c r="G552" s="23">
        <v>66.400000000000006</v>
      </c>
      <c r="H552">
        <f t="shared" si="41"/>
        <v>72.376000000000005</v>
      </c>
      <c r="I552">
        <v>8</v>
      </c>
      <c r="J552" s="28">
        <f t="shared" si="42"/>
        <v>9.120000000000001</v>
      </c>
      <c r="K552" s="23">
        <v>141.43</v>
      </c>
      <c r="L552" s="23">
        <f t="shared" si="43"/>
        <v>1151.8285488000001</v>
      </c>
      <c r="M552" s="23">
        <f t="shared" si="44"/>
        <v>491.75942880000002</v>
      </c>
      <c r="O552" s="23">
        <f>L552-'Part A (2&amp;3)'!R552</f>
        <v>141.45262880000007</v>
      </c>
      <c r="P552" s="23">
        <f>M552-'Part A (2&amp;3)'!T552</f>
        <v>12.583508800000004</v>
      </c>
    </row>
    <row r="553" spans="5:16" x14ac:dyDescent="0.35">
      <c r="E553" s="8">
        <v>0.17599999999999999</v>
      </c>
      <c r="F553" s="27">
        <f t="shared" si="40"/>
        <v>0.12</v>
      </c>
      <c r="G553" s="23">
        <v>382.96</v>
      </c>
      <c r="H553">
        <f t="shared" si="41"/>
        <v>417.4264</v>
      </c>
      <c r="I553">
        <v>8</v>
      </c>
      <c r="J553" s="28">
        <f t="shared" si="42"/>
        <v>9.120000000000001</v>
      </c>
      <c r="K553" s="23">
        <v>552.84</v>
      </c>
      <c r="L553" s="23">
        <f t="shared" si="43"/>
        <v>4436.8727040000003</v>
      </c>
      <c r="M553" s="23">
        <f t="shared" si="44"/>
        <v>629.94393600000012</v>
      </c>
      <c r="O553" s="23">
        <f>L553-'Part A (2&amp;3)'!R553</f>
        <v>792.55142399999977</v>
      </c>
      <c r="P553" s="23">
        <f>M553-'Part A (2&amp;3)'!T553</f>
        <v>49.302655999999388</v>
      </c>
    </row>
    <row r="554" spans="5:16" x14ac:dyDescent="0.35">
      <c r="E554" s="8">
        <v>0.3</v>
      </c>
      <c r="F554" s="27">
        <f t="shared" si="40"/>
        <v>0.12</v>
      </c>
      <c r="G554" s="23">
        <v>383.77</v>
      </c>
      <c r="H554">
        <f t="shared" si="41"/>
        <v>418.30930000000001</v>
      </c>
      <c r="I554">
        <v>10</v>
      </c>
      <c r="J554" s="28">
        <f t="shared" si="42"/>
        <v>11.400000000000002</v>
      </c>
      <c r="K554" s="23">
        <v>952.56</v>
      </c>
      <c r="L554" s="23">
        <f t="shared" si="43"/>
        <v>9556.0819200000024</v>
      </c>
      <c r="M554" s="23">
        <f t="shared" si="44"/>
        <v>4787.3559000000014</v>
      </c>
      <c r="O554" s="23">
        <f>L554-'Part A (2&amp;3)'!R554</f>
        <v>2888.1619200000041</v>
      </c>
      <c r="P554" s="23">
        <f>M554-'Part A (2&amp;3)'!T554</f>
        <v>1957.1359000000029</v>
      </c>
    </row>
    <row r="555" spans="5:16" x14ac:dyDescent="0.35">
      <c r="E555" s="8">
        <v>0.14899999999999999</v>
      </c>
      <c r="F555" s="27">
        <f t="shared" si="40"/>
        <v>0.12</v>
      </c>
      <c r="G555" s="23">
        <v>1331.38</v>
      </c>
      <c r="H555">
        <f t="shared" si="41"/>
        <v>1451.2042000000001</v>
      </c>
      <c r="I555">
        <v>31</v>
      </c>
      <c r="J555" s="28">
        <f t="shared" si="42"/>
        <v>35.340000000000003</v>
      </c>
      <c r="K555" s="23">
        <v>2309.56</v>
      </c>
      <c r="L555" s="23">
        <f t="shared" si="43"/>
        <v>71825.468352000011</v>
      </c>
      <c r="M555" s="23">
        <f t="shared" si="44"/>
        <v>20539.911924</v>
      </c>
      <c r="O555" s="23">
        <f>L555-'Part A (2&amp;3)'!R555</f>
        <v>10896.965992000012</v>
      </c>
      <c r="P555" s="23">
        <f>M555-'Part A (2&amp;3)'!T555</f>
        <v>884.18956400000752</v>
      </c>
    </row>
    <row r="556" spans="5:16" x14ac:dyDescent="0.35">
      <c r="E556" s="8">
        <v>3.7999999999999999E-2</v>
      </c>
      <c r="F556" s="27">
        <f t="shared" si="40"/>
        <v>3.7999999999999999E-2</v>
      </c>
      <c r="G556" s="23">
        <v>1015.16</v>
      </c>
      <c r="H556">
        <f t="shared" si="41"/>
        <v>1106.5244</v>
      </c>
      <c r="I556">
        <v>19</v>
      </c>
      <c r="J556" s="28">
        <f t="shared" si="42"/>
        <v>21.660000000000004</v>
      </c>
      <c r="K556" s="23">
        <v>2148.14</v>
      </c>
      <c r="L556" s="23">
        <f t="shared" si="43"/>
        <v>44760.621328800007</v>
      </c>
      <c r="M556" s="23">
        <f t="shared" si="44"/>
        <v>20793.302824800005</v>
      </c>
      <c r="O556" s="23">
        <f>L556-'Part A (2&amp;3)'!R556</f>
        <v>5496.9184088000111</v>
      </c>
      <c r="P556" s="23">
        <f>M556-'Part A (2&amp;3)'!T556</f>
        <v>817.63990480000939</v>
      </c>
    </row>
    <row r="557" spans="5:16" x14ac:dyDescent="0.35">
      <c r="E557" s="8">
        <v>7.8E-2</v>
      </c>
      <c r="F557" s="27">
        <f t="shared" si="40"/>
        <v>7.8E-2</v>
      </c>
      <c r="G557" s="23">
        <v>1263.8399999999999</v>
      </c>
      <c r="H557">
        <f t="shared" si="41"/>
        <v>1377.5856000000001</v>
      </c>
      <c r="I557">
        <v>15</v>
      </c>
      <c r="J557" s="28">
        <f t="shared" si="42"/>
        <v>17.100000000000001</v>
      </c>
      <c r="K557" s="23">
        <v>2281.7199999999998</v>
      </c>
      <c r="L557" s="23">
        <f t="shared" si="43"/>
        <v>35974.053864000001</v>
      </c>
      <c r="M557" s="23">
        <f t="shared" si="44"/>
        <v>12417.340103999999</v>
      </c>
      <c r="O557" s="23">
        <f>L557-'Part A (2&amp;3)'!R557</f>
        <v>4417.8662640000039</v>
      </c>
      <c r="P557" s="23">
        <f>M557-'Part A (2&amp;3)'!T557</f>
        <v>-181.24749599999996</v>
      </c>
    </row>
    <row r="558" spans="5:16" x14ac:dyDescent="0.35">
      <c r="E558" s="8">
        <v>9.8000000000000004E-2</v>
      </c>
      <c r="F558" s="27">
        <f t="shared" si="40"/>
        <v>9.8000000000000004E-2</v>
      </c>
      <c r="G558" s="23">
        <v>653.6</v>
      </c>
      <c r="H558">
        <f t="shared" si="41"/>
        <v>712.42400000000009</v>
      </c>
      <c r="I558">
        <v>19</v>
      </c>
      <c r="J558" s="28">
        <f t="shared" si="42"/>
        <v>21.660000000000004</v>
      </c>
      <c r="K558" s="23">
        <v>842.09</v>
      </c>
      <c r="L558" s="23">
        <f t="shared" si="43"/>
        <v>16452.181798800004</v>
      </c>
      <c r="M558" s="23">
        <f t="shared" si="44"/>
        <v>1021.0779587999987</v>
      </c>
      <c r="O558" s="23">
        <f>L558-'Part A (2&amp;3)'!R558</f>
        <v>2020.4433788000024</v>
      </c>
      <c r="P558" s="23">
        <f>M558-'Part A (2&amp;3)'!T558</f>
        <v>-992.26046120000319</v>
      </c>
    </row>
    <row r="559" spans="5:16" x14ac:dyDescent="0.35">
      <c r="E559" s="8">
        <v>0.14599999999999999</v>
      </c>
      <c r="F559" s="27">
        <f t="shared" si="40"/>
        <v>0.12</v>
      </c>
      <c r="G559" s="23">
        <v>483.47</v>
      </c>
      <c r="H559">
        <f t="shared" si="41"/>
        <v>526.98230000000012</v>
      </c>
      <c r="I559">
        <v>11</v>
      </c>
      <c r="J559" s="28">
        <f t="shared" si="42"/>
        <v>12.540000000000001</v>
      </c>
      <c r="K559" s="23">
        <v>1135.43</v>
      </c>
      <c r="L559" s="23">
        <f t="shared" si="43"/>
        <v>12529.697136000001</v>
      </c>
      <c r="M559" s="23">
        <f t="shared" si="44"/>
        <v>5921.339093999999</v>
      </c>
      <c r="O559" s="23">
        <f>L559-'Part A (2&amp;3)'!R559</f>
        <v>1863.4677159999992</v>
      </c>
      <c r="P559" s="23">
        <f>M559-'Part A (2&amp;3)'!T559</f>
        <v>573.27967399999761</v>
      </c>
    </row>
    <row r="560" spans="5:16" x14ac:dyDescent="0.35">
      <c r="E560" s="8">
        <v>0.113</v>
      </c>
      <c r="F560" s="27">
        <f t="shared" si="40"/>
        <v>0.113</v>
      </c>
      <c r="G560" s="23">
        <v>1362.31</v>
      </c>
      <c r="H560">
        <f t="shared" si="41"/>
        <v>1484.9179000000001</v>
      </c>
      <c r="I560">
        <v>7</v>
      </c>
      <c r="J560" s="28">
        <f t="shared" si="42"/>
        <v>7.98</v>
      </c>
      <c r="K560" s="23">
        <v>3294.57</v>
      </c>
      <c r="L560" s="23">
        <f t="shared" si="43"/>
        <v>23319.8230482</v>
      </c>
      <c r="M560" s="23">
        <f t="shared" si="44"/>
        <v>11470.178206199998</v>
      </c>
      <c r="O560" s="23">
        <f>L560-'Part A (2&amp;3)'!R560</f>
        <v>2863.837918199999</v>
      </c>
      <c r="P560" s="23">
        <f>M560-'Part A (2&amp;3)'!T560</f>
        <v>550.36307619999752</v>
      </c>
    </row>
    <row r="561" spans="5:16" x14ac:dyDescent="0.35">
      <c r="E561" s="8">
        <v>0.09</v>
      </c>
      <c r="F561" s="27">
        <f t="shared" si="40"/>
        <v>0.09</v>
      </c>
      <c r="G561" s="23">
        <v>379.45</v>
      </c>
      <c r="H561">
        <f t="shared" si="41"/>
        <v>413.60050000000001</v>
      </c>
      <c r="I561">
        <v>13</v>
      </c>
      <c r="J561" s="28">
        <f t="shared" si="42"/>
        <v>14.820000000000002</v>
      </c>
      <c r="K561" s="23">
        <v>742.23</v>
      </c>
      <c r="L561" s="23">
        <f t="shared" si="43"/>
        <v>10009.862226000001</v>
      </c>
      <c r="M561" s="23">
        <f t="shared" si="44"/>
        <v>3880.3028160000003</v>
      </c>
      <c r="O561" s="23">
        <f>L561-'Part A (2&amp;3)'!R561</f>
        <v>1229.2813260000003</v>
      </c>
      <c r="P561" s="23">
        <f>M561-'Part A (2&amp;3)'!T561</f>
        <v>32.571915999998964</v>
      </c>
    </row>
    <row r="562" spans="5:16" x14ac:dyDescent="0.35">
      <c r="E562" s="8">
        <v>0.23</v>
      </c>
      <c r="F562" s="27">
        <f t="shared" si="40"/>
        <v>0.12</v>
      </c>
      <c r="G562" s="23">
        <v>1171.42</v>
      </c>
      <c r="H562">
        <f t="shared" si="41"/>
        <v>1276.8478000000002</v>
      </c>
      <c r="I562">
        <v>15</v>
      </c>
      <c r="J562" s="28">
        <f t="shared" si="42"/>
        <v>17.100000000000001</v>
      </c>
      <c r="K562" s="23">
        <v>2187.8000000000002</v>
      </c>
      <c r="L562" s="23">
        <f t="shared" si="43"/>
        <v>32922.014400000007</v>
      </c>
      <c r="M562" s="23">
        <f t="shared" si="44"/>
        <v>11087.917020000001</v>
      </c>
      <c r="O562" s="23">
        <f>L562-'Part A (2&amp;3)'!R562</f>
        <v>7652.9244000000072</v>
      </c>
      <c r="P562" s="23">
        <f>M562-'Part A (2&amp;3)'!T562</f>
        <v>3390.1270200000035</v>
      </c>
    </row>
    <row r="563" spans="5:16" x14ac:dyDescent="0.35">
      <c r="E563" s="8">
        <v>0.157</v>
      </c>
      <c r="F563" s="27">
        <f t="shared" si="40"/>
        <v>0.12</v>
      </c>
      <c r="G563" s="23">
        <v>75.180000000000007</v>
      </c>
      <c r="H563">
        <f t="shared" si="41"/>
        <v>81.946200000000019</v>
      </c>
      <c r="I563">
        <v>17</v>
      </c>
      <c r="J563" s="28">
        <f t="shared" si="42"/>
        <v>19.380000000000003</v>
      </c>
      <c r="K563" s="23">
        <v>53.45</v>
      </c>
      <c r="L563" s="23">
        <f t="shared" si="43"/>
        <v>911.55768000000012</v>
      </c>
      <c r="M563" s="23">
        <f t="shared" si="44"/>
        <v>-676.55967600000054</v>
      </c>
      <c r="O563" s="23">
        <f>L563-'Part A (2&amp;3)'!R563</f>
        <v>145.56573000000003</v>
      </c>
      <c r="P563" s="23">
        <f>M563-'Part A (2&amp;3)'!T563</f>
        <v>-164.49162600000045</v>
      </c>
    </row>
    <row r="564" spans="5:16" x14ac:dyDescent="0.35">
      <c r="E564" s="8">
        <v>0.09</v>
      </c>
      <c r="F564" s="27">
        <f t="shared" si="40"/>
        <v>0.09</v>
      </c>
      <c r="G564" s="23">
        <v>618.69000000000005</v>
      </c>
      <c r="H564">
        <f t="shared" si="41"/>
        <v>674.37210000000016</v>
      </c>
      <c r="I564">
        <v>11</v>
      </c>
      <c r="J564" s="28">
        <f t="shared" si="42"/>
        <v>12.540000000000001</v>
      </c>
      <c r="K564" s="23">
        <v>796.15</v>
      </c>
      <c r="L564" s="23">
        <f t="shared" si="43"/>
        <v>9085.1861100000006</v>
      </c>
      <c r="M564" s="23">
        <f t="shared" si="44"/>
        <v>628.55997599999864</v>
      </c>
      <c r="O564" s="23">
        <f>L564-'Part A (2&amp;3)'!R564</f>
        <v>1115.7246100000002</v>
      </c>
      <c r="P564" s="23">
        <f>M564-'Part A (2&amp;3)'!T564</f>
        <v>-535.31152400000155</v>
      </c>
    </row>
    <row r="565" spans="5:16" x14ac:dyDescent="0.35">
      <c r="E565" s="8">
        <v>7.4999999999999997E-2</v>
      </c>
      <c r="F565" s="27">
        <f t="shared" si="40"/>
        <v>7.4999999999999997E-2</v>
      </c>
      <c r="G565" s="23">
        <v>1225.5</v>
      </c>
      <c r="H565">
        <f t="shared" si="41"/>
        <v>1335.7950000000001</v>
      </c>
      <c r="I565">
        <v>56</v>
      </c>
      <c r="J565" s="28">
        <f t="shared" si="42"/>
        <v>63.84</v>
      </c>
      <c r="K565" s="23">
        <v>1470.6</v>
      </c>
      <c r="L565" s="23">
        <f t="shared" si="43"/>
        <v>86841.871200000009</v>
      </c>
      <c r="M565" s="23">
        <f t="shared" si="44"/>
        <v>1564.7183999999979</v>
      </c>
      <c r="O565" s="23">
        <f>L565-'Part A (2&amp;3)'!R565</f>
        <v>10664.791200000007</v>
      </c>
      <c r="P565" s="23">
        <f>M565-'Part A (2&amp;3)'!T565</f>
        <v>-5984.3616000000038</v>
      </c>
    </row>
    <row r="566" spans="5:16" x14ac:dyDescent="0.35">
      <c r="E566" s="8">
        <v>0.14399999999999999</v>
      </c>
      <c r="F566" s="27">
        <f t="shared" si="40"/>
        <v>0.12</v>
      </c>
      <c r="G566" s="23">
        <v>527.33000000000004</v>
      </c>
      <c r="H566">
        <f t="shared" si="41"/>
        <v>574.78970000000004</v>
      </c>
      <c r="I566">
        <v>25</v>
      </c>
      <c r="J566" s="28">
        <f t="shared" si="42"/>
        <v>28.500000000000004</v>
      </c>
      <c r="K566" s="23">
        <v>911.72</v>
      </c>
      <c r="L566" s="23">
        <f t="shared" si="43"/>
        <v>22865.937600000005</v>
      </c>
      <c r="M566" s="23">
        <f t="shared" si="44"/>
        <v>6484.4311500000022</v>
      </c>
      <c r="O566" s="23">
        <f>L566-'Part A (2&amp;3)'!R566</f>
        <v>3355.1296000000038</v>
      </c>
      <c r="P566" s="23">
        <f>M566-'Part A (2&amp;3)'!T566</f>
        <v>156.87315000000308</v>
      </c>
    </row>
    <row r="567" spans="5:16" x14ac:dyDescent="0.35">
      <c r="E567" s="8">
        <v>0.115</v>
      </c>
      <c r="F567" s="27">
        <f t="shared" si="40"/>
        <v>0.115</v>
      </c>
      <c r="G567" s="23">
        <v>400.39</v>
      </c>
      <c r="H567">
        <f t="shared" si="41"/>
        <v>436.42510000000004</v>
      </c>
      <c r="I567">
        <v>19</v>
      </c>
      <c r="J567" s="28">
        <f t="shared" si="42"/>
        <v>21.660000000000004</v>
      </c>
      <c r="K567" s="23">
        <v>712.75</v>
      </c>
      <c r="L567" s="23">
        <f t="shared" si="43"/>
        <v>13662.776025000003</v>
      </c>
      <c r="M567" s="23">
        <f t="shared" si="44"/>
        <v>4209.8083590000006</v>
      </c>
      <c r="O567" s="23">
        <f>L567-'Part A (2&amp;3)'!R567</f>
        <v>1677.8847750000023</v>
      </c>
      <c r="P567" s="23">
        <f>M567-'Part A (2&amp;3)'!T567</f>
        <v>-167.67289100000016</v>
      </c>
    </row>
    <row r="568" spans="5:16" x14ac:dyDescent="0.35">
      <c r="E568" s="8">
        <v>0.12</v>
      </c>
      <c r="F568" s="27">
        <f t="shared" si="40"/>
        <v>0.12</v>
      </c>
      <c r="G568" s="23">
        <v>730.99</v>
      </c>
      <c r="H568">
        <f t="shared" si="41"/>
        <v>796.77910000000008</v>
      </c>
      <c r="I568">
        <v>10</v>
      </c>
      <c r="J568" s="28">
        <f t="shared" si="42"/>
        <v>11.400000000000002</v>
      </c>
      <c r="K568" s="23">
        <v>1242.8399999999999</v>
      </c>
      <c r="L568" s="23">
        <f t="shared" si="43"/>
        <v>12468.170880000003</v>
      </c>
      <c r="M568" s="23">
        <f t="shared" si="44"/>
        <v>3384.8891400000011</v>
      </c>
      <c r="O568" s="23">
        <f>L568-'Part A (2&amp;3)'!R568</f>
        <v>1531.1788800000031</v>
      </c>
      <c r="P568" s="23">
        <f>M568-'Part A (2&amp;3)'!T568</f>
        <v>-242.20285999999942</v>
      </c>
    </row>
    <row r="569" spans="5:16" x14ac:dyDescent="0.35">
      <c r="E569" s="8">
        <v>8.9999999999999993E-3</v>
      </c>
      <c r="F569" s="27">
        <f t="shared" si="40"/>
        <v>8.9999999999999993E-3</v>
      </c>
      <c r="G569" s="23">
        <v>1487.59</v>
      </c>
      <c r="H569">
        <f t="shared" si="41"/>
        <v>1621.4730999999999</v>
      </c>
      <c r="I569">
        <v>11</v>
      </c>
      <c r="J569" s="28">
        <f t="shared" si="42"/>
        <v>12.540000000000001</v>
      </c>
      <c r="K569" s="23">
        <v>1480.83</v>
      </c>
      <c r="L569" s="23">
        <f t="shared" si="43"/>
        <v>18402.4817262</v>
      </c>
      <c r="M569" s="23">
        <f t="shared" si="44"/>
        <v>-1930.7909478000001</v>
      </c>
      <c r="O569" s="23">
        <f>L569-'Part A (2&amp;3)'!R569</f>
        <v>2259.9538962000006</v>
      </c>
      <c r="P569" s="23">
        <f>M569-'Part A (2&amp;3)'!T569</f>
        <v>-1709.8287777999994</v>
      </c>
    </row>
    <row r="570" spans="5:16" x14ac:dyDescent="0.35">
      <c r="E570" s="8">
        <v>0.08</v>
      </c>
      <c r="F570" s="27">
        <f t="shared" si="40"/>
        <v>0.08</v>
      </c>
      <c r="G570" s="23">
        <v>318.83</v>
      </c>
      <c r="H570">
        <f t="shared" si="41"/>
        <v>347.5247</v>
      </c>
      <c r="I570">
        <v>13</v>
      </c>
      <c r="J570" s="28">
        <f t="shared" si="42"/>
        <v>14.820000000000002</v>
      </c>
      <c r="K570" s="23">
        <v>699.5</v>
      </c>
      <c r="L570" s="23">
        <f t="shared" si="43"/>
        <v>9537.2628000000022</v>
      </c>
      <c r="M570" s="23">
        <f t="shared" si="44"/>
        <v>4386.9467460000014</v>
      </c>
      <c r="O570" s="23">
        <f>L570-'Part A (2&amp;3)'!R570</f>
        <v>1171.2428000000018</v>
      </c>
      <c r="P570" s="23">
        <f>M570-'Part A (2&amp;3)'!T570</f>
        <v>165.71674600000097</v>
      </c>
    </row>
    <row r="571" spans="5:16" x14ac:dyDescent="0.35">
      <c r="E571" s="8">
        <v>0.113</v>
      </c>
      <c r="F571" s="27">
        <f t="shared" si="40"/>
        <v>0.113</v>
      </c>
      <c r="G571" s="23">
        <v>982.93</v>
      </c>
      <c r="H571">
        <f t="shared" si="41"/>
        <v>1071.3937000000001</v>
      </c>
      <c r="I571">
        <v>6</v>
      </c>
      <c r="J571" s="28">
        <f t="shared" si="42"/>
        <v>6.8400000000000007</v>
      </c>
      <c r="K571" s="23">
        <v>2299.3000000000002</v>
      </c>
      <c r="L571" s="23">
        <f t="shared" si="43"/>
        <v>13950.037044000002</v>
      </c>
      <c r="M571" s="23">
        <f t="shared" si="44"/>
        <v>6621.7041360000012</v>
      </c>
      <c r="O571" s="23">
        <f>L571-'Part A (2&amp;3)'!R571</f>
        <v>1713.1624440000014</v>
      </c>
      <c r="P571" s="23">
        <f>M571-'Part A (2&amp;3)'!T571</f>
        <v>282.40953600000012</v>
      </c>
    </row>
    <row r="572" spans="5:16" x14ac:dyDescent="0.35">
      <c r="E572" s="8">
        <v>0.123</v>
      </c>
      <c r="F572" s="27">
        <f t="shared" si="40"/>
        <v>0.12</v>
      </c>
      <c r="G572" s="23">
        <v>801.24</v>
      </c>
      <c r="H572">
        <f t="shared" si="41"/>
        <v>873.35160000000008</v>
      </c>
      <c r="I572">
        <v>23</v>
      </c>
      <c r="J572" s="28">
        <f t="shared" si="42"/>
        <v>26.220000000000002</v>
      </c>
      <c r="K572" s="23">
        <v>1959.09</v>
      </c>
      <c r="L572" s="23">
        <f t="shared" si="43"/>
        <v>45203.259024000006</v>
      </c>
      <c r="M572" s="23">
        <f t="shared" si="44"/>
        <v>22303.980072000002</v>
      </c>
      <c r="O572" s="23">
        <f>L572-'Part A (2&amp;3)'!R572</f>
        <v>5686.4546340000088</v>
      </c>
      <c r="P572" s="23">
        <f>M572-'Part A (2&amp;3)'!T572</f>
        <v>1215.695682000005</v>
      </c>
    </row>
    <row r="573" spans="5:16" x14ac:dyDescent="0.35">
      <c r="E573" s="8">
        <v>9.7000000000000003E-2</v>
      </c>
      <c r="F573" s="27">
        <f t="shared" si="40"/>
        <v>9.7000000000000003E-2</v>
      </c>
      <c r="G573" s="23">
        <v>1466.27</v>
      </c>
      <c r="H573">
        <f t="shared" si="41"/>
        <v>1598.2343000000001</v>
      </c>
      <c r="I573">
        <v>9</v>
      </c>
      <c r="J573" s="28">
        <f t="shared" si="42"/>
        <v>10.260000000000002</v>
      </c>
      <c r="K573" s="23">
        <v>3589.89</v>
      </c>
      <c r="L573" s="23">
        <f t="shared" si="43"/>
        <v>33259.541074200002</v>
      </c>
      <c r="M573" s="23">
        <f t="shared" si="44"/>
        <v>16861.657156199999</v>
      </c>
      <c r="O573" s="23">
        <f>L573-'Part A (2&amp;3)'!R573</f>
        <v>4084.5050442000029</v>
      </c>
      <c r="P573" s="23">
        <f>M573-'Part A (2&amp;3)'!T573</f>
        <v>883.0511262</v>
      </c>
    </row>
    <row r="574" spans="5:16" x14ac:dyDescent="0.35">
      <c r="E574" s="8">
        <v>5.7000000000000002E-2</v>
      </c>
      <c r="F574" s="27">
        <f t="shared" si="40"/>
        <v>5.7000000000000002E-2</v>
      </c>
      <c r="G574" s="23">
        <v>93.91</v>
      </c>
      <c r="H574">
        <f t="shared" si="41"/>
        <v>102.36190000000001</v>
      </c>
      <c r="I574">
        <v>6</v>
      </c>
      <c r="J574" s="28">
        <f t="shared" si="42"/>
        <v>6.8400000000000007</v>
      </c>
      <c r="K574" s="23">
        <v>99.04</v>
      </c>
      <c r="L574" s="23">
        <f t="shared" si="43"/>
        <v>638.81988480000007</v>
      </c>
      <c r="M574" s="23">
        <f t="shared" si="44"/>
        <v>-61.335511200000042</v>
      </c>
      <c r="O574" s="23">
        <f>L574-'Part A (2&amp;3)'!R574</f>
        <v>78.451564800000142</v>
      </c>
      <c r="P574" s="23">
        <f>M574-'Part A (2&amp;3)'!T574</f>
        <v>-58.243831199999931</v>
      </c>
    </row>
    <row r="575" spans="5:16" x14ac:dyDescent="0.35">
      <c r="E575" s="8">
        <v>0.17399999999999999</v>
      </c>
      <c r="F575" s="27">
        <f t="shared" si="40"/>
        <v>0.12</v>
      </c>
      <c r="G575" s="23">
        <v>892.73</v>
      </c>
      <c r="H575">
        <f t="shared" si="41"/>
        <v>973.0757000000001</v>
      </c>
      <c r="I575">
        <v>10</v>
      </c>
      <c r="J575" s="28">
        <f t="shared" si="42"/>
        <v>11.400000000000002</v>
      </c>
      <c r="K575" s="23">
        <v>979.84</v>
      </c>
      <c r="L575" s="23">
        <f t="shared" si="43"/>
        <v>9829.7548800000022</v>
      </c>
      <c r="M575" s="23">
        <f t="shared" si="44"/>
        <v>-1263.3081000000002</v>
      </c>
      <c r="O575" s="23">
        <f>L575-'Part A (2&amp;3)'!R575</f>
        <v>1736.2764800000023</v>
      </c>
      <c r="P575" s="23">
        <f>M575-'Part A (2&amp;3)'!T575</f>
        <v>-429.48650000000089</v>
      </c>
    </row>
    <row r="576" spans="5:16" x14ac:dyDescent="0.35">
      <c r="E576" s="8">
        <v>0.13600000000000001</v>
      </c>
      <c r="F576" s="27">
        <f t="shared" si="40"/>
        <v>0.12</v>
      </c>
      <c r="G576" s="23">
        <v>757.19</v>
      </c>
      <c r="H576">
        <f t="shared" si="41"/>
        <v>825.33710000000008</v>
      </c>
      <c r="I576">
        <v>8</v>
      </c>
      <c r="J576" s="28">
        <f t="shared" si="42"/>
        <v>9.120000000000001</v>
      </c>
      <c r="K576" s="23">
        <v>1735.41</v>
      </c>
      <c r="L576" s="23">
        <f t="shared" si="43"/>
        <v>13927.706496000003</v>
      </c>
      <c r="M576" s="23">
        <f t="shared" si="44"/>
        <v>6400.6321440000011</v>
      </c>
      <c r="O576" s="23">
        <f>L576-'Part A (2&amp;3)'!R576</f>
        <v>1932.5525760000019</v>
      </c>
      <c r="P576" s="23">
        <f>M576-'Part A (2&amp;3)'!T576</f>
        <v>462.99822400000085</v>
      </c>
    </row>
    <row r="577" spans="5:16" x14ac:dyDescent="0.35">
      <c r="E577" s="8">
        <v>0.151</v>
      </c>
      <c r="F577" s="27">
        <f t="shared" si="40"/>
        <v>0.12</v>
      </c>
      <c r="G577" s="23">
        <v>385.08</v>
      </c>
      <c r="H577">
        <f t="shared" si="41"/>
        <v>419.73720000000003</v>
      </c>
      <c r="I577">
        <v>8</v>
      </c>
      <c r="J577" s="28">
        <f t="shared" si="42"/>
        <v>9.120000000000001</v>
      </c>
      <c r="K577" s="23">
        <v>893.19</v>
      </c>
      <c r="L577" s="23">
        <f t="shared" si="43"/>
        <v>7168.3856640000013</v>
      </c>
      <c r="M577" s="23">
        <f t="shared" si="44"/>
        <v>3340.3824000000004</v>
      </c>
      <c r="O577" s="23">
        <f>L577-'Part A (2&amp;3)'!R577</f>
        <v>1101.8391840000013</v>
      </c>
      <c r="P577" s="23">
        <f>M577-'Part A (2&amp;3)'!T577</f>
        <v>354.47592000000031</v>
      </c>
    </row>
    <row r="578" spans="5:16" x14ac:dyDescent="0.35">
      <c r="E578" s="8">
        <v>0.115</v>
      </c>
      <c r="F578" s="27">
        <f t="shared" si="40"/>
        <v>0.115</v>
      </c>
      <c r="G578" s="23">
        <v>255.4</v>
      </c>
      <c r="H578">
        <f t="shared" si="41"/>
        <v>278.38600000000002</v>
      </c>
      <c r="I578">
        <v>16</v>
      </c>
      <c r="J578" s="28">
        <f t="shared" si="42"/>
        <v>18.240000000000002</v>
      </c>
      <c r="K578" s="23">
        <v>322.70999999999998</v>
      </c>
      <c r="L578" s="23">
        <f t="shared" si="43"/>
        <v>5209.3139040000005</v>
      </c>
      <c r="M578" s="23">
        <f t="shared" si="44"/>
        <v>131.55326399999922</v>
      </c>
      <c r="O578" s="23">
        <f>L578-'Part A (2&amp;3)'!R578</f>
        <v>639.74030400000083</v>
      </c>
      <c r="P578" s="23">
        <f>M578-'Part A (2&amp;3)'!T578</f>
        <v>-351.62033600000041</v>
      </c>
    </row>
    <row r="579" spans="5:16" x14ac:dyDescent="0.35">
      <c r="E579" s="8">
        <v>0.248</v>
      </c>
      <c r="F579" s="27">
        <f t="shared" ref="F579:F632" si="45">MIN(E579,$C$2)</f>
        <v>0.12</v>
      </c>
      <c r="G579" s="23">
        <v>1151.06</v>
      </c>
      <c r="H579">
        <f t="shared" ref="H579:H632" si="46">G579*(1+$C$3)</f>
        <v>1254.6554000000001</v>
      </c>
      <c r="I579">
        <v>20</v>
      </c>
      <c r="J579" s="28">
        <f t="shared" ref="J579:J632" si="47">I579*(1+$C$4)</f>
        <v>22.800000000000004</v>
      </c>
      <c r="K579" s="23">
        <v>2821.36</v>
      </c>
      <c r="L579" s="23">
        <f t="shared" ref="L579:L632" si="48">K579*(1-F579)*J579</f>
        <v>56607.767040000013</v>
      </c>
      <c r="M579" s="23">
        <f t="shared" ref="M579:M632" si="49">L579-(H579*J579)</f>
        <v>28001.623920000005</v>
      </c>
      <c r="O579" s="23">
        <f>L579-'Part A (2&amp;3)'!R579</f>
        <v>14174.512640000008</v>
      </c>
      <c r="P579" s="23">
        <f>M579-'Part A (2&amp;3)'!T579</f>
        <v>8589.5695199999973</v>
      </c>
    </row>
    <row r="580" spans="5:16" x14ac:dyDescent="0.35">
      <c r="E580" s="8">
        <v>7.8E-2</v>
      </c>
      <c r="F580" s="27">
        <f t="shared" si="45"/>
        <v>7.8E-2</v>
      </c>
      <c r="G580" s="23">
        <v>546.83000000000004</v>
      </c>
      <c r="H580">
        <f t="shared" si="46"/>
        <v>596.04470000000003</v>
      </c>
      <c r="I580">
        <v>13</v>
      </c>
      <c r="J580" s="28">
        <f t="shared" si="47"/>
        <v>14.820000000000002</v>
      </c>
      <c r="K580" s="23">
        <v>400.84</v>
      </c>
      <c r="L580" s="23">
        <f t="shared" si="48"/>
        <v>5477.0937936000009</v>
      </c>
      <c r="M580" s="23">
        <f t="shared" si="49"/>
        <v>-3356.2886604000014</v>
      </c>
      <c r="O580" s="23">
        <f>L580-'Part A (2&amp;3)'!R580</f>
        <v>672.62555360000079</v>
      </c>
      <c r="P580" s="23">
        <f>M580-'Part A (2&amp;3)'!T580</f>
        <v>-1051.9669004000007</v>
      </c>
    </row>
    <row r="581" spans="5:16" x14ac:dyDescent="0.35">
      <c r="E581" s="8">
        <v>9.1999999999999998E-2</v>
      </c>
      <c r="F581" s="27">
        <f t="shared" si="45"/>
        <v>9.1999999999999998E-2</v>
      </c>
      <c r="G581" s="23">
        <v>1170.1500000000001</v>
      </c>
      <c r="H581">
        <f t="shared" si="46"/>
        <v>1275.4635000000003</v>
      </c>
      <c r="I581">
        <v>23</v>
      </c>
      <c r="J581" s="28">
        <f t="shared" si="47"/>
        <v>26.220000000000002</v>
      </c>
      <c r="K581" s="23">
        <v>2115.19</v>
      </c>
      <c r="L581" s="23">
        <f t="shared" si="48"/>
        <v>50357.935874400006</v>
      </c>
      <c r="M581" s="23">
        <f t="shared" si="49"/>
        <v>16915.282904399995</v>
      </c>
      <c r="O581" s="23">
        <f>L581-'Part A (2&amp;3)'!R581</f>
        <v>6184.3079144000003</v>
      </c>
      <c r="P581" s="23">
        <f>M581-'Part A (2&amp;3)'!T581</f>
        <v>-344.89505560000907</v>
      </c>
    </row>
    <row r="582" spans="5:16" x14ac:dyDescent="0.35">
      <c r="E582" s="8">
        <v>0.20499999999999999</v>
      </c>
      <c r="F582" s="27">
        <f t="shared" si="45"/>
        <v>0.12</v>
      </c>
      <c r="G582" s="23">
        <v>314.93</v>
      </c>
      <c r="H582">
        <f t="shared" si="46"/>
        <v>343.27370000000002</v>
      </c>
      <c r="I582">
        <v>8</v>
      </c>
      <c r="J582" s="28">
        <f t="shared" si="47"/>
        <v>9.120000000000001</v>
      </c>
      <c r="K582" s="23">
        <v>687.95</v>
      </c>
      <c r="L582" s="23">
        <f t="shared" si="48"/>
        <v>5521.2115200000017</v>
      </c>
      <c r="M582" s="23">
        <f t="shared" si="49"/>
        <v>2390.5553760000012</v>
      </c>
      <c r="O582" s="23">
        <f>L582-'Part A (2&amp;3)'!R582</f>
        <v>1145.8495200000016</v>
      </c>
      <c r="P582" s="23">
        <f>M582-'Part A (2&amp;3)'!T582</f>
        <v>534.63337600000114</v>
      </c>
    </row>
    <row r="583" spans="5:16" x14ac:dyDescent="0.35">
      <c r="E583" s="8">
        <v>9.9000000000000005E-2</v>
      </c>
      <c r="F583" s="27">
        <f t="shared" si="45"/>
        <v>9.9000000000000005E-2</v>
      </c>
      <c r="G583" s="23">
        <v>1227.7</v>
      </c>
      <c r="H583">
        <f t="shared" si="46"/>
        <v>1338.1930000000002</v>
      </c>
      <c r="I583">
        <v>22</v>
      </c>
      <c r="J583" s="28">
        <f t="shared" si="47"/>
        <v>25.080000000000002</v>
      </c>
      <c r="K583" s="23">
        <v>2197.23</v>
      </c>
      <c r="L583" s="23">
        <f t="shared" si="48"/>
        <v>49650.982088400007</v>
      </c>
      <c r="M583" s="23">
        <f t="shared" si="49"/>
        <v>16089.101648399999</v>
      </c>
      <c r="O583" s="23">
        <f>L583-'Part A (2&amp;3)'!R583</f>
        <v>6097.4890284000066</v>
      </c>
      <c r="P583" s="23">
        <f>M583-'Part A (2&amp;3)'!T583</f>
        <v>-454.99141159999999</v>
      </c>
    </row>
    <row r="584" spans="5:16" x14ac:dyDescent="0.35">
      <c r="E584" s="8">
        <v>0.157</v>
      </c>
      <c r="F584" s="27">
        <f t="shared" si="45"/>
        <v>0.12</v>
      </c>
      <c r="G584" s="23">
        <v>1313.3</v>
      </c>
      <c r="H584">
        <f t="shared" si="46"/>
        <v>1431.4970000000001</v>
      </c>
      <c r="I584">
        <v>42</v>
      </c>
      <c r="J584" s="28">
        <f t="shared" si="47"/>
        <v>47.88</v>
      </c>
      <c r="K584" s="23">
        <v>2884.34</v>
      </c>
      <c r="L584" s="23">
        <f t="shared" si="48"/>
        <v>121529.93529600001</v>
      </c>
      <c r="M584" s="23">
        <f t="shared" si="49"/>
        <v>52989.858936000004</v>
      </c>
      <c r="O584" s="23">
        <f>L584-'Part A (2&amp;3)'!R584</f>
        <v>19406.993256000016</v>
      </c>
      <c r="P584" s="23">
        <f>M584-'Part A (2&amp;3)'!T584</f>
        <v>6025.5168960000083</v>
      </c>
    </row>
    <row r="585" spans="5:16" x14ac:dyDescent="0.35">
      <c r="E585" s="8">
        <v>7.3999999999999996E-2</v>
      </c>
      <c r="F585" s="27">
        <f t="shared" si="45"/>
        <v>7.3999999999999996E-2</v>
      </c>
      <c r="G585" s="23">
        <v>647.36</v>
      </c>
      <c r="H585">
        <f t="shared" si="46"/>
        <v>705.62240000000008</v>
      </c>
      <c r="I585">
        <v>12</v>
      </c>
      <c r="J585" s="28">
        <f t="shared" si="47"/>
        <v>13.680000000000001</v>
      </c>
      <c r="K585" s="23">
        <v>1383.6</v>
      </c>
      <c r="L585" s="23">
        <f t="shared" si="48"/>
        <v>17527.002048000002</v>
      </c>
      <c r="M585" s="23">
        <f t="shared" si="49"/>
        <v>7874.0876160000007</v>
      </c>
      <c r="O585" s="23">
        <f>L585-'Part A (2&amp;3)'!R585</f>
        <v>2152.4388480000034</v>
      </c>
      <c r="P585" s="23">
        <f>M585-'Part A (2&amp;3)'!T585</f>
        <v>267.84441600000173</v>
      </c>
    </row>
    <row r="586" spans="5:16" x14ac:dyDescent="0.35">
      <c r="E586" s="8">
        <v>4.2999999999999997E-2</v>
      </c>
      <c r="F586" s="27">
        <f t="shared" si="45"/>
        <v>4.2999999999999997E-2</v>
      </c>
      <c r="G586" s="23">
        <v>57.96</v>
      </c>
      <c r="H586">
        <f t="shared" si="46"/>
        <v>63.176400000000008</v>
      </c>
      <c r="I586">
        <v>7</v>
      </c>
      <c r="J586" s="28">
        <f t="shared" si="47"/>
        <v>7.98</v>
      </c>
      <c r="K586" s="23">
        <v>88.51</v>
      </c>
      <c r="L586" s="23">
        <f t="shared" si="48"/>
        <v>675.93847860000005</v>
      </c>
      <c r="M586" s="23">
        <f t="shared" si="49"/>
        <v>171.79080659999994</v>
      </c>
      <c r="O586" s="23">
        <f>L586-'Part A (2&amp;3)'!R586</f>
        <v>83.009988600000042</v>
      </c>
      <c r="P586" s="23">
        <f>M586-'Part A (2&amp;3)'!T586</f>
        <v>-15.417683400000044</v>
      </c>
    </row>
    <row r="587" spans="5:16" x14ac:dyDescent="0.35">
      <c r="E587" s="8">
        <v>0.13200000000000001</v>
      </c>
      <c r="F587" s="27">
        <f t="shared" si="45"/>
        <v>0.12</v>
      </c>
      <c r="G587" s="23">
        <v>389.93</v>
      </c>
      <c r="H587">
        <f t="shared" si="46"/>
        <v>425.02370000000002</v>
      </c>
      <c r="I587">
        <v>17</v>
      </c>
      <c r="J587" s="28">
        <f t="shared" si="47"/>
        <v>19.380000000000003</v>
      </c>
      <c r="K587" s="23">
        <v>486.13</v>
      </c>
      <c r="L587" s="23">
        <f t="shared" si="48"/>
        <v>8290.6554720000004</v>
      </c>
      <c r="M587" s="23">
        <f t="shared" si="49"/>
        <v>53.696165999999721</v>
      </c>
      <c r="O587" s="23">
        <f>L587-'Part A (2&amp;3)'!R587</f>
        <v>1117.3211920000012</v>
      </c>
      <c r="P587" s="23">
        <f>M587-'Part A (2&amp;3)'!T587</f>
        <v>-490.828113999999</v>
      </c>
    </row>
    <row r="588" spans="5:16" x14ac:dyDescent="0.35">
      <c r="E588" s="8">
        <v>0.109</v>
      </c>
      <c r="F588" s="27">
        <f t="shared" si="45"/>
        <v>0.109</v>
      </c>
      <c r="G588" s="23">
        <v>930.03</v>
      </c>
      <c r="H588">
        <f t="shared" si="46"/>
        <v>1013.7327</v>
      </c>
      <c r="I588">
        <v>26</v>
      </c>
      <c r="J588" s="28">
        <f t="shared" si="47"/>
        <v>29.640000000000004</v>
      </c>
      <c r="K588" s="23">
        <v>1086.68</v>
      </c>
      <c r="L588" s="23">
        <f t="shared" si="48"/>
        <v>28698.392923200005</v>
      </c>
      <c r="M588" s="23">
        <f t="shared" si="49"/>
        <v>-1348.6443048000001</v>
      </c>
      <c r="O588" s="23">
        <f>L588-'Part A (2&amp;3)'!R588</f>
        <v>3524.3640432000029</v>
      </c>
      <c r="P588" s="23">
        <f>M588-'Part A (2&amp;3)'!T588</f>
        <v>-2341.8931848000029</v>
      </c>
    </row>
    <row r="589" spans="5:16" x14ac:dyDescent="0.35">
      <c r="E589" s="8">
        <v>0.10199999999999999</v>
      </c>
      <c r="F589" s="27">
        <f t="shared" si="45"/>
        <v>0.10199999999999999</v>
      </c>
      <c r="G589" s="23">
        <v>90.3</v>
      </c>
      <c r="H589">
        <f t="shared" si="46"/>
        <v>98.427000000000007</v>
      </c>
      <c r="I589">
        <v>15</v>
      </c>
      <c r="J589" s="28">
        <f t="shared" si="47"/>
        <v>17.100000000000001</v>
      </c>
      <c r="K589" s="23">
        <v>131.76</v>
      </c>
      <c r="L589" s="23">
        <f t="shared" si="48"/>
        <v>2023.2802079999999</v>
      </c>
      <c r="M589" s="23">
        <f t="shared" si="49"/>
        <v>340.17850799999974</v>
      </c>
      <c r="O589" s="23">
        <f>L589-'Part A (2&amp;3)'!R589</f>
        <v>248.47300799999994</v>
      </c>
      <c r="P589" s="23">
        <f>M589-'Part A (2&amp;3)'!T589</f>
        <v>-80.128692000000228</v>
      </c>
    </row>
    <row r="590" spans="5:16" x14ac:dyDescent="0.35">
      <c r="E590" s="8">
        <v>5.0999999999999997E-2</v>
      </c>
      <c r="F590" s="27">
        <f t="shared" si="45"/>
        <v>5.0999999999999997E-2</v>
      </c>
      <c r="G590" s="23">
        <v>1198.9000000000001</v>
      </c>
      <c r="H590">
        <f t="shared" si="46"/>
        <v>1306.8010000000002</v>
      </c>
      <c r="I590">
        <v>24</v>
      </c>
      <c r="J590" s="28">
        <f t="shared" si="47"/>
        <v>27.360000000000003</v>
      </c>
      <c r="K590" s="23">
        <v>2941.2</v>
      </c>
      <c r="L590" s="23">
        <f t="shared" si="48"/>
        <v>76367.199167999992</v>
      </c>
      <c r="M590" s="23">
        <f t="shared" si="49"/>
        <v>40613.123807999982</v>
      </c>
      <c r="O590" s="23">
        <f>L590-'Part A (2&amp;3)'!R590</f>
        <v>9378.4279680000036</v>
      </c>
      <c r="P590" s="23">
        <f>M590-'Part A (2&amp;3)'!T590</f>
        <v>2397.9526079999996</v>
      </c>
    </row>
    <row r="591" spans="5:16" x14ac:dyDescent="0.35">
      <c r="E591" s="8">
        <v>0.17199999999999999</v>
      </c>
      <c r="F591" s="27">
        <f t="shared" si="45"/>
        <v>0.12</v>
      </c>
      <c r="G591" s="23">
        <v>1364.89</v>
      </c>
      <c r="H591">
        <f t="shared" si="46"/>
        <v>1487.7301000000002</v>
      </c>
      <c r="I591">
        <v>61</v>
      </c>
      <c r="J591" s="28">
        <f t="shared" si="47"/>
        <v>69.540000000000006</v>
      </c>
      <c r="K591" s="23">
        <v>2757.54</v>
      </c>
      <c r="L591" s="23">
        <f t="shared" si="48"/>
        <v>168748.21180800002</v>
      </c>
      <c r="M591" s="23">
        <f t="shared" si="49"/>
        <v>65291.460653999995</v>
      </c>
      <c r="O591" s="23">
        <f>L591-'Part A (2&amp;3)'!R591</f>
        <v>29470.381488000014</v>
      </c>
      <c r="P591" s="23">
        <f>M591-'Part A (2&amp;3)'!T591</f>
        <v>9271.9203339999949</v>
      </c>
    </row>
    <row r="592" spans="5:16" x14ac:dyDescent="0.35">
      <c r="E592" s="8">
        <v>0.113</v>
      </c>
      <c r="F592" s="27">
        <f t="shared" si="45"/>
        <v>0.113</v>
      </c>
      <c r="G592" s="23">
        <v>619.64</v>
      </c>
      <c r="H592">
        <f t="shared" si="46"/>
        <v>675.4076</v>
      </c>
      <c r="I592">
        <v>14</v>
      </c>
      <c r="J592" s="28">
        <f t="shared" si="47"/>
        <v>15.96</v>
      </c>
      <c r="K592" s="23">
        <v>861.16</v>
      </c>
      <c r="L592" s="23">
        <f t="shared" si="48"/>
        <v>12191.028763200002</v>
      </c>
      <c r="M592" s="23">
        <f t="shared" si="49"/>
        <v>1411.5234672000006</v>
      </c>
      <c r="O592" s="23">
        <f>L592-'Part A (2&amp;3)'!R592</f>
        <v>1497.1438832000022</v>
      </c>
      <c r="P592" s="23">
        <f>M592-'Part A (2&amp;3)'!T592</f>
        <v>-607.40141279999989</v>
      </c>
    </row>
    <row r="593" spans="5:16" x14ac:dyDescent="0.35">
      <c r="E593" s="8">
        <v>0.109</v>
      </c>
      <c r="F593" s="27">
        <f t="shared" si="45"/>
        <v>0.109</v>
      </c>
      <c r="G593" s="23">
        <v>1068.17</v>
      </c>
      <c r="H593">
        <f t="shared" si="46"/>
        <v>1164.3053000000002</v>
      </c>
      <c r="I593">
        <v>18</v>
      </c>
      <c r="J593" s="28">
        <f t="shared" si="47"/>
        <v>20.520000000000003</v>
      </c>
      <c r="K593" s="23">
        <v>2375.37</v>
      </c>
      <c r="L593" s="23">
        <f t="shared" si="48"/>
        <v>43429.649828400012</v>
      </c>
      <c r="M593" s="23">
        <f t="shared" si="49"/>
        <v>19538.105072400005</v>
      </c>
      <c r="O593" s="23">
        <f>L593-'Part A (2&amp;3)'!R593</f>
        <v>5333.4657684000122</v>
      </c>
      <c r="P593" s="23">
        <f>M593-'Part A (2&amp;3)'!T593</f>
        <v>668.98101240000688</v>
      </c>
    </row>
    <row r="594" spans="5:16" x14ac:dyDescent="0.35">
      <c r="E594" s="8">
        <v>0.13600000000000001</v>
      </c>
      <c r="F594" s="27">
        <f t="shared" si="45"/>
        <v>0.12</v>
      </c>
      <c r="G594" s="23">
        <v>1204.95</v>
      </c>
      <c r="H594">
        <f t="shared" si="46"/>
        <v>1313.3955000000001</v>
      </c>
      <c r="I594">
        <v>10</v>
      </c>
      <c r="J594" s="28">
        <f t="shared" si="47"/>
        <v>11.400000000000002</v>
      </c>
      <c r="K594" s="23">
        <v>2065.73</v>
      </c>
      <c r="L594" s="23">
        <f t="shared" si="48"/>
        <v>20723.403360000004</v>
      </c>
      <c r="M594" s="23">
        <f t="shared" si="49"/>
        <v>5750.694660000001</v>
      </c>
      <c r="O594" s="23">
        <f>L594-'Part A (2&amp;3)'!R594</f>
        <v>2875.4961600000061</v>
      </c>
      <c r="P594" s="23">
        <f>M594-'Part A (2&amp;3)'!T594</f>
        <v>-47.712539999996807</v>
      </c>
    </row>
    <row r="595" spans="5:16" x14ac:dyDescent="0.35">
      <c r="E595" s="8">
        <v>9.1999999999999998E-2</v>
      </c>
      <c r="F595" s="27">
        <f t="shared" si="45"/>
        <v>9.1999999999999998E-2</v>
      </c>
      <c r="G595" s="23">
        <v>547.32000000000005</v>
      </c>
      <c r="H595">
        <f t="shared" si="46"/>
        <v>596.57880000000011</v>
      </c>
      <c r="I595">
        <v>14</v>
      </c>
      <c r="J595" s="28">
        <f t="shared" si="47"/>
        <v>15.96</v>
      </c>
      <c r="K595" s="23">
        <v>419.17</v>
      </c>
      <c r="L595" s="23">
        <f t="shared" si="48"/>
        <v>6074.4775056000008</v>
      </c>
      <c r="M595" s="23">
        <f t="shared" si="49"/>
        <v>-3446.9201424000012</v>
      </c>
      <c r="O595" s="23">
        <f>L595-'Part A (2&amp;3)'!R595</f>
        <v>745.98846560000038</v>
      </c>
      <c r="P595" s="23">
        <f>M595-'Part A (2&amp;3)'!T595</f>
        <v>-1112.9291824000011</v>
      </c>
    </row>
    <row r="596" spans="5:16" x14ac:dyDescent="0.35">
      <c r="E596" s="8">
        <v>7.8E-2</v>
      </c>
      <c r="F596" s="27">
        <f t="shared" si="45"/>
        <v>7.8E-2</v>
      </c>
      <c r="G596" s="23">
        <v>1142.06</v>
      </c>
      <c r="H596">
        <f t="shared" si="46"/>
        <v>1244.8453999999999</v>
      </c>
      <c r="I596">
        <v>28</v>
      </c>
      <c r="J596" s="28">
        <f t="shared" si="47"/>
        <v>31.92</v>
      </c>
      <c r="K596" s="23">
        <v>1455</v>
      </c>
      <c r="L596" s="23">
        <f t="shared" si="48"/>
        <v>42820.999199999998</v>
      </c>
      <c r="M596" s="23">
        <f t="shared" si="49"/>
        <v>3085.5340319999959</v>
      </c>
      <c r="O596" s="23">
        <f>L596-'Part A (2&amp;3)'!R596</f>
        <v>5258.7191999999995</v>
      </c>
      <c r="P596" s="23">
        <f>M596-'Part A (2&amp;3)'!T596</f>
        <v>-2499.0659680000026</v>
      </c>
    </row>
    <row r="597" spans="5:16" x14ac:dyDescent="0.35">
      <c r="E597" s="8">
        <v>8.3000000000000004E-2</v>
      </c>
      <c r="F597" s="27">
        <f t="shared" si="45"/>
        <v>8.3000000000000004E-2</v>
      </c>
      <c r="G597" s="23">
        <v>896.09</v>
      </c>
      <c r="H597">
        <f t="shared" si="46"/>
        <v>976.73810000000014</v>
      </c>
      <c r="I597">
        <v>11</v>
      </c>
      <c r="J597" s="28">
        <f t="shared" si="47"/>
        <v>12.540000000000001</v>
      </c>
      <c r="K597" s="23">
        <v>744.27</v>
      </c>
      <c r="L597" s="23">
        <f t="shared" si="48"/>
        <v>8558.4946986000014</v>
      </c>
      <c r="M597" s="23">
        <f t="shared" si="49"/>
        <v>-3689.8010754000006</v>
      </c>
      <c r="O597" s="23">
        <f>L597-'Part A (2&amp;3)'!R597</f>
        <v>1051.0432086000019</v>
      </c>
      <c r="P597" s="23">
        <f>M597-'Part A (2&amp;3)'!T597</f>
        <v>-1340.2625654000003</v>
      </c>
    </row>
    <row r="598" spans="5:16" x14ac:dyDescent="0.35">
      <c r="E598" s="8">
        <v>8.4000000000000005E-2</v>
      </c>
      <c r="F598" s="27">
        <f t="shared" si="45"/>
        <v>8.4000000000000005E-2</v>
      </c>
      <c r="G598" s="23">
        <v>1463.9</v>
      </c>
      <c r="H598">
        <f t="shared" si="46"/>
        <v>1595.6510000000003</v>
      </c>
      <c r="I598">
        <v>4</v>
      </c>
      <c r="J598" s="28">
        <f t="shared" si="47"/>
        <v>4.5600000000000005</v>
      </c>
      <c r="K598" s="23">
        <v>2633.02</v>
      </c>
      <c r="L598" s="23">
        <f t="shared" si="48"/>
        <v>10998.019219200001</v>
      </c>
      <c r="M598" s="23">
        <f t="shared" si="49"/>
        <v>3721.8506591999994</v>
      </c>
      <c r="O598" s="23">
        <f>L598-'Part A (2&amp;3)'!R598</f>
        <v>1350.6339392000009</v>
      </c>
      <c r="P598" s="23">
        <f>M598-'Part A (2&amp;3)'!T598</f>
        <v>-69.93462080000063</v>
      </c>
    </row>
    <row r="599" spans="5:16" x14ac:dyDescent="0.35">
      <c r="E599" s="8">
        <v>0.25700000000000001</v>
      </c>
      <c r="F599" s="27">
        <f t="shared" si="45"/>
        <v>0.12</v>
      </c>
      <c r="G599" s="23">
        <v>275.43</v>
      </c>
      <c r="H599">
        <f t="shared" si="46"/>
        <v>300.21870000000001</v>
      </c>
      <c r="I599">
        <v>4</v>
      </c>
      <c r="J599" s="28">
        <f t="shared" si="47"/>
        <v>4.5600000000000005</v>
      </c>
      <c r="K599" s="23">
        <v>608.36</v>
      </c>
      <c r="L599" s="23">
        <f t="shared" si="48"/>
        <v>2441.2270080000003</v>
      </c>
      <c r="M599" s="23">
        <f t="shared" si="49"/>
        <v>1072.229736</v>
      </c>
      <c r="O599" s="23">
        <f>L599-'Part A (2&amp;3)'!R599</f>
        <v>633.18108800000027</v>
      </c>
      <c r="P599" s="23">
        <f>M599-'Part A (2&amp;3)'!T599</f>
        <v>365.90381600000001</v>
      </c>
    </row>
    <row r="600" spans="5:16" x14ac:dyDescent="0.35">
      <c r="E600" s="8">
        <v>0.14599999999999999</v>
      </c>
      <c r="F600" s="27">
        <f t="shared" si="45"/>
        <v>0.12</v>
      </c>
      <c r="G600" s="23">
        <v>24.44</v>
      </c>
      <c r="H600">
        <f t="shared" si="46"/>
        <v>26.639600000000005</v>
      </c>
      <c r="I600">
        <v>6</v>
      </c>
      <c r="J600" s="28">
        <f t="shared" si="47"/>
        <v>6.8400000000000007</v>
      </c>
      <c r="K600" s="23">
        <v>28.69</v>
      </c>
      <c r="L600" s="23">
        <f t="shared" si="48"/>
        <v>172.69084800000005</v>
      </c>
      <c r="M600" s="23">
        <f t="shared" si="49"/>
        <v>-9.5240160000000174</v>
      </c>
      <c r="O600" s="23">
        <f>L600-'Part A (2&amp;3)'!R600</f>
        <v>25.683288000000033</v>
      </c>
      <c r="P600" s="23">
        <f>M600-'Part A (2&amp;3)'!T600</f>
        <v>-9.8915760000000148</v>
      </c>
    </row>
    <row r="601" spans="5:16" x14ac:dyDescent="0.35">
      <c r="E601" s="8">
        <v>0.18099999999999999</v>
      </c>
      <c r="F601" s="27">
        <f t="shared" si="45"/>
        <v>0.12</v>
      </c>
      <c r="G601" s="23">
        <v>1220.4100000000001</v>
      </c>
      <c r="H601">
        <f t="shared" si="46"/>
        <v>1330.2469000000001</v>
      </c>
      <c r="I601">
        <v>14</v>
      </c>
      <c r="J601" s="28">
        <f t="shared" si="47"/>
        <v>15.96</v>
      </c>
      <c r="K601" s="23">
        <v>2552.2199999999998</v>
      </c>
      <c r="L601" s="23">
        <f t="shared" si="48"/>
        <v>35845.419455999996</v>
      </c>
      <c r="M601" s="23">
        <f t="shared" si="49"/>
        <v>14614.678931999992</v>
      </c>
      <c r="O601" s="23">
        <f>L601-'Part A (2&amp;3)'!R601</f>
        <v>6581.664936000001</v>
      </c>
      <c r="P601" s="23">
        <f>M601-'Part A (2&amp;3)'!T601</f>
        <v>2436.6644119999983</v>
      </c>
    </row>
    <row r="602" spans="5:16" x14ac:dyDescent="0.35">
      <c r="E602" s="8">
        <v>0.13600000000000001</v>
      </c>
      <c r="F602" s="27">
        <f t="shared" si="45"/>
        <v>0.12</v>
      </c>
      <c r="G602" s="23">
        <v>1225.94</v>
      </c>
      <c r="H602">
        <f t="shared" si="46"/>
        <v>1336.2746000000002</v>
      </c>
      <c r="I602">
        <v>22</v>
      </c>
      <c r="J602" s="28">
        <f t="shared" si="47"/>
        <v>25.080000000000002</v>
      </c>
      <c r="K602" s="23">
        <v>1793.08</v>
      </c>
      <c r="L602" s="23">
        <f t="shared" si="48"/>
        <v>39573.992832000004</v>
      </c>
      <c r="M602" s="23">
        <f t="shared" si="49"/>
        <v>6060.2258639999927</v>
      </c>
      <c r="O602" s="23">
        <f>L602-'Part A (2&amp;3)'!R602</f>
        <v>5491.128192000011</v>
      </c>
      <c r="P602" s="23">
        <f>M602-'Part A (2&amp;3)'!T602</f>
        <v>-1051.9587759999995</v>
      </c>
    </row>
    <row r="603" spans="5:16" x14ac:dyDescent="0.35">
      <c r="E603" s="8">
        <v>7.1999999999999995E-2</v>
      </c>
      <c r="F603" s="27">
        <f t="shared" si="45"/>
        <v>7.1999999999999995E-2</v>
      </c>
      <c r="G603" s="23">
        <v>698.66</v>
      </c>
      <c r="H603">
        <f t="shared" si="46"/>
        <v>761.5394</v>
      </c>
      <c r="I603">
        <v>15</v>
      </c>
      <c r="J603" s="28">
        <f t="shared" si="47"/>
        <v>17.100000000000001</v>
      </c>
      <c r="K603" s="23">
        <v>868.62</v>
      </c>
      <c r="L603" s="23">
        <f t="shared" si="48"/>
        <v>13783.957056000003</v>
      </c>
      <c r="M603" s="23">
        <f t="shared" si="49"/>
        <v>761.63331600000129</v>
      </c>
      <c r="O603" s="23">
        <f>L603-'Part A (2&amp;3)'!R603</f>
        <v>1692.7666560000034</v>
      </c>
      <c r="P603" s="23">
        <f>M603-'Part A (2&amp;3)'!T603</f>
        <v>-849.65708399999858</v>
      </c>
    </row>
    <row r="604" spans="5:16" x14ac:dyDescent="0.35">
      <c r="E604" s="8">
        <v>0.17899999999999999</v>
      </c>
      <c r="F604" s="27">
        <f t="shared" si="45"/>
        <v>0.12</v>
      </c>
      <c r="G604" s="23">
        <v>41.76</v>
      </c>
      <c r="H604">
        <f t="shared" si="46"/>
        <v>45.5184</v>
      </c>
      <c r="I604">
        <v>23</v>
      </c>
      <c r="J604" s="28">
        <f t="shared" si="47"/>
        <v>26.220000000000002</v>
      </c>
      <c r="K604" s="23">
        <v>45.19</v>
      </c>
      <c r="L604" s="23">
        <f t="shared" si="48"/>
        <v>1042.695984</v>
      </c>
      <c r="M604" s="23">
        <f t="shared" si="49"/>
        <v>-150.79646400000024</v>
      </c>
      <c r="O604" s="23">
        <f>L604-'Part A (2&amp;3)'!R604</f>
        <v>189.37321400000008</v>
      </c>
      <c r="P604" s="23">
        <f>M604-'Part A (2&amp;3)'!T604</f>
        <v>-43.639234000000215</v>
      </c>
    </row>
    <row r="605" spans="5:16" x14ac:dyDescent="0.35">
      <c r="E605" s="8">
        <v>0</v>
      </c>
      <c r="F605" s="27">
        <f t="shared" si="45"/>
        <v>0</v>
      </c>
      <c r="G605" s="23">
        <v>638.54</v>
      </c>
      <c r="H605">
        <f t="shared" si="46"/>
        <v>696.0086</v>
      </c>
      <c r="I605">
        <v>11</v>
      </c>
      <c r="J605" s="28">
        <f t="shared" si="47"/>
        <v>12.540000000000001</v>
      </c>
      <c r="K605" s="23">
        <v>987.24</v>
      </c>
      <c r="L605" s="23">
        <f t="shared" si="48"/>
        <v>12379.989600000001</v>
      </c>
      <c r="M605" s="23">
        <f t="shared" si="49"/>
        <v>3652.0417560000005</v>
      </c>
      <c r="O605" s="23">
        <f>L605-'Part A (2&amp;3)'!R605</f>
        <v>1520.3496000000014</v>
      </c>
      <c r="P605" s="23">
        <f>M605-'Part A (2&amp;3)'!T605</f>
        <v>-183.65824399999929</v>
      </c>
    </row>
    <row r="606" spans="5:16" x14ac:dyDescent="0.35">
      <c r="E606" s="8">
        <v>0.21199999999999999</v>
      </c>
      <c r="F606" s="27">
        <f t="shared" si="45"/>
        <v>0.12</v>
      </c>
      <c r="G606" s="23">
        <v>86.64</v>
      </c>
      <c r="H606">
        <f t="shared" si="46"/>
        <v>94.437600000000003</v>
      </c>
      <c r="I606">
        <v>11</v>
      </c>
      <c r="J606" s="28">
        <f t="shared" si="47"/>
        <v>12.540000000000001</v>
      </c>
      <c r="K606" s="23">
        <v>213.06</v>
      </c>
      <c r="L606" s="23">
        <f t="shared" si="48"/>
        <v>2351.1597120000006</v>
      </c>
      <c r="M606" s="23">
        <f t="shared" si="49"/>
        <v>1166.9122080000004</v>
      </c>
      <c r="O606" s="23">
        <f>L606-'Part A (2&amp;3)'!R606</f>
        <v>504.3556320000007</v>
      </c>
      <c r="P606" s="23">
        <f>M606-'Part A (2&amp;3)'!T606</f>
        <v>273.1481280000005</v>
      </c>
    </row>
    <row r="607" spans="5:16" x14ac:dyDescent="0.35">
      <c r="E607" s="8">
        <v>0.188</v>
      </c>
      <c r="F607" s="27">
        <f t="shared" si="45"/>
        <v>0.12</v>
      </c>
      <c r="G607" s="23">
        <v>601.51</v>
      </c>
      <c r="H607">
        <f t="shared" si="46"/>
        <v>655.64589999999998</v>
      </c>
      <c r="I607">
        <v>3</v>
      </c>
      <c r="J607" s="28">
        <f t="shared" si="47"/>
        <v>3.4200000000000004</v>
      </c>
      <c r="K607" s="23">
        <v>679.35</v>
      </c>
      <c r="L607" s="23">
        <f t="shared" si="48"/>
        <v>2044.57176</v>
      </c>
      <c r="M607" s="23">
        <f t="shared" si="49"/>
        <v>-197.73721799999998</v>
      </c>
      <c r="O607" s="23">
        <f>L607-'Part A (2&amp;3)'!R607</f>
        <v>389.67515999999978</v>
      </c>
      <c r="P607" s="23">
        <f>M607-'Part A (2&amp;3)'!T607</f>
        <v>-48.103818000000274</v>
      </c>
    </row>
    <row r="608" spans="5:16" x14ac:dyDescent="0.35">
      <c r="E608" s="8">
        <v>0.17599999999999999</v>
      </c>
      <c r="F608" s="27">
        <f t="shared" si="45"/>
        <v>0.12</v>
      </c>
      <c r="G608" s="23">
        <v>833.73</v>
      </c>
      <c r="H608">
        <f t="shared" si="46"/>
        <v>908.76570000000004</v>
      </c>
      <c r="I608">
        <v>14</v>
      </c>
      <c r="J608" s="28">
        <f t="shared" si="47"/>
        <v>15.96</v>
      </c>
      <c r="K608" s="23">
        <v>1116.5999999999999</v>
      </c>
      <c r="L608" s="23">
        <f t="shared" si="48"/>
        <v>15682.42368</v>
      </c>
      <c r="M608" s="23">
        <f t="shared" si="49"/>
        <v>1178.5231079999976</v>
      </c>
      <c r="O608" s="23">
        <f>L608-'Part A (2&amp;3)'!R608</f>
        <v>2801.3260800000007</v>
      </c>
      <c r="P608" s="23">
        <f>M608-'Part A (2&amp;3)'!T608</f>
        <v>-30.354492000000391</v>
      </c>
    </row>
    <row r="609" spans="5:16" x14ac:dyDescent="0.35">
      <c r="E609" s="8">
        <v>0.123</v>
      </c>
      <c r="F609" s="27">
        <f t="shared" si="45"/>
        <v>0.12</v>
      </c>
      <c r="G609" s="23">
        <v>933.29</v>
      </c>
      <c r="H609">
        <f t="shared" si="46"/>
        <v>1017.2861</v>
      </c>
      <c r="I609">
        <v>13</v>
      </c>
      <c r="J609" s="28">
        <f t="shared" si="47"/>
        <v>14.820000000000002</v>
      </c>
      <c r="K609" s="23">
        <v>1456.81</v>
      </c>
      <c r="L609" s="23">
        <f t="shared" si="48"/>
        <v>18999.133296000004</v>
      </c>
      <c r="M609" s="23">
        <f t="shared" si="49"/>
        <v>3922.9532940000008</v>
      </c>
      <c r="O609" s="23">
        <f>L609-'Part A (2&amp;3)'!R609</f>
        <v>2390.0424860000057</v>
      </c>
      <c r="P609" s="23">
        <f>M609-'Part A (2&amp;3)'!T609</f>
        <v>-553.36751599999661</v>
      </c>
    </row>
    <row r="610" spans="5:16" x14ac:dyDescent="0.35">
      <c r="E610" s="8">
        <v>7.0999999999999994E-2</v>
      </c>
      <c r="F610" s="27">
        <f t="shared" si="45"/>
        <v>7.0999999999999994E-2</v>
      </c>
      <c r="G610" s="23">
        <v>416.16</v>
      </c>
      <c r="H610">
        <f t="shared" si="46"/>
        <v>453.61440000000005</v>
      </c>
      <c r="I610">
        <v>2</v>
      </c>
      <c r="J610" s="28">
        <f t="shared" si="47"/>
        <v>2.2800000000000002</v>
      </c>
      <c r="K610" s="23">
        <v>571.9</v>
      </c>
      <c r="L610" s="23">
        <f t="shared" si="48"/>
        <v>1211.3528280000003</v>
      </c>
      <c r="M610" s="23">
        <f t="shared" si="49"/>
        <v>177.11199600000009</v>
      </c>
      <c r="O610" s="23">
        <f>L610-'Part A (2&amp;3)'!R610</f>
        <v>148.76262800000018</v>
      </c>
      <c r="P610" s="23">
        <f>M610-'Part A (2&amp;3)'!T610</f>
        <v>-53.158203999999955</v>
      </c>
    </row>
    <row r="611" spans="5:16" x14ac:dyDescent="0.35">
      <c r="E611" s="8">
        <v>0.20499999999999999</v>
      </c>
      <c r="F611" s="27">
        <f t="shared" si="45"/>
        <v>0.12</v>
      </c>
      <c r="G611" s="23">
        <v>603.47</v>
      </c>
      <c r="H611">
        <f t="shared" si="46"/>
        <v>657.78230000000008</v>
      </c>
      <c r="I611">
        <v>18</v>
      </c>
      <c r="J611" s="28">
        <f t="shared" si="47"/>
        <v>20.520000000000003</v>
      </c>
      <c r="K611" s="23">
        <v>1344.05</v>
      </c>
      <c r="L611" s="23">
        <f t="shared" si="48"/>
        <v>24270.317280000003</v>
      </c>
      <c r="M611" s="23">
        <f t="shared" si="49"/>
        <v>10772.624484</v>
      </c>
      <c r="O611" s="23">
        <f>L611-'Part A (2&amp;3)'!R611</f>
        <v>5036.9617800000051</v>
      </c>
      <c r="P611" s="23">
        <f>M611-'Part A (2&amp;3)'!T611</f>
        <v>2401.728984000003</v>
      </c>
    </row>
    <row r="612" spans="5:16" x14ac:dyDescent="0.35">
      <c r="E612" s="8">
        <v>0</v>
      </c>
      <c r="F612" s="27">
        <f t="shared" si="45"/>
        <v>0</v>
      </c>
      <c r="G612" s="23">
        <v>1203.02</v>
      </c>
      <c r="H612">
        <f t="shared" si="46"/>
        <v>1311.2918</v>
      </c>
      <c r="I612">
        <v>18</v>
      </c>
      <c r="J612" s="28">
        <f t="shared" si="47"/>
        <v>20.520000000000003</v>
      </c>
      <c r="K612" s="23">
        <v>2439.33</v>
      </c>
      <c r="L612" s="23">
        <f t="shared" si="48"/>
        <v>50055.051600000006</v>
      </c>
      <c r="M612" s="23">
        <f t="shared" si="49"/>
        <v>23147.343864000002</v>
      </c>
      <c r="O612" s="23">
        <f>L612-'Part A (2&amp;3)'!R612</f>
        <v>6147.1116000000038</v>
      </c>
      <c r="P612" s="23">
        <f>M612-'Part A (2&amp;3)'!T612</f>
        <v>893.76386400000047</v>
      </c>
    </row>
    <row r="613" spans="5:16" x14ac:dyDescent="0.35">
      <c r="E613" s="8">
        <v>0.21199999999999999</v>
      </c>
      <c r="F613" s="27">
        <f t="shared" si="45"/>
        <v>0.12</v>
      </c>
      <c r="G613" s="23">
        <v>1304.95</v>
      </c>
      <c r="H613">
        <f t="shared" si="46"/>
        <v>1422.3955000000001</v>
      </c>
      <c r="I613">
        <v>8</v>
      </c>
      <c r="J613" s="28">
        <f t="shared" si="47"/>
        <v>9.120000000000001</v>
      </c>
      <c r="K613" s="23">
        <v>1712.03</v>
      </c>
      <c r="L613" s="23">
        <f t="shared" si="48"/>
        <v>13740.067968000001</v>
      </c>
      <c r="M613" s="23">
        <f t="shared" si="49"/>
        <v>767.82100799999898</v>
      </c>
      <c r="O613" s="23">
        <f>L613-'Part A (2&amp;3)'!R613</f>
        <v>2947.4308480000018</v>
      </c>
      <c r="P613" s="23">
        <f>M613-'Part A (2&amp;3)'!T613</f>
        <v>414.78388799999993</v>
      </c>
    </row>
    <row r="614" spans="5:16" x14ac:dyDescent="0.35">
      <c r="E614" s="8">
        <v>0.17299999999999999</v>
      </c>
      <c r="F614" s="27">
        <f t="shared" si="45"/>
        <v>0.12</v>
      </c>
      <c r="G614" s="23">
        <v>352.66</v>
      </c>
      <c r="H614">
        <f t="shared" si="46"/>
        <v>384.39940000000007</v>
      </c>
      <c r="I614">
        <v>13</v>
      </c>
      <c r="J614" s="28">
        <f t="shared" si="47"/>
        <v>14.820000000000002</v>
      </c>
      <c r="K614" s="23">
        <v>411.18</v>
      </c>
      <c r="L614" s="23">
        <f t="shared" si="48"/>
        <v>5362.4450880000013</v>
      </c>
      <c r="M614" s="23">
        <f t="shared" si="49"/>
        <v>-334.35402000000067</v>
      </c>
      <c r="O614" s="23">
        <f>L614-'Part A (2&amp;3)'!R614</f>
        <v>941.84890800000176</v>
      </c>
      <c r="P614" s="23">
        <f>M614-'Part A (2&amp;3)'!T614</f>
        <v>-170.3702000000003</v>
      </c>
    </row>
    <row r="615" spans="5:16" x14ac:dyDescent="0.35">
      <c r="E615" s="8">
        <v>0.10299999999999999</v>
      </c>
      <c r="F615" s="27">
        <f t="shared" si="45"/>
        <v>0.10299999999999999</v>
      </c>
      <c r="G615" s="23">
        <v>1397.67</v>
      </c>
      <c r="H615">
        <f t="shared" si="46"/>
        <v>1523.4603000000002</v>
      </c>
      <c r="I615">
        <v>20</v>
      </c>
      <c r="J615" s="28">
        <f t="shared" si="47"/>
        <v>22.800000000000004</v>
      </c>
      <c r="K615" s="23">
        <v>3131.37</v>
      </c>
      <c r="L615" s="23">
        <f t="shared" si="48"/>
        <v>64041.526692000014</v>
      </c>
      <c r="M615" s="23">
        <f t="shared" si="49"/>
        <v>29306.631852000006</v>
      </c>
      <c r="O615" s="23">
        <f>L615-'Part A (2&amp;3)'!R615</f>
        <v>7864.7488920000178</v>
      </c>
      <c r="P615" s="23">
        <f>M615-'Part A (2&amp;3)'!T615</f>
        <v>1083.2540520000111</v>
      </c>
    </row>
    <row r="616" spans="5:16" x14ac:dyDescent="0.35">
      <c r="E616" s="8">
        <v>5.5E-2</v>
      </c>
      <c r="F616" s="27">
        <f t="shared" si="45"/>
        <v>5.5E-2</v>
      </c>
      <c r="G616" s="23">
        <v>589.14</v>
      </c>
      <c r="H616">
        <f t="shared" si="46"/>
        <v>642.1626</v>
      </c>
      <c r="I616">
        <v>11</v>
      </c>
      <c r="J616" s="28">
        <f t="shared" si="47"/>
        <v>12.540000000000001</v>
      </c>
      <c r="K616" s="23">
        <v>1300.58</v>
      </c>
      <c r="L616" s="23">
        <f t="shared" si="48"/>
        <v>15412.263174000002</v>
      </c>
      <c r="M616" s="23">
        <f t="shared" si="49"/>
        <v>7359.544170000001</v>
      </c>
      <c r="O616" s="23">
        <f>L616-'Part A (2&amp;3)'!R616</f>
        <v>1892.7340740000036</v>
      </c>
      <c r="P616" s="23">
        <f>M616-'Part A (2&amp;3)'!T616</f>
        <v>320.55507000000307</v>
      </c>
    </row>
    <row r="617" spans="5:16" x14ac:dyDescent="0.35">
      <c r="E617" s="8">
        <v>0.14599999999999999</v>
      </c>
      <c r="F617" s="27">
        <f t="shared" si="45"/>
        <v>0.12</v>
      </c>
      <c r="G617" s="23">
        <v>521.05999999999995</v>
      </c>
      <c r="H617">
        <f t="shared" si="46"/>
        <v>567.95539999999994</v>
      </c>
      <c r="I617">
        <v>18</v>
      </c>
      <c r="J617" s="28">
        <f t="shared" si="47"/>
        <v>20.520000000000003</v>
      </c>
      <c r="K617" s="23">
        <v>1240.31</v>
      </c>
      <c r="L617" s="23">
        <f t="shared" si="48"/>
        <v>22397.021856000003</v>
      </c>
      <c r="M617" s="23">
        <f t="shared" si="49"/>
        <v>10742.577048000003</v>
      </c>
      <c r="O617" s="23">
        <f>L617-'Part A (2&amp;3)'!R617</f>
        <v>3330.9765360000056</v>
      </c>
      <c r="P617" s="23">
        <f>M617-'Part A (2&amp;3)'!T617</f>
        <v>1055.6117280000035</v>
      </c>
    </row>
    <row r="618" spans="5:16" x14ac:dyDescent="0.35">
      <c r="E618" s="8">
        <v>0.25</v>
      </c>
      <c r="F618" s="27">
        <f t="shared" si="45"/>
        <v>0.12</v>
      </c>
      <c r="G618" s="23">
        <v>1271.0999999999999</v>
      </c>
      <c r="H618">
        <f t="shared" si="46"/>
        <v>1385.499</v>
      </c>
      <c r="I618">
        <v>21</v>
      </c>
      <c r="J618" s="28">
        <f t="shared" si="47"/>
        <v>23.94</v>
      </c>
      <c r="K618" s="23">
        <v>1932.42</v>
      </c>
      <c r="L618" s="23">
        <f t="shared" si="48"/>
        <v>40710.678624000007</v>
      </c>
      <c r="M618" s="23">
        <f t="shared" si="49"/>
        <v>7541.8325640000039</v>
      </c>
      <c r="O618" s="23">
        <f>L618-'Part A (2&amp;3)'!R618</f>
        <v>10275.063624000009</v>
      </c>
      <c r="P618" s="23">
        <f>M618-'Part A (2&amp;3)'!T618</f>
        <v>3799.3175640000045</v>
      </c>
    </row>
    <row r="619" spans="5:16" x14ac:dyDescent="0.35">
      <c r="E619" s="8">
        <v>0.13200000000000001</v>
      </c>
      <c r="F619" s="27">
        <f t="shared" si="45"/>
        <v>0.12</v>
      </c>
      <c r="G619" s="23">
        <v>1286.56</v>
      </c>
      <c r="H619">
        <f t="shared" si="46"/>
        <v>1402.3504</v>
      </c>
      <c r="I619">
        <v>15</v>
      </c>
      <c r="J619" s="28">
        <f t="shared" si="47"/>
        <v>17.100000000000001</v>
      </c>
      <c r="K619" s="23">
        <v>2777.35</v>
      </c>
      <c r="L619" s="23">
        <f t="shared" si="48"/>
        <v>41793.5628</v>
      </c>
      <c r="M619" s="23">
        <f t="shared" si="49"/>
        <v>17813.370959999997</v>
      </c>
      <c r="O619" s="23">
        <f>L619-'Part A (2&amp;3)'!R619</f>
        <v>5632.4657999999981</v>
      </c>
      <c r="P619" s="23">
        <f>M619-'Part A (2&amp;3)'!T619</f>
        <v>950.6739599999928</v>
      </c>
    </row>
    <row r="620" spans="5:16" x14ac:dyDescent="0.35">
      <c r="E620" s="8">
        <v>0.17399999999999999</v>
      </c>
      <c r="F620" s="27">
        <f t="shared" si="45"/>
        <v>0.12</v>
      </c>
      <c r="G620" s="23">
        <v>663.9</v>
      </c>
      <c r="H620">
        <f t="shared" si="46"/>
        <v>723.65100000000007</v>
      </c>
      <c r="I620">
        <v>15</v>
      </c>
      <c r="J620" s="28">
        <f t="shared" si="47"/>
        <v>17.100000000000001</v>
      </c>
      <c r="K620" s="23">
        <v>947.77</v>
      </c>
      <c r="L620" s="23">
        <f t="shared" si="48"/>
        <v>14262.042960000001</v>
      </c>
      <c r="M620" s="23">
        <f t="shared" si="49"/>
        <v>1887.6108599999989</v>
      </c>
      <c r="O620" s="23">
        <f>L620-'Part A (2&amp;3)'!R620</f>
        <v>2519.1726600000002</v>
      </c>
      <c r="P620" s="23">
        <f>M620-'Part A (2&amp;3)'!T620</f>
        <v>103.24055999999837</v>
      </c>
    </row>
    <row r="621" spans="5:16" x14ac:dyDescent="0.35">
      <c r="E621" s="8">
        <v>0</v>
      </c>
      <c r="F621" s="27">
        <f t="shared" si="45"/>
        <v>0</v>
      </c>
      <c r="G621" s="23">
        <v>780.59</v>
      </c>
      <c r="H621">
        <f t="shared" si="46"/>
        <v>850.84310000000005</v>
      </c>
      <c r="I621">
        <v>12</v>
      </c>
      <c r="J621" s="28">
        <f t="shared" si="47"/>
        <v>13.680000000000001</v>
      </c>
      <c r="K621" s="23">
        <v>631.57000000000005</v>
      </c>
      <c r="L621" s="23">
        <f t="shared" si="48"/>
        <v>8639.8776000000016</v>
      </c>
      <c r="M621" s="23">
        <f t="shared" si="49"/>
        <v>-2999.6560079999999</v>
      </c>
      <c r="O621" s="23">
        <f>L621-'Part A (2&amp;3)'!R621</f>
        <v>1061.0376000000015</v>
      </c>
      <c r="P621" s="23">
        <f>M621-'Part A (2&amp;3)'!T621</f>
        <v>-1211.4160080000001</v>
      </c>
    </row>
    <row r="622" spans="5:16" x14ac:dyDescent="0.35">
      <c r="E622" s="8">
        <v>0.19600000000000001</v>
      </c>
      <c r="F622" s="27">
        <f t="shared" si="45"/>
        <v>0.12</v>
      </c>
      <c r="G622" s="23">
        <v>1207.6300000000001</v>
      </c>
      <c r="H622">
        <f t="shared" si="46"/>
        <v>1316.3167000000003</v>
      </c>
      <c r="I622">
        <v>17</v>
      </c>
      <c r="J622" s="28">
        <f t="shared" si="47"/>
        <v>19.380000000000003</v>
      </c>
      <c r="K622" s="23">
        <v>921.68</v>
      </c>
      <c r="L622" s="23">
        <f t="shared" si="48"/>
        <v>15718.699392000002</v>
      </c>
      <c r="M622" s="23">
        <f t="shared" si="49"/>
        <v>-9791.518254000006</v>
      </c>
      <c r="O622" s="23">
        <f>L622-'Part A (2&amp;3)'!R622</f>
        <v>3121.177152000002</v>
      </c>
      <c r="P622" s="23">
        <f>M622-'Part A (2&amp;3)'!T622</f>
        <v>-1859.3304940000035</v>
      </c>
    </row>
    <row r="623" spans="5:16" x14ac:dyDescent="0.35">
      <c r="E623" s="8">
        <v>0.183</v>
      </c>
      <c r="F623" s="27">
        <f t="shared" si="45"/>
        <v>0.12</v>
      </c>
      <c r="G623" s="23">
        <v>1225.57</v>
      </c>
      <c r="H623">
        <f t="shared" si="46"/>
        <v>1335.8713</v>
      </c>
      <c r="I623">
        <v>16</v>
      </c>
      <c r="J623" s="28">
        <f t="shared" si="47"/>
        <v>18.240000000000002</v>
      </c>
      <c r="K623" s="23">
        <v>2705.57</v>
      </c>
      <c r="L623" s="23">
        <f t="shared" si="48"/>
        <v>43427.645184000008</v>
      </c>
      <c r="M623" s="23">
        <f t="shared" si="49"/>
        <v>19061.352672000005</v>
      </c>
      <c r="O623" s="23">
        <f>L623-'Part A (2&amp;3)'!R623</f>
        <v>8060.4341440000062</v>
      </c>
      <c r="P623" s="23">
        <f>M623-'Part A (2&amp;3)'!T623</f>
        <v>3303.2616320000016</v>
      </c>
    </row>
    <row r="624" spans="5:16" x14ac:dyDescent="0.35">
      <c r="E624" s="8">
        <v>0.218</v>
      </c>
      <c r="F624" s="27">
        <f t="shared" si="45"/>
        <v>0.12</v>
      </c>
      <c r="G624" s="23">
        <v>660.78</v>
      </c>
      <c r="H624">
        <f t="shared" si="46"/>
        <v>720.25020000000006</v>
      </c>
      <c r="I624">
        <v>13</v>
      </c>
      <c r="J624" s="28">
        <f t="shared" si="47"/>
        <v>14.820000000000002</v>
      </c>
      <c r="K624" s="23">
        <v>1630.39</v>
      </c>
      <c r="L624" s="23">
        <f t="shared" si="48"/>
        <v>21262.894224000003</v>
      </c>
      <c r="M624" s="23">
        <f t="shared" si="49"/>
        <v>10588.786260000001</v>
      </c>
      <c r="O624" s="23">
        <f>L624-'Part A (2&amp;3)'!R624</f>
        <v>4688.3494840000021</v>
      </c>
      <c r="P624" s="23">
        <f>M624-'Part A (2&amp;3)'!T624</f>
        <v>2604.381519999999</v>
      </c>
    </row>
    <row r="625" spans="5:16" x14ac:dyDescent="0.35">
      <c r="E625" s="8">
        <v>0.11</v>
      </c>
      <c r="F625" s="27">
        <f t="shared" si="45"/>
        <v>0.11</v>
      </c>
      <c r="G625" s="23">
        <v>1470.15</v>
      </c>
      <c r="H625">
        <f t="shared" si="46"/>
        <v>1602.4635000000003</v>
      </c>
      <c r="I625">
        <v>12</v>
      </c>
      <c r="J625" s="28">
        <f t="shared" si="47"/>
        <v>13.680000000000001</v>
      </c>
      <c r="K625" s="23">
        <v>2593.7800000000002</v>
      </c>
      <c r="L625" s="23">
        <f t="shared" si="48"/>
        <v>31579.790256000008</v>
      </c>
      <c r="M625" s="23">
        <f t="shared" si="49"/>
        <v>9658.0895760000021</v>
      </c>
      <c r="O625" s="23">
        <f>L625-'Part A (2&amp;3)'!R625</f>
        <v>3878.219856000007</v>
      </c>
      <c r="P625" s="23">
        <f>M625-'Part A (2&amp;3)'!T625</f>
        <v>-401.68082399999548</v>
      </c>
    </row>
    <row r="626" spans="5:16" x14ac:dyDescent="0.35">
      <c r="E626" s="8">
        <v>0.16</v>
      </c>
      <c r="F626" s="27">
        <f t="shared" si="45"/>
        <v>0.12</v>
      </c>
      <c r="G626" s="23">
        <v>1009.48</v>
      </c>
      <c r="H626">
        <f t="shared" si="46"/>
        <v>1100.3332</v>
      </c>
      <c r="I626">
        <v>6</v>
      </c>
      <c r="J626" s="28">
        <f t="shared" si="47"/>
        <v>6.8400000000000007</v>
      </c>
      <c r="K626" s="23">
        <v>1088.81</v>
      </c>
      <c r="L626" s="23">
        <f t="shared" si="48"/>
        <v>6553.7651520000009</v>
      </c>
      <c r="M626" s="23">
        <f t="shared" si="49"/>
        <v>-972.51393600000029</v>
      </c>
      <c r="O626" s="23">
        <f>L626-'Part A (2&amp;3)'!R626</f>
        <v>1066.1627520000011</v>
      </c>
      <c r="P626" s="23">
        <f>M626-'Part A (2&amp;3)'!T626</f>
        <v>-403.23633599999994</v>
      </c>
    </row>
    <row r="627" spans="5:16" x14ac:dyDescent="0.35">
      <c r="E627" s="8">
        <v>0.185</v>
      </c>
      <c r="F627" s="27">
        <f t="shared" si="45"/>
        <v>0.12</v>
      </c>
      <c r="G627" s="23">
        <v>891.46</v>
      </c>
      <c r="H627">
        <f t="shared" si="46"/>
        <v>971.69140000000016</v>
      </c>
      <c r="I627">
        <v>6</v>
      </c>
      <c r="J627" s="28">
        <f t="shared" si="47"/>
        <v>6.8400000000000007</v>
      </c>
      <c r="K627" s="23">
        <v>728.61</v>
      </c>
      <c r="L627" s="23">
        <f t="shared" si="48"/>
        <v>4385.6493120000014</v>
      </c>
      <c r="M627" s="23">
        <f t="shared" si="49"/>
        <v>-2260.7198640000006</v>
      </c>
      <c r="O627" s="23">
        <f>L627-'Part A (2&amp;3)'!R627</f>
        <v>822.74641200000178</v>
      </c>
      <c r="P627" s="23">
        <f>M627-'Part A (2&amp;3)'!T627</f>
        <v>-474.86276399999997</v>
      </c>
    </row>
    <row r="628" spans="5:16" x14ac:dyDescent="0.35">
      <c r="E628" s="8">
        <v>0.107</v>
      </c>
      <c r="F628" s="27">
        <f t="shared" si="45"/>
        <v>0.107</v>
      </c>
      <c r="G628" s="23">
        <v>1212.99</v>
      </c>
      <c r="H628">
        <f t="shared" si="46"/>
        <v>1322.1591000000001</v>
      </c>
      <c r="I628">
        <v>8</v>
      </c>
      <c r="J628" s="28">
        <f t="shared" si="47"/>
        <v>9.120000000000001</v>
      </c>
      <c r="K628" s="23">
        <v>1653.64</v>
      </c>
      <c r="L628" s="23">
        <f t="shared" si="48"/>
        <v>13467.508742400003</v>
      </c>
      <c r="M628" s="23">
        <f t="shared" si="49"/>
        <v>1409.4177504000018</v>
      </c>
      <c r="O628" s="23">
        <f>L628-'Part A (2&amp;3)'!R628</f>
        <v>1653.9045824000023</v>
      </c>
      <c r="P628" s="23">
        <f>M628-'Part A (2&amp;3)'!T628</f>
        <v>-700.26640959999895</v>
      </c>
    </row>
    <row r="629" spans="5:16" x14ac:dyDescent="0.35">
      <c r="E629" s="8">
        <v>0.23899999999999999</v>
      </c>
      <c r="F629" s="27">
        <f t="shared" si="45"/>
        <v>0.12</v>
      </c>
      <c r="G629" s="23">
        <v>425.15</v>
      </c>
      <c r="H629">
        <f t="shared" si="46"/>
        <v>463.4135</v>
      </c>
      <c r="I629">
        <v>13</v>
      </c>
      <c r="J629" s="28">
        <f t="shared" si="47"/>
        <v>14.820000000000002</v>
      </c>
      <c r="K629" s="23">
        <v>885.92</v>
      </c>
      <c r="L629" s="23">
        <f t="shared" si="48"/>
        <v>11553.814272000001</v>
      </c>
      <c r="M629" s="23">
        <f t="shared" si="49"/>
        <v>4686.0262020000009</v>
      </c>
      <c r="O629" s="23">
        <f>L629-'Part A (2&amp;3)'!R629</f>
        <v>2789.407712000002</v>
      </c>
      <c r="P629" s="23">
        <f>M629-'Part A (2&amp;3)'!T629</f>
        <v>1448.5696420000013</v>
      </c>
    </row>
    <row r="630" spans="5:16" x14ac:dyDescent="0.35">
      <c r="E630" s="8">
        <v>8.3000000000000004E-2</v>
      </c>
      <c r="F630" s="27">
        <f t="shared" si="45"/>
        <v>8.3000000000000004E-2</v>
      </c>
      <c r="G630" s="23">
        <v>1310.3</v>
      </c>
      <c r="H630">
        <f t="shared" si="46"/>
        <v>1428.2270000000001</v>
      </c>
      <c r="I630">
        <v>5</v>
      </c>
      <c r="J630" s="28">
        <f t="shared" si="47"/>
        <v>5.7000000000000011</v>
      </c>
      <c r="K630" s="23">
        <v>2875.8</v>
      </c>
      <c r="L630" s="23">
        <f t="shared" si="48"/>
        <v>15031.519020000005</v>
      </c>
      <c r="M630" s="23">
        <f t="shared" si="49"/>
        <v>6890.6251200000033</v>
      </c>
      <c r="O630" s="23">
        <f>L630-'Part A (2&amp;3)'!R630</f>
        <v>1845.9760200000055</v>
      </c>
      <c r="P630" s="23">
        <f>M630-'Part A (2&amp;3)'!T630</f>
        <v>256.58212000000367</v>
      </c>
    </row>
    <row r="631" spans="5:16" x14ac:dyDescent="0.35">
      <c r="E631" s="8">
        <v>0.21199999999999999</v>
      </c>
      <c r="F631" s="27">
        <f t="shared" si="45"/>
        <v>0.12</v>
      </c>
      <c r="G631" s="23">
        <v>5.5</v>
      </c>
      <c r="H631">
        <f t="shared" si="46"/>
        <v>5.9950000000000001</v>
      </c>
      <c r="I631">
        <v>4</v>
      </c>
      <c r="J631" s="28">
        <f t="shared" si="47"/>
        <v>4.5600000000000005</v>
      </c>
      <c r="K631" s="23">
        <v>5.92</v>
      </c>
      <c r="L631" s="23">
        <f t="shared" si="48"/>
        <v>23.755776000000001</v>
      </c>
      <c r="M631" s="23">
        <f t="shared" si="49"/>
        <v>-3.5814240000000019</v>
      </c>
      <c r="O631" s="23">
        <f>L631-'Part A (2&amp;3)'!R631</f>
        <v>5.0959360000000018</v>
      </c>
      <c r="P631" s="23">
        <f>M631-'Part A (2&amp;3)'!T631</f>
        <v>-0.24126400000000103</v>
      </c>
    </row>
    <row r="632" spans="5:16" x14ac:dyDescent="0.35">
      <c r="E632" s="8">
        <v>0.16800000000000001</v>
      </c>
      <c r="F632" s="27">
        <f t="shared" si="45"/>
        <v>0.12</v>
      </c>
      <c r="G632" s="23">
        <v>1488.91</v>
      </c>
      <c r="H632">
        <f t="shared" si="46"/>
        <v>1622.9119000000003</v>
      </c>
      <c r="I632">
        <v>24</v>
      </c>
      <c r="J632" s="28">
        <f t="shared" si="47"/>
        <v>27.360000000000003</v>
      </c>
      <c r="K632" s="23">
        <v>1483.74</v>
      </c>
      <c r="L632" s="23">
        <f t="shared" si="48"/>
        <v>35723.711232000001</v>
      </c>
      <c r="M632" s="23">
        <f t="shared" si="49"/>
        <v>-8679.1583520000131</v>
      </c>
      <c r="O632" s="23">
        <f>L632-'Part A (2&amp;3)'!R632</f>
        <v>6096.3909120000026</v>
      </c>
      <c r="P632" s="23">
        <f>M632-'Part A (2&amp;3)'!T632</f>
        <v>-2572.6386720000082</v>
      </c>
    </row>
    <row r="633" spans="5:16" x14ac:dyDescent="0.35">
      <c r="I633">
        <f>AVERAGE(I2:I632)</f>
        <v>15.210776545166402</v>
      </c>
    </row>
  </sheetData>
  <conditionalFormatting sqref="K1:K632">
    <cfRule type="cellIs" dxfId="273" priority="1" operator="lessThan">
      <formula>0</formula>
    </cfRule>
  </conditionalFormatting>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8193" r:id="rId3" name="Scroll Bar 1">
              <controlPr defaultSize="0" autoPict="0">
                <anchor moveWithCells="1">
                  <from>
                    <xdr:col>0</xdr:col>
                    <xdr:colOff>19050</xdr:colOff>
                    <xdr:row>1</xdr:row>
                    <xdr:rowOff>0</xdr:rowOff>
                  </from>
                  <to>
                    <xdr:col>0</xdr:col>
                    <xdr:colOff>1225550</xdr:colOff>
                    <xdr:row>2</xdr:row>
                    <xdr:rowOff>0</xdr:rowOff>
                  </to>
                </anchor>
              </controlPr>
            </control>
          </mc:Choice>
        </mc:AlternateContent>
        <mc:AlternateContent xmlns:mc="http://schemas.openxmlformats.org/markup-compatibility/2006">
          <mc:Choice Requires="x14">
            <control shapeId="8194" r:id="rId4" name="Scroll Bar 2">
              <controlPr defaultSize="0" autoPict="0">
                <anchor moveWithCells="1">
                  <from>
                    <xdr:col>0</xdr:col>
                    <xdr:colOff>0</xdr:colOff>
                    <xdr:row>2</xdr:row>
                    <xdr:rowOff>25400</xdr:rowOff>
                  </from>
                  <to>
                    <xdr:col>1</xdr:col>
                    <xdr:colOff>12700</xdr:colOff>
                    <xdr:row>3</xdr:row>
                    <xdr:rowOff>12700</xdr:rowOff>
                  </to>
                </anchor>
              </controlPr>
            </control>
          </mc:Choice>
        </mc:AlternateContent>
        <mc:AlternateContent xmlns:mc="http://schemas.openxmlformats.org/markup-compatibility/2006">
          <mc:Choice Requires="x14">
            <control shapeId="8195" r:id="rId5" name="Scroll Bar 3">
              <controlPr defaultSize="0" autoPict="0">
                <anchor moveWithCells="1">
                  <from>
                    <xdr:col>0</xdr:col>
                    <xdr:colOff>12700</xdr:colOff>
                    <xdr:row>3</xdr:row>
                    <xdr:rowOff>25400</xdr:rowOff>
                  </from>
                  <to>
                    <xdr:col>1</xdr:col>
                    <xdr:colOff>19050</xdr:colOff>
                    <xdr:row>4</xdr:row>
                    <xdr:rowOff>31750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31717-FE04-47B2-9574-CD6598C97139}">
  <dimension ref="A3:AI17"/>
  <sheetViews>
    <sheetView topLeftCell="T1" workbookViewId="0">
      <selection activeCell="A3" sqref="A3"/>
    </sheetView>
  </sheetViews>
  <sheetFormatPr defaultRowHeight="14.5" x14ac:dyDescent="0.35"/>
  <cols>
    <col min="1" max="1" width="19.1796875" bestFit="1" customWidth="1"/>
    <col min="2" max="2" width="15.26953125" bestFit="1" customWidth="1"/>
    <col min="3" max="35" width="11.81640625" bestFit="1" customWidth="1"/>
    <col min="36" max="38" width="10.81640625" bestFit="1" customWidth="1"/>
    <col min="39" max="39" width="11.81640625" bestFit="1" customWidth="1"/>
    <col min="40" max="40" width="8.81640625" bestFit="1" customWidth="1"/>
    <col min="41" max="41" width="11.81640625" bestFit="1" customWidth="1"/>
    <col min="42" max="42" width="9.81640625" bestFit="1" customWidth="1"/>
    <col min="43" max="44" width="11.81640625" bestFit="1" customWidth="1"/>
    <col min="45" max="45" width="10.81640625" bestFit="1" customWidth="1"/>
    <col min="46" max="52" width="11.81640625" bestFit="1" customWidth="1"/>
    <col min="53" max="53" width="10.81640625" bestFit="1" customWidth="1"/>
    <col min="54" max="54" width="11.81640625" bestFit="1" customWidth="1"/>
    <col min="55" max="55" width="7.81640625" bestFit="1" customWidth="1"/>
    <col min="56" max="57" width="11.81640625" bestFit="1" customWidth="1"/>
    <col min="58" max="58" width="8.81640625" bestFit="1" customWidth="1"/>
    <col min="59" max="59" width="10.81640625" bestFit="1" customWidth="1"/>
    <col min="60" max="60" width="11.81640625" bestFit="1" customWidth="1"/>
    <col min="61" max="61" width="10.81640625" bestFit="1" customWidth="1"/>
    <col min="62" max="62" width="11.81640625" bestFit="1" customWidth="1"/>
    <col min="63" max="63" width="10.81640625" bestFit="1" customWidth="1"/>
    <col min="64" max="65" width="11.81640625" bestFit="1" customWidth="1"/>
    <col min="66" max="66" width="13.26953125" bestFit="1" customWidth="1"/>
    <col min="67" max="68" width="11.81640625" bestFit="1" customWidth="1"/>
    <col min="69" max="70" width="10.81640625" bestFit="1" customWidth="1"/>
    <col min="71" max="72" width="11.81640625" bestFit="1" customWidth="1"/>
    <col min="73" max="73" width="10.81640625" bestFit="1" customWidth="1"/>
    <col min="74" max="76" width="11.81640625" bestFit="1" customWidth="1"/>
    <col min="77" max="77" width="10.81640625" bestFit="1" customWidth="1"/>
    <col min="78" max="79" width="11.81640625" bestFit="1" customWidth="1"/>
    <col min="80" max="81" width="10.81640625" bestFit="1" customWidth="1"/>
    <col min="82" max="84" width="11.81640625" bestFit="1" customWidth="1"/>
    <col min="85" max="86" width="10.81640625" bestFit="1" customWidth="1"/>
    <col min="87" max="90" width="11.81640625" bestFit="1" customWidth="1"/>
    <col min="91" max="91" width="10.81640625" bestFit="1" customWidth="1"/>
    <col min="92" max="92" width="11.81640625" bestFit="1" customWidth="1"/>
    <col min="93" max="93" width="10.81640625" bestFit="1" customWidth="1"/>
    <col min="94" max="94" width="13.7265625" bestFit="1" customWidth="1"/>
    <col min="95" max="95" width="11.81640625" bestFit="1" customWidth="1"/>
  </cols>
  <sheetData>
    <row r="3" spans="1:35" x14ac:dyDescent="0.35">
      <c r="A3" s="18" t="s">
        <v>1461</v>
      </c>
      <c r="B3" s="18" t="s">
        <v>1448</v>
      </c>
    </row>
    <row r="4" spans="1:35" x14ac:dyDescent="0.35">
      <c r="A4" s="18" t="s">
        <v>1446</v>
      </c>
      <c r="B4">
        <v>0</v>
      </c>
      <c r="C4">
        <v>1</v>
      </c>
      <c r="D4">
        <v>2</v>
      </c>
      <c r="E4">
        <v>3</v>
      </c>
      <c r="F4">
        <v>4</v>
      </c>
      <c r="G4">
        <v>5</v>
      </c>
      <c r="H4">
        <v>6</v>
      </c>
      <c r="I4">
        <v>7</v>
      </c>
      <c r="J4">
        <v>8</v>
      </c>
      <c r="K4">
        <v>9</v>
      </c>
      <c r="L4">
        <v>10</v>
      </c>
      <c r="M4">
        <v>11</v>
      </c>
      <c r="N4">
        <v>12</v>
      </c>
      <c r="O4">
        <v>13</v>
      </c>
      <c r="P4">
        <v>14</v>
      </c>
      <c r="Q4">
        <v>15</v>
      </c>
      <c r="R4">
        <v>16</v>
      </c>
      <c r="S4">
        <v>17</v>
      </c>
      <c r="T4">
        <v>18</v>
      </c>
      <c r="U4">
        <v>19</v>
      </c>
      <c r="V4">
        <v>20</v>
      </c>
      <c r="W4">
        <v>21</v>
      </c>
      <c r="X4">
        <v>22</v>
      </c>
      <c r="Y4">
        <v>23</v>
      </c>
      <c r="Z4">
        <v>24</v>
      </c>
      <c r="AA4">
        <v>25</v>
      </c>
      <c r="AB4">
        <v>26</v>
      </c>
      <c r="AC4">
        <v>27</v>
      </c>
      <c r="AD4">
        <v>28</v>
      </c>
      <c r="AE4">
        <v>29</v>
      </c>
      <c r="AF4">
        <v>30</v>
      </c>
      <c r="AG4">
        <v>31</v>
      </c>
      <c r="AH4">
        <v>32</v>
      </c>
      <c r="AI4" t="s">
        <v>1447</v>
      </c>
    </row>
    <row r="5" spans="1:35" x14ac:dyDescent="0.35">
      <c r="A5" s="19" t="s">
        <v>655</v>
      </c>
      <c r="B5" s="42">
        <v>1801.4076000000002</v>
      </c>
      <c r="C5" s="42">
        <v>24894.430559999997</v>
      </c>
      <c r="D5" s="42">
        <v>24523.006720000001</v>
      </c>
      <c r="E5" s="42">
        <v>12248.675999999999</v>
      </c>
      <c r="F5" s="42">
        <v>27194.152039999997</v>
      </c>
      <c r="G5" s="42">
        <v>46991.747199999998</v>
      </c>
      <c r="H5" s="42">
        <v>93430.735400000005</v>
      </c>
      <c r="I5" s="42">
        <v>37330.00275</v>
      </c>
      <c r="J5" s="42">
        <v>7071.6331400000008</v>
      </c>
      <c r="K5" s="42">
        <v>16213.632800000001</v>
      </c>
      <c r="L5" s="42">
        <v>24161.26311</v>
      </c>
      <c r="M5" s="42">
        <v>61471.696860000004</v>
      </c>
      <c r="N5" s="42">
        <v>8567.3924999999999</v>
      </c>
      <c r="O5" s="42">
        <v>39239.197899999999</v>
      </c>
      <c r="P5" s="42">
        <v>110.14919999999999</v>
      </c>
      <c r="Q5" s="42">
        <v>57491.062559999998</v>
      </c>
      <c r="R5" s="42">
        <v>9469.7678000000014</v>
      </c>
      <c r="S5" s="42">
        <v>41658.527040000008</v>
      </c>
      <c r="T5" s="42">
        <v>10937.519999999999</v>
      </c>
      <c r="U5" s="42">
        <v>41358.420049999993</v>
      </c>
      <c r="V5" s="42">
        <v>85419.017859999993</v>
      </c>
      <c r="W5" s="42"/>
      <c r="X5" s="42">
        <v>11939.431199999999</v>
      </c>
      <c r="Y5" s="42"/>
      <c r="Z5" s="42">
        <v>22987.3279</v>
      </c>
      <c r="AA5" s="42">
        <v>70563.592109999998</v>
      </c>
      <c r="AB5" s="42">
        <v>16257.340180000001</v>
      </c>
      <c r="AC5" s="42">
        <v>68920.107260000004</v>
      </c>
      <c r="AD5" s="42">
        <v>67596.422359999997</v>
      </c>
      <c r="AE5" s="42"/>
      <c r="AF5" s="42">
        <v>38096.18406</v>
      </c>
      <c r="AG5" s="42">
        <v>45754.744080000004</v>
      </c>
      <c r="AH5" s="42">
        <v>24172.044580000002</v>
      </c>
      <c r="AI5" s="42">
        <v>1037870.6328199999</v>
      </c>
    </row>
    <row r="6" spans="1:35" x14ac:dyDescent="0.35">
      <c r="A6" s="19" t="s">
        <v>653</v>
      </c>
      <c r="B6" s="42">
        <v>4141.7599999999993</v>
      </c>
      <c r="C6" s="42">
        <v>26150.364320000001</v>
      </c>
      <c r="D6" s="42">
        <v>17453.3436</v>
      </c>
      <c r="E6" s="42">
        <v>15618.84504</v>
      </c>
      <c r="F6" s="42"/>
      <c r="G6" s="42">
        <v>46226.119519999993</v>
      </c>
      <c r="H6" s="42">
        <v>29536.716</v>
      </c>
      <c r="I6" s="42">
        <v>52625.804160000007</v>
      </c>
      <c r="J6" s="42">
        <v>15530.929919999999</v>
      </c>
      <c r="K6" s="42">
        <v>27756.432000000001</v>
      </c>
      <c r="L6" s="42"/>
      <c r="M6" s="42">
        <v>14466.95104</v>
      </c>
      <c r="N6" s="42">
        <v>19139.594240000002</v>
      </c>
      <c r="O6" s="42">
        <v>9774.3888000000006</v>
      </c>
      <c r="P6" s="42">
        <v>21931.50405</v>
      </c>
      <c r="Q6" s="42"/>
      <c r="R6" s="42">
        <v>17930.494560000003</v>
      </c>
      <c r="S6" s="42">
        <v>55516.603510000001</v>
      </c>
      <c r="T6" s="42">
        <v>79082.507010000001</v>
      </c>
      <c r="U6" s="42">
        <v>7466.3063999999986</v>
      </c>
      <c r="V6" s="42">
        <v>64160.245439999999</v>
      </c>
      <c r="W6" s="42"/>
      <c r="X6" s="42">
        <v>60697.470840000002</v>
      </c>
      <c r="Y6" s="42">
        <v>20713.040080000002</v>
      </c>
      <c r="Z6" s="42"/>
      <c r="AA6" s="42">
        <v>8128.5187499999993</v>
      </c>
      <c r="AB6" s="42"/>
      <c r="AC6" s="42">
        <v>7901.5041599999995</v>
      </c>
      <c r="AD6" s="42">
        <v>76122.593299999993</v>
      </c>
      <c r="AE6" s="42">
        <v>5335.5655499999993</v>
      </c>
      <c r="AF6" s="42">
        <v>141645.56601000001</v>
      </c>
      <c r="AG6" s="42">
        <v>24972.288</v>
      </c>
      <c r="AH6" s="42">
        <v>12597.52224</v>
      </c>
      <c r="AI6" s="42">
        <v>882622.97853999969</v>
      </c>
    </row>
    <row r="7" spans="1:35" x14ac:dyDescent="0.35">
      <c r="A7" s="19" t="s">
        <v>659</v>
      </c>
      <c r="B7" s="42">
        <v>11406.96</v>
      </c>
      <c r="C7" s="42">
        <v>10869.182940000001</v>
      </c>
      <c r="D7" s="42">
        <v>13437.300239999999</v>
      </c>
      <c r="E7" s="42">
        <v>23379.011199999997</v>
      </c>
      <c r="F7" s="42">
        <v>49097.717240000005</v>
      </c>
      <c r="G7" s="42">
        <v>5769.2758000000003</v>
      </c>
      <c r="H7" s="42"/>
      <c r="I7" s="42">
        <v>64096.7353</v>
      </c>
      <c r="J7" s="42">
        <v>14108.16791</v>
      </c>
      <c r="K7" s="42">
        <v>66630.071960000001</v>
      </c>
      <c r="L7" s="42"/>
      <c r="M7" s="42">
        <v>23668.560000000001</v>
      </c>
      <c r="N7" s="42"/>
      <c r="O7" s="42">
        <v>79081.561010000005</v>
      </c>
      <c r="P7" s="42">
        <v>45749.975680000003</v>
      </c>
      <c r="Q7" s="42">
        <v>14197.064400000001</v>
      </c>
      <c r="R7" s="42"/>
      <c r="S7" s="42">
        <v>70180.55992</v>
      </c>
      <c r="T7" s="42">
        <v>50774.406560000003</v>
      </c>
      <c r="U7" s="42"/>
      <c r="V7" s="42">
        <v>21270.482609999999</v>
      </c>
      <c r="W7" s="42">
        <v>68861.979880000014</v>
      </c>
      <c r="X7" s="42">
        <v>4071.8</v>
      </c>
      <c r="Y7" s="42">
        <v>77129.274059999996</v>
      </c>
      <c r="Z7" s="42">
        <v>56274.47408</v>
      </c>
      <c r="AA7" s="42"/>
      <c r="AB7" s="42">
        <v>9378.6258099999995</v>
      </c>
      <c r="AC7" s="42"/>
      <c r="AD7" s="42">
        <v>9684.8756000000012</v>
      </c>
      <c r="AE7" s="42">
        <v>55548.646980000005</v>
      </c>
      <c r="AF7" s="42">
        <v>20703.052239999997</v>
      </c>
      <c r="AG7" s="42">
        <v>33684.350699999995</v>
      </c>
      <c r="AH7" s="42"/>
      <c r="AI7" s="42">
        <v>899054.11211999983</v>
      </c>
    </row>
    <row r="8" spans="1:35" x14ac:dyDescent="0.35">
      <c r="A8" s="19" t="s">
        <v>657</v>
      </c>
      <c r="B8" s="42">
        <v>9847.2358600000007</v>
      </c>
      <c r="C8" s="42">
        <v>39546.774539999999</v>
      </c>
      <c r="D8" s="42"/>
      <c r="E8" s="42">
        <v>40811.05186</v>
      </c>
      <c r="F8" s="42"/>
      <c r="G8" s="42">
        <v>10388.429999999998</v>
      </c>
      <c r="H8" s="42">
        <v>60768.60312</v>
      </c>
      <c r="I8" s="42">
        <v>36549.429260000004</v>
      </c>
      <c r="J8" s="42">
        <v>14877.464000000002</v>
      </c>
      <c r="K8" s="42">
        <v>5159.7893599999998</v>
      </c>
      <c r="L8" s="42">
        <v>22983.34563</v>
      </c>
      <c r="M8" s="42">
        <v>28412.100360000004</v>
      </c>
      <c r="N8" s="42">
        <v>29263.361400000002</v>
      </c>
      <c r="O8" s="42">
        <v>20654.544699999999</v>
      </c>
      <c r="P8" s="42">
        <v>45104.930900000007</v>
      </c>
      <c r="Q8" s="42">
        <v>16219.34496</v>
      </c>
      <c r="R8" s="42">
        <v>43635.435039999997</v>
      </c>
      <c r="S8" s="42"/>
      <c r="T8" s="42">
        <v>27907.424580000003</v>
      </c>
      <c r="U8" s="42">
        <v>9189.1634999999987</v>
      </c>
      <c r="V8" s="42"/>
      <c r="W8" s="42">
        <v>41419.524249999995</v>
      </c>
      <c r="X8" s="42">
        <v>67281.056590000007</v>
      </c>
      <c r="Y8" s="42">
        <v>32011.666519999995</v>
      </c>
      <c r="Z8" s="42">
        <v>20050.102040000002</v>
      </c>
      <c r="AA8" s="42">
        <v>12040.64352</v>
      </c>
      <c r="AB8" s="42"/>
      <c r="AC8" s="42">
        <v>33208.325400000002</v>
      </c>
      <c r="AD8" s="42">
        <v>5331.6696000000002</v>
      </c>
      <c r="AE8" s="42">
        <v>93323.680900000007</v>
      </c>
      <c r="AF8" s="42"/>
      <c r="AG8" s="42">
        <v>68199.913</v>
      </c>
      <c r="AH8" s="42"/>
      <c r="AI8" s="42">
        <v>834185.01089000027</v>
      </c>
    </row>
    <row r="9" spans="1:35" x14ac:dyDescent="0.35">
      <c r="A9" s="19" t="s">
        <v>656</v>
      </c>
      <c r="B9" s="42">
        <v>13921.506140000001</v>
      </c>
      <c r="C9" s="42">
        <v>142962.67473</v>
      </c>
      <c r="D9" s="42">
        <v>6271.3801999999996</v>
      </c>
      <c r="E9" s="42">
        <v>104633.05091000001</v>
      </c>
      <c r="F9" s="42">
        <v>17964.4038</v>
      </c>
      <c r="G9" s="42">
        <v>5189.8836000000001</v>
      </c>
      <c r="H9" s="42">
        <v>14114.068500000001</v>
      </c>
      <c r="I9" s="42">
        <v>215.19839999999996</v>
      </c>
      <c r="J9" s="42"/>
      <c r="K9" s="42"/>
      <c r="L9" s="42">
        <v>7643.2649999999994</v>
      </c>
      <c r="M9" s="42">
        <v>56963.241009999998</v>
      </c>
      <c r="N9" s="42">
        <v>41020.909639999998</v>
      </c>
      <c r="O9" s="42">
        <v>321.93290999999999</v>
      </c>
      <c r="P9" s="42">
        <v>68292.728009999992</v>
      </c>
      <c r="Q9" s="42">
        <v>37482.345600000001</v>
      </c>
      <c r="R9" s="42">
        <v>32187.988280000001</v>
      </c>
      <c r="S9" s="42">
        <v>65111.38614000001</v>
      </c>
      <c r="T9" s="42"/>
      <c r="U9" s="42">
        <v>47066.843850000005</v>
      </c>
      <c r="V9" s="42"/>
      <c r="W9" s="42"/>
      <c r="X9" s="42">
        <v>12955.824749999998</v>
      </c>
      <c r="Y9" s="42">
        <v>78869.293640000004</v>
      </c>
      <c r="Z9" s="42"/>
      <c r="AA9" s="42">
        <v>30546.068040000002</v>
      </c>
      <c r="AB9" s="42">
        <v>16870.419779999997</v>
      </c>
      <c r="AC9" s="42">
        <v>5810.4844599999997</v>
      </c>
      <c r="AD9" s="42">
        <v>10666.229420000001</v>
      </c>
      <c r="AE9" s="42">
        <v>56166.983609999996</v>
      </c>
      <c r="AF9" s="42"/>
      <c r="AG9" s="42">
        <v>56176.777799999996</v>
      </c>
      <c r="AH9" s="42"/>
      <c r="AI9" s="42">
        <v>929424.88822000008</v>
      </c>
    </row>
    <row r="10" spans="1:35" x14ac:dyDescent="0.35">
      <c r="A10" s="19" t="s">
        <v>654</v>
      </c>
      <c r="B10" s="42">
        <v>22044.871499999997</v>
      </c>
      <c r="C10" s="42">
        <v>6631.6443100000006</v>
      </c>
      <c r="D10" s="42">
        <v>32506.559399999998</v>
      </c>
      <c r="E10" s="42">
        <v>249678.13581999997</v>
      </c>
      <c r="F10" s="42">
        <v>4577.1480000000001</v>
      </c>
      <c r="G10" s="42">
        <v>12462.65055</v>
      </c>
      <c r="H10" s="42">
        <v>7105.3528000000006</v>
      </c>
      <c r="I10" s="42">
        <v>42824.196989999997</v>
      </c>
      <c r="J10" s="42">
        <v>34805.040549999998</v>
      </c>
      <c r="K10" s="42">
        <v>39388.573900000003</v>
      </c>
      <c r="L10" s="42">
        <v>35984.636809999996</v>
      </c>
      <c r="M10" s="42">
        <v>33792.866320000001</v>
      </c>
      <c r="N10" s="42">
        <v>24305.882859999998</v>
      </c>
      <c r="O10" s="42">
        <v>12668.50728</v>
      </c>
      <c r="P10" s="42"/>
      <c r="Q10" s="42">
        <v>35554.10024</v>
      </c>
      <c r="R10" s="42">
        <v>31513.423040000001</v>
      </c>
      <c r="S10" s="42">
        <v>30229.994880000002</v>
      </c>
      <c r="T10" s="42">
        <v>44186.458500000001</v>
      </c>
      <c r="U10" s="42">
        <v>20028.787380000002</v>
      </c>
      <c r="V10" s="42">
        <v>599.53200000000004</v>
      </c>
      <c r="W10" s="42">
        <v>91856.869250000003</v>
      </c>
      <c r="X10" s="42">
        <v>40695.915040000007</v>
      </c>
      <c r="Y10" s="42">
        <v>33308.550000000003</v>
      </c>
      <c r="Z10" s="42">
        <v>7120.6486400000003</v>
      </c>
      <c r="AA10" s="42">
        <v>24075.089819999997</v>
      </c>
      <c r="AB10" s="42">
        <v>4856.35725</v>
      </c>
      <c r="AC10" s="42">
        <v>62421.224639999986</v>
      </c>
      <c r="AD10" s="42">
        <v>39717.144100000005</v>
      </c>
      <c r="AE10" s="42"/>
      <c r="AF10" s="42">
        <v>11006.647559999999</v>
      </c>
      <c r="AG10" s="42">
        <v>29627.320319999999</v>
      </c>
      <c r="AH10" s="42"/>
      <c r="AI10" s="42">
        <v>1065574.1297499998</v>
      </c>
    </row>
    <row r="11" spans="1:35" x14ac:dyDescent="0.35">
      <c r="A11" s="19" t="s">
        <v>652</v>
      </c>
      <c r="B11" s="42">
        <v>31024.83872</v>
      </c>
      <c r="C11" s="42">
        <v>21196.913249999998</v>
      </c>
      <c r="D11" s="42">
        <v>9062.34692</v>
      </c>
      <c r="E11" s="42">
        <v>4603.0824400000001</v>
      </c>
      <c r="F11" s="42">
        <v>32142.113530000002</v>
      </c>
      <c r="G11" s="42"/>
      <c r="H11" s="42">
        <v>31130.741829999995</v>
      </c>
      <c r="I11" s="42">
        <v>14527.748400000002</v>
      </c>
      <c r="J11" s="42">
        <v>14268.607679999999</v>
      </c>
      <c r="K11" s="42">
        <v>38506.528819999992</v>
      </c>
      <c r="L11" s="42">
        <v>67110.666420000009</v>
      </c>
      <c r="M11" s="42">
        <v>15253.069799999999</v>
      </c>
      <c r="N11" s="42"/>
      <c r="O11" s="42"/>
      <c r="P11" s="42">
        <v>14287.896349999999</v>
      </c>
      <c r="Q11" s="42">
        <v>68665.574250000005</v>
      </c>
      <c r="R11" s="42">
        <v>23449.833500000001</v>
      </c>
      <c r="S11" s="42">
        <v>82602.550499999998</v>
      </c>
      <c r="T11" s="42">
        <v>50582.705609999997</v>
      </c>
      <c r="U11" s="42">
        <v>29808.424959999997</v>
      </c>
      <c r="V11" s="42"/>
      <c r="W11" s="42">
        <v>18641.222160000001</v>
      </c>
      <c r="X11" s="42">
        <v>15705.464199999999</v>
      </c>
      <c r="Y11" s="42">
        <v>7955.6342199999999</v>
      </c>
      <c r="Z11" s="42">
        <v>49818.786760000003</v>
      </c>
      <c r="AA11" s="42">
        <v>20606.46444</v>
      </c>
      <c r="AB11" s="42">
        <v>63856.506820000002</v>
      </c>
      <c r="AC11" s="42">
        <v>11984.891250000001</v>
      </c>
      <c r="AD11" s="42">
        <v>9315.4974099999999</v>
      </c>
      <c r="AE11" s="42">
        <v>34082.864639999993</v>
      </c>
      <c r="AF11" s="42">
        <v>74882.385600000009</v>
      </c>
      <c r="AG11" s="42"/>
      <c r="AH11" s="42"/>
      <c r="AI11" s="42">
        <v>855073.36048000015</v>
      </c>
    </row>
    <row r="12" spans="1:35" x14ac:dyDescent="0.35">
      <c r="A12" s="19" t="s">
        <v>650</v>
      </c>
      <c r="B12" s="42">
        <v>47962.717579999997</v>
      </c>
      <c r="C12" s="42">
        <v>21075.004775999998</v>
      </c>
      <c r="D12" s="42">
        <v>70602.927790000002</v>
      </c>
      <c r="E12" s="42">
        <v>11003.7672</v>
      </c>
      <c r="F12" s="42">
        <v>10946.711730000001</v>
      </c>
      <c r="G12" s="42">
        <v>3799.8031499999997</v>
      </c>
      <c r="H12" s="42">
        <v>47047.517999999996</v>
      </c>
      <c r="I12" s="42">
        <v>667.74</v>
      </c>
      <c r="J12" s="42">
        <v>1030.7574</v>
      </c>
      <c r="K12" s="42">
        <v>38264.510399999999</v>
      </c>
      <c r="L12" s="42"/>
      <c r="M12" s="42">
        <v>16061.972879999999</v>
      </c>
      <c r="N12" s="42"/>
      <c r="O12" s="42">
        <v>66852.128960000002</v>
      </c>
      <c r="P12" s="42">
        <v>4866.3287999999993</v>
      </c>
      <c r="Q12" s="42">
        <v>24447.95865</v>
      </c>
      <c r="R12" s="42">
        <v>13108.78584</v>
      </c>
      <c r="S12" s="42">
        <v>181608.69623999999</v>
      </c>
      <c r="T12" s="42">
        <v>27763.018220000002</v>
      </c>
      <c r="U12" s="42">
        <v>3823.6151599999998</v>
      </c>
      <c r="V12" s="42">
        <v>52863.98113</v>
      </c>
      <c r="W12" s="42">
        <v>51457.539999999994</v>
      </c>
      <c r="X12" s="42">
        <v>123535.74428000001</v>
      </c>
      <c r="Y12" s="42"/>
      <c r="Z12" s="42">
        <v>52609.065839999996</v>
      </c>
      <c r="AA12" s="42">
        <v>15860.782080000001</v>
      </c>
      <c r="AB12" s="42">
        <v>13669.81</v>
      </c>
      <c r="AC12" s="42">
        <v>17731.623</v>
      </c>
      <c r="AD12" s="42">
        <v>4569.8508000000002</v>
      </c>
      <c r="AE12" s="42"/>
      <c r="AF12" s="42">
        <v>17867.219160000001</v>
      </c>
      <c r="AG12" s="42">
        <v>15174.425699999998</v>
      </c>
      <c r="AH12" s="42">
        <v>9050.5052999999989</v>
      </c>
      <c r="AI12" s="42">
        <v>965324.51006600005</v>
      </c>
    </row>
    <row r="13" spans="1:35" x14ac:dyDescent="0.35">
      <c r="A13" s="19" t="s">
        <v>651</v>
      </c>
      <c r="B13" s="42">
        <v>685.06776000000002</v>
      </c>
      <c r="C13" s="42">
        <v>4737.2198399999997</v>
      </c>
      <c r="D13" s="42"/>
      <c r="E13" s="42">
        <v>32280.32474</v>
      </c>
      <c r="F13" s="42">
        <v>43539.233140000004</v>
      </c>
      <c r="G13" s="42">
        <v>7135.57</v>
      </c>
      <c r="H13" s="42">
        <v>112088.8161</v>
      </c>
      <c r="I13" s="42">
        <v>24833.097520000003</v>
      </c>
      <c r="J13" s="42"/>
      <c r="K13" s="42">
        <v>10786.32144</v>
      </c>
      <c r="L13" s="42"/>
      <c r="M13" s="42">
        <v>27158.894079999998</v>
      </c>
      <c r="N13" s="42"/>
      <c r="O13" s="42"/>
      <c r="P13" s="42">
        <v>28041.02492</v>
      </c>
      <c r="Q13" s="42">
        <v>48850.80702</v>
      </c>
      <c r="R13" s="42">
        <v>68626.652039999986</v>
      </c>
      <c r="S13" s="42">
        <v>15009.056700000001</v>
      </c>
      <c r="T13" s="42"/>
      <c r="U13" s="42"/>
      <c r="V13" s="42">
        <v>2879.9836</v>
      </c>
      <c r="W13" s="42">
        <v>100069.71684000001</v>
      </c>
      <c r="X13" s="42"/>
      <c r="Y13" s="42">
        <v>12967.958640000001</v>
      </c>
      <c r="Z13" s="42"/>
      <c r="AA13" s="42">
        <v>23687.576009999997</v>
      </c>
      <c r="AB13" s="42">
        <v>52727.976460000005</v>
      </c>
      <c r="AC13" s="42">
        <v>40139.874619999995</v>
      </c>
      <c r="AD13" s="42">
        <v>1010.3759200000001</v>
      </c>
      <c r="AE13" s="42">
        <v>55110.619960000004</v>
      </c>
      <c r="AF13" s="42">
        <v>119970.84924</v>
      </c>
      <c r="AG13" s="42">
        <v>49501.660319999995</v>
      </c>
      <c r="AH13" s="42"/>
      <c r="AI13" s="42">
        <v>881838.67691000004</v>
      </c>
    </row>
    <row r="14" spans="1:35" x14ac:dyDescent="0.35">
      <c r="A14" s="19" t="s">
        <v>661</v>
      </c>
      <c r="B14" s="42">
        <v>3116.21</v>
      </c>
      <c r="C14" s="42">
        <v>86597.081299999991</v>
      </c>
      <c r="D14" s="42">
        <v>29618.551199999998</v>
      </c>
      <c r="E14" s="42"/>
      <c r="F14" s="42">
        <v>15476.944060000002</v>
      </c>
      <c r="G14" s="42"/>
      <c r="H14" s="42">
        <v>78566.392940000005</v>
      </c>
      <c r="I14" s="42">
        <v>58520.369639999997</v>
      </c>
      <c r="J14" s="42"/>
      <c r="K14" s="42">
        <v>434.45248000000004</v>
      </c>
      <c r="L14" s="42">
        <v>12954.358080000002</v>
      </c>
      <c r="M14" s="42">
        <v>79406.784939999983</v>
      </c>
      <c r="N14" s="42">
        <v>54214.972159999998</v>
      </c>
      <c r="O14" s="42"/>
      <c r="P14" s="42">
        <v>4826.5396199999996</v>
      </c>
      <c r="Q14" s="42">
        <v>20171.63305</v>
      </c>
      <c r="R14" s="42">
        <v>14032.850879999998</v>
      </c>
      <c r="S14" s="42">
        <v>39907.476419999999</v>
      </c>
      <c r="T14" s="42"/>
      <c r="U14" s="42">
        <v>27331.829999999998</v>
      </c>
      <c r="V14" s="42">
        <v>12972.00222</v>
      </c>
      <c r="W14" s="42">
        <v>18061.204320000004</v>
      </c>
      <c r="X14" s="42"/>
      <c r="Y14" s="42"/>
      <c r="Z14" s="42">
        <v>6576.298960000001</v>
      </c>
      <c r="AA14" s="42"/>
      <c r="AB14" s="42">
        <v>5565.3272500000003</v>
      </c>
      <c r="AC14" s="42">
        <v>1886.9915999999998</v>
      </c>
      <c r="AD14" s="42">
        <v>31556.187599999997</v>
      </c>
      <c r="AE14" s="42">
        <v>88311.186580000009</v>
      </c>
      <c r="AF14" s="42">
        <v>76636.156479999991</v>
      </c>
      <c r="AG14" s="42"/>
      <c r="AH14" s="42">
        <v>13185.543</v>
      </c>
      <c r="AI14" s="42">
        <v>779927.34477999981</v>
      </c>
    </row>
    <row r="15" spans="1:35" x14ac:dyDescent="0.35">
      <c r="A15" s="19" t="s">
        <v>658</v>
      </c>
      <c r="B15" s="42">
        <v>27965.366600000001</v>
      </c>
      <c r="C15" s="42">
        <v>4132.0325200000007</v>
      </c>
      <c r="D15" s="42">
        <v>16013.681599999998</v>
      </c>
      <c r="E15" s="42">
        <v>66551.125379999998</v>
      </c>
      <c r="F15" s="42">
        <v>19800.88896</v>
      </c>
      <c r="G15" s="42">
        <v>29905.537640000002</v>
      </c>
      <c r="H15" s="42">
        <v>48616.566040000005</v>
      </c>
      <c r="I15" s="42">
        <v>31801.900560000002</v>
      </c>
      <c r="J15" s="42"/>
      <c r="K15" s="42">
        <v>26003.218060000003</v>
      </c>
      <c r="L15" s="42">
        <v>5610.0923999999995</v>
      </c>
      <c r="M15" s="42"/>
      <c r="N15" s="42">
        <v>27424.450400000002</v>
      </c>
      <c r="O15" s="42"/>
      <c r="P15" s="42">
        <v>33938.142760000002</v>
      </c>
      <c r="Q15" s="42">
        <v>20646.6109</v>
      </c>
      <c r="R15" s="42">
        <v>114279.15346</v>
      </c>
      <c r="S15" s="42">
        <v>65319.420119999995</v>
      </c>
      <c r="T15" s="42"/>
      <c r="U15" s="42">
        <v>23687.524440000001</v>
      </c>
      <c r="V15" s="42">
        <v>25249.613219999999</v>
      </c>
      <c r="W15" s="42">
        <v>91431.437760000001</v>
      </c>
      <c r="X15" s="42">
        <v>44605.988639999996</v>
      </c>
      <c r="Y15" s="42">
        <v>82283.740235999998</v>
      </c>
      <c r="Z15" s="42">
        <v>11332.142999999998</v>
      </c>
      <c r="AA15" s="42">
        <v>35720.318400000004</v>
      </c>
      <c r="AB15" s="42">
        <v>21062.61248</v>
      </c>
      <c r="AC15" s="42">
        <v>96832.738060000003</v>
      </c>
      <c r="AD15" s="42">
        <v>39263.702919999996</v>
      </c>
      <c r="AE15" s="42">
        <v>52414.751029999999</v>
      </c>
      <c r="AF15" s="42">
        <v>62736.308879999997</v>
      </c>
      <c r="AG15" s="42">
        <v>853.32276999999988</v>
      </c>
      <c r="AH15" s="42">
        <v>8764.4065599999994</v>
      </c>
      <c r="AI15" s="42">
        <v>1134246.7957959999</v>
      </c>
    </row>
    <row r="16" spans="1:35" x14ac:dyDescent="0.35">
      <c r="A16" s="19" t="s">
        <v>660</v>
      </c>
      <c r="B16" s="42">
        <v>31035.217859999997</v>
      </c>
      <c r="C16" s="42">
        <v>68738.647320000004</v>
      </c>
      <c r="D16" s="42"/>
      <c r="E16" s="42">
        <v>11375.257759999999</v>
      </c>
      <c r="F16" s="42">
        <v>27431.638109999996</v>
      </c>
      <c r="G16" s="42">
        <v>71887.464219999994</v>
      </c>
      <c r="H16" s="42">
        <v>32086.37586</v>
      </c>
      <c r="I16" s="42">
        <v>25299.040000000001</v>
      </c>
      <c r="J16" s="42">
        <v>14692.623000000001</v>
      </c>
      <c r="K16" s="42">
        <v>5533.6230000000005</v>
      </c>
      <c r="L16" s="42"/>
      <c r="M16" s="42"/>
      <c r="N16" s="42">
        <v>18566.16</v>
      </c>
      <c r="O16" s="42">
        <v>52311.007679999995</v>
      </c>
      <c r="P16" s="42">
        <v>108770.27859</v>
      </c>
      <c r="Q16" s="42"/>
      <c r="R16" s="42">
        <v>53872.641179999999</v>
      </c>
      <c r="S16" s="42"/>
      <c r="T16" s="42">
        <v>25483.91488</v>
      </c>
      <c r="U16" s="42">
        <v>97443.477979999996</v>
      </c>
      <c r="V16" s="42">
        <v>12186.368600000002</v>
      </c>
      <c r="W16" s="42">
        <v>16023.123</v>
      </c>
      <c r="X16" s="42"/>
      <c r="Y16" s="42">
        <v>12031.491680000001</v>
      </c>
      <c r="Z16" s="42">
        <v>4654.7743</v>
      </c>
      <c r="AA16" s="42">
        <v>9984.7160999999978</v>
      </c>
      <c r="AB16" s="42"/>
      <c r="AC16" s="42">
        <v>38240.697249999997</v>
      </c>
      <c r="AD16" s="42">
        <v>3644.3212800000006</v>
      </c>
      <c r="AE16" s="42"/>
      <c r="AF16" s="42"/>
      <c r="AG16" s="42">
        <v>27401.727929999997</v>
      </c>
      <c r="AH16" s="42"/>
      <c r="AI16" s="42">
        <v>768694.58758000005</v>
      </c>
    </row>
    <row r="17" spans="1:35" x14ac:dyDescent="0.35">
      <c r="A17" s="19" t="s">
        <v>1447</v>
      </c>
      <c r="B17" s="42">
        <v>204953.15961999999</v>
      </c>
      <c r="C17" s="42">
        <v>457531.97040599992</v>
      </c>
      <c r="D17" s="42">
        <v>219489.09766999999</v>
      </c>
      <c r="E17" s="42">
        <v>572182.32834999997</v>
      </c>
      <c r="F17" s="42">
        <v>248170.95061000003</v>
      </c>
      <c r="G17" s="42">
        <v>239756.48168</v>
      </c>
      <c r="H17" s="42">
        <v>554491.88659000001</v>
      </c>
      <c r="I17" s="42">
        <v>389291.26297999994</v>
      </c>
      <c r="J17" s="42">
        <v>116385.22360000001</v>
      </c>
      <c r="K17" s="42">
        <v>274677.15422000003</v>
      </c>
      <c r="L17" s="42">
        <v>176447.62745</v>
      </c>
      <c r="M17" s="42">
        <v>356656.13728999998</v>
      </c>
      <c r="N17" s="42">
        <v>222502.72320000001</v>
      </c>
      <c r="O17" s="42">
        <v>280903.26923999999</v>
      </c>
      <c r="P17" s="42">
        <v>375919.49887999997</v>
      </c>
      <c r="Q17" s="42">
        <v>343726.50162999996</v>
      </c>
      <c r="R17" s="42">
        <v>422107.02561999997</v>
      </c>
      <c r="S17" s="42">
        <v>647144.27146999992</v>
      </c>
      <c r="T17" s="42">
        <v>316717.95536000002</v>
      </c>
      <c r="U17" s="42">
        <v>307204.39371999999</v>
      </c>
      <c r="V17" s="42">
        <v>277601.22668000002</v>
      </c>
      <c r="W17" s="42">
        <v>497822.61746000004</v>
      </c>
      <c r="X17" s="42">
        <v>381488.69553999999</v>
      </c>
      <c r="Y17" s="42">
        <v>357270.64907599997</v>
      </c>
      <c r="Z17" s="42">
        <v>231423.62152000002</v>
      </c>
      <c r="AA17" s="42">
        <v>251213.76927000002</v>
      </c>
      <c r="AB17" s="42">
        <v>204244.97603000002</v>
      </c>
      <c r="AC17" s="42">
        <v>385078.46169999999</v>
      </c>
      <c r="AD17" s="42">
        <v>298478.87030999991</v>
      </c>
      <c r="AE17" s="42">
        <v>440294.29924999998</v>
      </c>
      <c r="AF17" s="42">
        <v>563544.36923000007</v>
      </c>
      <c r="AG17" s="42">
        <v>351346.53061999998</v>
      </c>
      <c r="AH17" s="42">
        <v>67770.021679999991</v>
      </c>
      <c r="AI17" s="42">
        <v>11033837.027952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72AA8-AF40-4DA0-ADC7-D15DA58791C8}">
  <dimension ref="A2:E640"/>
  <sheetViews>
    <sheetView workbookViewId="0">
      <selection activeCell="D3" sqref="D3"/>
    </sheetView>
  </sheetViews>
  <sheetFormatPr defaultRowHeight="14.5" x14ac:dyDescent="0.35"/>
  <cols>
    <col min="1" max="1" width="13.6328125" bestFit="1" customWidth="1"/>
    <col min="2" max="2" width="20.1796875" bestFit="1" customWidth="1"/>
    <col min="3" max="3" width="19.1796875" style="23" bestFit="1" customWidth="1"/>
    <col min="4" max="4" width="12" bestFit="1" customWidth="1"/>
    <col min="5" max="88" width="8.81640625" bestFit="1" customWidth="1"/>
    <col min="89" max="178" width="9.36328125" bestFit="1" customWidth="1"/>
    <col min="179" max="259" width="8.54296875" bestFit="1" customWidth="1"/>
    <col min="260" max="353" width="9.81640625" bestFit="1" customWidth="1"/>
    <col min="354" max="439" width="8.7265625" bestFit="1" customWidth="1"/>
    <col min="440" max="527" width="9.08984375" bestFit="1" customWidth="1"/>
    <col min="528" max="630" width="8.90625" bestFit="1" customWidth="1"/>
    <col min="631" max="631" width="10.7265625" bestFit="1" customWidth="1"/>
    <col min="632" max="635" width="9.26953125" bestFit="1" customWidth="1"/>
    <col min="636" max="636" width="12.1796875" bestFit="1" customWidth="1"/>
    <col min="637" max="637" width="10.7265625" bestFit="1" customWidth="1"/>
  </cols>
  <sheetData>
    <row r="2" spans="1:5" x14ac:dyDescent="0.35">
      <c r="A2" s="23"/>
    </row>
    <row r="3" spans="1:5" x14ac:dyDescent="0.35">
      <c r="A3" s="18" t="s">
        <v>1446</v>
      </c>
      <c r="B3" t="s">
        <v>1464</v>
      </c>
      <c r="C3" s="23" t="s">
        <v>1461</v>
      </c>
      <c r="D3" s="23" t="s">
        <v>1465</v>
      </c>
    </row>
    <row r="4" spans="1:5" x14ac:dyDescent="0.35">
      <c r="A4" s="19" t="s">
        <v>733</v>
      </c>
      <c r="B4" s="23">
        <v>1391191.4319200004</v>
      </c>
    </row>
    <row r="5" spans="1:5" x14ac:dyDescent="0.35">
      <c r="A5" s="24" t="s">
        <v>1080</v>
      </c>
      <c r="B5" s="23">
        <v>79082.507010000001</v>
      </c>
      <c r="C5" s="23">
        <v>5.6845165370848542E-2</v>
      </c>
      <c r="D5" t="str">
        <f>IF(C5&lt;=0.85,"A",IF(C5&lt;=0.95,"B","C"))</f>
        <v>A</v>
      </c>
      <c r="E5" s="23"/>
    </row>
    <row r="6" spans="1:5" x14ac:dyDescent="0.35">
      <c r="A6" s="24" t="s">
        <v>792</v>
      </c>
      <c r="B6" s="23">
        <v>76177.08</v>
      </c>
      <c r="C6" s="23">
        <v>0.11160188558358526</v>
      </c>
      <c r="D6" t="str">
        <f t="shared" ref="D6:D69" si="0">IF(C6&lt;=0.85,"A",IF(C6&lt;=0.95,"B","C"))</f>
        <v>A</v>
      </c>
    </row>
    <row r="7" spans="1:5" x14ac:dyDescent="0.35">
      <c r="A7" s="24" t="s">
        <v>1053</v>
      </c>
      <c r="B7" s="23">
        <v>53034.364139999991</v>
      </c>
      <c r="C7" s="23">
        <v>0.14972342868912797</v>
      </c>
      <c r="D7" t="str">
        <f t="shared" si="0"/>
        <v>A</v>
      </c>
    </row>
    <row r="8" spans="1:5" x14ac:dyDescent="0.35">
      <c r="A8" s="24" t="s">
        <v>1288</v>
      </c>
      <c r="B8" s="23">
        <v>46450.26</v>
      </c>
      <c r="C8" s="23">
        <v>0.1831122628453975</v>
      </c>
      <c r="D8" t="str">
        <f t="shared" si="0"/>
        <v>A</v>
      </c>
    </row>
    <row r="9" spans="1:5" x14ac:dyDescent="0.35">
      <c r="A9" s="24" t="s">
        <v>1040</v>
      </c>
      <c r="B9" s="23">
        <v>43084.872000000003</v>
      </c>
      <c r="C9" s="23">
        <v>0.2140820280491251</v>
      </c>
      <c r="D9" t="str">
        <f t="shared" si="0"/>
        <v>A</v>
      </c>
    </row>
    <row r="10" spans="1:5" x14ac:dyDescent="0.35">
      <c r="A10" s="24" t="s">
        <v>752</v>
      </c>
      <c r="B10" s="23">
        <v>38096.18406</v>
      </c>
      <c r="C10" s="23">
        <v>0.24146588276955203</v>
      </c>
      <c r="D10" t="str">
        <f t="shared" si="0"/>
        <v>A</v>
      </c>
    </row>
    <row r="11" spans="1:5" x14ac:dyDescent="0.35">
      <c r="A11" s="24" t="s">
        <v>810</v>
      </c>
      <c r="B11" s="23">
        <v>35396.277799999996</v>
      </c>
      <c r="C11" s="23">
        <v>0.26690902236044867</v>
      </c>
      <c r="D11" t="str">
        <f t="shared" si="0"/>
        <v>A</v>
      </c>
    </row>
    <row r="12" spans="1:5" x14ac:dyDescent="0.35">
      <c r="A12" s="24" t="s">
        <v>1094</v>
      </c>
      <c r="B12" s="23">
        <v>35167.7448</v>
      </c>
      <c r="C12" s="23">
        <v>0.29218789052560445</v>
      </c>
      <c r="D12" t="str">
        <f t="shared" si="0"/>
        <v>A</v>
      </c>
    </row>
    <row r="13" spans="1:5" x14ac:dyDescent="0.35">
      <c r="A13" s="24" t="s">
        <v>831</v>
      </c>
      <c r="B13" s="23">
        <v>34139.159999999996</v>
      </c>
      <c r="C13" s="23">
        <v>0.31672740336093302</v>
      </c>
      <c r="D13" t="str">
        <f t="shared" si="0"/>
        <v>A</v>
      </c>
    </row>
    <row r="14" spans="1:5" x14ac:dyDescent="0.35">
      <c r="A14" s="24" t="s">
        <v>811</v>
      </c>
      <c r="B14" s="23">
        <v>33062.236480000007</v>
      </c>
      <c r="C14" s="23">
        <v>0.34049281459148556</v>
      </c>
      <c r="D14" t="str">
        <f t="shared" si="0"/>
        <v>A</v>
      </c>
    </row>
    <row r="15" spans="1:5" x14ac:dyDescent="0.35">
      <c r="A15" s="24" t="s">
        <v>876</v>
      </c>
      <c r="B15" s="23">
        <v>32086.37586</v>
      </c>
      <c r="C15" s="23">
        <v>0.3635567690723705</v>
      </c>
      <c r="D15" t="str">
        <f t="shared" si="0"/>
        <v>A</v>
      </c>
    </row>
    <row r="16" spans="1:5" x14ac:dyDescent="0.35">
      <c r="A16" s="24" t="s">
        <v>1175</v>
      </c>
      <c r="B16" s="23">
        <v>31513.085009999999</v>
      </c>
      <c r="C16" s="23">
        <v>0.38620863731059596</v>
      </c>
      <c r="D16" t="str">
        <f t="shared" si="0"/>
        <v>A</v>
      </c>
    </row>
    <row r="17" spans="1:4" x14ac:dyDescent="0.35">
      <c r="A17" s="24" t="s">
        <v>941</v>
      </c>
      <c r="B17" s="23">
        <v>28386.015839999996</v>
      </c>
      <c r="C17" s="23">
        <v>0.40661274215821142</v>
      </c>
      <c r="D17" t="str">
        <f t="shared" si="0"/>
        <v>A</v>
      </c>
    </row>
    <row r="18" spans="1:4" x14ac:dyDescent="0.35">
      <c r="A18" s="24" t="s">
        <v>1074</v>
      </c>
      <c r="B18" s="23">
        <v>27465.647999999997</v>
      </c>
      <c r="C18" s="23">
        <v>0.42635527892908154</v>
      </c>
      <c r="D18" t="str">
        <f t="shared" si="0"/>
        <v>A</v>
      </c>
    </row>
    <row r="19" spans="1:4" x14ac:dyDescent="0.35">
      <c r="A19" s="24" t="s">
        <v>1022</v>
      </c>
      <c r="B19" s="23">
        <v>26765.040239999998</v>
      </c>
      <c r="C19" s="23">
        <v>0.4455942130009089</v>
      </c>
      <c r="D19" t="str">
        <f t="shared" si="0"/>
        <v>A</v>
      </c>
    </row>
    <row r="20" spans="1:4" x14ac:dyDescent="0.35">
      <c r="A20" s="24" t="s">
        <v>1086</v>
      </c>
      <c r="B20" s="23">
        <v>26552.60298</v>
      </c>
      <c r="C20" s="23">
        <v>0.46468044539910186</v>
      </c>
      <c r="D20" t="str">
        <f t="shared" si="0"/>
        <v>A</v>
      </c>
    </row>
    <row r="21" spans="1:4" x14ac:dyDescent="0.35">
      <c r="A21" s="24" t="s">
        <v>1171</v>
      </c>
      <c r="B21" s="23">
        <v>24278.849280000002</v>
      </c>
      <c r="C21" s="23">
        <v>0.48213228468084068</v>
      </c>
      <c r="D21" t="str">
        <f t="shared" si="0"/>
        <v>A</v>
      </c>
    </row>
    <row r="22" spans="1:4" x14ac:dyDescent="0.35">
      <c r="A22" s="24" t="s">
        <v>1142</v>
      </c>
      <c r="B22" s="23">
        <v>23668.560000000001</v>
      </c>
      <c r="C22" s="23">
        <v>0.49914544293997026</v>
      </c>
      <c r="D22" t="str">
        <f t="shared" si="0"/>
        <v>A</v>
      </c>
    </row>
    <row r="23" spans="1:4" x14ac:dyDescent="0.35">
      <c r="A23" s="24" t="s">
        <v>1026</v>
      </c>
      <c r="B23" s="23">
        <v>23375.594060000003</v>
      </c>
      <c r="C23" s="23">
        <v>0.5159480148388923</v>
      </c>
      <c r="D23" t="str">
        <f t="shared" si="0"/>
        <v>A</v>
      </c>
    </row>
    <row r="24" spans="1:4" x14ac:dyDescent="0.35">
      <c r="A24" s="24" t="s">
        <v>1089</v>
      </c>
      <c r="B24" s="23">
        <v>23195.01828</v>
      </c>
      <c r="C24" s="23">
        <v>0.53262078736164153</v>
      </c>
      <c r="D24" t="str">
        <f t="shared" si="0"/>
        <v>A</v>
      </c>
    </row>
    <row r="25" spans="1:4" x14ac:dyDescent="0.35">
      <c r="A25" s="24" t="s">
        <v>1212</v>
      </c>
      <c r="B25" s="23">
        <v>22620.859800000002</v>
      </c>
      <c r="C25" s="23">
        <v>0.54888084998205366</v>
      </c>
      <c r="D25" t="str">
        <f t="shared" si="0"/>
        <v>A</v>
      </c>
    </row>
    <row r="26" spans="1:4" x14ac:dyDescent="0.35">
      <c r="A26" s="24" t="s">
        <v>1255</v>
      </c>
      <c r="B26" s="23">
        <v>22526.66</v>
      </c>
      <c r="C26" s="23">
        <v>0.56507320100085678</v>
      </c>
      <c r="D26" t="str">
        <f t="shared" si="0"/>
        <v>A</v>
      </c>
    </row>
    <row r="27" spans="1:4" x14ac:dyDescent="0.35">
      <c r="A27" s="24" t="s">
        <v>1270</v>
      </c>
      <c r="B27" s="23">
        <v>20430.771599999996</v>
      </c>
      <c r="C27" s="23">
        <v>0.5797590099637564</v>
      </c>
      <c r="D27" t="str">
        <f t="shared" si="0"/>
        <v>A</v>
      </c>
    </row>
    <row r="28" spans="1:4" x14ac:dyDescent="0.35">
      <c r="A28" s="24" t="s">
        <v>1285</v>
      </c>
      <c r="B28" s="23">
        <v>20163.409200000002</v>
      </c>
      <c r="C28" s="23">
        <v>0.59425263660446415</v>
      </c>
      <c r="D28" t="str">
        <f t="shared" si="0"/>
        <v>A</v>
      </c>
    </row>
    <row r="29" spans="1:4" x14ac:dyDescent="0.35">
      <c r="A29" s="24" t="s">
        <v>827</v>
      </c>
      <c r="B29" s="23">
        <v>20079.343620000003</v>
      </c>
      <c r="C29" s="23">
        <v>0.60868583620539063</v>
      </c>
      <c r="D29" t="str">
        <f t="shared" si="0"/>
        <v>A</v>
      </c>
    </row>
    <row r="30" spans="1:4" x14ac:dyDescent="0.35">
      <c r="A30" s="24" t="s">
        <v>1184</v>
      </c>
      <c r="B30" s="23">
        <v>19628.476999999999</v>
      </c>
      <c r="C30" s="23">
        <v>0.62279494912086508</v>
      </c>
      <c r="D30" t="str">
        <f t="shared" si="0"/>
        <v>A</v>
      </c>
    </row>
    <row r="31" spans="1:4" x14ac:dyDescent="0.35">
      <c r="A31" s="24" t="s">
        <v>1024</v>
      </c>
      <c r="B31" s="23">
        <v>19066.045319999997</v>
      </c>
      <c r="C31" s="23">
        <v>0.63649978145561192</v>
      </c>
      <c r="D31" t="str">
        <f t="shared" si="0"/>
        <v>A</v>
      </c>
    </row>
    <row r="32" spans="1:4" x14ac:dyDescent="0.35">
      <c r="A32" s="24" t="s">
        <v>995</v>
      </c>
      <c r="B32" s="23">
        <v>17964.4038</v>
      </c>
      <c r="C32" s="23">
        <v>0.64941274468110211</v>
      </c>
      <c r="D32" t="str">
        <f t="shared" si="0"/>
        <v>A</v>
      </c>
    </row>
    <row r="33" spans="1:4" x14ac:dyDescent="0.35">
      <c r="A33" s="24" t="s">
        <v>943</v>
      </c>
      <c r="B33" s="23">
        <v>17847.907199999998</v>
      </c>
      <c r="C33" s="23">
        <v>0.66224196917924893</v>
      </c>
      <c r="D33" t="str">
        <f t="shared" si="0"/>
        <v>A</v>
      </c>
    </row>
    <row r="34" spans="1:4" x14ac:dyDescent="0.35">
      <c r="A34" s="24" t="s">
        <v>800</v>
      </c>
      <c r="B34" s="23">
        <v>16013.681599999998</v>
      </c>
      <c r="C34" s="23">
        <v>0.67375273702368521</v>
      </c>
      <c r="D34" t="str">
        <f t="shared" si="0"/>
        <v>A</v>
      </c>
    </row>
    <row r="35" spans="1:4" x14ac:dyDescent="0.35">
      <c r="A35" s="24" t="s">
        <v>744</v>
      </c>
      <c r="B35" s="23">
        <v>16006.14344</v>
      </c>
      <c r="C35" s="23">
        <v>0.68525808637586583</v>
      </c>
      <c r="D35" t="str">
        <f t="shared" si="0"/>
        <v>A</v>
      </c>
    </row>
    <row r="36" spans="1:4" x14ac:dyDescent="0.35">
      <c r="A36" s="24" t="s">
        <v>1286</v>
      </c>
      <c r="B36" s="23">
        <v>15860.782080000001</v>
      </c>
      <c r="C36" s="23">
        <v>0.69665894877056189</v>
      </c>
      <c r="D36" t="str">
        <f t="shared" si="0"/>
        <v>A</v>
      </c>
    </row>
    <row r="37" spans="1:4" x14ac:dyDescent="0.35">
      <c r="A37" s="24" t="s">
        <v>1279</v>
      </c>
      <c r="B37" s="23">
        <v>15530.929919999999</v>
      </c>
      <c r="C37" s="23">
        <v>0.70782271068258407</v>
      </c>
      <c r="D37" t="str">
        <f t="shared" si="0"/>
        <v>A</v>
      </c>
    </row>
    <row r="38" spans="1:4" x14ac:dyDescent="0.35">
      <c r="A38" s="24" t="s">
        <v>784</v>
      </c>
      <c r="B38" s="23">
        <v>14894.903999999999</v>
      </c>
      <c r="C38" s="23">
        <v>0.71852929186059156</v>
      </c>
      <c r="D38" t="str">
        <f t="shared" si="0"/>
        <v>A</v>
      </c>
    </row>
    <row r="39" spans="1:4" x14ac:dyDescent="0.35">
      <c r="A39" s="24" t="s">
        <v>1188</v>
      </c>
      <c r="B39" s="23">
        <v>14752.706080000002</v>
      </c>
      <c r="C39" s="23">
        <v>0.72913365998816093</v>
      </c>
      <c r="D39" t="str">
        <f t="shared" si="0"/>
        <v>A</v>
      </c>
    </row>
    <row r="40" spans="1:4" x14ac:dyDescent="0.35">
      <c r="A40" s="24" t="s">
        <v>904</v>
      </c>
      <c r="B40" s="23">
        <v>14549.029120000001</v>
      </c>
      <c r="C40" s="23">
        <v>0.73959162341877283</v>
      </c>
      <c r="D40" t="str">
        <f t="shared" si="0"/>
        <v>A</v>
      </c>
    </row>
    <row r="41" spans="1:4" x14ac:dyDescent="0.35">
      <c r="A41" s="24" t="s">
        <v>1128</v>
      </c>
      <c r="B41" s="23">
        <v>14431.738420000001</v>
      </c>
      <c r="C41" s="23">
        <v>0.74996527731634066</v>
      </c>
      <c r="D41" t="str">
        <f t="shared" si="0"/>
        <v>A</v>
      </c>
    </row>
    <row r="42" spans="1:4" x14ac:dyDescent="0.35">
      <c r="A42" s="24" t="s">
        <v>1338</v>
      </c>
      <c r="B42" s="23">
        <v>13856.52411</v>
      </c>
      <c r="C42" s="23">
        <v>0.75992546237216463</v>
      </c>
      <c r="D42" t="str">
        <f t="shared" si="0"/>
        <v>A</v>
      </c>
    </row>
    <row r="43" spans="1:4" x14ac:dyDescent="0.35">
      <c r="A43" s="24" t="s">
        <v>881</v>
      </c>
      <c r="B43" s="23">
        <v>13321.14</v>
      </c>
      <c r="C43" s="23">
        <v>0.76950080886607974</v>
      </c>
      <c r="D43" t="str">
        <f t="shared" si="0"/>
        <v>A</v>
      </c>
    </row>
    <row r="44" spans="1:4" x14ac:dyDescent="0.35">
      <c r="A44" s="24" t="s">
        <v>1291</v>
      </c>
      <c r="B44" s="23">
        <v>13108.78584</v>
      </c>
      <c r="C44" s="23">
        <v>0.77892351341933341</v>
      </c>
      <c r="D44" t="str">
        <f t="shared" si="0"/>
        <v>A</v>
      </c>
    </row>
    <row r="45" spans="1:4" x14ac:dyDescent="0.35">
      <c r="A45" s="24" t="s">
        <v>1033</v>
      </c>
      <c r="B45" s="23">
        <v>12699.28</v>
      </c>
      <c r="C45" s="23">
        <v>0.78805186176063502</v>
      </c>
      <c r="D45" t="str">
        <f t="shared" si="0"/>
        <v>A</v>
      </c>
    </row>
    <row r="46" spans="1:4" x14ac:dyDescent="0.35">
      <c r="A46" s="24" t="s">
        <v>1321</v>
      </c>
      <c r="B46" s="23">
        <v>12040.64352</v>
      </c>
      <c r="C46" s="23">
        <v>0.79670677670888379</v>
      </c>
      <c r="D46" t="str">
        <f t="shared" si="0"/>
        <v>A</v>
      </c>
    </row>
    <row r="47" spans="1:4" x14ac:dyDescent="0.35">
      <c r="A47" s="24" t="s">
        <v>1227</v>
      </c>
      <c r="B47" s="23">
        <v>11859.695119999998</v>
      </c>
      <c r="C47" s="23">
        <v>0.80523162443859719</v>
      </c>
      <c r="D47" t="str">
        <f t="shared" si="0"/>
        <v>A</v>
      </c>
    </row>
    <row r="48" spans="1:4" x14ac:dyDescent="0.35">
      <c r="A48" s="24" t="s">
        <v>1046</v>
      </c>
      <c r="B48" s="23">
        <v>11283.400799999999</v>
      </c>
      <c r="C48" s="23">
        <v>0.81334222700637437</v>
      </c>
      <c r="D48" t="str">
        <f t="shared" si="0"/>
        <v>A</v>
      </c>
    </row>
    <row r="49" spans="1:4" x14ac:dyDescent="0.35">
      <c r="A49" s="24" t="s">
        <v>888</v>
      </c>
      <c r="B49" s="23">
        <v>11015.510400000003</v>
      </c>
      <c r="C49" s="23">
        <v>0.82126026772115757</v>
      </c>
      <c r="D49" t="str">
        <f t="shared" si="0"/>
        <v>A</v>
      </c>
    </row>
    <row r="50" spans="1:4" x14ac:dyDescent="0.35">
      <c r="A50" s="24" t="s">
        <v>756</v>
      </c>
      <c r="B50" s="23">
        <v>10936.992</v>
      </c>
      <c r="C50" s="23">
        <v>0.82912186875539173</v>
      </c>
      <c r="D50" t="str">
        <f t="shared" si="0"/>
        <v>A</v>
      </c>
    </row>
    <row r="51" spans="1:4" x14ac:dyDescent="0.35">
      <c r="A51" s="24" t="s">
        <v>1149</v>
      </c>
      <c r="B51" s="23">
        <v>10893.6232</v>
      </c>
      <c r="C51" s="23">
        <v>0.83695229593460863</v>
      </c>
      <c r="D51" t="str">
        <f t="shared" si="0"/>
        <v>A</v>
      </c>
    </row>
    <row r="52" spans="1:4" x14ac:dyDescent="0.35">
      <c r="A52" s="24" t="s">
        <v>1355</v>
      </c>
      <c r="B52" s="23">
        <v>10693.88488</v>
      </c>
      <c r="C52" s="23">
        <v>0.84463914954413766</v>
      </c>
      <c r="D52" t="str">
        <f t="shared" si="0"/>
        <v>A</v>
      </c>
    </row>
    <row r="53" spans="1:4" x14ac:dyDescent="0.35">
      <c r="A53" s="24" t="s">
        <v>804</v>
      </c>
      <c r="B53" s="23">
        <v>10647.727199999999</v>
      </c>
      <c r="C53" s="23">
        <v>0.85229282462845368</v>
      </c>
      <c r="D53" t="str">
        <f t="shared" si="0"/>
        <v>B</v>
      </c>
    </row>
    <row r="54" spans="1:4" x14ac:dyDescent="0.35">
      <c r="A54" s="24" t="s">
        <v>919</v>
      </c>
      <c r="B54" s="23">
        <v>10388.429999999998</v>
      </c>
      <c r="C54" s="23">
        <v>0.85976011472357938</v>
      </c>
      <c r="D54" t="str">
        <f t="shared" si="0"/>
        <v>B</v>
      </c>
    </row>
    <row r="55" spans="1:4" x14ac:dyDescent="0.35">
      <c r="A55" s="24" t="s">
        <v>892</v>
      </c>
      <c r="B55" s="23">
        <v>10382.65884</v>
      </c>
      <c r="C55" s="23">
        <v>0.86722325646078136</v>
      </c>
      <c r="D55" t="str">
        <f t="shared" si="0"/>
        <v>B</v>
      </c>
    </row>
    <row r="56" spans="1:4" x14ac:dyDescent="0.35">
      <c r="A56" s="24" t="s">
        <v>1059</v>
      </c>
      <c r="B56" s="23">
        <v>9829.0483199999999</v>
      </c>
      <c r="C56" s="23">
        <v>0.87428845834060809</v>
      </c>
      <c r="D56" t="str">
        <f t="shared" si="0"/>
        <v>B</v>
      </c>
    </row>
    <row r="57" spans="1:4" x14ac:dyDescent="0.35">
      <c r="A57" s="24" t="s">
        <v>1322</v>
      </c>
      <c r="B57" s="23">
        <v>9022.35</v>
      </c>
      <c r="C57" s="23">
        <v>0.88077379874235873</v>
      </c>
      <c r="D57" t="str">
        <f t="shared" si="0"/>
        <v>B</v>
      </c>
    </row>
    <row r="58" spans="1:4" x14ac:dyDescent="0.35">
      <c r="A58" s="24" t="s">
        <v>1231</v>
      </c>
      <c r="B58" s="23">
        <v>8644.6696000000011</v>
      </c>
      <c r="C58" s="23">
        <v>0.88698765932376644</v>
      </c>
      <c r="D58" t="str">
        <f t="shared" si="0"/>
        <v>B</v>
      </c>
    </row>
    <row r="59" spans="1:4" x14ac:dyDescent="0.35">
      <c r="A59" s="24" t="s">
        <v>759</v>
      </c>
      <c r="B59" s="23">
        <v>8596.2905599999995</v>
      </c>
      <c r="C59" s="23">
        <v>0.89316674464787338</v>
      </c>
      <c r="D59" t="str">
        <f t="shared" si="0"/>
        <v>B</v>
      </c>
    </row>
    <row r="60" spans="1:4" x14ac:dyDescent="0.35">
      <c r="A60" s="24" t="s">
        <v>1326</v>
      </c>
      <c r="B60" s="23">
        <v>8366.02</v>
      </c>
      <c r="C60" s="23">
        <v>0.89918030957362483</v>
      </c>
      <c r="D60" t="str">
        <f t="shared" si="0"/>
        <v>B</v>
      </c>
    </row>
    <row r="61" spans="1:4" x14ac:dyDescent="0.35">
      <c r="A61" s="24" t="s">
        <v>1150</v>
      </c>
      <c r="B61" s="23">
        <v>7969.4615000000003</v>
      </c>
      <c r="C61" s="23">
        <v>0.90490882494336167</v>
      </c>
      <c r="D61" t="str">
        <f t="shared" si="0"/>
        <v>B</v>
      </c>
    </row>
    <row r="62" spans="1:4" x14ac:dyDescent="0.35">
      <c r="A62" s="24" t="s">
        <v>948</v>
      </c>
      <c r="B62" s="23">
        <v>7854.6693599999999</v>
      </c>
      <c r="C62" s="23">
        <v>0.91055482676581367</v>
      </c>
      <c r="D62" t="str">
        <f t="shared" si="0"/>
        <v>B</v>
      </c>
    </row>
    <row r="63" spans="1:4" x14ac:dyDescent="0.35">
      <c r="A63" s="24" t="s">
        <v>916</v>
      </c>
      <c r="B63" s="23">
        <v>7689.4560000000001</v>
      </c>
      <c r="C63" s="23">
        <v>0.91608207184766965</v>
      </c>
      <c r="D63" t="str">
        <f t="shared" si="0"/>
        <v>B</v>
      </c>
    </row>
    <row r="64" spans="1:4" x14ac:dyDescent="0.35">
      <c r="A64" s="24" t="s">
        <v>748</v>
      </c>
      <c r="B64" s="23">
        <v>7578.84</v>
      </c>
      <c r="C64" s="23">
        <v>0.92152980522649042</v>
      </c>
      <c r="D64" t="str">
        <f t="shared" si="0"/>
        <v>B</v>
      </c>
    </row>
    <row r="65" spans="1:4" x14ac:dyDescent="0.35">
      <c r="A65" s="24" t="s">
        <v>993</v>
      </c>
      <c r="B65" s="23">
        <v>7568.9632000000001</v>
      </c>
      <c r="C65" s="23">
        <v>0.9269704390791258</v>
      </c>
      <c r="D65" t="str">
        <f t="shared" si="0"/>
        <v>B</v>
      </c>
    </row>
    <row r="66" spans="1:4" x14ac:dyDescent="0.35">
      <c r="A66" s="24" t="s">
        <v>1225</v>
      </c>
      <c r="B66" s="23">
        <v>7507.4514899999995</v>
      </c>
      <c r="C66" s="23">
        <v>0.93236685780177331</v>
      </c>
      <c r="D66" t="str">
        <f t="shared" si="0"/>
        <v>B</v>
      </c>
    </row>
    <row r="67" spans="1:4" x14ac:dyDescent="0.35">
      <c r="A67" s="24" t="s">
        <v>1027</v>
      </c>
      <c r="B67" s="23">
        <v>7382.1450000000004</v>
      </c>
      <c r="C67" s="23">
        <v>0.9376732051746951</v>
      </c>
      <c r="D67" t="str">
        <f t="shared" si="0"/>
        <v>B</v>
      </c>
    </row>
    <row r="68" spans="1:4" x14ac:dyDescent="0.35">
      <c r="A68" s="24" t="s">
        <v>1004</v>
      </c>
      <c r="B68" s="23">
        <v>7235.2134999999998</v>
      </c>
      <c r="C68" s="23">
        <v>0.94287393696040955</v>
      </c>
      <c r="D68" t="str">
        <f t="shared" si="0"/>
        <v>B</v>
      </c>
    </row>
    <row r="69" spans="1:4" x14ac:dyDescent="0.35">
      <c r="A69" s="24" t="s">
        <v>1066</v>
      </c>
      <c r="B69" s="23">
        <v>7105.3528000000006</v>
      </c>
      <c r="C69" s="23">
        <v>0.94798132379228062</v>
      </c>
      <c r="D69" t="str">
        <f t="shared" si="0"/>
        <v>B</v>
      </c>
    </row>
    <row r="70" spans="1:4" x14ac:dyDescent="0.35">
      <c r="A70" s="24" t="s">
        <v>1310</v>
      </c>
      <c r="B70" s="23">
        <v>6732.4334000000008</v>
      </c>
      <c r="C70" s="23">
        <v>0.95282065305030261</v>
      </c>
      <c r="D70" t="str">
        <f t="shared" ref="D70:D91" si="1">IF(C70&lt;=0.85,"A",IF(C70&lt;=0.95,"B","C"))</f>
        <v>C</v>
      </c>
    </row>
    <row r="71" spans="1:4" x14ac:dyDescent="0.35">
      <c r="A71" s="24" t="s">
        <v>1011</v>
      </c>
      <c r="B71" s="23">
        <v>6066.54648</v>
      </c>
      <c r="C71" s="23">
        <v>0.95718133723855092</v>
      </c>
      <c r="D71" t="str">
        <f t="shared" si="1"/>
        <v>C</v>
      </c>
    </row>
    <row r="72" spans="1:4" x14ac:dyDescent="0.35">
      <c r="A72" s="24" t="s">
        <v>837</v>
      </c>
      <c r="B72" s="23">
        <v>5960.3340000000007</v>
      </c>
      <c r="C72" s="23">
        <v>0.96146567501065328</v>
      </c>
      <c r="D72" t="str">
        <f t="shared" si="1"/>
        <v>C</v>
      </c>
    </row>
    <row r="73" spans="1:4" x14ac:dyDescent="0.35">
      <c r="A73" s="24" t="s">
        <v>1067</v>
      </c>
      <c r="B73" s="23">
        <v>5610.0923999999995</v>
      </c>
      <c r="C73" s="23">
        <v>0.96549825620061747</v>
      </c>
      <c r="D73" t="str">
        <f t="shared" si="1"/>
        <v>C</v>
      </c>
    </row>
    <row r="74" spans="1:4" x14ac:dyDescent="0.35">
      <c r="A74" s="24" t="s">
        <v>961</v>
      </c>
      <c r="B74" s="23">
        <v>5533.6230000000005</v>
      </c>
      <c r="C74" s="23">
        <v>0.96947587054831574</v>
      </c>
      <c r="D74" t="str">
        <f t="shared" si="1"/>
        <v>C</v>
      </c>
    </row>
    <row r="75" spans="1:4" x14ac:dyDescent="0.35">
      <c r="A75" s="24" t="s">
        <v>791</v>
      </c>
      <c r="B75" s="23">
        <v>4790.1068000000005</v>
      </c>
      <c r="C75" s="23">
        <v>0.97291903925256018</v>
      </c>
      <c r="D75" t="str">
        <f t="shared" si="1"/>
        <v>C</v>
      </c>
    </row>
    <row r="76" spans="1:4" x14ac:dyDescent="0.35">
      <c r="A76" s="24" t="s">
        <v>1275</v>
      </c>
      <c r="B76" s="23">
        <v>4737.2198399999997</v>
      </c>
      <c r="C76" s="23">
        <v>0.97632419236902379</v>
      </c>
      <c r="D76" t="str">
        <f t="shared" si="1"/>
        <v>C</v>
      </c>
    </row>
    <row r="77" spans="1:4" x14ac:dyDescent="0.35">
      <c r="A77" s="24" t="s">
        <v>1303</v>
      </c>
      <c r="B77" s="23">
        <v>4577.1480000000001</v>
      </c>
      <c r="C77" s="23">
        <v>0.97961428451233379</v>
      </c>
      <c r="D77" t="str">
        <f t="shared" si="1"/>
        <v>C</v>
      </c>
    </row>
    <row r="78" spans="1:4" x14ac:dyDescent="0.35">
      <c r="A78" s="24" t="s">
        <v>793</v>
      </c>
      <c r="B78" s="23">
        <v>4569.8508000000002</v>
      </c>
      <c r="C78" s="23">
        <v>0.98289913136744478</v>
      </c>
      <c r="D78" t="str">
        <f t="shared" si="1"/>
        <v>C</v>
      </c>
    </row>
    <row r="79" spans="1:4" x14ac:dyDescent="0.35">
      <c r="A79" s="24" t="s">
        <v>865</v>
      </c>
      <c r="B79" s="23">
        <v>4417.8334199999999</v>
      </c>
      <c r="C79" s="23">
        <v>0.98607470686240239</v>
      </c>
      <c r="D79" t="str">
        <f t="shared" si="1"/>
        <v>C</v>
      </c>
    </row>
    <row r="80" spans="1:4" x14ac:dyDescent="0.35">
      <c r="A80" s="24" t="s">
        <v>1092</v>
      </c>
      <c r="B80" s="23">
        <v>4071.8</v>
      </c>
      <c r="C80" s="23">
        <v>0.98900155065009054</v>
      </c>
      <c r="D80" t="str">
        <f t="shared" si="1"/>
        <v>C</v>
      </c>
    </row>
    <row r="81" spans="1:4" x14ac:dyDescent="0.35">
      <c r="A81" s="24" t="s">
        <v>1072</v>
      </c>
      <c r="B81" s="23">
        <v>3021.5016000000001</v>
      </c>
      <c r="C81" s="23">
        <v>0.99117343119123935</v>
      </c>
      <c r="D81" t="str">
        <f t="shared" si="1"/>
        <v>C</v>
      </c>
    </row>
    <row r="82" spans="1:4" x14ac:dyDescent="0.35">
      <c r="A82" s="24" t="s">
        <v>1199</v>
      </c>
      <c r="B82" s="23">
        <v>2719.8567000000003</v>
      </c>
      <c r="C82" s="23">
        <v>0.99312848686337374</v>
      </c>
      <c r="D82" t="str">
        <f t="shared" si="1"/>
        <v>C</v>
      </c>
    </row>
    <row r="83" spans="1:4" x14ac:dyDescent="0.35">
      <c r="A83" s="24" t="s">
        <v>847</v>
      </c>
      <c r="B83" s="23">
        <v>2117.4834999999998</v>
      </c>
      <c r="C83" s="23">
        <v>0.9946505516572014</v>
      </c>
      <c r="D83" t="str">
        <f t="shared" si="1"/>
        <v>C</v>
      </c>
    </row>
    <row r="84" spans="1:4" x14ac:dyDescent="0.35">
      <c r="A84" s="24" t="s">
        <v>1223</v>
      </c>
      <c r="B84" s="23">
        <v>1547.3500000000001</v>
      </c>
      <c r="C84" s="23">
        <v>0.99576279973787318</v>
      </c>
      <c r="D84" t="str">
        <f t="shared" si="1"/>
        <v>C</v>
      </c>
    </row>
    <row r="85" spans="1:4" x14ac:dyDescent="0.35">
      <c r="A85" s="24" t="s">
        <v>873</v>
      </c>
      <c r="B85" s="23">
        <v>1446.9507000000001</v>
      </c>
      <c r="C85" s="23">
        <v>0.996802879964649</v>
      </c>
      <c r="D85" t="str">
        <f t="shared" si="1"/>
        <v>C</v>
      </c>
    </row>
    <row r="86" spans="1:4" x14ac:dyDescent="0.35">
      <c r="A86" s="24" t="s">
        <v>1352</v>
      </c>
      <c r="B86" s="23">
        <v>1030.7574</v>
      </c>
      <c r="C86" s="23">
        <v>0.99754379697746975</v>
      </c>
      <c r="D86" t="str">
        <f t="shared" si="1"/>
        <v>C</v>
      </c>
    </row>
    <row r="87" spans="1:4" x14ac:dyDescent="0.35">
      <c r="A87" s="24" t="s">
        <v>1250</v>
      </c>
      <c r="B87" s="23">
        <v>1010.3759200000001</v>
      </c>
      <c r="C87" s="23">
        <v>0.99827006361254067</v>
      </c>
      <c r="D87" t="str">
        <f t="shared" si="1"/>
        <v>C</v>
      </c>
    </row>
    <row r="88" spans="1:4" x14ac:dyDescent="0.35">
      <c r="A88" s="24" t="s">
        <v>1194</v>
      </c>
      <c r="B88" s="23">
        <v>930.17574000000002</v>
      </c>
      <c r="C88" s="23">
        <v>0.99893868168957722</v>
      </c>
      <c r="D88" t="str">
        <f t="shared" si="1"/>
        <v>C</v>
      </c>
    </row>
    <row r="89" spans="1:4" x14ac:dyDescent="0.35">
      <c r="A89" s="24" t="s">
        <v>955</v>
      </c>
      <c r="B89" s="23">
        <v>908.03700000000003</v>
      </c>
      <c r="C89" s="23">
        <v>0.99959138625572508</v>
      </c>
      <c r="D89" t="str">
        <f t="shared" si="1"/>
        <v>C</v>
      </c>
    </row>
    <row r="90" spans="1:4" x14ac:dyDescent="0.35">
      <c r="A90" s="24" t="s">
        <v>843</v>
      </c>
      <c r="B90" s="23">
        <v>549.80010000000004</v>
      </c>
      <c r="C90" s="23">
        <v>0.99998658715143596</v>
      </c>
      <c r="D90" t="str">
        <f t="shared" si="1"/>
        <v>C</v>
      </c>
    </row>
    <row r="91" spans="1:4" x14ac:dyDescent="0.35">
      <c r="A91" s="24" t="s">
        <v>914</v>
      </c>
      <c r="B91" s="23">
        <v>18.659839999999999</v>
      </c>
      <c r="C91" s="23">
        <v>1.0000000000000002</v>
      </c>
      <c r="D91" t="str">
        <f t="shared" si="1"/>
        <v>C</v>
      </c>
    </row>
    <row r="92" spans="1:4" x14ac:dyDescent="0.35">
      <c r="A92" s="19" t="s">
        <v>727</v>
      </c>
      <c r="B92" s="23">
        <v>1550200.534329999</v>
      </c>
    </row>
    <row r="93" spans="1:4" x14ac:dyDescent="0.35">
      <c r="A93" s="24" t="s">
        <v>971</v>
      </c>
      <c r="B93" s="23">
        <v>139277.83032000001</v>
      </c>
      <c r="C93" s="23">
        <v>8.9845040841891002E-2</v>
      </c>
      <c r="D93" t="str">
        <f t="shared" ref="D93:D156" si="2">IF(C93&lt;=0.85,"A",IF(C93&lt;=0.95,"B","C"))</f>
        <v>A</v>
      </c>
    </row>
    <row r="94" spans="1:4" x14ac:dyDescent="0.35">
      <c r="A94" s="24" t="s">
        <v>1198</v>
      </c>
      <c r="B94" s="23">
        <v>84136.119600000005</v>
      </c>
      <c r="C94" s="23">
        <v>0.14411938647444741</v>
      </c>
      <c r="D94" t="str">
        <f t="shared" si="2"/>
        <v>A</v>
      </c>
    </row>
    <row r="95" spans="1:4" x14ac:dyDescent="0.35">
      <c r="A95" s="24" t="s">
        <v>860</v>
      </c>
      <c r="B95" s="23">
        <v>65111.38614000001</v>
      </c>
      <c r="C95" s="23">
        <v>0.18612129829041857</v>
      </c>
      <c r="D95" t="str">
        <f t="shared" si="2"/>
        <v>A</v>
      </c>
    </row>
    <row r="96" spans="1:4" x14ac:dyDescent="0.35">
      <c r="A96" s="24" t="s">
        <v>743</v>
      </c>
      <c r="B96" s="23">
        <v>60928.502359999999</v>
      </c>
      <c r="C96" s="23">
        <v>0.22542492450567689</v>
      </c>
      <c r="D96" t="str">
        <f t="shared" si="2"/>
        <v>A</v>
      </c>
    </row>
    <row r="97" spans="1:4" x14ac:dyDescent="0.35">
      <c r="A97" s="24" t="s">
        <v>1125</v>
      </c>
      <c r="B97" s="23">
        <v>52361.645000000004</v>
      </c>
      <c r="C97" s="23">
        <v>0.25920226094726884</v>
      </c>
      <c r="D97" t="str">
        <f t="shared" si="2"/>
        <v>A</v>
      </c>
    </row>
    <row r="98" spans="1:4" x14ac:dyDescent="0.35">
      <c r="A98" s="24" t="s">
        <v>1245</v>
      </c>
      <c r="B98" s="23">
        <v>50296.415399999998</v>
      </c>
      <c r="C98" s="23">
        <v>0.29164736355571186</v>
      </c>
      <c r="D98" t="str">
        <f t="shared" si="2"/>
        <v>A</v>
      </c>
    </row>
    <row r="99" spans="1:4" x14ac:dyDescent="0.35">
      <c r="A99" s="24" t="s">
        <v>1351</v>
      </c>
      <c r="B99" s="23">
        <v>41419.524249999995</v>
      </c>
      <c r="C99" s="23">
        <v>0.31836618046535875</v>
      </c>
      <c r="D99" t="str">
        <f t="shared" si="2"/>
        <v>A</v>
      </c>
    </row>
    <row r="100" spans="1:4" x14ac:dyDescent="0.35">
      <c r="A100" s="24" t="s">
        <v>1361</v>
      </c>
      <c r="B100" s="23">
        <v>40476.013200000001</v>
      </c>
      <c r="C100" s="23">
        <v>0.3444763593123128</v>
      </c>
      <c r="D100" t="str">
        <f t="shared" si="2"/>
        <v>A</v>
      </c>
    </row>
    <row r="101" spans="1:4" x14ac:dyDescent="0.35">
      <c r="A101" s="24" t="s">
        <v>794</v>
      </c>
      <c r="B101" s="23">
        <v>33687.501800000005</v>
      </c>
      <c r="C101" s="23">
        <v>0.36620741994219436</v>
      </c>
      <c r="D101" t="str">
        <f t="shared" si="2"/>
        <v>A</v>
      </c>
    </row>
    <row r="102" spans="1:4" x14ac:dyDescent="0.35">
      <c r="A102" s="24" t="s">
        <v>1247</v>
      </c>
      <c r="B102" s="23">
        <v>33308.550000000003</v>
      </c>
      <c r="C102" s="23">
        <v>0.38769402716646301</v>
      </c>
      <c r="D102" t="str">
        <f t="shared" si="2"/>
        <v>A</v>
      </c>
    </row>
    <row r="103" spans="1:4" x14ac:dyDescent="0.35">
      <c r="A103" s="24" t="s">
        <v>1238</v>
      </c>
      <c r="B103" s="23">
        <v>32335.21802</v>
      </c>
      <c r="C103" s="23">
        <v>0.4085527595071633</v>
      </c>
      <c r="D103" t="str">
        <f t="shared" si="2"/>
        <v>A</v>
      </c>
    </row>
    <row r="104" spans="1:4" x14ac:dyDescent="0.35">
      <c r="A104" s="24" t="s">
        <v>795</v>
      </c>
      <c r="B104" s="23">
        <v>27701.570400000001</v>
      </c>
      <c r="C104" s="23">
        <v>0.42642242848645612</v>
      </c>
      <c r="D104" t="str">
        <f t="shared" si="2"/>
        <v>A</v>
      </c>
    </row>
    <row r="105" spans="1:4" x14ac:dyDescent="0.35">
      <c r="A105" s="24" t="s">
        <v>844</v>
      </c>
      <c r="B105" s="23">
        <v>27676.35</v>
      </c>
      <c r="C105" s="23">
        <v>0.44427582834479235</v>
      </c>
      <c r="D105" t="str">
        <f t="shared" si="2"/>
        <v>A</v>
      </c>
    </row>
    <row r="106" spans="1:4" x14ac:dyDescent="0.35">
      <c r="A106" s="24" t="s">
        <v>768</v>
      </c>
      <c r="B106" s="23">
        <v>27331.829999999998</v>
      </c>
      <c r="C106" s="23">
        <v>0.46190698598841484</v>
      </c>
      <c r="D106" t="str">
        <f t="shared" si="2"/>
        <v>A</v>
      </c>
    </row>
    <row r="107" spans="1:4" x14ac:dyDescent="0.35">
      <c r="A107" s="24" t="s">
        <v>1082</v>
      </c>
      <c r="B107" s="23">
        <v>27158.894079999998</v>
      </c>
      <c r="C107" s="23">
        <v>0.47942658650367209</v>
      </c>
      <c r="D107" t="str">
        <f t="shared" si="2"/>
        <v>A</v>
      </c>
    </row>
    <row r="108" spans="1:4" x14ac:dyDescent="0.35">
      <c r="A108" s="24" t="s">
        <v>1058</v>
      </c>
      <c r="B108" s="23">
        <v>26015.449459999996</v>
      </c>
      <c r="C108" s="23">
        <v>0.49620857624233777</v>
      </c>
      <c r="D108" t="str">
        <f t="shared" si="2"/>
        <v>A</v>
      </c>
    </row>
    <row r="109" spans="1:4" x14ac:dyDescent="0.35">
      <c r="A109" s="24" t="s">
        <v>1034</v>
      </c>
      <c r="B109" s="23">
        <v>25577.274079999999</v>
      </c>
      <c r="C109" s="23">
        <v>0.51270790875679506</v>
      </c>
      <c r="D109" t="str">
        <f t="shared" si="2"/>
        <v>A</v>
      </c>
    </row>
    <row r="110" spans="1:4" x14ac:dyDescent="0.35">
      <c r="A110" s="24" t="s">
        <v>1201</v>
      </c>
      <c r="B110" s="23">
        <v>25269.09</v>
      </c>
      <c r="C110" s="23">
        <v>0.52900843855303936</v>
      </c>
      <c r="D110" t="str">
        <f t="shared" si="2"/>
        <v>A</v>
      </c>
    </row>
    <row r="111" spans="1:4" x14ac:dyDescent="0.35">
      <c r="A111" s="24" t="s">
        <v>1319</v>
      </c>
      <c r="B111" s="23">
        <v>25131.155999999999</v>
      </c>
      <c r="C111" s="23">
        <v>0.54521999018359124</v>
      </c>
      <c r="D111" t="str">
        <f t="shared" si="2"/>
        <v>A</v>
      </c>
    </row>
    <row r="112" spans="1:4" x14ac:dyDescent="0.35">
      <c r="A112" s="24" t="s">
        <v>758</v>
      </c>
      <c r="B112" s="23">
        <v>24894.430559999997</v>
      </c>
      <c r="C112" s="23">
        <v>0.56127883548050594</v>
      </c>
      <c r="D112" t="str">
        <f t="shared" si="2"/>
        <v>A</v>
      </c>
    </row>
    <row r="113" spans="1:4" x14ac:dyDescent="0.35">
      <c r="A113" s="24" t="s">
        <v>1192</v>
      </c>
      <c r="B113" s="23">
        <v>24321.57</v>
      </c>
      <c r="C113" s="23">
        <v>0.57696814112928241</v>
      </c>
      <c r="D113" t="str">
        <f t="shared" si="2"/>
        <v>A</v>
      </c>
    </row>
    <row r="114" spans="1:4" x14ac:dyDescent="0.35">
      <c r="A114" s="24" t="s">
        <v>891</v>
      </c>
      <c r="B114" s="23">
        <v>24147.922500000001</v>
      </c>
      <c r="C114" s="23">
        <v>0.59254543062521003</v>
      </c>
      <c r="D114" t="str">
        <f t="shared" si="2"/>
        <v>A</v>
      </c>
    </row>
    <row r="115" spans="1:4" x14ac:dyDescent="0.35">
      <c r="A115" s="24" t="s">
        <v>1185</v>
      </c>
      <c r="B115" s="23">
        <v>23694.405119999999</v>
      </c>
      <c r="C115" s="23">
        <v>0.60783016611282925</v>
      </c>
      <c r="D115" t="str">
        <f t="shared" si="2"/>
        <v>A</v>
      </c>
    </row>
    <row r="116" spans="1:4" x14ac:dyDescent="0.35">
      <c r="A116" s="24" t="s">
        <v>994</v>
      </c>
      <c r="B116" s="23">
        <v>22882.675440000003</v>
      </c>
      <c r="C116" s="23">
        <v>0.6225912727782259</v>
      </c>
      <c r="D116" t="str">
        <f t="shared" si="2"/>
        <v>A</v>
      </c>
    </row>
    <row r="117" spans="1:4" x14ac:dyDescent="0.35">
      <c r="A117" s="24" t="s">
        <v>812</v>
      </c>
      <c r="B117" s="23">
        <v>21787.936199999996</v>
      </c>
      <c r="C117" s="23">
        <v>0.63664618742797263</v>
      </c>
      <c r="D117" t="str">
        <f t="shared" si="2"/>
        <v>A</v>
      </c>
    </row>
    <row r="118" spans="1:4" x14ac:dyDescent="0.35">
      <c r="A118" s="24" t="s">
        <v>1099</v>
      </c>
      <c r="B118" s="23">
        <v>21584.693520000001</v>
      </c>
      <c r="C118" s="23">
        <v>0.65056999473031563</v>
      </c>
      <c r="D118" t="str">
        <f t="shared" si="2"/>
        <v>A</v>
      </c>
    </row>
    <row r="119" spans="1:4" x14ac:dyDescent="0.35">
      <c r="A119" s="24" t="s">
        <v>1127</v>
      </c>
      <c r="B119" s="23">
        <v>19800.88896</v>
      </c>
      <c r="C119" s="23">
        <v>0.66334310925421047</v>
      </c>
      <c r="D119" t="str">
        <f t="shared" si="2"/>
        <v>A</v>
      </c>
    </row>
    <row r="120" spans="1:4" x14ac:dyDescent="0.35">
      <c r="A120" s="24" t="s">
        <v>990</v>
      </c>
      <c r="B120" s="23">
        <v>19073.059649999999</v>
      </c>
      <c r="C120" s="23">
        <v>0.67564671722467429</v>
      </c>
      <c r="D120" t="str">
        <f t="shared" si="2"/>
        <v>A</v>
      </c>
    </row>
    <row r="121" spans="1:4" x14ac:dyDescent="0.35">
      <c r="A121" s="24" t="s">
        <v>770</v>
      </c>
      <c r="B121" s="23">
        <v>18957.37689</v>
      </c>
      <c r="C121" s="23">
        <v>0.68787570081110661</v>
      </c>
      <c r="D121" t="str">
        <f t="shared" si="2"/>
        <v>A</v>
      </c>
    </row>
    <row r="122" spans="1:4" x14ac:dyDescent="0.35">
      <c r="A122" s="24" t="s">
        <v>1101</v>
      </c>
      <c r="B122" s="23">
        <v>18554.370299999999</v>
      </c>
      <c r="C122" s="23">
        <v>0.69984471378014113</v>
      </c>
      <c r="D122" t="str">
        <f t="shared" si="2"/>
        <v>A</v>
      </c>
    </row>
    <row r="123" spans="1:4" x14ac:dyDescent="0.35">
      <c r="A123" s="24" t="s">
        <v>944</v>
      </c>
      <c r="B123" s="23">
        <v>18061.204320000004</v>
      </c>
      <c r="C123" s="23">
        <v>0.71149559630793369</v>
      </c>
      <c r="D123" t="str">
        <f t="shared" si="2"/>
        <v>A</v>
      </c>
    </row>
    <row r="124" spans="1:4" x14ac:dyDescent="0.35">
      <c r="A124" s="24" t="s">
        <v>778</v>
      </c>
      <c r="B124" s="23">
        <v>17930.494560000003</v>
      </c>
      <c r="C124" s="23">
        <v>0.72306216086711161</v>
      </c>
      <c r="D124" t="str">
        <f t="shared" si="2"/>
        <v>A</v>
      </c>
    </row>
    <row r="125" spans="1:4" x14ac:dyDescent="0.35">
      <c r="A125" s="24" t="s">
        <v>1001</v>
      </c>
      <c r="B125" s="23">
        <v>17594.028880000002</v>
      </c>
      <c r="C125" s="23">
        <v>0.73441167887486036</v>
      </c>
      <c r="D125" t="str">
        <f t="shared" si="2"/>
        <v>A</v>
      </c>
    </row>
    <row r="126" spans="1:4" x14ac:dyDescent="0.35">
      <c r="A126" s="24" t="s">
        <v>1298</v>
      </c>
      <c r="B126" s="23">
        <v>17540.201120000002</v>
      </c>
      <c r="C126" s="23">
        <v>0.74572647378788171</v>
      </c>
      <c r="D126" t="str">
        <f t="shared" si="2"/>
        <v>A</v>
      </c>
    </row>
    <row r="127" spans="1:4" x14ac:dyDescent="0.35">
      <c r="A127" s="24" t="s">
        <v>1135</v>
      </c>
      <c r="B127" s="23">
        <v>16946.091840000001</v>
      </c>
      <c r="C127" s="23">
        <v>0.75665802197453236</v>
      </c>
      <c r="D127" t="str">
        <f t="shared" si="2"/>
        <v>A</v>
      </c>
    </row>
    <row r="128" spans="1:4" x14ac:dyDescent="0.35">
      <c r="A128" s="24" t="s">
        <v>1205</v>
      </c>
      <c r="B128" s="23">
        <v>15374.563199999999</v>
      </c>
      <c r="C128" s="23">
        <v>0.76657581187301471</v>
      </c>
      <c r="D128" t="str">
        <f t="shared" si="2"/>
        <v>A</v>
      </c>
    </row>
    <row r="129" spans="1:4" x14ac:dyDescent="0.35">
      <c r="A129" s="24" t="s">
        <v>1111</v>
      </c>
      <c r="B129" s="23">
        <v>15348.702599999999</v>
      </c>
      <c r="C129" s="23">
        <v>0.77647691967171228</v>
      </c>
      <c r="D129" t="str">
        <f t="shared" si="2"/>
        <v>A</v>
      </c>
    </row>
    <row r="130" spans="1:4" x14ac:dyDescent="0.35">
      <c r="A130" s="24" t="s">
        <v>968</v>
      </c>
      <c r="B130" s="23">
        <v>14269.848599999999</v>
      </c>
      <c r="C130" s="23">
        <v>0.78568208267094153</v>
      </c>
      <c r="D130" t="str">
        <f t="shared" si="2"/>
        <v>A</v>
      </c>
    </row>
    <row r="131" spans="1:4" x14ac:dyDescent="0.35">
      <c r="A131" s="24" t="s">
        <v>820</v>
      </c>
      <c r="B131" s="23">
        <v>14197.064400000001</v>
      </c>
      <c r="C131" s="23">
        <v>0.79484029419622404</v>
      </c>
      <c r="D131" t="str">
        <f t="shared" si="2"/>
        <v>A</v>
      </c>
    </row>
    <row r="132" spans="1:4" x14ac:dyDescent="0.35">
      <c r="A132" s="24" t="s">
        <v>1358</v>
      </c>
      <c r="B132" s="23">
        <v>13983.752729999998</v>
      </c>
      <c r="C132" s="23">
        <v>0.80386090309186209</v>
      </c>
      <c r="D132" t="str">
        <f t="shared" si="2"/>
        <v>A</v>
      </c>
    </row>
    <row r="133" spans="1:4" x14ac:dyDescent="0.35">
      <c r="A133" s="24" t="s">
        <v>954</v>
      </c>
      <c r="B133" s="23">
        <v>13519.529099999998</v>
      </c>
      <c r="C133" s="23">
        <v>0.8125820516146518</v>
      </c>
      <c r="D133" t="str">
        <f t="shared" si="2"/>
        <v>A</v>
      </c>
    </row>
    <row r="134" spans="1:4" x14ac:dyDescent="0.35">
      <c r="A134" s="24" t="s">
        <v>1131</v>
      </c>
      <c r="B134" s="23">
        <v>13185.543</v>
      </c>
      <c r="C134" s="23">
        <v>0.82108775310810334</v>
      </c>
      <c r="D134" t="str">
        <f t="shared" si="2"/>
        <v>A</v>
      </c>
    </row>
    <row r="135" spans="1:4" x14ac:dyDescent="0.35">
      <c r="A135" s="24" t="s">
        <v>819</v>
      </c>
      <c r="B135" s="23">
        <v>13146.470699999998</v>
      </c>
      <c r="C135" s="23">
        <v>0.82956824992697575</v>
      </c>
      <c r="D135" t="str">
        <f t="shared" si="2"/>
        <v>A</v>
      </c>
    </row>
    <row r="136" spans="1:4" x14ac:dyDescent="0.35">
      <c r="A136" s="24" t="s">
        <v>984</v>
      </c>
      <c r="B136" s="23">
        <v>12186.368600000002</v>
      </c>
      <c r="C136" s="23">
        <v>0.83742940616458927</v>
      </c>
      <c r="D136" t="str">
        <f t="shared" si="2"/>
        <v>A</v>
      </c>
    </row>
    <row r="137" spans="1:4" x14ac:dyDescent="0.35">
      <c r="A137" s="24" t="s">
        <v>839</v>
      </c>
      <c r="B137" s="23">
        <v>12080.215199999999</v>
      </c>
      <c r="C137" s="23">
        <v>0.84522208519706099</v>
      </c>
      <c r="D137" t="str">
        <f t="shared" si="2"/>
        <v>A</v>
      </c>
    </row>
    <row r="138" spans="1:4" x14ac:dyDescent="0.35">
      <c r="A138" s="24" t="s">
        <v>771</v>
      </c>
      <c r="B138" s="23">
        <v>11995.153920000001</v>
      </c>
      <c r="C138" s="23">
        <v>0.85295989308343512</v>
      </c>
      <c r="D138" t="str">
        <f t="shared" si="2"/>
        <v>B</v>
      </c>
    </row>
    <row r="139" spans="1:4" x14ac:dyDescent="0.35">
      <c r="A139" s="24" t="s">
        <v>1323</v>
      </c>
      <c r="B139" s="23">
        <v>11742.8703</v>
      </c>
      <c r="C139" s="23">
        <v>0.86053495839914629</v>
      </c>
      <c r="D139" t="str">
        <f t="shared" si="2"/>
        <v>B</v>
      </c>
    </row>
    <row r="140" spans="1:4" x14ac:dyDescent="0.35">
      <c r="A140" s="24" t="s">
        <v>1023</v>
      </c>
      <c r="B140" s="23">
        <v>10456.416880000001</v>
      </c>
      <c r="C140" s="23">
        <v>0.8672801611315909</v>
      </c>
      <c r="D140" t="str">
        <f t="shared" si="2"/>
        <v>B</v>
      </c>
    </row>
    <row r="141" spans="1:4" x14ac:dyDescent="0.35">
      <c r="A141" s="24" t="s">
        <v>764</v>
      </c>
      <c r="B141" s="23">
        <v>9805.8573800000013</v>
      </c>
      <c r="C141" s="23">
        <v>0.87360570235212598</v>
      </c>
      <c r="D141" t="str">
        <f t="shared" si="2"/>
        <v>B</v>
      </c>
    </row>
    <row r="142" spans="1:4" x14ac:dyDescent="0.35">
      <c r="A142" s="24" t="s">
        <v>870</v>
      </c>
      <c r="B142" s="23">
        <v>9698.1638399999993</v>
      </c>
      <c r="C142" s="23">
        <v>0.87986177285734724</v>
      </c>
      <c r="D142" t="str">
        <f t="shared" si="2"/>
        <v>B</v>
      </c>
    </row>
    <row r="143" spans="1:4" x14ac:dyDescent="0.35">
      <c r="A143" s="24" t="s">
        <v>803</v>
      </c>
      <c r="B143" s="23">
        <v>8930.7124999999996</v>
      </c>
      <c r="C143" s="23">
        <v>0.88562277751592178</v>
      </c>
      <c r="D143" t="str">
        <f t="shared" si="2"/>
        <v>B</v>
      </c>
    </row>
    <row r="144" spans="1:4" x14ac:dyDescent="0.35">
      <c r="A144" s="24" t="s">
        <v>905</v>
      </c>
      <c r="B144" s="23">
        <v>8928.9795999999988</v>
      </c>
      <c r="C144" s="23">
        <v>0.89138266431912117</v>
      </c>
      <c r="D144" t="str">
        <f t="shared" si="2"/>
        <v>B</v>
      </c>
    </row>
    <row r="145" spans="1:4" x14ac:dyDescent="0.35">
      <c r="A145" s="24" t="s">
        <v>859</v>
      </c>
      <c r="B145" s="23">
        <v>8909.8587200000002</v>
      </c>
      <c r="C145" s="23">
        <v>0.89713021666650228</v>
      </c>
      <c r="D145" t="str">
        <f t="shared" si="2"/>
        <v>B</v>
      </c>
    </row>
    <row r="146" spans="1:4" x14ac:dyDescent="0.35">
      <c r="A146" s="24" t="s">
        <v>1028</v>
      </c>
      <c r="B146" s="23">
        <v>8903.4839999999986</v>
      </c>
      <c r="C146" s="23">
        <v>0.90287365682332565</v>
      </c>
      <c r="D146" t="str">
        <f t="shared" si="2"/>
        <v>B</v>
      </c>
    </row>
    <row r="147" spans="1:4" x14ac:dyDescent="0.35">
      <c r="A147" s="24" t="s">
        <v>1049</v>
      </c>
      <c r="B147" s="23">
        <v>8780.5809000000008</v>
      </c>
      <c r="C147" s="23">
        <v>0.90853781491484309</v>
      </c>
      <c r="D147" t="str">
        <f t="shared" si="2"/>
        <v>B</v>
      </c>
    </row>
    <row r="148" spans="1:4" x14ac:dyDescent="0.35">
      <c r="A148" s="24" t="s">
        <v>1328</v>
      </c>
      <c r="B148" s="23">
        <v>8128.5187499999993</v>
      </c>
      <c r="C148" s="23">
        <v>0.91378134216824658</v>
      </c>
      <c r="D148" t="str">
        <f t="shared" si="2"/>
        <v>B</v>
      </c>
    </row>
    <row r="149" spans="1:4" x14ac:dyDescent="0.35">
      <c r="A149" s="24" t="s">
        <v>1137</v>
      </c>
      <c r="B149" s="23">
        <v>7832.0010999999995</v>
      </c>
      <c r="C149" s="23">
        <v>0.9188335924588098</v>
      </c>
      <c r="D149" t="str">
        <f t="shared" si="2"/>
        <v>B</v>
      </c>
    </row>
    <row r="150" spans="1:4" x14ac:dyDescent="0.35">
      <c r="A150" s="24" t="s">
        <v>1253</v>
      </c>
      <c r="B150" s="23">
        <v>7399.4832000000006</v>
      </c>
      <c r="C150" s="23">
        <v>0.92360683504009822</v>
      </c>
      <c r="D150" t="str">
        <f t="shared" si="2"/>
        <v>B</v>
      </c>
    </row>
    <row r="151" spans="1:4" x14ac:dyDescent="0.35">
      <c r="A151" s="24" t="s">
        <v>1170</v>
      </c>
      <c r="B151" s="23">
        <v>7340.3891399999993</v>
      </c>
      <c r="C151" s="23">
        <v>0.92834195735327207</v>
      </c>
      <c r="D151" t="str">
        <f t="shared" si="2"/>
        <v>B</v>
      </c>
    </row>
    <row r="152" spans="1:4" x14ac:dyDescent="0.35">
      <c r="A152" s="24" t="s">
        <v>809</v>
      </c>
      <c r="B152" s="23">
        <v>6874.4828600000001</v>
      </c>
      <c r="C152" s="23">
        <v>0.93277653385338366</v>
      </c>
      <c r="D152" t="str">
        <f t="shared" si="2"/>
        <v>B</v>
      </c>
    </row>
    <row r="153" spans="1:4" x14ac:dyDescent="0.35">
      <c r="A153" s="24" t="s">
        <v>1293</v>
      </c>
      <c r="B153" s="23">
        <v>6766.9829999999993</v>
      </c>
      <c r="C153" s="23">
        <v>0.93714176457685561</v>
      </c>
      <c r="D153" t="str">
        <f t="shared" si="2"/>
        <v>B</v>
      </c>
    </row>
    <row r="154" spans="1:4" x14ac:dyDescent="0.35">
      <c r="A154" s="24" t="s">
        <v>940</v>
      </c>
      <c r="B154" s="23">
        <v>6702.3501999999999</v>
      </c>
      <c r="C154" s="23">
        <v>0.94146530211382129</v>
      </c>
      <c r="D154" t="str">
        <f t="shared" si="2"/>
        <v>B</v>
      </c>
    </row>
    <row r="155" spans="1:4" x14ac:dyDescent="0.35">
      <c r="A155" s="24" t="s">
        <v>1224</v>
      </c>
      <c r="B155" s="23">
        <v>6664.0999999999995</v>
      </c>
      <c r="C155" s="23">
        <v>0.94576416529469376</v>
      </c>
      <c r="D155" t="str">
        <f t="shared" si="2"/>
        <v>B</v>
      </c>
    </row>
    <row r="156" spans="1:4" x14ac:dyDescent="0.35">
      <c r="A156" s="24" t="s">
        <v>1257</v>
      </c>
      <c r="B156" s="23">
        <v>6435.2555999999995</v>
      </c>
      <c r="C156" s="23">
        <v>0.9499154060261269</v>
      </c>
      <c r="D156" t="str">
        <f t="shared" si="2"/>
        <v>B</v>
      </c>
    </row>
    <row r="157" spans="1:4" x14ac:dyDescent="0.35">
      <c r="A157" s="24" t="s">
        <v>835</v>
      </c>
      <c r="B157" s="23">
        <v>6324.5775999999996</v>
      </c>
      <c r="C157" s="23">
        <v>0.9539952508332592</v>
      </c>
      <c r="D157" t="str">
        <f t="shared" ref="D157:D220" si="3">IF(C157&lt;=0.85,"A",IF(C157&lt;=0.95,"B","C"))</f>
        <v>C</v>
      </c>
    </row>
    <row r="158" spans="1:4" x14ac:dyDescent="0.35">
      <c r="A158" s="24" t="s">
        <v>1313</v>
      </c>
      <c r="B158" s="23">
        <v>6137.8019999999988</v>
      </c>
      <c r="C158" s="23">
        <v>0.95795461084125499</v>
      </c>
      <c r="D158" t="str">
        <f t="shared" si="3"/>
        <v>C</v>
      </c>
    </row>
    <row r="159" spans="1:4" x14ac:dyDescent="0.35">
      <c r="A159" s="24" t="s">
        <v>1218</v>
      </c>
      <c r="B159" s="23">
        <v>6063.2517199999993</v>
      </c>
      <c r="C159" s="23">
        <v>0.9618658801162463</v>
      </c>
      <c r="D159" t="str">
        <f t="shared" si="3"/>
        <v>C</v>
      </c>
    </row>
    <row r="160" spans="1:4" x14ac:dyDescent="0.35">
      <c r="A160" s="24" t="s">
        <v>895</v>
      </c>
      <c r="B160" s="23">
        <v>5650.1744000000008</v>
      </c>
      <c r="C160" s="23">
        <v>0.96551068236916382</v>
      </c>
      <c r="D160" t="str">
        <f t="shared" si="3"/>
        <v>C</v>
      </c>
    </row>
    <row r="161" spans="1:4" x14ac:dyDescent="0.35">
      <c r="A161" s="24" t="s">
        <v>816</v>
      </c>
      <c r="B161" s="23">
        <v>5331.6696000000002</v>
      </c>
      <c r="C161" s="23">
        <v>0.96895002423618504</v>
      </c>
      <c r="D161" t="str">
        <f t="shared" si="3"/>
        <v>C</v>
      </c>
    </row>
    <row r="162" spans="1:4" x14ac:dyDescent="0.35">
      <c r="A162" s="24" t="s">
        <v>746</v>
      </c>
      <c r="B162" s="23">
        <v>4968.5039999999999</v>
      </c>
      <c r="C162" s="23">
        <v>0.9721550960252664</v>
      </c>
      <c r="D162" t="str">
        <f t="shared" si="3"/>
        <v>C</v>
      </c>
    </row>
    <row r="163" spans="1:4" x14ac:dyDescent="0.35">
      <c r="A163" s="24" t="s">
        <v>734</v>
      </c>
      <c r="B163" s="23">
        <v>4866.3287999999993</v>
      </c>
      <c r="C163" s="23">
        <v>0.97529425685783788</v>
      </c>
      <c r="D163" t="str">
        <f t="shared" si="3"/>
        <v>C</v>
      </c>
    </row>
    <row r="164" spans="1:4" x14ac:dyDescent="0.35">
      <c r="A164" s="24" t="s">
        <v>808</v>
      </c>
      <c r="B164" s="23">
        <v>4717.72</v>
      </c>
      <c r="C164" s="23">
        <v>0.97833755344787476</v>
      </c>
      <c r="D164" t="str">
        <f t="shared" si="3"/>
        <v>C</v>
      </c>
    </row>
    <row r="165" spans="1:4" x14ac:dyDescent="0.35">
      <c r="A165" s="24" t="s">
        <v>956</v>
      </c>
      <c r="B165" s="23">
        <v>4503.4363999999996</v>
      </c>
      <c r="C165" s="23">
        <v>0.98124262043777</v>
      </c>
      <c r="D165" t="str">
        <f t="shared" si="3"/>
        <v>C</v>
      </c>
    </row>
    <row r="166" spans="1:4" x14ac:dyDescent="0.35">
      <c r="A166" s="24" t="s">
        <v>1210</v>
      </c>
      <c r="B166" s="23">
        <v>4212.3745999999992</v>
      </c>
      <c r="C166" s="23">
        <v>0.98395992991271519</v>
      </c>
      <c r="D166" t="str">
        <f t="shared" si="3"/>
        <v>C</v>
      </c>
    </row>
    <row r="167" spans="1:4" x14ac:dyDescent="0.35">
      <c r="A167" s="24" t="s">
        <v>1244</v>
      </c>
      <c r="B167" s="23">
        <v>3525.5505600000001</v>
      </c>
      <c r="C167" s="23">
        <v>0.98623418442490551</v>
      </c>
      <c r="D167" t="str">
        <f t="shared" si="3"/>
        <v>C</v>
      </c>
    </row>
    <row r="168" spans="1:4" x14ac:dyDescent="0.35">
      <c r="A168" s="24" t="s">
        <v>1302</v>
      </c>
      <c r="B168" s="23">
        <v>3378.1478400000001</v>
      </c>
      <c r="C168" s="23">
        <v>0.98841335271003328</v>
      </c>
      <c r="D168" t="str">
        <f t="shared" si="3"/>
        <v>C</v>
      </c>
    </row>
    <row r="169" spans="1:4" x14ac:dyDescent="0.35">
      <c r="A169" s="24" t="s">
        <v>1060</v>
      </c>
      <c r="B169" s="23">
        <v>2373.9623200000001</v>
      </c>
      <c r="C169" s="23">
        <v>0.98994474317689696</v>
      </c>
      <c r="D169" t="str">
        <f t="shared" si="3"/>
        <v>C</v>
      </c>
    </row>
    <row r="170" spans="1:4" x14ac:dyDescent="0.35">
      <c r="A170" s="24" t="s">
        <v>903</v>
      </c>
      <c r="B170" s="23">
        <v>2316.2621999999997</v>
      </c>
      <c r="C170" s="23">
        <v>0.99143891257543937</v>
      </c>
      <c r="D170" t="str">
        <f t="shared" si="3"/>
        <v>C</v>
      </c>
    </row>
    <row r="171" spans="1:4" x14ac:dyDescent="0.35">
      <c r="A171" s="24" t="s">
        <v>1341</v>
      </c>
      <c r="B171" s="23">
        <v>2077.46</v>
      </c>
      <c r="C171" s="23">
        <v>0.99277903596850592</v>
      </c>
      <c r="D171" t="str">
        <f t="shared" si="3"/>
        <v>C</v>
      </c>
    </row>
    <row r="172" spans="1:4" x14ac:dyDescent="0.35">
      <c r="A172" s="24" t="s">
        <v>858</v>
      </c>
      <c r="B172" s="23">
        <v>2072.9258400000003</v>
      </c>
      <c r="C172" s="23">
        <v>0.99411623447546937</v>
      </c>
      <c r="D172" t="str">
        <f t="shared" si="3"/>
        <v>C</v>
      </c>
    </row>
    <row r="173" spans="1:4" x14ac:dyDescent="0.35">
      <c r="A173" s="24" t="s">
        <v>1197</v>
      </c>
      <c r="B173" s="23">
        <v>1808.04592</v>
      </c>
      <c r="C173" s="23">
        <v>0.99528256481787336</v>
      </c>
      <c r="D173" t="str">
        <f t="shared" si="3"/>
        <v>C</v>
      </c>
    </row>
    <row r="174" spans="1:4" x14ac:dyDescent="0.35">
      <c r="A174" s="24" t="s">
        <v>1193</v>
      </c>
      <c r="B174" s="23">
        <v>1662.6945600000001</v>
      </c>
      <c r="C174" s="23">
        <v>0.99635513222007632</v>
      </c>
      <c r="D174" t="str">
        <f t="shared" si="3"/>
        <v>C</v>
      </c>
    </row>
    <row r="175" spans="1:4" x14ac:dyDescent="0.35">
      <c r="A175" s="24" t="s">
        <v>821</v>
      </c>
      <c r="B175" s="23">
        <v>1654.8966000000003</v>
      </c>
      <c r="C175" s="23">
        <v>0.99742266933114776</v>
      </c>
      <c r="D175" t="str">
        <f t="shared" si="3"/>
        <v>C</v>
      </c>
    </row>
    <row r="176" spans="1:4" x14ac:dyDescent="0.35">
      <c r="A176" s="24" t="s">
        <v>1252</v>
      </c>
      <c r="B176" s="23">
        <v>855.72881999999993</v>
      </c>
      <c r="C176" s="23">
        <v>0.99797468102321563</v>
      </c>
      <c r="D176" t="str">
        <f t="shared" si="3"/>
        <v>C</v>
      </c>
    </row>
    <row r="177" spans="1:4" x14ac:dyDescent="0.35">
      <c r="A177" s="24" t="s">
        <v>861</v>
      </c>
      <c r="B177" s="23">
        <v>853.32276999999988</v>
      </c>
      <c r="C177" s="23">
        <v>0.99852514062576558</v>
      </c>
      <c r="D177" t="str">
        <f t="shared" si="3"/>
        <v>C</v>
      </c>
    </row>
    <row r="178" spans="1:4" x14ac:dyDescent="0.35">
      <c r="A178" s="24" t="s">
        <v>1057</v>
      </c>
      <c r="B178" s="23">
        <v>703.2428000000001</v>
      </c>
      <c r="C178" s="23">
        <v>0.99897878696662679</v>
      </c>
      <c r="D178" t="str">
        <f t="shared" si="3"/>
        <v>C</v>
      </c>
    </row>
    <row r="179" spans="1:4" x14ac:dyDescent="0.35">
      <c r="A179" s="24" t="s">
        <v>964</v>
      </c>
      <c r="B179" s="23">
        <v>667.15008</v>
      </c>
      <c r="C179" s="23">
        <v>0.999409150693916</v>
      </c>
      <c r="D179" t="str">
        <f t="shared" si="3"/>
        <v>C</v>
      </c>
    </row>
    <row r="180" spans="1:4" x14ac:dyDescent="0.35">
      <c r="A180" s="24" t="s">
        <v>1307</v>
      </c>
      <c r="B180" s="23">
        <v>496.98660000000001</v>
      </c>
      <c r="C180" s="23">
        <v>0.9997297457324249</v>
      </c>
      <c r="D180" t="str">
        <f t="shared" si="3"/>
        <v>C</v>
      </c>
    </row>
    <row r="181" spans="1:4" x14ac:dyDescent="0.35">
      <c r="A181" s="24" t="s">
        <v>911</v>
      </c>
      <c r="B181" s="23">
        <v>321.93290999999999</v>
      </c>
      <c r="C181" s="23">
        <v>0.99993741751608811</v>
      </c>
      <c r="D181" t="str">
        <f t="shared" si="3"/>
        <v>C</v>
      </c>
    </row>
    <row r="182" spans="1:4" x14ac:dyDescent="0.35">
      <c r="A182" s="24" t="s">
        <v>906</v>
      </c>
      <c r="B182" s="23">
        <v>97.0154</v>
      </c>
      <c r="C182" s="23">
        <v>1</v>
      </c>
      <c r="D182" t="str">
        <f t="shared" si="3"/>
        <v>C</v>
      </c>
    </row>
    <row r="183" spans="1:4" x14ac:dyDescent="0.35">
      <c r="A183" s="19" t="s">
        <v>731</v>
      </c>
      <c r="B183" s="23">
        <v>1711094.3776</v>
      </c>
    </row>
    <row r="184" spans="1:4" x14ac:dyDescent="0.35">
      <c r="A184" s="24" t="s">
        <v>1155</v>
      </c>
      <c r="B184" s="23">
        <v>102122.94203999999</v>
      </c>
      <c r="C184" s="23">
        <v>5.9682822512244341E-2</v>
      </c>
      <c r="D184" t="str">
        <f t="shared" si="3"/>
        <v>A</v>
      </c>
    </row>
    <row r="185" spans="1:4" x14ac:dyDescent="0.35">
      <c r="A185" s="24" t="s">
        <v>1096</v>
      </c>
      <c r="B185" s="23">
        <v>82514.711519999997</v>
      </c>
      <c r="C185" s="23">
        <v>0.10790617745993347</v>
      </c>
      <c r="D185" t="str">
        <f t="shared" si="3"/>
        <v>A</v>
      </c>
    </row>
    <row r="186" spans="1:4" x14ac:dyDescent="0.35">
      <c r="A186" s="24" t="s">
        <v>851</v>
      </c>
      <c r="B186" s="23">
        <v>65119.329599999997</v>
      </c>
      <c r="C186" s="23">
        <v>0.14596330069783289</v>
      </c>
      <c r="D186" t="str">
        <f t="shared" si="3"/>
        <v>A</v>
      </c>
    </row>
    <row r="187" spans="1:4" x14ac:dyDescent="0.35">
      <c r="A187" s="24" t="s">
        <v>1121</v>
      </c>
      <c r="B187" s="23">
        <v>65066.934229999999</v>
      </c>
      <c r="C187" s="23">
        <v>0.18398980296550069</v>
      </c>
      <c r="D187" t="str">
        <f t="shared" si="3"/>
        <v>A</v>
      </c>
    </row>
    <row r="188" spans="1:4" x14ac:dyDescent="0.35">
      <c r="A188" s="24" t="s">
        <v>1254</v>
      </c>
      <c r="B188" s="23">
        <v>64192.976999999999</v>
      </c>
      <c r="C188" s="23">
        <v>0.22150554601296354</v>
      </c>
      <c r="D188" t="str">
        <f t="shared" si="3"/>
        <v>A</v>
      </c>
    </row>
    <row r="189" spans="1:4" x14ac:dyDescent="0.35">
      <c r="A189" s="24" t="s">
        <v>1261</v>
      </c>
      <c r="B189" s="23">
        <v>58526.83122</v>
      </c>
      <c r="C189" s="23">
        <v>0.25570987277960888</v>
      </c>
      <c r="D189" t="str">
        <f t="shared" si="3"/>
        <v>A</v>
      </c>
    </row>
    <row r="190" spans="1:4" x14ac:dyDescent="0.35">
      <c r="A190" s="24" t="s">
        <v>1164</v>
      </c>
      <c r="B190" s="23">
        <v>58057.65</v>
      </c>
      <c r="C190" s="23">
        <v>0.28964000004788515</v>
      </c>
      <c r="D190" t="str">
        <f t="shared" si="3"/>
        <v>A</v>
      </c>
    </row>
    <row r="191" spans="1:4" x14ac:dyDescent="0.35">
      <c r="A191" s="24" t="s">
        <v>1299</v>
      </c>
      <c r="B191" s="23">
        <v>44173.627960000005</v>
      </c>
      <c r="C191" s="23">
        <v>0.31545600911101962</v>
      </c>
      <c r="D191" t="str">
        <f t="shared" si="3"/>
        <v>A</v>
      </c>
    </row>
    <row r="192" spans="1:4" x14ac:dyDescent="0.35">
      <c r="A192" s="24" t="s">
        <v>1267</v>
      </c>
      <c r="B192" s="23">
        <v>42433.254400000005</v>
      </c>
      <c r="C192" s="23">
        <v>0.34025490679632281</v>
      </c>
      <c r="D192" t="str">
        <f t="shared" si="3"/>
        <v>A</v>
      </c>
    </row>
    <row r="193" spans="1:4" x14ac:dyDescent="0.35">
      <c r="A193" s="24" t="s">
        <v>1211</v>
      </c>
      <c r="B193" s="23">
        <v>41914.215840000004</v>
      </c>
      <c r="C193" s="23">
        <v>0.36475046729181654</v>
      </c>
      <c r="D193" t="str">
        <f t="shared" si="3"/>
        <v>A</v>
      </c>
    </row>
    <row r="194" spans="1:4" x14ac:dyDescent="0.35">
      <c r="A194" s="24" t="s">
        <v>1315</v>
      </c>
      <c r="B194" s="23">
        <v>40563.321749999996</v>
      </c>
      <c r="C194" s="23">
        <v>0.38845653650752782</v>
      </c>
      <c r="D194" t="str">
        <f t="shared" si="3"/>
        <v>A</v>
      </c>
    </row>
    <row r="195" spans="1:4" x14ac:dyDescent="0.35">
      <c r="A195" s="24" t="s">
        <v>998</v>
      </c>
      <c r="B195" s="23">
        <v>40139.874619999995</v>
      </c>
      <c r="C195" s="23">
        <v>0.41191513420118669</v>
      </c>
      <c r="D195" t="str">
        <f t="shared" si="3"/>
        <v>A</v>
      </c>
    </row>
    <row r="196" spans="1:4" x14ac:dyDescent="0.35">
      <c r="A196" s="24" t="s">
        <v>753</v>
      </c>
      <c r="B196" s="23">
        <v>39263.702919999996</v>
      </c>
      <c r="C196" s="23">
        <v>0.43486167849120516</v>
      </c>
      <c r="D196" t="str">
        <f t="shared" si="3"/>
        <v>A</v>
      </c>
    </row>
    <row r="197" spans="1:4" x14ac:dyDescent="0.35">
      <c r="A197" s="24" t="s">
        <v>1215</v>
      </c>
      <c r="B197" s="23">
        <v>36161.097000000002</v>
      </c>
      <c r="C197" s="23">
        <v>0.45599499379712061</v>
      </c>
      <c r="D197" t="str">
        <f t="shared" si="3"/>
        <v>A</v>
      </c>
    </row>
    <row r="198" spans="1:4" x14ac:dyDescent="0.35">
      <c r="A198" s="24" t="s">
        <v>976</v>
      </c>
      <c r="B198" s="23">
        <v>34082.864639999993</v>
      </c>
      <c r="C198" s="23">
        <v>0.47591374584620688</v>
      </c>
      <c r="D198" t="str">
        <f t="shared" si="3"/>
        <v>A</v>
      </c>
    </row>
    <row r="199" spans="1:4" x14ac:dyDescent="0.35">
      <c r="A199" s="24" t="s">
        <v>1332</v>
      </c>
      <c r="B199" s="23">
        <v>33938.142760000002</v>
      </c>
      <c r="C199" s="23">
        <v>0.49574791934609413</v>
      </c>
      <c r="D199" t="str">
        <f t="shared" si="3"/>
        <v>A</v>
      </c>
    </row>
    <row r="200" spans="1:4" x14ac:dyDescent="0.35">
      <c r="A200" s="24" t="s">
        <v>907</v>
      </c>
      <c r="B200" s="23">
        <v>31556.187599999997</v>
      </c>
      <c r="C200" s="23">
        <v>0.51419002751563936</v>
      </c>
      <c r="D200" t="str">
        <f t="shared" si="3"/>
        <v>A</v>
      </c>
    </row>
    <row r="201" spans="1:4" x14ac:dyDescent="0.35">
      <c r="A201" s="24" t="s">
        <v>1159</v>
      </c>
      <c r="B201" s="23">
        <v>30435.614999999998</v>
      </c>
      <c r="C201" s="23">
        <v>0.53197724918992795</v>
      </c>
      <c r="D201" t="str">
        <f t="shared" si="3"/>
        <v>A</v>
      </c>
    </row>
    <row r="202" spans="1:4" x14ac:dyDescent="0.35">
      <c r="A202" s="24" t="s">
        <v>845</v>
      </c>
      <c r="B202" s="23">
        <v>30151.675319999998</v>
      </c>
      <c r="C202" s="23">
        <v>0.54959853046740548</v>
      </c>
      <c r="D202" t="str">
        <f t="shared" si="3"/>
        <v>A</v>
      </c>
    </row>
    <row r="203" spans="1:4" x14ac:dyDescent="0.35">
      <c r="A203" s="24" t="s">
        <v>790</v>
      </c>
      <c r="B203" s="23">
        <v>29659.68995</v>
      </c>
      <c r="C203" s="23">
        <v>0.56693228501553339</v>
      </c>
      <c r="D203" t="str">
        <f t="shared" si="3"/>
        <v>A</v>
      </c>
    </row>
    <row r="204" spans="1:4" x14ac:dyDescent="0.35">
      <c r="A204" s="24" t="s">
        <v>1063</v>
      </c>
      <c r="B204" s="23">
        <v>27756.432000000001</v>
      </c>
      <c r="C204" s="23">
        <v>0.58315373507893176</v>
      </c>
      <c r="D204" t="str">
        <f t="shared" si="3"/>
        <v>A</v>
      </c>
    </row>
    <row r="205" spans="1:4" x14ac:dyDescent="0.35">
      <c r="A205" s="24" t="s">
        <v>798</v>
      </c>
      <c r="B205" s="23">
        <v>26304.275999999998</v>
      </c>
      <c r="C205" s="23">
        <v>0.59852651424549919</v>
      </c>
      <c r="D205" t="str">
        <f t="shared" si="3"/>
        <v>A</v>
      </c>
    </row>
    <row r="206" spans="1:4" x14ac:dyDescent="0.35">
      <c r="A206" s="24" t="s">
        <v>833</v>
      </c>
      <c r="B206" s="23">
        <v>25502.910479999999</v>
      </c>
      <c r="C206" s="23">
        <v>0.61343095833336458</v>
      </c>
      <c r="D206" t="str">
        <f t="shared" si="3"/>
        <v>A</v>
      </c>
    </row>
    <row r="207" spans="1:4" x14ac:dyDescent="0.35">
      <c r="A207" s="24" t="s">
        <v>926</v>
      </c>
      <c r="B207" s="23">
        <v>24374.594880000001</v>
      </c>
      <c r="C207" s="23">
        <v>0.62767599075184988</v>
      </c>
      <c r="D207" t="str">
        <f t="shared" si="3"/>
        <v>A</v>
      </c>
    </row>
    <row r="208" spans="1:4" x14ac:dyDescent="0.35">
      <c r="A208" s="24" t="s">
        <v>989</v>
      </c>
      <c r="B208" s="23">
        <v>24161.205600000001</v>
      </c>
      <c r="C208" s="23">
        <v>0.64179631392998382</v>
      </c>
      <c r="D208" t="str">
        <f t="shared" si="3"/>
        <v>A</v>
      </c>
    </row>
    <row r="209" spans="1:4" x14ac:dyDescent="0.35">
      <c r="A209" s="24" t="s">
        <v>754</v>
      </c>
      <c r="B209" s="23">
        <v>23782.310720000001</v>
      </c>
      <c r="C209" s="23">
        <v>0.65569520286991323</v>
      </c>
      <c r="D209" t="str">
        <f t="shared" si="3"/>
        <v>A</v>
      </c>
    </row>
    <row r="210" spans="1:4" x14ac:dyDescent="0.35">
      <c r="A210" s="24" t="s">
        <v>1118</v>
      </c>
      <c r="B210" s="23">
        <v>22064.910300000003</v>
      </c>
      <c r="C210" s="23">
        <v>0.66859040642434753</v>
      </c>
      <c r="D210" t="str">
        <f t="shared" si="3"/>
        <v>A</v>
      </c>
    </row>
    <row r="211" spans="1:4" x14ac:dyDescent="0.35">
      <c r="A211" s="24" t="s">
        <v>885</v>
      </c>
      <c r="B211" s="23">
        <v>21572.590500000002</v>
      </c>
      <c r="C211" s="23">
        <v>0.68119788780141677</v>
      </c>
      <c r="D211" t="str">
        <f t="shared" si="3"/>
        <v>A</v>
      </c>
    </row>
    <row r="212" spans="1:4" x14ac:dyDescent="0.35">
      <c r="A212" s="24" t="s">
        <v>1029</v>
      </c>
      <c r="B212" s="23">
        <v>20455.985130000001</v>
      </c>
      <c r="C212" s="23">
        <v>0.693152801216942</v>
      </c>
      <c r="D212" t="str">
        <f t="shared" si="3"/>
        <v>A</v>
      </c>
    </row>
    <row r="213" spans="1:4" x14ac:dyDescent="0.35">
      <c r="A213" s="24" t="s">
        <v>757</v>
      </c>
      <c r="B213" s="23">
        <v>20225.2248</v>
      </c>
      <c r="C213" s="23">
        <v>0.70497285338049831</v>
      </c>
      <c r="D213" t="str">
        <f t="shared" si="3"/>
        <v>A</v>
      </c>
    </row>
    <row r="214" spans="1:4" x14ac:dyDescent="0.35">
      <c r="A214" s="24" t="s">
        <v>806</v>
      </c>
      <c r="B214" s="23">
        <v>20171.63305</v>
      </c>
      <c r="C214" s="23">
        <v>0.71676158538386858</v>
      </c>
      <c r="D214" t="str">
        <f t="shared" si="3"/>
        <v>A</v>
      </c>
    </row>
    <row r="215" spans="1:4" x14ac:dyDescent="0.35">
      <c r="A215" s="24" t="s">
        <v>1120</v>
      </c>
      <c r="B215" s="23">
        <v>19773.362699999998</v>
      </c>
      <c r="C215" s="23">
        <v>0.72831755971167533</v>
      </c>
      <c r="D215" t="str">
        <f t="shared" si="3"/>
        <v>A</v>
      </c>
    </row>
    <row r="216" spans="1:4" x14ac:dyDescent="0.35">
      <c r="A216" s="24" t="s">
        <v>1273</v>
      </c>
      <c r="B216" s="23">
        <v>19581.87</v>
      </c>
      <c r="C216" s="23">
        <v>0.73976162162687242</v>
      </c>
      <c r="D216" t="str">
        <f t="shared" si="3"/>
        <v>A</v>
      </c>
    </row>
    <row r="217" spans="1:4" x14ac:dyDescent="0.35">
      <c r="A217" s="24" t="s">
        <v>924</v>
      </c>
      <c r="B217" s="23">
        <v>19542.975350000001</v>
      </c>
      <c r="C217" s="23">
        <v>0.75118295268016655</v>
      </c>
      <c r="D217" t="str">
        <f t="shared" si="3"/>
        <v>A</v>
      </c>
    </row>
    <row r="218" spans="1:4" x14ac:dyDescent="0.35">
      <c r="A218" s="24" t="s">
        <v>1305</v>
      </c>
      <c r="B218" s="23">
        <v>19139.594240000002</v>
      </c>
      <c r="C218" s="23">
        <v>0.76236853922089587</v>
      </c>
      <c r="D218" t="str">
        <f t="shared" si="3"/>
        <v>A</v>
      </c>
    </row>
    <row r="219" spans="1:4" x14ac:dyDescent="0.35">
      <c r="A219" s="24" t="s">
        <v>1130</v>
      </c>
      <c r="B219" s="23">
        <v>18641.222160000001</v>
      </c>
      <c r="C219" s="23">
        <v>0.77326286650291653</v>
      </c>
      <c r="D219" t="str">
        <f t="shared" si="3"/>
        <v>A</v>
      </c>
    </row>
    <row r="220" spans="1:4" x14ac:dyDescent="0.35">
      <c r="A220" s="24" t="s">
        <v>985</v>
      </c>
      <c r="B220" s="23">
        <v>17453.3436</v>
      </c>
      <c r="C220" s="23">
        <v>0.78346297225306238</v>
      </c>
      <c r="D220" t="str">
        <f t="shared" si="3"/>
        <v>A</v>
      </c>
    </row>
    <row r="221" spans="1:4" x14ac:dyDescent="0.35">
      <c r="A221" s="24" t="s">
        <v>1018</v>
      </c>
      <c r="B221" s="23">
        <v>15505.479600000001</v>
      </c>
      <c r="C221" s="23">
        <v>0.79252470479276493</v>
      </c>
      <c r="D221" t="str">
        <f t="shared" ref="D221:D284" si="4">IF(C221&lt;=0.85,"A",IF(C221&lt;=0.95,"B","C"))</f>
        <v>A</v>
      </c>
    </row>
    <row r="222" spans="1:4" x14ac:dyDescent="0.35">
      <c r="A222" s="24" t="s">
        <v>958</v>
      </c>
      <c r="B222" s="23">
        <v>15490.527</v>
      </c>
      <c r="C222" s="23">
        <v>0.8015776987145421</v>
      </c>
      <c r="D222" t="str">
        <f t="shared" si="4"/>
        <v>A</v>
      </c>
    </row>
    <row r="223" spans="1:4" x14ac:dyDescent="0.35">
      <c r="A223" s="24" t="s">
        <v>1158</v>
      </c>
      <c r="B223" s="23">
        <v>15366.983199999999</v>
      </c>
      <c r="C223" s="23">
        <v>0.81055849100815824</v>
      </c>
      <c r="D223" t="str">
        <f t="shared" si="4"/>
        <v>A</v>
      </c>
    </row>
    <row r="224" spans="1:4" x14ac:dyDescent="0.35">
      <c r="A224" s="24" t="s">
        <v>1268</v>
      </c>
      <c r="B224" s="23">
        <v>15155.326800000001</v>
      </c>
      <c r="C224" s="23">
        <v>0.81941558679340476</v>
      </c>
      <c r="D224" t="str">
        <f t="shared" si="4"/>
        <v>A</v>
      </c>
    </row>
    <row r="225" spans="1:4" x14ac:dyDescent="0.35">
      <c r="A225" s="24" t="s">
        <v>1327</v>
      </c>
      <c r="B225" s="23">
        <v>14910.609600000002</v>
      </c>
      <c r="C225" s="23">
        <v>0.82812966463457782</v>
      </c>
      <c r="D225" t="str">
        <f t="shared" si="4"/>
        <v>A</v>
      </c>
    </row>
    <row r="226" spans="1:4" x14ac:dyDescent="0.35">
      <c r="A226" s="24" t="s">
        <v>900</v>
      </c>
      <c r="B226" s="23">
        <v>14448.298699999998</v>
      </c>
      <c r="C226" s="23">
        <v>0.83657355813872536</v>
      </c>
      <c r="D226" t="str">
        <f t="shared" si="4"/>
        <v>A</v>
      </c>
    </row>
    <row r="227" spans="1:4" x14ac:dyDescent="0.35">
      <c r="A227" s="24" t="s">
        <v>1276</v>
      </c>
      <c r="B227" s="23">
        <v>14114.068500000001</v>
      </c>
      <c r="C227" s="23">
        <v>0.84482212039500282</v>
      </c>
      <c r="D227" t="str">
        <f t="shared" si="4"/>
        <v>A</v>
      </c>
    </row>
    <row r="228" spans="1:4" x14ac:dyDescent="0.35">
      <c r="A228" s="24" t="s">
        <v>1102</v>
      </c>
      <c r="B228" s="23">
        <v>13784.586000000001</v>
      </c>
      <c r="C228" s="23">
        <v>0.85287812606041469</v>
      </c>
      <c r="D228" t="str">
        <f t="shared" si="4"/>
        <v>B</v>
      </c>
    </row>
    <row r="229" spans="1:4" x14ac:dyDescent="0.35">
      <c r="A229" s="24" t="s">
        <v>836</v>
      </c>
      <c r="B229" s="23">
        <v>13669.81</v>
      </c>
      <c r="C229" s="23">
        <v>0.8608670541867367</v>
      </c>
      <c r="D229" t="str">
        <f t="shared" si="4"/>
        <v>B</v>
      </c>
    </row>
    <row r="230" spans="1:4" x14ac:dyDescent="0.35">
      <c r="A230" s="24" t="s">
        <v>1079</v>
      </c>
      <c r="B230" s="23">
        <v>13637.287999999999</v>
      </c>
      <c r="C230" s="23">
        <v>0.86883697576355101</v>
      </c>
      <c r="D230" t="str">
        <f t="shared" si="4"/>
        <v>B</v>
      </c>
    </row>
    <row r="231" spans="1:4" x14ac:dyDescent="0.35">
      <c r="A231" s="24" t="s">
        <v>767</v>
      </c>
      <c r="B231" s="23">
        <v>13218.5</v>
      </c>
      <c r="C231" s="23">
        <v>0.87656214871312288</v>
      </c>
      <c r="D231" t="str">
        <f t="shared" si="4"/>
        <v>B</v>
      </c>
    </row>
    <row r="232" spans="1:4" x14ac:dyDescent="0.35">
      <c r="A232" s="24" t="s">
        <v>879</v>
      </c>
      <c r="B232" s="23">
        <v>12954.358080000002</v>
      </c>
      <c r="C232" s="23">
        <v>0.88413295149851323</v>
      </c>
      <c r="D232" t="str">
        <f t="shared" si="4"/>
        <v>B</v>
      </c>
    </row>
    <row r="233" spans="1:4" x14ac:dyDescent="0.35">
      <c r="A233" s="24" t="s">
        <v>838</v>
      </c>
      <c r="B233" s="23">
        <v>12335.654849999999</v>
      </c>
      <c r="C233" s="23">
        <v>0.89134217093812251</v>
      </c>
      <c r="D233" t="str">
        <f t="shared" si="4"/>
        <v>B</v>
      </c>
    </row>
    <row r="234" spans="1:4" x14ac:dyDescent="0.35">
      <c r="A234" s="24" t="s">
        <v>1083</v>
      </c>
      <c r="B234" s="23">
        <v>12236.874600000001</v>
      </c>
      <c r="C234" s="23">
        <v>0.89849366109564588</v>
      </c>
      <c r="D234" t="str">
        <f t="shared" si="4"/>
        <v>B</v>
      </c>
    </row>
    <row r="235" spans="1:4" x14ac:dyDescent="0.35">
      <c r="A235" s="24" t="s">
        <v>1017</v>
      </c>
      <c r="B235" s="23">
        <v>11696.156879999999</v>
      </c>
      <c r="C235" s="23">
        <v>0.90532914430049694</v>
      </c>
      <c r="D235" t="str">
        <f t="shared" si="4"/>
        <v>B</v>
      </c>
    </row>
    <row r="236" spans="1:4" x14ac:dyDescent="0.35">
      <c r="A236" s="24" t="s">
        <v>1248</v>
      </c>
      <c r="B236" s="23">
        <v>10859.64</v>
      </c>
      <c r="C236" s="23">
        <v>0.91167574922314987</v>
      </c>
      <c r="D236" t="str">
        <f t="shared" si="4"/>
        <v>B</v>
      </c>
    </row>
    <row r="237" spans="1:4" x14ac:dyDescent="0.35">
      <c r="A237" s="24" t="s">
        <v>1043</v>
      </c>
      <c r="B237" s="23">
        <v>9847.2358600000007</v>
      </c>
      <c r="C237" s="23">
        <v>0.91743068360252156</v>
      </c>
      <c r="D237" t="str">
        <f t="shared" si="4"/>
        <v>B</v>
      </c>
    </row>
    <row r="238" spans="1:4" x14ac:dyDescent="0.35">
      <c r="A238" s="24" t="s">
        <v>980</v>
      </c>
      <c r="B238" s="23">
        <v>9774.3888000000006</v>
      </c>
      <c r="C238" s="23">
        <v>0.92314304460841168</v>
      </c>
      <c r="D238" t="str">
        <f t="shared" si="4"/>
        <v>B</v>
      </c>
    </row>
    <row r="239" spans="1:4" x14ac:dyDescent="0.35">
      <c r="A239" s="24" t="s">
        <v>1179</v>
      </c>
      <c r="B239" s="23">
        <v>9771.4483199999995</v>
      </c>
      <c r="C239" s="23">
        <v>0.92885368713515859</v>
      </c>
      <c r="D239" t="str">
        <f t="shared" si="4"/>
        <v>B</v>
      </c>
    </row>
    <row r="240" spans="1:4" x14ac:dyDescent="0.35">
      <c r="A240" s="24" t="s">
        <v>1013</v>
      </c>
      <c r="B240" s="23">
        <v>8907.6924999999992</v>
      </c>
      <c r="C240" s="23">
        <v>0.934059532362991</v>
      </c>
      <c r="D240" t="str">
        <f t="shared" si="4"/>
        <v>B</v>
      </c>
    </row>
    <row r="241" spans="1:4" x14ac:dyDescent="0.35">
      <c r="A241" s="24" t="s">
        <v>1009</v>
      </c>
      <c r="B241" s="23">
        <v>8567.3924999999999</v>
      </c>
      <c r="C241" s="23">
        <v>0.9390664990225488</v>
      </c>
      <c r="D241" t="str">
        <f t="shared" si="4"/>
        <v>B</v>
      </c>
    </row>
    <row r="242" spans="1:4" x14ac:dyDescent="0.35">
      <c r="A242" s="24" t="s">
        <v>866</v>
      </c>
      <c r="B242" s="23">
        <v>8336.8896000000004</v>
      </c>
      <c r="C242" s="23">
        <v>0.94393875487771306</v>
      </c>
      <c r="D242" t="str">
        <f t="shared" si="4"/>
        <v>B</v>
      </c>
    </row>
    <row r="243" spans="1:4" x14ac:dyDescent="0.35">
      <c r="A243" s="24" t="s">
        <v>1242</v>
      </c>
      <c r="B243" s="23">
        <v>8297.4286000000011</v>
      </c>
      <c r="C243" s="23">
        <v>0.94878794888397122</v>
      </c>
      <c r="D243" t="str">
        <f t="shared" si="4"/>
        <v>B</v>
      </c>
    </row>
    <row r="244" spans="1:4" x14ac:dyDescent="0.35">
      <c r="A244" s="24" t="s">
        <v>1191</v>
      </c>
      <c r="B244" s="23">
        <v>7643.2649999999994</v>
      </c>
      <c r="C244" s="23">
        <v>0.95325483574892622</v>
      </c>
      <c r="D244" t="str">
        <f t="shared" si="4"/>
        <v>C</v>
      </c>
    </row>
    <row r="245" spans="1:4" x14ac:dyDescent="0.35">
      <c r="A245" s="24" t="s">
        <v>749</v>
      </c>
      <c r="B245" s="23">
        <v>7090.5672000000004</v>
      </c>
      <c r="C245" s="23">
        <v>0.95739871424728551</v>
      </c>
      <c r="D245" t="str">
        <f t="shared" si="4"/>
        <v>C</v>
      </c>
    </row>
    <row r="246" spans="1:4" x14ac:dyDescent="0.35">
      <c r="A246" s="24" t="s">
        <v>1337</v>
      </c>
      <c r="B246" s="23">
        <v>7071.6331400000008</v>
      </c>
      <c r="C246" s="23">
        <v>0.96153152727769164</v>
      </c>
      <c r="D246" t="str">
        <f t="shared" si="4"/>
        <v>C</v>
      </c>
    </row>
    <row r="247" spans="1:4" x14ac:dyDescent="0.35">
      <c r="A247" s="24" t="s">
        <v>805</v>
      </c>
      <c r="B247" s="23">
        <v>6393.0952799999995</v>
      </c>
      <c r="C247" s="23">
        <v>0.96526778833008731</v>
      </c>
      <c r="D247" t="str">
        <f t="shared" si="4"/>
        <v>C</v>
      </c>
    </row>
    <row r="248" spans="1:4" x14ac:dyDescent="0.35">
      <c r="A248" s="24" t="s">
        <v>1038</v>
      </c>
      <c r="B248" s="23">
        <v>5932.7856000000002</v>
      </c>
      <c r="C248" s="23">
        <v>0.9687350346010507</v>
      </c>
      <c r="D248" t="str">
        <f t="shared" si="4"/>
        <v>C</v>
      </c>
    </row>
    <row r="249" spans="1:4" x14ac:dyDescent="0.35">
      <c r="A249" s="24" t="s">
        <v>786</v>
      </c>
      <c r="B249" s="23">
        <v>5785.8</v>
      </c>
      <c r="C249" s="23">
        <v>0.97211637935663064</v>
      </c>
      <c r="D249" t="str">
        <f t="shared" si="4"/>
        <v>C</v>
      </c>
    </row>
    <row r="250" spans="1:4" x14ac:dyDescent="0.35">
      <c r="A250" s="24" t="s">
        <v>1143</v>
      </c>
      <c r="B250" s="23">
        <v>5323.9903199999999</v>
      </c>
      <c r="C250" s="23">
        <v>0.97522783269882884</v>
      </c>
      <c r="D250" t="str">
        <f t="shared" si="4"/>
        <v>C</v>
      </c>
    </row>
    <row r="251" spans="1:4" x14ac:dyDescent="0.35">
      <c r="A251" s="24" t="s">
        <v>1136</v>
      </c>
      <c r="B251" s="23">
        <v>5250.4239000000007</v>
      </c>
      <c r="C251" s="23">
        <v>0.97829629225823922</v>
      </c>
      <c r="D251" t="str">
        <f t="shared" si="4"/>
        <v>C</v>
      </c>
    </row>
    <row r="252" spans="1:4" x14ac:dyDescent="0.35">
      <c r="A252" s="24" t="s">
        <v>1141</v>
      </c>
      <c r="B252" s="23">
        <v>4679.7141600000004</v>
      </c>
      <c r="C252" s="23">
        <v>0.98103121688966943</v>
      </c>
      <c r="D252" t="str">
        <f t="shared" si="4"/>
        <v>C</v>
      </c>
    </row>
    <row r="253" spans="1:4" x14ac:dyDescent="0.35">
      <c r="A253" s="24" t="s">
        <v>1297</v>
      </c>
      <c r="B253" s="23">
        <v>4229.4321199999995</v>
      </c>
      <c r="C253" s="23">
        <v>0.98350298710606876</v>
      </c>
      <c r="D253" t="str">
        <f t="shared" si="4"/>
        <v>C</v>
      </c>
    </row>
    <row r="254" spans="1:4" x14ac:dyDescent="0.35">
      <c r="A254" s="24" t="s">
        <v>739</v>
      </c>
      <c r="B254" s="23">
        <v>4141.7599999999993</v>
      </c>
      <c r="C254" s="23">
        <v>0.98592351986815352</v>
      </c>
      <c r="D254" t="str">
        <f t="shared" si="4"/>
        <v>C</v>
      </c>
    </row>
    <row r="255" spans="1:4" x14ac:dyDescent="0.35">
      <c r="A255" s="24" t="s">
        <v>1104</v>
      </c>
      <c r="B255" s="23">
        <v>4133.25108</v>
      </c>
      <c r="C255" s="23">
        <v>0.98833907983615332</v>
      </c>
      <c r="D255" t="str">
        <f t="shared" si="4"/>
        <v>C</v>
      </c>
    </row>
    <row r="256" spans="1:4" x14ac:dyDescent="0.35">
      <c r="A256" s="24" t="s">
        <v>1241</v>
      </c>
      <c r="B256" s="23">
        <v>3921.1744000000008</v>
      </c>
      <c r="C256" s="23">
        <v>0.99063069767519962</v>
      </c>
      <c r="D256" t="str">
        <f t="shared" si="4"/>
        <v>C</v>
      </c>
    </row>
    <row r="257" spans="1:4" x14ac:dyDescent="0.35">
      <c r="A257" s="24" t="s">
        <v>1316</v>
      </c>
      <c r="B257" s="23">
        <v>3823.6151599999998</v>
      </c>
      <c r="C257" s="23">
        <v>0.99286529981641114</v>
      </c>
      <c r="D257" t="str">
        <f t="shared" si="4"/>
        <v>C</v>
      </c>
    </row>
    <row r="258" spans="1:4" x14ac:dyDescent="0.35">
      <c r="A258" s="24" t="s">
        <v>973</v>
      </c>
      <c r="B258" s="23">
        <v>3823.5108</v>
      </c>
      <c r="C258" s="23">
        <v>0.99509984096741588</v>
      </c>
      <c r="D258" t="str">
        <f t="shared" si="4"/>
        <v>C</v>
      </c>
    </row>
    <row r="259" spans="1:4" x14ac:dyDescent="0.35">
      <c r="A259" s="24" t="s">
        <v>880</v>
      </c>
      <c r="B259" s="23">
        <v>3562.9028999999996</v>
      </c>
      <c r="C259" s="23">
        <v>0.99718207731080077</v>
      </c>
      <c r="D259" t="str">
        <f t="shared" si="4"/>
        <v>C</v>
      </c>
    </row>
    <row r="260" spans="1:4" x14ac:dyDescent="0.35">
      <c r="A260" s="24" t="s">
        <v>787</v>
      </c>
      <c r="B260" s="23">
        <v>2518.8755800000004</v>
      </c>
      <c r="C260" s="23">
        <v>0.99865416185094924</v>
      </c>
      <c r="D260" t="str">
        <f t="shared" si="4"/>
        <v>C</v>
      </c>
    </row>
    <row r="261" spans="1:4" x14ac:dyDescent="0.35">
      <c r="A261" s="24" t="s">
        <v>1209</v>
      </c>
      <c r="B261" s="23">
        <v>1009.2969000000002</v>
      </c>
      <c r="C261" s="23">
        <v>0.99924401645699124</v>
      </c>
      <c r="D261" t="str">
        <f t="shared" si="4"/>
        <v>C</v>
      </c>
    </row>
    <row r="262" spans="1:4" x14ac:dyDescent="0.35">
      <c r="A262" s="24" t="s">
        <v>853</v>
      </c>
      <c r="B262" s="23">
        <v>592.92849000000001</v>
      </c>
      <c r="C262" s="23">
        <v>0.99959053649572327</v>
      </c>
      <c r="D262" t="str">
        <f t="shared" si="4"/>
        <v>C</v>
      </c>
    </row>
    <row r="263" spans="1:4" x14ac:dyDescent="0.35">
      <c r="A263" s="24" t="s">
        <v>1122</v>
      </c>
      <c r="B263" s="23">
        <v>434.45248000000004</v>
      </c>
      <c r="C263" s="23">
        <v>0.99984443977872584</v>
      </c>
      <c r="D263" t="str">
        <f t="shared" si="4"/>
        <v>C</v>
      </c>
    </row>
    <row r="264" spans="1:4" x14ac:dyDescent="0.35">
      <c r="A264" s="24" t="s">
        <v>1363</v>
      </c>
      <c r="B264" s="23">
        <v>266.17821999999995</v>
      </c>
      <c r="C264" s="23">
        <v>0.99999999999999978</v>
      </c>
      <c r="D264" t="str">
        <f t="shared" si="4"/>
        <v>C</v>
      </c>
    </row>
    <row r="265" spans="1:4" x14ac:dyDescent="0.35">
      <c r="A265" s="19" t="s">
        <v>732</v>
      </c>
      <c r="B265" s="23">
        <v>1572555.5443659993</v>
      </c>
    </row>
    <row r="266" spans="1:4" x14ac:dyDescent="0.35">
      <c r="A266" s="24" t="s">
        <v>909</v>
      </c>
      <c r="B266" s="23">
        <v>92715.25</v>
      </c>
      <c r="C266" s="23">
        <v>5.8958330808836154E-2</v>
      </c>
      <c r="D266" t="str">
        <f t="shared" si="4"/>
        <v>A</v>
      </c>
    </row>
    <row r="267" spans="1:4" x14ac:dyDescent="0.35">
      <c r="A267" s="24" t="s">
        <v>874</v>
      </c>
      <c r="B267" s="23">
        <v>87404.929919999995</v>
      </c>
      <c r="C267" s="23">
        <v>0.11453978879494416</v>
      </c>
      <c r="D267" t="str">
        <f t="shared" si="4"/>
        <v>A</v>
      </c>
    </row>
    <row r="268" spans="1:4" x14ac:dyDescent="0.35">
      <c r="A268" s="24" t="s">
        <v>899</v>
      </c>
      <c r="B268" s="23">
        <v>85637.740319999997</v>
      </c>
      <c r="C268" s="23">
        <v>0.16899747750858907</v>
      </c>
      <c r="D268" t="str">
        <f t="shared" si="4"/>
        <v>A</v>
      </c>
    </row>
    <row r="269" spans="1:4" x14ac:dyDescent="0.35">
      <c r="A269" s="24" t="s">
        <v>797</v>
      </c>
      <c r="B269" s="23">
        <v>72665.817450000002</v>
      </c>
      <c r="C269" s="23">
        <v>0.21520622206476075</v>
      </c>
      <c r="D269" t="str">
        <f t="shared" si="4"/>
        <v>A</v>
      </c>
    </row>
    <row r="270" spans="1:4" x14ac:dyDescent="0.35">
      <c r="A270" s="24" t="s">
        <v>1129</v>
      </c>
      <c r="B270" s="23">
        <v>56176.777799999996</v>
      </c>
      <c r="C270" s="23">
        <v>0.25092946122236298</v>
      </c>
      <c r="D270" t="str">
        <f t="shared" si="4"/>
        <v>A</v>
      </c>
    </row>
    <row r="271" spans="1:4" x14ac:dyDescent="0.35">
      <c r="A271" s="24" t="s">
        <v>1181</v>
      </c>
      <c r="B271" s="23">
        <v>45547.183360000003</v>
      </c>
      <c r="C271" s="23">
        <v>0.2798932606399302</v>
      </c>
      <c r="D271" t="str">
        <f t="shared" si="4"/>
        <v>A</v>
      </c>
    </row>
    <row r="272" spans="1:4" x14ac:dyDescent="0.35">
      <c r="A272" s="24" t="s">
        <v>774</v>
      </c>
      <c r="B272" s="23">
        <v>41106.800970000004</v>
      </c>
      <c r="C272" s="23">
        <v>0.30603338721114959</v>
      </c>
      <c r="D272" t="str">
        <f t="shared" si="4"/>
        <v>A</v>
      </c>
    </row>
    <row r="273" spans="1:4" x14ac:dyDescent="0.35">
      <c r="A273" s="24" t="s">
        <v>1000</v>
      </c>
      <c r="B273" s="23">
        <v>38818.760160000005</v>
      </c>
      <c r="C273" s="23">
        <v>0.33071853127431233</v>
      </c>
      <c r="D273" t="str">
        <f t="shared" si="4"/>
        <v>A</v>
      </c>
    </row>
    <row r="274" spans="1:4" x14ac:dyDescent="0.35">
      <c r="A274" s="24" t="s">
        <v>1006</v>
      </c>
      <c r="B274" s="23">
        <v>34632.106319999999</v>
      </c>
      <c r="C274" s="23">
        <v>0.35274135040084592</v>
      </c>
      <c r="D274" t="str">
        <f t="shared" si="4"/>
        <v>A</v>
      </c>
    </row>
    <row r="275" spans="1:4" x14ac:dyDescent="0.35">
      <c r="A275" s="24" t="s">
        <v>1106</v>
      </c>
      <c r="B275" s="23">
        <v>32280.32474</v>
      </c>
      <c r="C275" s="23">
        <v>0.37326865378014518</v>
      </c>
      <c r="D275" t="str">
        <f t="shared" si="4"/>
        <v>A</v>
      </c>
    </row>
    <row r="276" spans="1:4" x14ac:dyDescent="0.35">
      <c r="A276" s="24" t="s">
        <v>789</v>
      </c>
      <c r="B276" s="23">
        <v>31680.795320000001</v>
      </c>
      <c r="C276" s="23">
        <v>0.39341471185326249</v>
      </c>
      <c r="D276" t="str">
        <f t="shared" si="4"/>
        <v>A</v>
      </c>
    </row>
    <row r="277" spans="1:4" x14ac:dyDescent="0.35">
      <c r="A277" s="24" t="s">
        <v>929</v>
      </c>
      <c r="B277" s="23">
        <v>31191.64716</v>
      </c>
      <c r="C277" s="23">
        <v>0.41324971690077927</v>
      </c>
      <c r="D277" t="str">
        <f t="shared" si="4"/>
        <v>A</v>
      </c>
    </row>
    <row r="278" spans="1:4" x14ac:dyDescent="0.35">
      <c r="A278" s="24" t="s">
        <v>1044</v>
      </c>
      <c r="B278" s="23">
        <v>30799.273800000003</v>
      </c>
      <c r="C278" s="23">
        <v>0.43283520875214482</v>
      </c>
      <c r="D278" t="str">
        <f t="shared" si="4"/>
        <v>A</v>
      </c>
    </row>
    <row r="279" spans="1:4" x14ac:dyDescent="0.35">
      <c r="A279" s="24" t="s">
        <v>1274</v>
      </c>
      <c r="B279" s="23">
        <v>30652.403519999996</v>
      </c>
      <c r="C279" s="23">
        <v>0.45232730467830684</v>
      </c>
      <c r="D279" t="str">
        <f t="shared" si="4"/>
        <v>A</v>
      </c>
    </row>
    <row r="280" spans="1:4" x14ac:dyDescent="0.35">
      <c r="A280" s="24" t="s">
        <v>1007</v>
      </c>
      <c r="B280" s="23">
        <v>29536.716</v>
      </c>
      <c r="C280" s="23">
        <v>0.47110992644694411</v>
      </c>
      <c r="D280" t="str">
        <f t="shared" si="4"/>
        <v>A</v>
      </c>
    </row>
    <row r="281" spans="1:4" x14ac:dyDescent="0.35">
      <c r="A281" s="24" t="s">
        <v>922</v>
      </c>
      <c r="B281" s="23">
        <v>28072.190160000002</v>
      </c>
      <c r="C281" s="23">
        <v>0.48896124512409628</v>
      </c>
      <c r="D281" t="str">
        <f t="shared" si="4"/>
        <v>A</v>
      </c>
    </row>
    <row r="282" spans="1:4" x14ac:dyDescent="0.35">
      <c r="A282" s="24" t="s">
        <v>869</v>
      </c>
      <c r="B282" s="23">
        <v>27370.540859999997</v>
      </c>
      <c r="C282" s="23">
        <v>0.50636637968869747</v>
      </c>
      <c r="D282" t="str">
        <f t="shared" si="4"/>
        <v>A</v>
      </c>
    </row>
    <row r="283" spans="1:4" x14ac:dyDescent="0.35">
      <c r="A283" s="24" t="s">
        <v>918</v>
      </c>
      <c r="B283" s="23">
        <v>26408.63841</v>
      </c>
      <c r="C283" s="23">
        <v>0.52315983318839387</v>
      </c>
      <c r="D283" t="str">
        <f t="shared" si="4"/>
        <v>A</v>
      </c>
    </row>
    <row r="284" spans="1:4" x14ac:dyDescent="0.35">
      <c r="A284" s="24" t="s">
        <v>939</v>
      </c>
      <c r="B284" s="23">
        <v>26131.70736</v>
      </c>
      <c r="C284" s="23">
        <v>0.53977718413260822</v>
      </c>
      <c r="D284" t="str">
        <f t="shared" si="4"/>
        <v>A</v>
      </c>
    </row>
    <row r="285" spans="1:4" x14ac:dyDescent="0.35">
      <c r="A285" s="24" t="s">
        <v>1073</v>
      </c>
      <c r="B285" s="23">
        <v>26106.613960000002</v>
      </c>
      <c r="C285" s="23">
        <v>0.55637857799340529</v>
      </c>
      <c r="D285" t="str">
        <f t="shared" ref="D285:D348" si="5">IF(C285&lt;=0.85,"A",IF(C285&lt;=0.95,"B","C"))</f>
        <v>A</v>
      </c>
    </row>
    <row r="286" spans="1:4" x14ac:dyDescent="0.35">
      <c r="A286" s="24" t="s">
        <v>938</v>
      </c>
      <c r="B286" s="23">
        <v>25553.782800000001</v>
      </c>
      <c r="C286" s="23">
        <v>0.57262842232580524</v>
      </c>
      <c r="D286" t="str">
        <f t="shared" si="5"/>
        <v>A</v>
      </c>
    </row>
    <row r="287" spans="1:4" x14ac:dyDescent="0.35">
      <c r="A287" s="24" t="s">
        <v>1300</v>
      </c>
      <c r="B287" s="23">
        <v>25079.480689999997</v>
      </c>
      <c r="C287" s="23">
        <v>0.58857665434842121</v>
      </c>
      <c r="D287" t="str">
        <f t="shared" si="5"/>
        <v>A</v>
      </c>
    </row>
    <row r="288" spans="1:4" x14ac:dyDescent="0.35">
      <c r="A288" s="24" t="s">
        <v>849</v>
      </c>
      <c r="B288" s="23">
        <v>24523.006720000001</v>
      </c>
      <c r="C288" s="23">
        <v>0.60417102035212678</v>
      </c>
      <c r="D288" t="str">
        <f t="shared" si="5"/>
        <v>A</v>
      </c>
    </row>
    <row r="289" spans="1:4" x14ac:dyDescent="0.35">
      <c r="A289" s="24" t="s">
        <v>1187</v>
      </c>
      <c r="B289" s="23">
        <v>23132.398349999996</v>
      </c>
      <c r="C289" s="23">
        <v>0.61888108794425511</v>
      </c>
      <c r="D289" t="str">
        <f t="shared" si="5"/>
        <v>A</v>
      </c>
    </row>
    <row r="290" spans="1:4" x14ac:dyDescent="0.35">
      <c r="A290" s="24" t="s">
        <v>855</v>
      </c>
      <c r="B290" s="23">
        <v>22983.34563</v>
      </c>
      <c r="C290" s="23">
        <v>0.63349637178102802</v>
      </c>
      <c r="D290" t="str">
        <f t="shared" si="5"/>
        <v>A</v>
      </c>
    </row>
    <row r="291" spans="1:4" x14ac:dyDescent="0.35">
      <c r="A291" s="24" t="s">
        <v>894</v>
      </c>
      <c r="B291" s="23">
        <v>22044.871499999997</v>
      </c>
      <c r="C291" s="23">
        <v>0.64751487279931019</v>
      </c>
      <c r="D291" t="str">
        <f t="shared" si="5"/>
        <v>A</v>
      </c>
    </row>
    <row r="292" spans="1:4" x14ac:dyDescent="0.35">
      <c r="A292" s="24" t="s">
        <v>1349</v>
      </c>
      <c r="B292" s="23">
        <v>21811.011936000003</v>
      </c>
      <c r="C292" s="23">
        <v>0.66138466074679625</v>
      </c>
      <c r="D292" t="str">
        <f t="shared" si="5"/>
        <v>A</v>
      </c>
    </row>
    <row r="293" spans="1:4" x14ac:dyDescent="0.35">
      <c r="A293" s="24" t="s">
        <v>1233</v>
      </c>
      <c r="B293" s="23">
        <v>20332.775539999999</v>
      </c>
      <c r="C293" s="23">
        <v>0.67431442695622934</v>
      </c>
      <c r="D293" t="str">
        <f t="shared" si="5"/>
        <v>A</v>
      </c>
    </row>
    <row r="294" spans="1:4" x14ac:dyDescent="0.35">
      <c r="A294" s="24" t="s">
        <v>986</v>
      </c>
      <c r="B294" s="23">
        <v>17689.623</v>
      </c>
      <c r="C294" s="23">
        <v>0.6855633924146366</v>
      </c>
      <c r="D294" t="str">
        <f t="shared" si="5"/>
        <v>A</v>
      </c>
    </row>
    <row r="295" spans="1:4" x14ac:dyDescent="0.35">
      <c r="A295" s="24" t="s">
        <v>1014</v>
      </c>
      <c r="B295" s="23">
        <v>17441.021520000002</v>
      </c>
      <c r="C295" s="23">
        <v>0.69665427030603189</v>
      </c>
      <c r="D295" t="str">
        <f t="shared" si="5"/>
        <v>A</v>
      </c>
    </row>
    <row r="296" spans="1:4" x14ac:dyDescent="0.35">
      <c r="A296" s="24" t="s">
        <v>1232</v>
      </c>
      <c r="B296" s="23">
        <v>16574.544740000001</v>
      </c>
      <c r="C296" s="23">
        <v>0.70719414903997024</v>
      </c>
      <c r="D296" t="str">
        <f t="shared" si="5"/>
        <v>A</v>
      </c>
    </row>
    <row r="297" spans="1:4" x14ac:dyDescent="0.35">
      <c r="A297" s="24" t="s">
        <v>1085</v>
      </c>
      <c r="B297" s="23">
        <v>16487.22781</v>
      </c>
      <c r="C297" s="23">
        <v>0.71767850227573915</v>
      </c>
      <c r="D297" t="str">
        <f t="shared" si="5"/>
        <v>A</v>
      </c>
    </row>
    <row r="298" spans="1:4" x14ac:dyDescent="0.35">
      <c r="A298" s="24" t="s">
        <v>1123</v>
      </c>
      <c r="B298" s="23">
        <v>16142.527829999999</v>
      </c>
      <c r="C298" s="23">
        <v>0.72794365817934714</v>
      </c>
      <c r="D298" t="str">
        <f t="shared" si="5"/>
        <v>A</v>
      </c>
    </row>
    <row r="299" spans="1:4" x14ac:dyDescent="0.35">
      <c r="A299" s="24" t="s">
        <v>1256</v>
      </c>
      <c r="B299" s="23">
        <v>16121.273400000002</v>
      </c>
      <c r="C299" s="23">
        <v>0.73819529822968288</v>
      </c>
      <c r="D299" t="str">
        <f t="shared" si="5"/>
        <v>A</v>
      </c>
    </row>
    <row r="300" spans="1:4" x14ac:dyDescent="0.35">
      <c r="A300" s="24" t="s">
        <v>1117</v>
      </c>
      <c r="B300" s="23">
        <v>15257.51748</v>
      </c>
      <c r="C300" s="23">
        <v>0.74789766933807589</v>
      </c>
      <c r="D300" t="str">
        <f t="shared" si="5"/>
        <v>A</v>
      </c>
    </row>
    <row r="301" spans="1:4" x14ac:dyDescent="0.35">
      <c r="A301" s="24" t="s">
        <v>742</v>
      </c>
      <c r="B301" s="23">
        <v>14714.12934</v>
      </c>
      <c r="C301" s="23">
        <v>0.75725449580612425</v>
      </c>
      <c r="D301" t="str">
        <f t="shared" si="5"/>
        <v>A</v>
      </c>
    </row>
    <row r="302" spans="1:4" x14ac:dyDescent="0.35">
      <c r="A302" s="24" t="s">
        <v>1306</v>
      </c>
      <c r="B302" s="23">
        <v>14466.95104</v>
      </c>
      <c r="C302" s="23">
        <v>0.76645413971811882</v>
      </c>
      <c r="D302" t="str">
        <f t="shared" si="5"/>
        <v>A</v>
      </c>
    </row>
    <row r="303" spans="1:4" x14ac:dyDescent="0.35">
      <c r="A303" s="24" t="s">
        <v>801</v>
      </c>
      <c r="B303" s="23">
        <v>14287.896349999999</v>
      </c>
      <c r="C303" s="23">
        <v>0.77553992139444139</v>
      </c>
      <c r="D303" t="str">
        <f t="shared" si="5"/>
        <v>A</v>
      </c>
    </row>
    <row r="304" spans="1:4" x14ac:dyDescent="0.35">
      <c r="A304" s="24" t="s">
        <v>1161</v>
      </c>
      <c r="B304" s="23">
        <v>13450.74</v>
      </c>
      <c r="C304" s="23">
        <v>0.78409334899716743</v>
      </c>
      <c r="D304" t="str">
        <f t="shared" si="5"/>
        <v>A</v>
      </c>
    </row>
    <row r="305" spans="1:4" x14ac:dyDescent="0.35">
      <c r="A305" s="24" t="s">
        <v>1138</v>
      </c>
      <c r="B305" s="23">
        <v>13437.300239999999</v>
      </c>
      <c r="C305" s="23">
        <v>0.79263823015455603</v>
      </c>
      <c r="D305" t="str">
        <f t="shared" si="5"/>
        <v>A</v>
      </c>
    </row>
    <row r="306" spans="1:4" x14ac:dyDescent="0.35">
      <c r="A306" s="24" t="s">
        <v>1132</v>
      </c>
      <c r="B306" s="23">
        <v>12972.00222</v>
      </c>
      <c r="C306" s="23">
        <v>0.80088722477129615</v>
      </c>
      <c r="D306" t="str">
        <f t="shared" si="5"/>
        <v>A</v>
      </c>
    </row>
    <row r="307" spans="1:4" x14ac:dyDescent="0.35">
      <c r="A307" s="24" t="s">
        <v>1166</v>
      </c>
      <c r="B307" s="23">
        <v>12967.958640000001</v>
      </c>
      <c r="C307" s="23">
        <v>0.80913364804483989</v>
      </c>
      <c r="D307" t="str">
        <f t="shared" si="5"/>
        <v>A</v>
      </c>
    </row>
    <row r="308" spans="1:4" x14ac:dyDescent="0.35">
      <c r="A308" s="24" t="s">
        <v>901</v>
      </c>
      <c r="B308" s="23">
        <v>12413.98458</v>
      </c>
      <c r="C308" s="23">
        <v>0.81702779501120659</v>
      </c>
      <c r="D308" t="str">
        <f t="shared" si="5"/>
        <v>A</v>
      </c>
    </row>
    <row r="309" spans="1:4" x14ac:dyDescent="0.35">
      <c r="A309" s="24" t="s">
        <v>897</v>
      </c>
      <c r="B309" s="23">
        <v>12194.714</v>
      </c>
      <c r="C309" s="23">
        <v>0.82478250615237414</v>
      </c>
      <c r="D309" t="str">
        <f t="shared" si="5"/>
        <v>A</v>
      </c>
    </row>
    <row r="310" spans="1:4" x14ac:dyDescent="0.35">
      <c r="A310" s="24" t="s">
        <v>822</v>
      </c>
      <c r="B310" s="23">
        <v>11842.8464</v>
      </c>
      <c r="C310" s="23">
        <v>0.83231346201744949</v>
      </c>
      <c r="D310" t="str">
        <f t="shared" si="5"/>
        <v>A</v>
      </c>
    </row>
    <row r="311" spans="1:4" x14ac:dyDescent="0.35">
      <c r="A311" s="24" t="s">
        <v>983</v>
      </c>
      <c r="B311" s="23">
        <v>11813.604160000001</v>
      </c>
      <c r="C311" s="23">
        <v>0.83982582252027871</v>
      </c>
      <c r="D311" t="str">
        <f t="shared" si="5"/>
        <v>A</v>
      </c>
    </row>
    <row r="312" spans="1:4" x14ac:dyDescent="0.35">
      <c r="A312" s="24" t="s">
        <v>1281</v>
      </c>
      <c r="B312" s="23">
        <v>10937.519999999999</v>
      </c>
      <c r="C312" s="23">
        <v>0.84678107445982753</v>
      </c>
      <c r="D312" t="str">
        <f t="shared" si="5"/>
        <v>A</v>
      </c>
    </row>
    <row r="313" spans="1:4" x14ac:dyDescent="0.35">
      <c r="A313" s="24" t="s">
        <v>1290</v>
      </c>
      <c r="B313" s="23">
        <v>10519.776450000001</v>
      </c>
      <c r="C313" s="23">
        <v>0.85347068010694715</v>
      </c>
      <c r="D313" t="str">
        <f t="shared" si="5"/>
        <v>B</v>
      </c>
    </row>
    <row r="314" spans="1:4" x14ac:dyDescent="0.35">
      <c r="A314" s="24" t="s">
        <v>1152</v>
      </c>
      <c r="B314" s="23">
        <v>9509.2865999999995</v>
      </c>
      <c r="C314" s="23">
        <v>0.8595177075929199</v>
      </c>
      <c r="D314" t="str">
        <f t="shared" si="5"/>
        <v>B</v>
      </c>
    </row>
    <row r="315" spans="1:4" x14ac:dyDescent="0.35">
      <c r="A315" s="24" t="s">
        <v>1344</v>
      </c>
      <c r="B315" s="23">
        <v>9256.14</v>
      </c>
      <c r="C315" s="23">
        <v>0.86540375723559348</v>
      </c>
      <c r="D315" t="str">
        <f t="shared" si="5"/>
        <v>B</v>
      </c>
    </row>
    <row r="316" spans="1:4" x14ac:dyDescent="0.35">
      <c r="A316" s="24" t="s">
        <v>1243</v>
      </c>
      <c r="B316" s="23">
        <v>9232.2830599999998</v>
      </c>
      <c r="C316" s="23">
        <v>0.87127463606914346</v>
      </c>
      <c r="D316" t="str">
        <f t="shared" si="5"/>
        <v>B</v>
      </c>
    </row>
    <row r="317" spans="1:4" x14ac:dyDescent="0.35">
      <c r="A317" s="24" t="s">
        <v>925</v>
      </c>
      <c r="B317" s="23">
        <v>8763.2849999999999</v>
      </c>
      <c r="C317" s="23">
        <v>0.87684727547854058</v>
      </c>
      <c r="D317" t="str">
        <f t="shared" si="5"/>
        <v>B</v>
      </c>
    </row>
    <row r="318" spans="1:4" x14ac:dyDescent="0.35">
      <c r="A318" s="24" t="s">
        <v>917</v>
      </c>
      <c r="B318" s="23">
        <v>8698.8768300000011</v>
      </c>
      <c r="C318" s="23">
        <v>0.88237895724403725</v>
      </c>
      <c r="D318" t="str">
        <f t="shared" si="5"/>
        <v>B</v>
      </c>
    </row>
    <row r="319" spans="1:4" x14ac:dyDescent="0.35">
      <c r="A319" s="24" t="s">
        <v>802</v>
      </c>
      <c r="B319" s="23">
        <v>8671.7354400000004</v>
      </c>
      <c r="C319" s="23">
        <v>0.88789337959373937</v>
      </c>
      <c r="D319" t="str">
        <f t="shared" si="5"/>
        <v>B</v>
      </c>
    </row>
    <row r="320" spans="1:4" x14ac:dyDescent="0.35">
      <c r="A320" s="24" t="s">
        <v>923</v>
      </c>
      <c r="B320" s="23">
        <v>8590.7094000000016</v>
      </c>
      <c r="C320" s="23">
        <v>0.89335627686994568</v>
      </c>
      <c r="D320" t="str">
        <f t="shared" si="5"/>
        <v>B</v>
      </c>
    </row>
    <row r="321" spans="1:4" x14ac:dyDescent="0.35">
      <c r="A321" s="24" t="s">
        <v>1295</v>
      </c>
      <c r="B321" s="23">
        <v>8520.2954399999999</v>
      </c>
      <c r="C321" s="23">
        <v>0.89877439737483067</v>
      </c>
      <c r="D321" t="str">
        <f t="shared" si="5"/>
        <v>B</v>
      </c>
    </row>
    <row r="322" spans="1:4" x14ac:dyDescent="0.35">
      <c r="A322" s="24" t="s">
        <v>1206</v>
      </c>
      <c r="B322" s="23">
        <v>8330.2513199999994</v>
      </c>
      <c r="C322" s="23">
        <v>0.90407166738214129</v>
      </c>
      <c r="D322" t="str">
        <f t="shared" si="5"/>
        <v>B</v>
      </c>
    </row>
    <row r="323" spans="1:4" x14ac:dyDescent="0.35">
      <c r="A323" s="24" t="s">
        <v>1190</v>
      </c>
      <c r="B323" s="23">
        <v>7854.6931199999999</v>
      </c>
      <c r="C323" s="23">
        <v>0.90906652632250817</v>
      </c>
      <c r="D323" t="str">
        <f t="shared" si="5"/>
        <v>B</v>
      </c>
    </row>
    <row r="324" spans="1:4" x14ac:dyDescent="0.35">
      <c r="A324" s="24" t="s">
        <v>950</v>
      </c>
      <c r="B324" s="23">
        <v>7738.9596900000006</v>
      </c>
      <c r="C324" s="23">
        <v>0.91398778949678916</v>
      </c>
      <c r="D324" t="str">
        <f t="shared" si="5"/>
        <v>B</v>
      </c>
    </row>
    <row r="325" spans="1:4" x14ac:dyDescent="0.35">
      <c r="A325" s="24" t="s">
        <v>864</v>
      </c>
      <c r="B325" s="23">
        <v>7703.8640800000003</v>
      </c>
      <c r="C325" s="23">
        <v>0.91888673510643759</v>
      </c>
      <c r="D325" t="str">
        <f t="shared" si="5"/>
        <v>B</v>
      </c>
    </row>
    <row r="326" spans="1:4" x14ac:dyDescent="0.35">
      <c r="A326" s="24" t="s">
        <v>1097</v>
      </c>
      <c r="B326" s="23">
        <v>7327.9533600000004</v>
      </c>
      <c r="C326" s="23">
        <v>0.92354663623759559</v>
      </c>
      <c r="D326" t="str">
        <f t="shared" si="5"/>
        <v>B</v>
      </c>
    </row>
    <row r="327" spans="1:4" x14ac:dyDescent="0.35">
      <c r="A327" s="24" t="s">
        <v>1005</v>
      </c>
      <c r="B327" s="23">
        <v>7120.6486400000003</v>
      </c>
      <c r="C327" s="23">
        <v>0.92807471072470105</v>
      </c>
      <c r="D327" t="str">
        <f t="shared" si="5"/>
        <v>B</v>
      </c>
    </row>
    <row r="328" spans="1:4" x14ac:dyDescent="0.35">
      <c r="A328" s="24" t="s">
        <v>912</v>
      </c>
      <c r="B328" s="23">
        <v>7098.5495999999994</v>
      </c>
      <c r="C328" s="23">
        <v>0.93258873226462824</v>
      </c>
      <c r="D328" t="str">
        <f t="shared" si="5"/>
        <v>B</v>
      </c>
    </row>
    <row r="329" spans="1:4" x14ac:dyDescent="0.35">
      <c r="A329" s="24" t="s">
        <v>902</v>
      </c>
      <c r="B329" s="23">
        <v>6824.2884000000004</v>
      </c>
      <c r="C329" s="23">
        <v>0.93692834902694189</v>
      </c>
      <c r="D329" t="str">
        <f t="shared" si="5"/>
        <v>B</v>
      </c>
    </row>
    <row r="330" spans="1:4" x14ac:dyDescent="0.35">
      <c r="A330" s="24" t="s">
        <v>1062</v>
      </c>
      <c r="B330" s="23">
        <v>6667.9199999999983</v>
      </c>
      <c r="C330" s="23">
        <v>0.94116852993749167</v>
      </c>
      <c r="D330" t="str">
        <f t="shared" si="5"/>
        <v>B</v>
      </c>
    </row>
    <row r="331" spans="1:4" x14ac:dyDescent="0.35">
      <c r="A331" s="24" t="s">
        <v>988</v>
      </c>
      <c r="B331" s="23">
        <v>6468.2751599999992</v>
      </c>
      <c r="C331" s="23">
        <v>0.94528175517978841</v>
      </c>
      <c r="D331" t="str">
        <f t="shared" si="5"/>
        <v>B</v>
      </c>
    </row>
    <row r="332" spans="1:4" x14ac:dyDescent="0.35">
      <c r="A332" s="24" t="s">
        <v>1331</v>
      </c>
      <c r="B332" s="23">
        <v>5962.1422499999999</v>
      </c>
      <c r="C332" s="23">
        <v>0.94907312666511412</v>
      </c>
      <c r="D332" t="str">
        <f t="shared" si="5"/>
        <v>B</v>
      </c>
    </row>
    <row r="333" spans="1:4" x14ac:dyDescent="0.35">
      <c r="A333" s="24" t="s">
        <v>852</v>
      </c>
      <c r="B333" s="23">
        <v>5769.2758000000003</v>
      </c>
      <c r="C333" s="23">
        <v>0.95274185291180824</v>
      </c>
      <c r="D333" t="str">
        <f t="shared" si="5"/>
        <v>C</v>
      </c>
    </row>
    <row r="334" spans="1:4" x14ac:dyDescent="0.35">
      <c r="A334" s="24" t="s">
        <v>1325</v>
      </c>
      <c r="B334" s="23">
        <v>5725.6496000000006</v>
      </c>
      <c r="C334" s="23">
        <v>0.9563828369269759</v>
      </c>
      <c r="D334" t="str">
        <f t="shared" si="5"/>
        <v>C</v>
      </c>
    </row>
    <row r="335" spans="1:4" x14ac:dyDescent="0.35">
      <c r="A335" s="24" t="s">
        <v>1180</v>
      </c>
      <c r="B335" s="23">
        <v>5565.3272500000003</v>
      </c>
      <c r="C335" s="23">
        <v>0.95992187074358037</v>
      </c>
      <c r="D335" t="str">
        <f t="shared" si="5"/>
        <v>C</v>
      </c>
    </row>
    <row r="336" spans="1:4" x14ac:dyDescent="0.35">
      <c r="A336" s="24" t="s">
        <v>967</v>
      </c>
      <c r="B336" s="23">
        <v>5280.8577599999999</v>
      </c>
      <c r="C336" s="23">
        <v>0.96328000825352067</v>
      </c>
      <c r="D336" t="str">
        <f t="shared" si="5"/>
        <v>C</v>
      </c>
    </row>
    <row r="337" spans="1:4" x14ac:dyDescent="0.35">
      <c r="A337" s="24" t="s">
        <v>1359</v>
      </c>
      <c r="B337" s="23">
        <v>5096.4790800000001</v>
      </c>
      <c r="C337" s="23">
        <v>0.96652089796216034</v>
      </c>
      <c r="D337" t="str">
        <f t="shared" si="5"/>
        <v>C</v>
      </c>
    </row>
    <row r="338" spans="1:4" x14ac:dyDescent="0.35">
      <c r="A338" s="24" t="s">
        <v>1048</v>
      </c>
      <c r="B338" s="23">
        <v>5032.4433599999993</v>
      </c>
      <c r="C338" s="23">
        <v>0.96972106687067972</v>
      </c>
      <c r="D338" t="str">
        <f t="shared" si="5"/>
        <v>C</v>
      </c>
    </row>
    <row r="339" spans="1:4" x14ac:dyDescent="0.35">
      <c r="A339" s="24" t="s">
        <v>813</v>
      </c>
      <c r="B339" s="23">
        <v>4877.1379800000004</v>
      </c>
      <c r="C339" s="23">
        <v>0.97282247590991744</v>
      </c>
      <c r="D339" t="str">
        <f t="shared" si="5"/>
        <v>C</v>
      </c>
    </row>
    <row r="340" spans="1:4" x14ac:dyDescent="0.35">
      <c r="A340" s="24" t="s">
        <v>920</v>
      </c>
      <c r="B340" s="23">
        <v>4831.9464600000001</v>
      </c>
      <c r="C340" s="23">
        <v>0.97589514731876625</v>
      </c>
      <c r="D340" t="str">
        <f t="shared" si="5"/>
        <v>C</v>
      </c>
    </row>
    <row r="341" spans="1:4" x14ac:dyDescent="0.35">
      <c r="A341" s="24" t="s">
        <v>1278</v>
      </c>
      <c r="B341" s="23">
        <v>4826.5396199999996</v>
      </c>
      <c r="C341" s="23">
        <v>0.97896438047704293</v>
      </c>
      <c r="D341" t="str">
        <f t="shared" si="5"/>
        <v>C</v>
      </c>
    </row>
    <row r="342" spans="1:4" x14ac:dyDescent="0.35">
      <c r="A342" s="24" t="s">
        <v>1228</v>
      </c>
      <c r="B342" s="23">
        <v>4682.9519799999998</v>
      </c>
      <c r="C342" s="23">
        <v>0.98194230516579395</v>
      </c>
      <c r="D342" t="str">
        <f t="shared" si="5"/>
        <v>C</v>
      </c>
    </row>
    <row r="343" spans="1:4" x14ac:dyDescent="0.35">
      <c r="A343" s="24" t="s">
        <v>992</v>
      </c>
      <c r="B343" s="23">
        <v>4375.3620000000001</v>
      </c>
      <c r="C343" s="23">
        <v>0.98472463105289898</v>
      </c>
      <c r="D343" t="str">
        <f t="shared" si="5"/>
        <v>C</v>
      </c>
    </row>
    <row r="344" spans="1:4" x14ac:dyDescent="0.35">
      <c r="A344" s="24" t="s">
        <v>1031</v>
      </c>
      <c r="B344" s="23">
        <v>3190.8713200000002</v>
      </c>
      <c r="C344" s="23">
        <v>0.98675373033109737</v>
      </c>
      <c r="D344" t="str">
        <f t="shared" si="5"/>
        <v>C</v>
      </c>
    </row>
    <row r="345" spans="1:4" x14ac:dyDescent="0.35">
      <c r="A345" s="24" t="s">
        <v>1052</v>
      </c>
      <c r="B345" s="23">
        <v>2915.4540999999999</v>
      </c>
      <c r="C345" s="23">
        <v>0.98860768970979473</v>
      </c>
      <c r="D345" t="str">
        <f t="shared" si="5"/>
        <v>C</v>
      </c>
    </row>
    <row r="346" spans="1:4" x14ac:dyDescent="0.35">
      <c r="A346" s="24" t="s">
        <v>740</v>
      </c>
      <c r="B346" s="23">
        <v>2886.4496399999998</v>
      </c>
      <c r="C346" s="23">
        <v>0.99044320493235161</v>
      </c>
      <c r="D346" t="str">
        <f t="shared" si="5"/>
        <v>C</v>
      </c>
    </row>
    <row r="347" spans="1:4" x14ac:dyDescent="0.35">
      <c r="A347" s="24" t="s">
        <v>1165</v>
      </c>
      <c r="B347" s="23">
        <v>2627.6239999999998</v>
      </c>
      <c r="C347" s="23">
        <v>0.99211413096699252</v>
      </c>
      <c r="D347" t="str">
        <f t="shared" si="5"/>
        <v>C</v>
      </c>
    </row>
    <row r="348" spans="1:4" x14ac:dyDescent="0.35">
      <c r="A348" s="24" t="s">
        <v>951</v>
      </c>
      <c r="B348" s="23">
        <v>2231.6467200000002</v>
      </c>
      <c r="C348" s="23">
        <v>0.99353325204541509</v>
      </c>
      <c r="D348" t="str">
        <f t="shared" si="5"/>
        <v>C</v>
      </c>
    </row>
    <row r="349" spans="1:4" x14ac:dyDescent="0.35">
      <c r="A349" s="24" t="s">
        <v>1283</v>
      </c>
      <c r="B349" s="23">
        <v>1846.8040799999999</v>
      </c>
      <c r="C349" s="23">
        <v>0.99470764876966211</v>
      </c>
      <c r="D349" t="str">
        <f t="shared" ref="D349:D412" si="6">IF(C349&lt;=0.85,"A",IF(C349&lt;=0.95,"B","C"))</f>
        <v>C</v>
      </c>
    </row>
    <row r="350" spans="1:4" x14ac:dyDescent="0.35">
      <c r="A350" s="24" t="s">
        <v>1314</v>
      </c>
      <c r="B350" s="23">
        <v>1801.4076000000002</v>
      </c>
      <c r="C350" s="23">
        <v>0.99585317752790148</v>
      </c>
      <c r="D350" t="str">
        <f t="shared" si="6"/>
        <v>C</v>
      </c>
    </row>
    <row r="351" spans="1:4" x14ac:dyDescent="0.35">
      <c r="A351" s="24" t="s">
        <v>945</v>
      </c>
      <c r="B351" s="23">
        <v>1774.8072</v>
      </c>
      <c r="C351" s="23">
        <v>0.99698179088999139</v>
      </c>
      <c r="D351" t="str">
        <f t="shared" si="6"/>
        <v>C</v>
      </c>
    </row>
    <row r="352" spans="1:4" x14ac:dyDescent="0.35">
      <c r="A352" s="24" t="s">
        <v>1039</v>
      </c>
      <c r="B352" s="23">
        <v>1641.7107199999998</v>
      </c>
      <c r="C352" s="23">
        <v>0.99802576719078517</v>
      </c>
      <c r="D352" t="str">
        <f t="shared" si="6"/>
        <v>C</v>
      </c>
    </row>
    <row r="353" spans="1:4" x14ac:dyDescent="0.35">
      <c r="A353" s="24" t="s">
        <v>823</v>
      </c>
      <c r="B353" s="23">
        <v>624.43503999999996</v>
      </c>
      <c r="C353" s="23">
        <v>0.99842285016965804</v>
      </c>
      <c r="D353" t="str">
        <f t="shared" si="6"/>
        <v>C</v>
      </c>
    </row>
    <row r="354" spans="1:4" x14ac:dyDescent="0.35">
      <c r="A354" s="24" t="s">
        <v>981</v>
      </c>
      <c r="B354" s="23">
        <v>607.30668000000003</v>
      </c>
      <c r="C354" s="23">
        <v>0.99880904109447199</v>
      </c>
      <c r="D354" t="str">
        <f t="shared" si="6"/>
        <v>C</v>
      </c>
    </row>
    <row r="355" spans="1:4" x14ac:dyDescent="0.35">
      <c r="A355" s="24" t="s">
        <v>785</v>
      </c>
      <c r="B355" s="23">
        <v>599.53200000000004</v>
      </c>
      <c r="C355" s="23">
        <v>0.9991902880412955</v>
      </c>
      <c r="D355" t="str">
        <f t="shared" si="6"/>
        <v>C</v>
      </c>
    </row>
    <row r="356" spans="1:4" x14ac:dyDescent="0.35">
      <c r="A356" s="24" t="s">
        <v>1265</v>
      </c>
      <c r="B356" s="23">
        <v>534.57695999999999</v>
      </c>
      <c r="C356" s="23">
        <v>0.99953022958543691</v>
      </c>
      <c r="D356" t="str">
        <f t="shared" si="6"/>
        <v>C</v>
      </c>
    </row>
    <row r="357" spans="1:4" x14ac:dyDescent="0.35">
      <c r="A357" s="24" t="s">
        <v>817</v>
      </c>
      <c r="B357" s="23">
        <v>524.81174999999996</v>
      </c>
      <c r="C357" s="23">
        <v>0.99986396135846101</v>
      </c>
      <c r="D357" t="str">
        <f t="shared" si="6"/>
        <v>C</v>
      </c>
    </row>
    <row r="358" spans="1:4" x14ac:dyDescent="0.35">
      <c r="A358" s="24" t="s">
        <v>830</v>
      </c>
      <c r="B358" s="23">
        <v>147.00756000000001</v>
      </c>
      <c r="C358" s="23">
        <v>0.99995744458105795</v>
      </c>
      <c r="D358" t="str">
        <f t="shared" si="6"/>
        <v>C</v>
      </c>
    </row>
    <row r="359" spans="1:4" x14ac:dyDescent="0.35">
      <c r="A359" s="24" t="s">
        <v>1032</v>
      </c>
      <c r="B359" s="23">
        <v>66.920760000000001</v>
      </c>
      <c r="C359" s="23">
        <v>0.99999999999999989</v>
      </c>
      <c r="D359" t="str">
        <f t="shared" si="6"/>
        <v>C</v>
      </c>
    </row>
    <row r="360" spans="1:4" x14ac:dyDescent="0.35">
      <c r="A360" s="19" t="s">
        <v>729</v>
      </c>
      <c r="B360" s="23">
        <v>1792642.7270560004</v>
      </c>
    </row>
    <row r="361" spans="1:4" x14ac:dyDescent="0.35">
      <c r="A361" s="24" t="s">
        <v>781</v>
      </c>
      <c r="B361" s="23">
        <v>109244</v>
      </c>
      <c r="C361" s="23">
        <v>6.0940196477079357E-2</v>
      </c>
      <c r="D361" t="str">
        <f t="shared" si="6"/>
        <v>A</v>
      </c>
    </row>
    <row r="362" spans="1:4" x14ac:dyDescent="0.35">
      <c r="A362" s="24" t="s">
        <v>1345</v>
      </c>
      <c r="B362" s="23">
        <v>82141.339799999987</v>
      </c>
      <c r="C362" s="23">
        <v>0.1067615632002178</v>
      </c>
      <c r="D362" t="str">
        <f t="shared" si="6"/>
        <v>A</v>
      </c>
    </row>
    <row r="363" spans="1:4" x14ac:dyDescent="0.35">
      <c r="A363" s="24" t="s">
        <v>1010</v>
      </c>
      <c r="B363" s="23">
        <v>79548.755999999994</v>
      </c>
      <c r="C363" s="23">
        <v>0.15113669428427959</v>
      </c>
      <c r="D363" t="str">
        <f t="shared" si="6"/>
        <v>A</v>
      </c>
    </row>
    <row r="364" spans="1:4" x14ac:dyDescent="0.35">
      <c r="A364" s="24" t="s">
        <v>957</v>
      </c>
      <c r="B364" s="23">
        <v>66988.771199999988</v>
      </c>
      <c r="C364" s="23">
        <v>0.18850541822963232</v>
      </c>
      <c r="D364" t="str">
        <f t="shared" si="6"/>
        <v>A</v>
      </c>
    </row>
    <row r="365" spans="1:4" x14ac:dyDescent="0.35">
      <c r="A365" s="24" t="s">
        <v>814</v>
      </c>
      <c r="B365" s="23">
        <v>60292.805299999993</v>
      </c>
      <c r="C365" s="23">
        <v>0.22213889376271689</v>
      </c>
      <c r="D365" t="str">
        <f t="shared" si="6"/>
        <v>A</v>
      </c>
    </row>
    <row r="366" spans="1:4" x14ac:dyDescent="0.35">
      <c r="A366" s="24" t="s">
        <v>1324</v>
      </c>
      <c r="B366" s="23">
        <v>51768.181920000003</v>
      </c>
      <c r="C366" s="23">
        <v>0.25101703057083441</v>
      </c>
      <c r="D366" t="str">
        <f t="shared" si="6"/>
        <v>A</v>
      </c>
    </row>
    <row r="367" spans="1:4" x14ac:dyDescent="0.35">
      <c r="A367" s="24" t="s">
        <v>1356</v>
      </c>
      <c r="B367" s="23">
        <v>50090.397499999999</v>
      </c>
      <c r="C367" s="23">
        <v>0.27895923943598949</v>
      </c>
      <c r="D367" t="str">
        <f t="shared" si="6"/>
        <v>A</v>
      </c>
    </row>
    <row r="368" spans="1:4" x14ac:dyDescent="0.35">
      <c r="A368" s="24" t="s">
        <v>1091</v>
      </c>
      <c r="B368" s="23">
        <v>49336.511399999996</v>
      </c>
      <c r="C368" s="23">
        <v>0.30648090376729986</v>
      </c>
      <c r="D368" t="str">
        <f t="shared" si="6"/>
        <v>A</v>
      </c>
    </row>
    <row r="369" spans="1:4" x14ac:dyDescent="0.35">
      <c r="A369" s="24" t="s">
        <v>937</v>
      </c>
      <c r="B369" s="23">
        <v>47962.717579999997</v>
      </c>
      <c r="C369" s="23">
        <v>0.33323621694605443</v>
      </c>
      <c r="D369" t="str">
        <f t="shared" si="6"/>
        <v>A</v>
      </c>
    </row>
    <row r="370" spans="1:4" x14ac:dyDescent="0.35">
      <c r="A370" s="24" t="s">
        <v>1116</v>
      </c>
      <c r="B370" s="23">
        <v>47693.373</v>
      </c>
      <c r="C370" s="23">
        <v>0.35984128011908573</v>
      </c>
      <c r="D370" t="str">
        <f t="shared" si="6"/>
        <v>A</v>
      </c>
    </row>
    <row r="371" spans="1:4" x14ac:dyDescent="0.35">
      <c r="A371" s="24" t="s">
        <v>1110</v>
      </c>
      <c r="B371" s="23">
        <v>43553.493060000001</v>
      </c>
      <c r="C371" s="23">
        <v>0.38413697072305036</v>
      </c>
      <c r="D371" t="str">
        <f t="shared" si="6"/>
        <v>A</v>
      </c>
    </row>
    <row r="372" spans="1:4" x14ac:dyDescent="0.35">
      <c r="A372" s="24" t="s">
        <v>1213</v>
      </c>
      <c r="B372" s="23">
        <v>40488.792960000006</v>
      </c>
      <c r="C372" s="23">
        <v>0.40672306239034728</v>
      </c>
      <c r="D372" t="str">
        <f t="shared" si="6"/>
        <v>A</v>
      </c>
    </row>
    <row r="373" spans="1:4" x14ac:dyDescent="0.35">
      <c r="A373" s="24" t="s">
        <v>1036</v>
      </c>
      <c r="B373" s="23">
        <v>39686.4182</v>
      </c>
      <c r="C373" s="23">
        <v>0.42886156082119509</v>
      </c>
      <c r="D373" t="str">
        <f t="shared" si="6"/>
        <v>A</v>
      </c>
    </row>
    <row r="374" spans="1:4" x14ac:dyDescent="0.35">
      <c r="A374" s="24" t="s">
        <v>1056</v>
      </c>
      <c r="B374" s="23">
        <v>39546.774539999999</v>
      </c>
      <c r="C374" s="23">
        <v>0.45092216104182375</v>
      </c>
      <c r="D374" t="str">
        <f t="shared" si="6"/>
        <v>A</v>
      </c>
    </row>
    <row r="375" spans="1:4" x14ac:dyDescent="0.35">
      <c r="A375" s="24" t="s">
        <v>854</v>
      </c>
      <c r="B375" s="23">
        <v>39516.804389999998</v>
      </c>
      <c r="C375" s="23">
        <v>0.4729660428446954</v>
      </c>
      <c r="D375" t="str">
        <f t="shared" si="6"/>
        <v>A</v>
      </c>
    </row>
    <row r="376" spans="1:4" x14ac:dyDescent="0.35">
      <c r="A376" s="24" t="s">
        <v>782</v>
      </c>
      <c r="B376" s="23">
        <v>35621.302319999995</v>
      </c>
      <c r="C376" s="23">
        <v>0.4928368747636131</v>
      </c>
      <c r="D376" t="str">
        <f t="shared" si="6"/>
        <v>A</v>
      </c>
    </row>
    <row r="377" spans="1:4" x14ac:dyDescent="0.35">
      <c r="A377" s="24" t="s">
        <v>1087</v>
      </c>
      <c r="B377" s="23">
        <v>34816.968000000001</v>
      </c>
      <c r="C377" s="23">
        <v>0.51225902033367809</v>
      </c>
      <c r="D377" t="str">
        <f t="shared" si="6"/>
        <v>A</v>
      </c>
    </row>
    <row r="378" spans="1:4" x14ac:dyDescent="0.35">
      <c r="A378" s="24" t="s">
        <v>1301</v>
      </c>
      <c r="B378" s="23">
        <v>34307.159999999996</v>
      </c>
      <c r="C378" s="23">
        <v>0.53139677683262176</v>
      </c>
      <c r="D378" t="str">
        <f t="shared" si="6"/>
        <v>A</v>
      </c>
    </row>
    <row r="379" spans="1:4" x14ac:dyDescent="0.35">
      <c r="A379" s="24" t="s">
        <v>1113</v>
      </c>
      <c r="B379" s="23">
        <v>33200.038079999998</v>
      </c>
      <c r="C379" s="23">
        <v>0.54991694126857904</v>
      </c>
      <c r="D379" t="str">
        <f t="shared" si="6"/>
        <v>A</v>
      </c>
    </row>
    <row r="380" spans="1:4" x14ac:dyDescent="0.35">
      <c r="A380" s="24" t="s">
        <v>1357</v>
      </c>
      <c r="B380" s="23">
        <v>32704.386400000003</v>
      </c>
      <c r="C380" s="23">
        <v>0.56816061353321889</v>
      </c>
      <c r="D380" t="str">
        <f t="shared" si="6"/>
        <v>A</v>
      </c>
    </row>
    <row r="381" spans="1:4" x14ac:dyDescent="0.35">
      <c r="A381" s="24" t="s">
        <v>779</v>
      </c>
      <c r="B381" s="23">
        <v>32506.559399999998</v>
      </c>
      <c r="C381" s="23">
        <v>0.58629393084702885</v>
      </c>
      <c r="D381" t="str">
        <f t="shared" si="6"/>
        <v>A</v>
      </c>
    </row>
    <row r="382" spans="1:4" x14ac:dyDescent="0.35">
      <c r="A382" s="24" t="s">
        <v>1147</v>
      </c>
      <c r="B382" s="23">
        <v>31513.423040000001</v>
      </c>
      <c r="C382" s="23">
        <v>0.60387324130547892</v>
      </c>
      <c r="D382" t="str">
        <f t="shared" si="6"/>
        <v>A</v>
      </c>
    </row>
    <row r="383" spans="1:4" x14ac:dyDescent="0.35">
      <c r="A383" s="24" t="s">
        <v>1229</v>
      </c>
      <c r="B383" s="23">
        <v>30692.47896</v>
      </c>
      <c r="C383" s="23">
        <v>0.62099459989900374</v>
      </c>
      <c r="D383" t="str">
        <f t="shared" si="6"/>
        <v>A</v>
      </c>
    </row>
    <row r="384" spans="1:4" x14ac:dyDescent="0.35">
      <c r="A384" s="24" t="s">
        <v>960</v>
      </c>
      <c r="B384" s="23">
        <v>30479.418970000002</v>
      </c>
      <c r="C384" s="23">
        <v>0.63799710603699777</v>
      </c>
      <c r="D384" t="str">
        <f t="shared" si="6"/>
        <v>A</v>
      </c>
    </row>
    <row r="385" spans="1:4" x14ac:dyDescent="0.35">
      <c r="A385" s="24" t="s">
        <v>1354</v>
      </c>
      <c r="B385" s="23">
        <v>30229.994880000002</v>
      </c>
      <c r="C385" s="23">
        <v>0.65486047452852403</v>
      </c>
      <c r="D385" t="str">
        <f t="shared" si="6"/>
        <v>A</v>
      </c>
    </row>
    <row r="386" spans="1:4" x14ac:dyDescent="0.35">
      <c r="A386" s="24" t="s">
        <v>1282</v>
      </c>
      <c r="B386" s="23">
        <v>29673.454499999993</v>
      </c>
      <c r="C386" s="23">
        <v>0.67141338496189951</v>
      </c>
      <c r="D386" t="str">
        <f t="shared" si="6"/>
        <v>A</v>
      </c>
    </row>
    <row r="387" spans="1:4" x14ac:dyDescent="0.35">
      <c r="A387" s="24" t="s">
        <v>878</v>
      </c>
      <c r="B387" s="23">
        <v>25672.127039999999</v>
      </c>
      <c r="C387" s="23">
        <v>0.68573421233733556</v>
      </c>
      <c r="D387" t="str">
        <f t="shared" si="6"/>
        <v>A</v>
      </c>
    </row>
    <row r="388" spans="1:4" x14ac:dyDescent="0.35">
      <c r="A388" s="24" t="s">
        <v>1230</v>
      </c>
      <c r="B388" s="23">
        <v>25249.613219999999</v>
      </c>
      <c r="C388" s="23">
        <v>0.69981934644627575</v>
      </c>
      <c r="D388" t="str">
        <f t="shared" si="6"/>
        <v>A</v>
      </c>
    </row>
    <row r="389" spans="1:4" x14ac:dyDescent="0.35">
      <c r="A389" s="24" t="s">
        <v>1217</v>
      </c>
      <c r="B389" s="23">
        <v>21908.731650000002</v>
      </c>
      <c r="C389" s="23">
        <v>0.7120408177519274</v>
      </c>
      <c r="D389" t="str">
        <f t="shared" si="6"/>
        <v>A</v>
      </c>
    </row>
    <row r="390" spans="1:4" x14ac:dyDescent="0.35">
      <c r="A390" s="24" t="s">
        <v>818</v>
      </c>
      <c r="B390" s="23">
        <v>21062.61248</v>
      </c>
      <c r="C390" s="23">
        <v>0.72379029363025271</v>
      </c>
      <c r="D390" t="str">
        <f t="shared" si="6"/>
        <v>A</v>
      </c>
    </row>
    <row r="391" spans="1:4" x14ac:dyDescent="0.35">
      <c r="A391" s="24" t="s">
        <v>763</v>
      </c>
      <c r="B391" s="23">
        <v>20084.133720000002</v>
      </c>
      <c r="C391" s="23">
        <v>0.73499393918487121</v>
      </c>
      <c r="D391" t="str">
        <f t="shared" si="6"/>
        <v>A</v>
      </c>
    </row>
    <row r="392" spans="1:4" x14ac:dyDescent="0.35">
      <c r="A392" s="24" t="s">
        <v>1021</v>
      </c>
      <c r="B392" s="23">
        <v>20028.787380000002</v>
      </c>
      <c r="C392" s="23">
        <v>0.74616671057858486</v>
      </c>
      <c r="D392" t="str">
        <f t="shared" si="6"/>
        <v>A</v>
      </c>
    </row>
    <row r="393" spans="1:4" x14ac:dyDescent="0.35">
      <c r="A393" s="24" t="s">
        <v>755</v>
      </c>
      <c r="B393" s="23">
        <v>19903.585040000002</v>
      </c>
      <c r="C393" s="23">
        <v>0.75726963964504024</v>
      </c>
      <c r="D393" t="str">
        <f t="shared" si="6"/>
        <v>A</v>
      </c>
    </row>
    <row r="394" spans="1:4" x14ac:dyDescent="0.35">
      <c r="A394" s="24" t="s">
        <v>1284</v>
      </c>
      <c r="B394" s="23">
        <v>18830.12472</v>
      </c>
      <c r="C394" s="23">
        <v>0.76777375428863359</v>
      </c>
      <c r="D394" t="str">
        <f t="shared" si="6"/>
        <v>A</v>
      </c>
    </row>
    <row r="395" spans="1:4" x14ac:dyDescent="0.35">
      <c r="A395" s="24" t="s">
        <v>1346</v>
      </c>
      <c r="B395" s="23">
        <v>18500.693520000001</v>
      </c>
      <c r="C395" s="23">
        <v>0.77809410046847893</v>
      </c>
      <c r="D395" t="str">
        <f t="shared" si="6"/>
        <v>A</v>
      </c>
    </row>
    <row r="396" spans="1:4" x14ac:dyDescent="0.35">
      <c r="A396" s="24" t="s">
        <v>736</v>
      </c>
      <c r="B396" s="23">
        <v>18279.366335999999</v>
      </c>
      <c r="C396" s="23">
        <v>0.78829098245735107</v>
      </c>
      <c r="D396" t="str">
        <f t="shared" si="6"/>
        <v>A</v>
      </c>
    </row>
    <row r="397" spans="1:4" x14ac:dyDescent="0.35">
      <c r="A397" s="24" t="s">
        <v>1133</v>
      </c>
      <c r="B397" s="23">
        <v>17731.623</v>
      </c>
      <c r="C397" s="23">
        <v>0.79818231369272774</v>
      </c>
      <c r="D397" t="str">
        <f t="shared" si="6"/>
        <v>A</v>
      </c>
    </row>
    <row r="398" spans="1:4" x14ac:dyDescent="0.35">
      <c r="A398" s="24" t="s">
        <v>1051</v>
      </c>
      <c r="B398" s="23">
        <v>16306.59375</v>
      </c>
      <c r="C398" s="23">
        <v>0.80727871282674812</v>
      </c>
      <c r="D398" t="str">
        <f t="shared" si="6"/>
        <v>A</v>
      </c>
    </row>
    <row r="399" spans="1:4" x14ac:dyDescent="0.35">
      <c r="A399" s="24" t="s">
        <v>863</v>
      </c>
      <c r="B399" s="23">
        <v>16071.44868</v>
      </c>
      <c r="C399" s="23">
        <v>0.81624393966053754</v>
      </c>
      <c r="D399" t="str">
        <f t="shared" si="6"/>
        <v>A</v>
      </c>
    </row>
    <row r="400" spans="1:4" x14ac:dyDescent="0.35">
      <c r="A400" s="24" t="s">
        <v>1240</v>
      </c>
      <c r="B400" s="23">
        <v>15323.926799999999</v>
      </c>
      <c r="C400" s="23">
        <v>0.82479217214920864</v>
      </c>
      <c r="D400" t="str">
        <f t="shared" si="6"/>
        <v>A</v>
      </c>
    </row>
    <row r="401" spans="1:4" x14ac:dyDescent="0.35">
      <c r="A401" s="24" t="s">
        <v>949</v>
      </c>
      <c r="B401" s="23">
        <v>15253.069799999999</v>
      </c>
      <c r="C401" s="23">
        <v>0.83330087807805231</v>
      </c>
      <c r="D401" t="str">
        <f t="shared" si="6"/>
        <v>A</v>
      </c>
    </row>
    <row r="402" spans="1:4" x14ac:dyDescent="0.35">
      <c r="A402" s="24" t="s">
        <v>1200</v>
      </c>
      <c r="B402" s="23">
        <v>14261.92439</v>
      </c>
      <c r="C402" s="23">
        <v>0.84125668777440044</v>
      </c>
      <c r="D402" t="str">
        <f t="shared" si="6"/>
        <v>A</v>
      </c>
    </row>
    <row r="403" spans="1:4" x14ac:dyDescent="0.35">
      <c r="A403" s="24" t="s">
        <v>1309</v>
      </c>
      <c r="B403" s="23">
        <v>13882.6016</v>
      </c>
      <c r="C403" s="23">
        <v>0.84900089770004405</v>
      </c>
      <c r="D403" t="str">
        <f t="shared" si="6"/>
        <v>A</v>
      </c>
    </row>
    <row r="404" spans="1:4" x14ac:dyDescent="0.35">
      <c r="A404" s="24" t="s">
        <v>1015</v>
      </c>
      <c r="B404" s="23">
        <v>13360.438</v>
      </c>
      <c r="C404" s="23">
        <v>0.85645382616055299</v>
      </c>
      <c r="D404" t="str">
        <f t="shared" si="6"/>
        <v>B</v>
      </c>
    </row>
    <row r="405" spans="1:4" x14ac:dyDescent="0.35">
      <c r="A405" s="24" t="s">
        <v>1114</v>
      </c>
      <c r="B405" s="23">
        <v>12881.097599999999</v>
      </c>
      <c r="C405" s="23">
        <v>0.86363936146303588</v>
      </c>
      <c r="D405" t="str">
        <f t="shared" si="6"/>
        <v>B</v>
      </c>
    </row>
    <row r="406" spans="1:4" x14ac:dyDescent="0.35">
      <c r="A406" s="24" t="s">
        <v>1308</v>
      </c>
      <c r="B406" s="23">
        <v>12091.190399999999</v>
      </c>
      <c r="C406" s="23">
        <v>0.87038425837836086</v>
      </c>
      <c r="D406" t="str">
        <f t="shared" si="6"/>
        <v>B</v>
      </c>
    </row>
    <row r="407" spans="1:4" x14ac:dyDescent="0.35">
      <c r="A407" s="24" t="s">
        <v>857</v>
      </c>
      <c r="B407" s="23">
        <v>10817.3416</v>
      </c>
      <c r="C407" s="23">
        <v>0.87641855703516292</v>
      </c>
      <c r="D407" t="str">
        <f t="shared" si="6"/>
        <v>B</v>
      </c>
    </row>
    <row r="408" spans="1:4" x14ac:dyDescent="0.35">
      <c r="A408" s="24" t="s">
        <v>1277</v>
      </c>
      <c r="B408" s="23">
        <v>10792.637119999999</v>
      </c>
      <c r="C408" s="23">
        <v>0.88243907465259386</v>
      </c>
      <c r="D408" t="str">
        <f t="shared" si="6"/>
        <v>B</v>
      </c>
    </row>
    <row r="409" spans="1:4" x14ac:dyDescent="0.35">
      <c r="A409" s="24" t="s">
        <v>1348</v>
      </c>
      <c r="B409" s="23">
        <v>10786.32144</v>
      </c>
      <c r="C409" s="23">
        <v>0.88845606915864028</v>
      </c>
      <c r="D409" t="str">
        <f t="shared" si="6"/>
        <v>B</v>
      </c>
    </row>
    <row r="410" spans="1:4" x14ac:dyDescent="0.35">
      <c r="A410" s="24" t="s">
        <v>775</v>
      </c>
      <c r="B410" s="23">
        <v>10558.74</v>
      </c>
      <c r="C410" s="23">
        <v>0.89434611062682523</v>
      </c>
      <c r="D410" t="str">
        <f t="shared" si="6"/>
        <v>B</v>
      </c>
    </row>
    <row r="411" spans="1:4" x14ac:dyDescent="0.35">
      <c r="A411" s="24" t="s">
        <v>1237</v>
      </c>
      <c r="B411" s="23">
        <v>10189.8891</v>
      </c>
      <c r="C411" s="23">
        <v>0.90003039391774886</v>
      </c>
      <c r="D411" t="str">
        <f t="shared" si="6"/>
        <v>B</v>
      </c>
    </row>
    <row r="412" spans="1:4" x14ac:dyDescent="0.35">
      <c r="A412" s="24" t="s">
        <v>1296</v>
      </c>
      <c r="B412" s="23">
        <v>10166.535600000001</v>
      </c>
      <c r="C412" s="23">
        <v>0.90570164979409196</v>
      </c>
      <c r="D412" t="str">
        <f t="shared" si="6"/>
        <v>B</v>
      </c>
    </row>
    <row r="413" spans="1:4" x14ac:dyDescent="0.35">
      <c r="A413" s="24" t="s">
        <v>1251</v>
      </c>
      <c r="B413" s="23">
        <v>9807.7842799999999</v>
      </c>
      <c r="C413" s="23">
        <v>0.91117278139883007</v>
      </c>
      <c r="D413" t="str">
        <f t="shared" ref="D413:D476" si="7">IF(C413&lt;=0.85,"A",IF(C413&lt;=0.95,"B","C"))</f>
        <v>B</v>
      </c>
    </row>
    <row r="414" spans="1:4" x14ac:dyDescent="0.35">
      <c r="A414" s="24" t="s">
        <v>766</v>
      </c>
      <c r="B414" s="23">
        <v>9647.3852800000004</v>
      </c>
      <c r="C414" s="23">
        <v>0.91655443672501069</v>
      </c>
      <c r="D414" t="str">
        <f t="shared" si="7"/>
        <v>B</v>
      </c>
    </row>
    <row r="415" spans="1:4" x14ac:dyDescent="0.35">
      <c r="A415" s="24" t="s">
        <v>807</v>
      </c>
      <c r="B415" s="23">
        <v>9373.460219999999</v>
      </c>
      <c r="C415" s="23">
        <v>0.92178328689048339</v>
      </c>
      <c r="D415" t="str">
        <f t="shared" si="7"/>
        <v>B</v>
      </c>
    </row>
    <row r="416" spans="1:4" x14ac:dyDescent="0.35">
      <c r="A416" s="24" t="s">
        <v>1263</v>
      </c>
      <c r="B416" s="23">
        <v>9262.0686600000008</v>
      </c>
      <c r="C416" s="23">
        <v>0.92694999887397533</v>
      </c>
      <c r="D416" t="str">
        <f t="shared" si="7"/>
        <v>B</v>
      </c>
    </row>
    <row r="417" spans="1:4" x14ac:dyDescent="0.35">
      <c r="A417" s="24" t="s">
        <v>889</v>
      </c>
      <c r="B417" s="23">
        <v>8909.6646800000017</v>
      </c>
      <c r="C417" s="23">
        <v>0.93192012735832319</v>
      </c>
      <c r="D417" t="str">
        <f t="shared" si="7"/>
        <v>B</v>
      </c>
    </row>
    <row r="418" spans="1:4" x14ac:dyDescent="0.35">
      <c r="A418" s="24" t="s">
        <v>1065</v>
      </c>
      <c r="B418" s="23">
        <v>8764.4065599999994</v>
      </c>
      <c r="C418" s="23">
        <v>0.93680922568657377</v>
      </c>
      <c r="D418" t="str">
        <f t="shared" si="7"/>
        <v>B</v>
      </c>
    </row>
    <row r="419" spans="1:4" x14ac:dyDescent="0.35">
      <c r="A419" s="24" t="s">
        <v>1236</v>
      </c>
      <c r="B419" s="23">
        <v>8637.1874499999994</v>
      </c>
      <c r="C419" s="23">
        <v>0.94162735666138586</v>
      </c>
      <c r="D419" t="str">
        <f t="shared" si="7"/>
        <v>B</v>
      </c>
    </row>
    <row r="420" spans="1:4" x14ac:dyDescent="0.35">
      <c r="A420" s="24" t="s">
        <v>932</v>
      </c>
      <c r="B420" s="23">
        <v>8349.2224200000001</v>
      </c>
      <c r="C420" s="23">
        <v>0.94628485047986222</v>
      </c>
      <c r="D420" t="str">
        <f t="shared" si="7"/>
        <v>B</v>
      </c>
    </row>
    <row r="421" spans="1:4" x14ac:dyDescent="0.35">
      <c r="A421" s="24" t="s">
        <v>824</v>
      </c>
      <c r="B421" s="23">
        <v>8324.8326000000015</v>
      </c>
      <c r="C421" s="23">
        <v>0.95092873878752948</v>
      </c>
      <c r="D421" t="str">
        <f t="shared" si="7"/>
        <v>C</v>
      </c>
    </row>
    <row r="422" spans="1:4" x14ac:dyDescent="0.35">
      <c r="A422" s="24" t="s">
        <v>996</v>
      </c>
      <c r="B422" s="23">
        <v>8186.057600000001</v>
      </c>
      <c r="C422" s="23">
        <v>0.95549521345448307</v>
      </c>
      <c r="D422" t="str">
        <f t="shared" si="7"/>
        <v>C</v>
      </c>
    </row>
    <row r="423" spans="1:4" x14ac:dyDescent="0.35">
      <c r="A423" s="24" t="s">
        <v>1269</v>
      </c>
      <c r="B423" s="23">
        <v>7823.4472399999995</v>
      </c>
      <c r="C423" s="23">
        <v>0.9598594111397899</v>
      </c>
      <c r="D423" t="str">
        <f t="shared" si="7"/>
        <v>C</v>
      </c>
    </row>
    <row r="424" spans="1:4" x14ac:dyDescent="0.35">
      <c r="A424" s="24" t="s">
        <v>1055</v>
      </c>
      <c r="B424" s="23">
        <v>7493.1076000000012</v>
      </c>
      <c r="C424" s="23">
        <v>0.96403933360114158</v>
      </c>
      <c r="D424" t="str">
        <f t="shared" si="7"/>
        <v>C</v>
      </c>
    </row>
    <row r="425" spans="1:4" x14ac:dyDescent="0.35">
      <c r="A425" s="24" t="s">
        <v>890</v>
      </c>
      <c r="B425" s="23">
        <v>7203.8047000000006</v>
      </c>
      <c r="C425" s="23">
        <v>0.96805787259459208</v>
      </c>
      <c r="D425" t="str">
        <f t="shared" si="7"/>
        <v>C</v>
      </c>
    </row>
    <row r="426" spans="1:4" x14ac:dyDescent="0.35">
      <c r="A426" s="24" t="s">
        <v>1112</v>
      </c>
      <c r="B426" s="23">
        <v>6576.298960000001</v>
      </c>
      <c r="C426" s="23">
        <v>0.97172636652299471</v>
      </c>
      <c r="D426" t="str">
        <f t="shared" si="7"/>
        <v>C</v>
      </c>
    </row>
    <row r="427" spans="1:4" x14ac:dyDescent="0.35">
      <c r="A427" s="24" t="s">
        <v>1169</v>
      </c>
      <c r="B427" s="23">
        <v>5546.4642200000008</v>
      </c>
      <c r="C427" s="23">
        <v>0.97482038193180331</v>
      </c>
      <c r="D427" t="str">
        <f t="shared" si="7"/>
        <v>C</v>
      </c>
    </row>
    <row r="428" spans="1:4" x14ac:dyDescent="0.35">
      <c r="A428" s="24" t="s">
        <v>832</v>
      </c>
      <c r="B428" s="23">
        <v>5328.4890400000004</v>
      </c>
      <c r="C428" s="23">
        <v>0.97779280301692972</v>
      </c>
      <c r="D428" t="str">
        <f t="shared" si="7"/>
        <v>C</v>
      </c>
    </row>
    <row r="429" spans="1:4" x14ac:dyDescent="0.35">
      <c r="A429" s="24" t="s">
        <v>1311</v>
      </c>
      <c r="B429" s="23">
        <v>4280.6786400000001</v>
      </c>
      <c r="C429" s="23">
        <v>0.98018071811869134</v>
      </c>
      <c r="D429" t="str">
        <f t="shared" si="7"/>
        <v>C</v>
      </c>
    </row>
    <row r="430" spans="1:4" x14ac:dyDescent="0.35">
      <c r="A430" s="24" t="s">
        <v>928</v>
      </c>
      <c r="B430" s="23">
        <v>3928.3797600000003</v>
      </c>
      <c r="C430" s="23">
        <v>0.98237210834983424</v>
      </c>
      <c r="D430" t="str">
        <f t="shared" si="7"/>
        <v>C</v>
      </c>
    </row>
    <row r="431" spans="1:4" x14ac:dyDescent="0.35">
      <c r="A431" s="24" t="s">
        <v>1041</v>
      </c>
      <c r="B431" s="23">
        <v>3644.3212800000006</v>
      </c>
      <c r="C431" s="23">
        <v>0.9844050406374546</v>
      </c>
      <c r="D431" t="str">
        <f t="shared" si="7"/>
        <v>C</v>
      </c>
    </row>
    <row r="432" spans="1:4" x14ac:dyDescent="0.35">
      <c r="A432" s="24" t="s">
        <v>982</v>
      </c>
      <c r="B432" s="23">
        <v>3592.04</v>
      </c>
      <c r="C432" s="23">
        <v>0.98640880856387192</v>
      </c>
      <c r="D432" t="str">
        <f t="shared" si="7"/>
        <v>C</v>
      </c>
    </row>
    <row r="433" spans="1:4" x14ac:dyDescent="0.35">
      <c r="A433" s="24" t="s">
        <v>1272</v>
      </c>
      <c r="B433" s="23">
        <v>3340.6370000000002</v>
      </c>
      <c r="C433" s="23">
        <v>0.98827233493729849</v>
      </c>
      <c r="D433" t="str">
        <f t="shared" si="7"/>
        <v>C</v>
      </c>
    </row>
    <row r="434" spans="1:4" x14ac:dyDescent="0.35">
      <c r="A434" s="24" t="s">
        <v>1078</v>
      </c>
      <c r="B434" s="23">
        <v>3175.1547799999998</v>
      </c>
      <c r="C434" s="23">
        <v>0.9900435494308939</v>
      </c>
      <c r="D434" t="str">
        <f t="shared" si="7"/>
        <v>C</v>
      </c>
    </row>
    <row r="435" spans="1:4" x14ac:dyDescent="0.35">
      <c r="A435" s="24" t="s">
        <v>1172</v>
      </c>
      <c r="B435" s="23">
        <v>2795.6384399999997</v>
      </c>
      <c r="C435" s="23">
        <v>0.99160305618469702</v>
      </c>
      <c r="D435" t="str">
        <f t="shared" si="7"/>
        <v>C</v>
      </c>
    </row>
    <row r="436" spans="1:4" x14ac:dyDescent="0.35">
      <c r="A436" s="24" t="s">
        <v>991</v>
      </c>
      <c r="B436" s="23">
        <v>2394.1605599999998</v>
      </c>
      <c r="C436" s="23">
        <v>0.9929386042690227</v>
      </c>
      <c r="D436" t="str">
        <f t="shared" si="7"/>
        <v>C</v>
      </c>
    </row>
    <row r="437" spans="1:4" x14ac:dyDescent="0.35">
      <c r="A437" s="24" t="s">
        <v>1353</v>
      </c>
      <c r="B437" s="23">
        <v>2355.2113199999999</v>
      </c>
      <c r="C437" s="23">
        <v>0.99425242507918932</v>
      </c>
      <c r="D437" t="str">
        <f t="shared" si="7"/>
        <v>C</v>
      </c>
    </row>
    <row r="438" spans="1:4" x14ac:dyDescent="0.35">
      <c r="A438" s="24" t="s">
        <v>1167</v>
      </c>
      <c r="B438" s="23">
        <v>1950.0031200000001</v>
      </c>
      <c r="C438" s="23">
        <v>0.99534020631443987</v>
      </c>
      <c r="D438" t="str">
        <f t="shared" si="7"/>
        <v>C</v>
      </c>
    </row>
    <row r="439" spans="1:4" x14ac:dyDescent="0.35">
      <c r="A439" s="24" t="s">
        <v>1196</v>
      </c>
      <c r="B439" s="23">
        <v>1886.9915999999998</v>
      </c>
      <c r="C439" s="23">
        <v>0.99639283747820728</v>
      </c>
      <c r="D439" t="str">
        <f t="shared" si="7"/>
        <v>C</v>
      </c>
    </row>
    <row r="440" spans="1:4" x14ac:dyDescent="0.35">
      <c r="A440" s="24" t="s">
        <v>842</v>
      </c>
      <c r="B440" s="23">
        <v>1660.3999999999999</v>
      </c>
      <c r="C440" s="23">
        <v>0.99731906777214141</v>
      </c>
      <c r="D440" t="str">
        <f t="shared" si="7"/>
        <v>C</v>
      </c>
    </row>
    <row r="441" spans="1:4" x14ac:dyDescent="0.35">
      <c r="A441" s="24" t="s">
        <v>848</v>
      </c>
      <c r="B441" s="23">
        <v>1499.22</v>
      </c>
      <c r="C441" s="23">
        <v>0.99815538611788457</v>
      </c>
      <c r="D441" t="str">
        <f t="shared" si="7"/>
        <v>C</v>
      </c>
    </row>
    <row r="442" spans="1:4" x14ac:dyDescent="0.35">
      <c r="A442" s="24" t="s">
        <v>1075</v>
      </c>
      <c r="B442" s="23">
        <v>1115.1975999999997</v>
      </c>
      <c r="C442" s="23">
        <v>0.99877748308297887</v>
      </c>
      <c r="D442" t="str">
        <f t="shared" si="7"/>
        <v>C</v>
      </c>
    </row>
    <row r="443" spans="1:4" x14ac:dyDescent="0.35">
      <c r="A443" s="24" t="s">
        <v>1334</v>
      </c>
      <c r="B443" s="23">
        <v>1062.5902000000001</v>
      </c>
      <c r="C443" s="23">
        <v>0.99937023376551171</v>
      </c>
      <c r="D443" t="str">
        <f t="shared" si="7"/>
        <v>C</v>
      </c>
    </row>
    <row r="444" spans="1:4" x14ac:dyDescent="0.35">
      <c r="A444" s="24" t="s">
        <v>1045</v>
      </c>
      <c r="B444" s="23">
        <v>879.05840000000001</v>
      </c>
      <c r="C444" s="23">
        <v>0.99986060386923215</v>
      </c>
      <c r="D444" t="str">
        <f t="shared" si="7"/>
        <v>C</v>
      </c>
    </row>
    <row r="445" spans="1:4" x14ac:dyDescent="0.35">
      <c r="A445" s="24" t="s">
        <v>788</v>
      </c>
      <c r="B445" s="23">
        <v>215.19839999999996</v>
      </c>
      <c r="C445" s="23">
        <v>0.99998064920607033</v>
      </c>
      <c r="D445" t="str">
        <f t="shared" si="7"/>
        <v>C</v>
      </c>
    </row>
    <row r="446" spans="1:4" x14ac:dyDescent="0.35">
      <c r="A446" s="24" t="s">
        <v>846</v>
      </c>
      <c r="B446" s="23">
        <v>34.689059999999998</v>
      </c>
      <c r="C446" s="23">
        <v>0.99999999999999956</v>
      </c>
      <c r="D446" t="str">
        <f t="shared" si="7"/>
        <v>C</v>
      </c>
    </row>
    <row r="447" spans="1:4" x14ac:dyDescent="0.35">
      <c r="A447" s="19" t="s">
        <v>730</v>
      </c>
      <c r="B447" s="23">
        <v>1399242.2240200001</v>
      </c>
    </row>
    <row r="448" spans="1:4" x14ac:dyDescent="0.35">
      <c r="A448" s="24" t="s">
        <v>1320</v>
      </c>
      <c r="B448" s="23">
        <v>68665.574250000005</v>
      </c>
      <c r="C448" s="23">
        <v>4.9073400638757834E-2</v>
      </c>
      <c r="D448" t="str">
        <f t="shared" si="7"/>
        <v>A</v>
      </c>
    </row>
    <row r="449" spans="1:4" x14ac:dyDescent="0.35">
      <c r="A449" s="24" t="s">
        <v>834</v>
      </c>
      <c r="B449" s="23">
        <v>52780.07</v>
      </c>
      <c r="C449" s="23">
        <v>8.6793867541453018E-2</v>
      </c>
      <c r="D449" t="str">
        <f t="shared" si="7"/>
        <v>A</v>
      </c>
    </row>
    <row r="450" spans="1:4" x14ac:dyDescent="0.35">
      <c r="A450" s="24" t="s">
        <v>883</v>
      </c>
      <c r="B450" s="23">
        <v>42495.805439999996</v>
      </c>
      <c r="C450" s="23">
        <v>0.11716445292724151</v>
      </c>
      <c r="D450" t="str">
        <f t="shared" si="7"/>
        <v>A</v>
      </c>
    </row>
    <row r="451" spans="1:4" x14ac:dyDescent="0.35">
      <c r="A451" s="24" t="s">
        <v>915</v>
      </c>
      <c r="B451" s="23">
        <v>41352.246200000009</v>
      </c>
      <c r="C451" s="23">
        <v>0.14671776792169305</v>
      </c>
      <c r="D451" t="str">
        <f t="shared" si="7"/>
        <v>A</v>
      </c>
    </row>
    <row r="452" spans="1:4" x14ac:dyDescent="0.35">
      <c r="A452" s="24" t="s">
        <v>1162</v>
      </c>
      <c r="B452" s="23">
        <v>41138.261999999995</v>
      </c>
      <c r="C452" s="23">
        <v>0.17611815428354144</v>
      </c>
      <c r="D452" t="str">
        <f t="shared" si="7"/>
        <v>A</v>
      </c>
    </row>
    <row r="453" spans="1:4" x14ac:dyDescent="0.35">
      <c r="A453" s="24" t="s">
        <v>1109</v>
      </c>
      <c r="B453" s="23">
        <v>38422.022320000004</v>
      </c>
      <c r="C453" s="23">
        <v>0.20357731872300078</v>
      </c>
      <c r="D453" t="str">
        <f t="shared" si="7"/>
        <v>A</v>
      </c>
    </row>
    <row r="454" spans="1:4" x14ac:dyDescent="0.35">
      <c r="A454" s="24" t="s">
        <v>970</v>
      </c>
      <c r="B454" s="23">
        <v>37038.581760000001</v>
      </c>
      <c r="C454" s="23">
        <v>0.23004777617788574</v>
      </c>
      <c r="D454" t="str">
        <f t="shared" si="7"/>
        <v>A</v>
      </c>
    </row>
    <row r="455" spans="1:4" x14ac:dyDescent="0.35">
      <c r="A455" s="24" t="s">
        <v>751</v>
      </c>
      <c r="B455" s="23">
        <v>35367.211040000002</v>
      </c>
      <c r="C455" s="23">
        <v>0.25532375086823678</v>
      </c>
      <c r="D455" t="str">
        <f t="shared" si="7"/>
        <v>A</v>
      </c>
    </row>
    <row r="456" spans="1:4" x14ac:dyDescent="0.35">
      <c r="A456" s="24" t="s">
        <v>1012</v>
      </c>
      <c r="B456" s="23">
        <v>34840.344000000005</v>
      </c>
      <c r="C456" s="23">
        <v>0.28022318815072833</v>
      </c>
      <c r="D456" t="str">
        <f t="shared" si="7"/>
        <v>A</v>
      </c>
    </row>
    <row r="457" spans="1:4" x14ac:dyDescent="0.35">
      <c r="A457" s="24" t="s">
        <v>1239</v>
      </c>
      <c r="B457" s="23">
        <v>34800.431400000001</v>
      </c>
      <c r="C457" s="23">
        <v>0.30509410099383777</v>
      </c>
      <c r="D457" t="str">
        <f t="shared" si="7"/>
        <v>A</v>
      </c>
    </row>
    <row r="458" spans="1:4" x14ac:dyDescent="0.35">
      <c r="A458" s="24" t="s">
        <v>1287</v>
      </c>
      <c r="B458" s="23">
        <v>33551.927499999998</v>
      </c>
      <c r="C458" s="23">
        <v>0.32907274237846224</v>
      </c>
      <c r="D458" t="str">
        <f t="shared" si="7"/>
        <v>A</v>
      </c>
    </row>
    <row r="459" spans="1:4" x14ac:dyDescent="0.35">
      <c r="A459" s="24" t="s">
        <v>1294</v>
      </c>
      <c r="B459" s="23">
        <v>33071.3145</v>
      </c>
      <c r="C459" s="23">
        <v>0.35270790284766723</v>
      </c>
      <c r="D459" t="str">
        <f t="shared" si="7"/>
        <v>A</v>
      </c>
    </row>
    <row r="460" spans="1:4" x14ac:dyDescent="0.35">
      <c r="A460" s="24" t="s">
        <v>1360</v>
      </c>
      <c r="B460" s="23">
        <v>33017.42</v>
      </c>
      <c r="C460" s="23">
        <v>0.37630454639744632</v>
      </c>
      <c r="D460" t="str">
        <f t="shared" si="7"/>
        <v>A</v>
      </c>
    </row>
    <row r="461" spans="1:4" x14ac:dyDescent="0.35">
      <c r="A461" s="24" t="s">
        <v>1108</v>
      </c>
      <c r="B461" s="23">
        <v>31005.24768</v>
      </c>
      <c r="C461" s="23">
        <v>0.39846314563619889</v>
      </c>
      <c r="D461" t="str">
        <f t="shared" si="7"/>
        <v>A</v>
      </c>
    </row>
    <row r="462" spans="1:4" x14ac:dyDescent="0.35">
      <c r="A462" s="24" t="s">
        <v>1156</v>
      </c>
      <c r="B462" s="23">
        <v>29627.320319999999</v>
      </c>
      <c r="C462" s="23">
        <v>0.41963697802304689</v>
      </c>
      <c r="D462" t="str">
        <f t="shared" si="7"/>
        <v>A</v>
      </c>
    </row>
    <row r="463" spans="1:4" x14ac:dyDescent="0.35">
      <c r="A463" s="24" t="s">
        <v>893</v>
      </c>
      <c r="B463" s="23">
        <v>29263.754519999995</v>
      </c>
      <c r="C463" s="23">
        <v>0.44055097991467485</v>
      </c>
      <c r="D463" t="str">
        <f t="shared" si="7"/>
        <v>A</v>
      </c>
    </row>
    <row r="464" spans="1:4" x14ac:dyDescent="0.35">
      <c r="A464" s="24" t="s">
        <v>1339</v>
      </c>
      <c r="B464" s="23">
        <v>29175.036029999999</v>
      </c>
      <c r="C464" s="23">
        <v>0.46140157713734908</v>
      </c>
      <c r="D464" t="str">
        <f t="shared" si="7"/>
        <v>A</v>
      </c>
    </row>
    <row r="465" spans="1:4" x14ac:dyDescent="0.35">
      <c r="A465" s="24" t="s">
        <v>1070</v>
      </c>
      <c r="B465" s="23">
        <v>28247.74656</v>
      </c>
      <c r="C465" s="23">
        <v>0.48158946603541614</v>
      </c>
      <c r="D465" t="str">
        <f t="shared" si="7"/>
        <v>A</v>
      </c>
    </row>
    <row r="466" spans="1:4" x14ac:dyDescent="0.35">
      <c r="A466" s="24" t="s">
        <v>1168</v>
      </c>
      <c r="B466" s="23">
        <v>27249</v>
      </c>
      <c r="C466" s="23">
        <v>0.50106357818857428</v>
      </c>
      <c r="D466" t="str">
        <f t="shared" si="7"/>
        <v>A</v>
      </c>
    </row>
    <row r="467" spans="1:4" x14ac:dyDescent="0.35">
      <c r="A467" s="24" t="s">
        <v>765</v>
      </c>
      <c r="B467" s="23">
        <v>26150.364320000001</v>
      </c>
      <c r="C467" s="23">
        <v>0.51975252558530916</v>
      </c>
      <c r="D467" t="str">
        <f t="shared" si="7"/>
        <v>A</v>
      </c>
    </row>
    <row r="468" spans="1:4" x14ac:dyDescent="0.35">
      <c r="A468" s="24" t="s">
        <v>936</v>
      </c>
      <c r="B468" s="23">
        <v>25299.040000000001</v>
      </c>
      <c r="C468" s="23">
        <v>0.53783305486444732</v>
      </c>
      <c r="D468" t="str">
        <f t="shared" si="7"/>
        <v>A</v>
      </c>
    </row>
    <row r="469" spans="1:4" x14ac:dyDescent="0.35">
      <c r="A469" s="24" t="s">
        <v>947</v>
      </c>
      <c r="B469" s="23">
        <v>24223.05</v>
      </c>
      <c r="C469" s="23">
        <v>0.55514460363289975</v>
      </c>
      <c r="D469" t="str">
        <f t="shared" si="7"/>
        <v>A</v>
      </c>
    </row>
    <row r="470" spans="1:4" x14ac:dyDescent="0.35">
      <c r="A470" s="24" t="s">
        <v>841</v>
      </c>
      <c r="B470" s="23">
        <v>23687.524440000001</v>
      </c>
      <c r="C470" s="23">
        <v>0.57207342698697639</v>
      </c>
      <c r="D470" t="str">
        <f t="shared" si="7"/>
        <v>A</v>
      </c>
    </row>
    <row r="471" spans="1:4" x14ac:dyDescent="0.35">
      <c r="A471" s="24" t="s">
        <v>1317</v>
      </c>
      <c r="B471" s="23">
        <v>22676.312610000001</v>
      </c>
      <c r="C471" s="23">
        <v>0.58827956500992096</v>
      </c>
      <c r="D471" t="str">
        <f t="shared" si="7"/>
        <v>A</v>
      </c>
    </row>
    <row r="472" spans="1:4" x14ac:dyDescent="0.35">
      <c r="A472" s="24" t="s">
        <v>1054</v>
      </c>
      <c r="B472" s="23">
        <v>22380.204000000002</v>
      </c>
      <c r="C472" s="23">
        <v>0.60427408233923807</v>
      </c>
      <c r="D472" t="str">
        <f t="shared" si="7"/>
        <v>A</v>
      </c>
    </row>
    <row r="473" spans="1:4" x14ac:dyDescent="0.35">
      <c r="A473" s="24" t="s">
        <v>930</v>
      </c>
      <c r="B473" s="23">
        <v>21679.749799999998</v>
      </c>
      <c r="C473" s="23">
        <v>0.61976800428344181</v>
      </c>
      <c r="D473" t="str">
        <f t="shared" si="7"/>
        <v>A</v>
      </c>
    </row>
    <row r="474" spans="1:4" x14ac:dyDescent="0.35">
      <c r="A474" s="24" t="s">
        <v>959</v>
      </c>
      <c r="B474" s="23">
        <v>21573.6495</v>
      </c>
      <c r="C474" s="23">
        <v>0.63518609925631875</v>
      </c>
      <c r="D474" t="str">
        <f t="shared" si="7"/>
        <v>A</v>
      </c>
    </row>
    <row r="475" spans="1:4" x14ac:dyDescent="0.35">
      <c r="A475" s="24" t="s">
        <v>1140</v>
      </c>
      <c r="B475" s="23">
        <v>21541.017959999997</v>
      </c>
      <c r="C475" s="23">
        <v>0.65058087336348724</v>
      </c>
      <c r="D475" t="str">
        <f t="shared" si="7"/>
        <v>A</v>
      </c>
    </row>
    <row r="476" spans="1:4" x14ac:dyDescent="0.35">
      <c r="A476" s="24" t="s">
        <v>1189</v>
      </c>
      <c r="B476" s="23">
        <v>20797.98</v>
      </c>
      <c r="C476" s="23">
        <v>0.66544461864144766</v>
      </c>
      <c r="D476" t="str">
        <f t="shared" si="7"/>
        <v>A</v>
      </c>
    </row>
    <row r="477" spans="1:4" x14ac:dyDescent="0.35">
      <c r="A477" s="24" t="s">
        <v>1160</v>
      </c>
      <c r="B477" s="23">
        <v>20038.536</v>
      </c>
      <c r="C477" s="23">
        <v>0.67976561014385495</v>
      </c>
      <c r="D477" t="str">
        <f t="shared" ref="D477:D540" si="8">IF(C477&lt;=0.85,"A",IF(C477&lt;=0.95,"B","C"))</f>
        <v>A</v>
      </c>
    </row>
    <row r="478" spans="1:4" x14ac:dyDescent="0.35">
      <c r="A478" s="24" t="s">
        <v>1100</v>
      </c>
      <c r="B478" s="23">
        <v>19547.329920000004</v>
      </c>
      <c r="C478" s="23">
        <v>0.69373555014740984</v>
      </c>
      <c r="D478" t="str">
        <f t="shared" si="8"/>
        <v>A</v>
      </c>
    </row>
    <row r="479" spans="1:4" x14ac:dyDescent="0.35">
      <c r="A479" s="24" t="s">
        <v>825</v>
      </c>
      <c r="B479" s="23">
        <v>19510.808000000001</v>
      </c>
      <c r="C479" s="23">
        <v>0.70767938893748417</v>
      </c>
      <c r="D479" t="str">
        <f t="shared" si="8"/>
        <v>A</v>
      </c>
    </row>
    <row r="480" spans="1:4" x14ac:dyDescent="0.35">
      <c r="A480" s="24" t="s">
        <v>1207</v>
      </c>
      <c r="B480" s="23">
        <v>19233.355499999998</v>
      </c>
      <c r="C480" s="23">
        <v>0.72142494004352697</v>
      </c>
      <c r="D480" t="str">
        <f t="shared" si="8"/>
        <v>A</v>
      </c>
    </row>
    <row r="481" spans="1:4" x14ac:dyDescent="0.35">
      <c r="A481" s="24" t="s">
        <v>1105</v>
      </c>
      <c r="B481" s="23">
        <v>16873.45</v>
      </c>
      <c r="C481" s="23">
        <v>0.73348393148213775</v>
      </c>
      <c r="D481" t="str">
        <f t="shared" si="8"/>
        <v>A</v>
      </c>
    </row>
    <row r="482" spans="1:4" x14ac:dyDescent="0.35">
      <c r="A482" s="24" t="s">
        <v>1146</v>
      </c>
      <c r="B482" s="23">
        <v>16134.22069</v>
      </c>
      <c r="C482" s="23">
        <v>0.74501461602912544</v>
      </c>
      <c r="D482" t="str">
        <f t="shared" si="8"/>
        <v>A</v>
      </c>
    </row>
    <row r="483" spans="1:4" x14ac:dyDescent="0.35">
      <c r="A483" s="24" t="s">
        <v>856</v>
      </c>
      <c r="B483" s="23">
        <v>16061.972879999999</v>
      </c>
      <c r="C483" s="23">
        <v>0.75649366704993726</v>
      </c>
      <c r="D483" t="str">
        <f t="shared" si="8"/>
        <v>A</v>
      </c>
    </row>
    <row r="484" spans="1:4" x14ac:dyDescent="0.35">
      <c r="A484" s="24" t="s">
        <v>934</v>
      </c>
      <c r="B484" s="23">
        <v>14963.769179999999</v>
      </c>
      <c r="C484" s="23">
        <v>0.76718786203857148</v>
      </c>
      <c r="D484" t="str">
        <f t="shared" si="8"/>
        <v>A</v>
      </c>
    </row>
    <row r="485" spans="1:4" x14ac:dyDescent="0.35">
      <c r="A485" s="24" t="s">
        <v>1153</v>
      </c>
      <c r="B485" s="23">
        <v>14527.748400000002</v>
      </c>
      <c r="C485" s="23">
        <v>0.77757044494709893</v>
      </c>
      <c r="D485" t="str">
        <f t="shared" si="8"/>
        <v>A</v>
      </c>
    </row>
    <row r="486" spans="1:4" x14ac:dyDescent="0.35">
      <c r="A486" s="24" t="s">
        <v>1362</v>
      </c>
      <c r="B486" s="23">
        <v>12769.38768</v>
      </c>
      <c r="C486" s="23">
        <v>0.78669637572648443</v>
      </c>
      <c r="D486" t="str">
        <f t="shared" si="8"/>
        <v>A</v>
      </c>
    </row>
    <row r="487" spans="1:4" x14ac:dyDescent="0.35">
      <c r="A487" s="24" t="s">
        <v>1174</v>
      </c>
      <c r="B487" s="23">
        <v>12668.50728</v>
      </c>
      <c r="C487" s="23">
        <v>0.7957502100537559</v>
      </c>
      <c r="D487" t="str">
        <f t="shared" si="8"/>
        <v>A</v>
      </c>
    </row>
    <row r="488" spans="1:4" x14ac:dyDescent="0.35">
      <c r="A488" s="24" t="s">
        <v>1182</v>
      </c>
      <c r="B488" s="23">
        <v>12289.2</v>
      </c>
      <c r="C488" s="23">
        <v>0.80453296388224838</v>
      </c>
      <c r="D488" t="str">
        <f t="shared" si="8"/>
        <v>A</v>
      </c>
    </row>
    <row r="489" spans="1:4" x14ac:dyDescent="0.35">
      <c r="A489" s="24" t="s">
        <v>978</v>
      </c>
      <c r="B489" s="23">
        <v>12248.675999999999</v>
      </c>
      <c r="C489" s="23">
        <v>0.81328675632056524</v>
      </c>
      <c r="D489" t="str">
        <f t="shared" si="8"/>
        <v>A</v>
      </c>
    </row>
    <row r="490" spans="1:4" x14ac:dyDescent="0.35">
      <c r="A490" s="24" t="s">
        <v>799</v>
      </c>
      <c r="B490" s="23">
        <v>12153.267360000002</v>
      </c>
      <c r="C490" s="23">
        <v>0.8219723628234078</v>
      </c>
      <c r="D490" t="str">
        <f t="shared" si="8"/>
        <v>A</v>
      </c>
    </row>
    <row r="491" spans="1:4" x14ac:dyDescent="0.35">
      <c r="A491" s="24" t="s">
        <v>1186</v>
      </c>
      <c r="B491" s="23">
        <v>11984.891250000001</v>
      </c>
      <c r="C491" s="23">
        <v>0.83053763554335736</v>
      </c>
      <c r="D491" t="str">
        <f t="shared" si="8"/>
        <v>A</v>
      </c>
    </row>
    <row r="492" spans="1:4" x14ac:dyDescent="0.35">
      <c r="A492" s="24" t="s">
        <v>1266</v>
      </c>
      <c r="B492" s="23">
        <v>11924.0978</v>
      </c>
      <c r="C492" s="23">
        <v>0.83905946085373317</v>
      </c>
      <c r="D492" t="str">
        <f t="shared" si="8"/>
        <v>A</v>
      </c>
    </row>
    <row r="493" spans="1:4" x14ac:dyDescent="0.35">
      <c r="A493" s="24" t="s">
        <v>931</v>
      </c>
      <c r="B493" s="23">
        <v>11326.846439999999</v>
      </c>
      <c r="C493" s="23">
        <v>0.84715444701521281</v>
      </c>
      <c r="D493" t="str">
        <f t="shared" si="8"/>
        <v>A</v>
      </c>
    </row>
    <row r="494" spans="1:4" x14ac:dyDescent="0.35">
      <c r="A494" s="24" t="s">
        <v>1126</v>
      </c>
      <c r="B494" s="23">
        <v>11285.764020000001</v>
      </c>
      <c r="C494" s="23">
        <v>0.85522007269907485</v>
      </c>
      <c r="D494" t="str">
        <f t="shared" si="8"/>
        <v>B</v>
      </c>
    </row>
    <row r="495" spans="1:4" x14ac:dyDescent="0.35">
      <c r="A495" s="24" t="s">
        <v>796</v>
      </c>
      <c r="B495" s="23">
        <v>10947.904</v>
      </c>
      <c r="C495" s="23">
        <v>0.86304423910290662</v>
      </c>
      <c r="D495" t="str">
        <f t="shared" si="8"/>
        <v>B</v>
      </c>
    </row>
    <row r="496" spans="1:4" x14ac:dyDescent="0.35">
      <c r="A496" s="24" t="s">
        <v>745</v>
      </c>
      <c r="B496" s="23">
        <v>10370.549999999999</v>
      </c>
      <c r="C496" s="23">
        <v>0.87045578645473365</v>
      </c>
      <c r="D496" t="str">
        <f t="shared" si="8"/>
        <v>B</v>
      </c>
    </row>
    <row r="497" spans="1:4" x14ac:dyDescent="0.35">
      <c r="A497" s="24" t="s">
        <v>1154</v>
      </c>
      <c r="B497" s="23">
        <v>9984.7160999999978</v>
      </c>
      <c r="C497" s="23">
        <v>0.87759158891166222</v>
      </c>
      <c r="D497" t="str">
        <f t="shared" si="8"/>
        <v>B</v>
      </c>
    </row>
    <row r="498" spans="1:4" x14ac:dyDescent="0.35">
      <c r="A498" s="24" t="s">
        <v>975</v>
      </c>
      <c r="B498" s="23">
        <v>9684.8756000000012</v>
      </c>
      <c r="C498" s="23">
        <v>0.88451310359564261</v>
      </c>
      <c r="D498" t="str">
        <f t="shared" si="8"/>
        <v>B</v>
      </c>
    </row>
    <row r="499" spans="1:4" x14ac:dyDescent="0.35">
      <c r="A499" s="24" t="s">
        <v>1222</v>
      </c>
      <c r="B499" s="23">
        <v>9614.4403999999995</v>
      </c>
      <c r="C499" s="23">
        <v>0.89138428017604765</v>
      </c>
      <c r="D499" t="str">
        <f t="shared" si="8"/>
        <v>B</v>
      </c>
    </row>
    <row r="500" spans="1:4" x14ac:dyDescent="0.35">
      <c r="A500" s="24" t="s">
        <v>1050</v>
      </c>
      <c r="B500" s="23">
        <v>9062.34692</v>
      </c>
      <c r="C500" s="23">
        <v>0.89786089070454067</v>
      </c>
      <c r="D500" t="str">
        <f t="shared" si="8"/>
        <v>B</v>
      </c>
    </row>
    <row r="501" spans="1:4" x14ac:dyDescent="0.35">
      <c r="A501" s="24" t="s">
        <v>1077</v>
      </c>
      <c r="B501" s="23">
        <v>8938.8996600000009</v>
      </c>
      <c r="C501" s="23">
        <v>0.90424927686567202</v>
      </c>
      <c r="D501" t="str">
        <f t="shared" si="8"/>
        <v>B</v>
      </c>
    </row>
    <row r="502" spans="1:4" x14ac:dyDescent="0.35">
      <c r="A502" s="24" t="s">
        <v>875</v>
      </c>
      <c r="B502" s="23">
        <v>8211.6342000000004</v>
      </c>
      <c r="C502" s="23">
        <v>0.91011790637029644</v>
      </c>
      <c r="D502" t="str">
        <f t="shared" si="8"/>
        <v>B</v>
      </c>
    </row>
    <row r="503" spans="1:4" x14ac:dyDescent="0.35">
      <c r="A503" s="24" t="s">
        <v>896</v>
      </c>
      <c r="B503" s="23">
        <v>8154.5511600000009</v>
      </c>
      <c r="C503" s="23">
        <v>0.91594574019350117</v>
      </c>
      <c r="D503" t="str">
        <f t="shared" si="8"/>
        <v>B</v>
      </c>
    </row>
    <row r="504" spans="1:4" x14ac:dyDescent="0.35">
      <c r="A504" s="24" t="s">
        <v>1037</v>
      </c>
      <c r="B504" s="23">
        <v>8093.4784</v>
      </c>
      <c r="C504" s="23">
        <v>0.92172992699194378</v>
      </c>
      <c r="D504" t="str">
        <f t="shared" si="8"/>
        <v>B</v>
      </c>
    </row>
    <row r="505" spans="1:4" x14ac:dyDescent="0.35">
      <c r="A505" s="24" t="s">
        <v>1234</v>
      </c>
      <c r="B505" s="23">
        <v>7428.1108999999988</v>
      </c>
      <c r="C505" s="23">
        <v>0.92703859390642485</v>
      </c>
      <c r="D505" t="str">
        <f t="shared" si="8"/>
        <v>B</v>
      </c>
    </row>
    <row r="506" spans="1:4" x14ac:dyDescent="0.35">
      <c r="A506" s="24" t="s">
        <v>1312</v>
      </c>
      <c r="B506" s="23">
        <v>7173.3342799999991</v>
      </c>
      <c r="C506" s="23">
        <v>0.93216517896572304</v>
      </c>
      <c r="D506" t="str">
        <f t="shared" si="8"/>
        <v>B</v>
      </c>
    </row>
    <row r="507" spans="1:4" x14ac:dyDescent="0.35">
      <c r="A507" s="24" t="s">
        <v>1002</v>
      </c>
      <c r="B507" s="23">
        <v>6946.8</v>
      </c>
      <c r="C507" s="23">
        <v>0.9371298661948162</v>
      </c>
      <c r="D507" t="str">
        <f t="shared" si="8"/>
        <v>B</v>
      </c>
    </row>
    <row r="508" spans="1:4" x14ac:dyDescent="0.35">
      <c r="A508" s="24" t="s">
        <v>972</v>
      </c>
      <c r="B508" s="23">
        <v>6684.1875</v>
      </c>
      <c r="C508" s="23">
        <v>0.94190687148043173</v>
      </c>
      <c r="D508" t="str">
        <f t="shared" si="8"/>
        <v>B</v>
      </c>
    </row>
    <row r="509" spans="1:4" x14ac:dyDescent="0.35">
      <c r="A509" s="24" t="s">
        <v>965</v>
      </c>
      <c r="B509" s="23">
        <v>5814.6927299999998</v>
      </c>
      <c r="C509" s="23">
        <v>0.94606247272672239</v>
      </c>
      <c r="D509" t="str">
        <f t="shared" si="8"/>
        <v>B</v>
      </c>
    </row>
    <row r="510" spans="1:4" x14ac:dyDescent="0.35">
      <c r="A510" s="24" t="s">
        <v>828</v>
      </c>
      <c r="B510" s="23">
        <v>5487.6023999999998</v>
      </c>
      <c r="C510" s="23">
        <v>0.94998431149473372</v>
      </c>
      <c r="D510" t="str">
        <f t="shared" si="8"/>
        <v>B</v>
      </c>
    </row>
    <row r="511" spans="1:4" x14ac:dyDescent="0.35">
      <c r="A511" s="24" t="s">
        <v>737</v>
      </c>
      <c r="B511" s="23">
        <v>5225.2710400000005</v>
      </c>
      <c r="C511" s="23">
        <v>0.95371866924230642</v>
      </c>
      <c r="D511" t="str">
        <f t="shared" si="8"/>
        <v>C</v>
      </c>
    </row>
    <row r="512" spans="1:4" x14ac:dyDescent="0.35">
      <c r="A512" s="24" t="s">
        <v>1246</v>
      </c>
      <c r="B512" s="23">
        <v>5189.8836000000001</v>
      </c>
      <c r="C512" s="23">
        <v>0.95742773655810653</v>
      </c>
      <c r="D512" t="str">
        <f t="shared" si="8"/>
        <v>C</v>
      </c>
    </row>
    <row r="513" spans="1:4" x14ac:dyDescent="0.35">
      <c r="A513" s="24" t="s">
        <v>1219</v>
      </c>
      <c r="B513" s="23">
        <v>5159.7893599999998</v>
      </c>
      <c r="C513" s="23">
        <v>0.96111529634684434</v>
      </c>
      <c r="D513" t="str">
        <f t="shared" si="8"/>
        <v>C</v>
      </c>
    </row>
    <row r="514" spans="1:4" x14ac:dyDescent="0.35">
      <c r="A514" s="24" t="s">
        <v>1216</v>
      </c>
      <c r="B514" s="23">
        <v>5127.0390600000001</v>
      </c>
      <c r="C514" s="23">
        <v>0.96477945039536217</v>
      </c>
      <c r="D514" t="str">
        <f t="shared" si="8"/>
        <v>C</v>
      </c>
    </row>
    <row r="515" spans="1:4" x14ac:dyDescent="0.35">
      <c r="A515" s="24" t="s">
        <v>1068</v>
      </c>
      <c r="B515" s="23">
        <v>4856.35725</v>
      </c>
      <c r="C515" s="23">
        <v>0.96825015558609584</v>
      </c>
      <c r="D515" t="str">
        <f t="shared" si="8"/>
        <v>C</v>
      </c>
    </row>
    <row r="516" spans="1:4" x14ac:dyDescent="0.35">
      <c r="A516" s="24" t="s">
        <v>1095</v>
      </c>
      <c r="B516" s="23">
        <v>4804.4682400000002</v>
      </c>
      <c r="C516" s="23">
        <v>0.97168377712604403</v>
      </c>
      <c r="D516" t="str">
        <f t="shared" si="8"/>
        <v>C</v>
      </c>
    </row>
    <row r="517" spans="1:4" x14ac:dyDescent="0.35">
      <c r="A517" s="24" t="s">
        <v>871</v>
      </c>
      <c r="B517" s="23">
        <v>4336.2427499999994</v>
      </c>
      <c r="C517" s="23">
        <v>0.97478277076385889</v>
      </c>
      <c r="D517" t="str">
        <f t="shared" si="8"/>
        <v>C</v>
      </c>
    </row>
    <row r="518" spans="1:4" x14ac:dyDescent="0.35">
      <c r="A518" s="24" t="s">
        <v>761</v>
      </c>
      <c r="B518" s="23">
        <v>3980.7075</v>
      </c>
      <c r="C518" s="23">
        <v>0.9776276731200525</v>
      </c>
      <c r="D518" t="str">
        <f t="shared" si="8"/>
        <v>C</v>
      </c>
    </row>
    <row r="519" spans="1:4" x14ac:dyDescent="0.35">
      <c r="A519" s="24" t="s">
        <v>1019</v>
      </c>
      <c r="B519" s="23">
        <v>3978.6474000000003</v>
      </c>
      <c r="C519" s="23">
        <v>0.98047110317933794</v>
      </c>
      <c r="D519" t="str">
        <f t="shared" si="8"/>
        <v>C</v>
      </c>
    </row>
    <row r="520" spans="1:4" x14ac:dyDescent="0.35">
      <c r="A520" s="24" t="s">
        <v>762</v>
      </c>
      <c r="B520" s="23">
        <v>3913.2000000000003</v>
      </c>
      <c r="C520" s="23">
        <v>0.98326775977876313</v>
      </c>
      <c r="D520" t="str">
        <f t="shared" si="8"/>
        <v>C</v>
      </c>
    </row>
    <row r="521" spans="1:4" x14ac:dyDescent="0.35">
      <c r="A521" s="24" t="s">
        <v>1061</v>
      </c>
      <c r="B521" s="23">
        <v>3799.8031499999997</v>
      </c>
      <c r="C521" s="23">
        <v>0.98598337476291031</v>
      </c>
      <c r="D521" t="str">
        <f t="shared" si="8"/>
        <v>C</v>
      </c>
    </row>
    <row r="522" spans="1:4" x14ac:dyDescent="0.35">
      <c r="A522" s="24" t="s">
        <v>867</v>
      </c>
      <c r="B522" s="23">
        <v>3494.4040799999998</v>
      </c>
      <c r="C522" s="23">
        <v>0.98848072941674614</v>
      </c>
      <c r="D522" t="str">
        <f t="shared" si="8"/>
        <v>C</v>
      </c>
    </row>
    <row r="523" spans="1:4" x14ac:dyDescent="0.35">
      <c r="A523" s="24" t="s">
        <v>979</v>
      </c>
      <c r="B523" s="23">
        <v>2909.8689199999999</v>
      </c>
      <c r="C523" s="23">
        <v>0.99056033284069089</v>
      </c>
      <c r="D523" t="str">
        <f t="shared" si="8"/>
        <v>C</v>
      </c>
    </row>
    <row r="524" spans="1:4" x14ac:dyDescent="0.35">
      <c r="A524" s="24" t="s">
        <v>862</v>
      </c>
      <c r="B524" s="23">
        <v>2642.1686999999997</v>
      </c>
      <c r="C524" s="23">
        <v>0.99244861826736219</v>
      </c>
      <c r="D524" t="str">
        <f t="shared" si="8"/>
        <v>C</v>
      </c>
    </row>
    <row r="525" spans="1:4" x14ac:dyDescent="0.35">
      <c r="A525" s="24" t="s">
        <v>1064</v>
      </c>
      <c r="B525" s="23">
        <v>2537.2908000000002</v>
      </c>
      <c r="C525" s="23">
        <v>0.99426195033842446</v>
      </c>
      <c r="D525" t="str">
        <f t="shared" si="8"/>
        <v>C</v>
      </c>
    </row>
    <row r="526" spans="1:4" x14ac:dyDescent="0.35">
      <c r="A526" s="24" t="s">
        <v>1081</v>
      </c>
      <c r="B526" s="23">
        <v>2206.8000000000002</v>
      </c>
      <c r="C526" s="23">
        <v>0.99583908970866164</v>
      </c>
      <c r="D526" t="str">
        <f t="shared" si="8"/>
        <v>C</v>
      </c>
    </row>
    <row r="527" spans="1:4" x14ac:dyDescent="0.35">
      <c r="A527" s="24" t="s">
        <v>1145</v>
      </c>
      <c r="B527" s="23">
        <v>2059.0056</v>
      </c>
      <c r="C527" s="23">
        <v>0.99731060447905251</v>
      </c>
      <c r="D527" t="str">
        <f t="shared" si="8"/>
        <v>C</v>
      </c>
    </row>
    <row r="528" spans="1:4" x14ac:dyDescent="0.35">
      <c r="A528" s="24" t="s">
        <v>1304</v>
      </c>
      <c r="B528" s="23">
        <v>841.00536</v>
      </c>
      <c r="C528" s="23">
        <v>0.99791164791925391</v>
      </c>
      <c r="D528" t="str">
        <f t="shared" si="8"/>
        <v>C</v>
      </c>
    </row>
    <row r="529" spans="1:4" x14ac:dyDescent="0.35">
      <c r="A529" s="24" t="s">
        <v>1016</v>
      </c>
      <c r="B529" s="23">
        <v>667.74</v>
      </c>
      <c r="C529" s="23">
        <v>0.99838886336382615</v>
      </c>
      <c r="D529" t="str">
        <f t="shared" si="8"/>
        <v>C</v>
      </c>
    </row>
    <row r="530" spans="1:4" x14ac:dyDescent="0.35">
      <c r="A530" s="24" t="s">
        <v>1264</v>
      </c>
      <c r="B530" s="23">
        <v>618.19979999999987</v>
      </c>
      <c r="C530" s="23">
        <v>0.99883067378763113</v>
      </c>
      <c r="D530" t="str">
        <f t="shared" si="8"/>
        <v>C</v>
      </c>
    </row>
    <row r="531" spans="1:4" x14ac:dyDescent="0.35">
      <c r="A531" s="24" t="s">
        <v>997</v>
      </c>
      <c r="B531" s="23">
        <v>560.36831999999993</v>
      </c>
      <c r="C531" s="23">
        <v>0.99923115364049742</v>
      </c>
      <c r="D531" t="str">
        <f t="shared" si="8"/>
        <v>C</v>
      </c>
    </row>
    <row r="532" spans="1:4" x14ac:dyDescent="0.35">
      <c r="A532" s="24" t="s">
        <v>840</v>
      </c>
      <c r="B532" s="23">
        <v>518.65436999999997</v>
      </c>
      <c r="C532" s="23">
        <v>0.99960182167859435</v>
      </c>
      <c r="D532" t="str">
        <f t="shared" si="8"/>
        <v>C</v>
      </c>
    </row>
    <row r="533" spans="1:4" x14ac:dyDescent="0.35">
      <c r="A533" s="24" t="s">
        <v>1318</v>
      </c>
      <c r="B533" s="23">
        <v>370.86</v>
      </c>
      <c r="C533" s="23">
        <v>0.99986686513828549</v>
      </c>
      <c r="D533" t="str">
        <f t="shared" si="8"/>
        <v>C</v>
      </c>
    </row>
    <row r="534" spans="1:4" x14ac:dyDescent="0.35">
      <c r="A534" s="24" t="s">
        <v>1226</v>
      </c>
      <c r="B534" s="23">
        <v>110.14919999999999</v>
      </c>
      <c r="C534" s="23">
        <v>0.99994558574727599</v>
      </c>
      <c r="D534" t="str">
        <f t="shared" si="8"/>
        <v>C</v>
      </c>
    </row>
    <row r="535" spans="1:4" x14ac:dyDescent="0.35">
      <c r="A535" s="24" t="s">
        <v>1020</v>
      </c>
      <c r="B535" s="23">
        <v>76.138720000000006</v>
      </c>
      <c r="C535" s="23">
        <v>1</v>
      </c>
      <c r="D535" t="str">
        <f t="shared" si="8"/>
        <v>C</v>
      </c>
    </row>
    <row r="536" spans="1:4" x14ac:dyDescent="0.35">
      <c r="A536" s="19" t="s">
        <v>728</v>
      </c>
      <c r="B536" s="23">
        <v>1616910.1886599993</v>
      </c>
    </row>
    <row r="537" spans="1:4" x14ac:dyDescent="0.35">
      <c r="A537" s="24" t="s">
        <v>1271</v>
      </c>
      <c r="B537" s="23">
        <v>66260.314239999992</v>
      </c>
      <c r="C537" s="23">
        <v>4.0979588541595294E-2</v>
      </c>
      <c r="D537" t="str">
        <f t="shared" si="8"/>
        <v>A</v>
      </c>
    </row>
    <row r="538" spans="1:4" x14ac:dyDescent="0.35">
      <c r="A538" s="24" t="s">
        <v>1157</v>
      </c>
      <c r="B538" s="23">
        <v>58091.634960000003</v>
      </c>
      <c r="C538" s="23">
        <v>7.690714677421609E-2</v>
      </c>
      <c r="D538" t="str">
        <f t="shared" si="8"/>
        <v>A</v>
      </c>
    </row>
    <row r="539" spans="1:4" x14ac:dyDescent="0.35">
      <c r="A539" s="24" t="s">
        <v>933</v>
      </c>
      <c r="B539" s="23">
        <v>55880.483749999999</v>
      </c>
      <c r="C539" s="23">
        <v>0.11146718860084993</v>
      </c>
      <c r="D539" t="str">
        <f t="shared" si="8"/>
        <v>A</v>
      </c>
    </row>
    <row r="540" spans="1:4" x14ac:dyDescent="0.35">
      <c r="A540" s="24" t="s">
        <v>1289</v>
      </c>
      <c r="B540" s="23">
        <v>50545.319219999998</v>
      </c>
      <c r="C540" s="23">
        <v>0.14272762568294231</v>
      </c>
      <c r="D540" t="str">
        <f t="shared" si="8"/>
        <v>A</v>
      </c>
    </row>
    <row r="541" spans="1:4" x14ac:dyDescent="0.35">
      <c r="A541" s="24" t="s">
        <v>1090</v>
      </c>
      <c r="B541" s="23">
        <v>43907.94</v>
      </c>
      <c r="C541" s="23">
        <v>0.16988308571278374</v>
      </c>
      <c r="D541" t="str">
        <f t="shared" ref="D541:D604" si="9">IF(C541&lt;=0.85,"A",IF(C541&lt;=0.95,"B","C"))</f>
        <v>A</v>
      </c>
    </row>
    <row r="542" spans="1:4" x14ac:dyDescent="0.35">
      <c r="A542" s="24" t="s">
        <v>829</v>
      </c>
      <c r="B542" s="23">
        <v>43209.006119999991</v>
      </c>
      <c r="C542" s="23">
        <v>0.19660628062060301</v>
      </c>
      <c r="D542" t="str">
        <f t="shared" si="9"/>
        <v>A</v>
      </c>
    </row>
    <row r="543" spans="1:4" x14ac:dyDescent="0.35">
      <c r="A543" s="24" t="s">
        <v>1047</v>
      </c>
      <c r="B543" s="23">
        <v>40325.31</v>
      </c>
      <c r="C543" s="23">
        <v>0.22154601461623036</v>
      </c>
      <c r="D543" t="str">
        <f t="shared" si="9"/>
        <v>A</v>
      </c>
    </row>
    <row r="544" spans="1:4" x14ac:dyDescent="0.35">
      <c r="A544" s="24" t="s">
        <v>1335</v>
      </c>
      <c r="B544" s="23">
        <v>39810.328000000001</v>
      </c>
      <c r="C544" s="23">
        <v>0.24616725102082773</v>
      </c>
      <c r="D544" t="str">
        <f t="shared" si="9"/>
        <v>A</v>
      </c>
    </row>
    <row r="545" spans="1:4" x14ac:dyDescent="0.35">
      <c r="A545" s="24" t="s">
        <v>1071</v>
      </c>
      <c r="B545" s="23">
        <v>38535.955099999999</v>
      </c>
      <c r="C545" s="23">
        <v>0.2700003342497338</v>
      </c>
      <c r="D545" t="str">
        <f t="shared" si="9"/>
        <v>A</v>
      </c>
    </row>
    <row r="546" spans="1:4" x14ac:dyDescent="0.35">
      <c r="A546" s="24" t="s">
        <v>1115</v>
      </c>
      <c r="B546" s="23">
        <v>37562.28</v>
      </c>
      <c r="C546" s="23">
        <v>0.29323123492896658</v>
      </c>
      <c r="D546" t="str">
        <f t="shared" si="9"/>
        <v>A</v>
      </c>
    </row>
    <row r="547" spans="1:4" x14ac:dyDescent="0.35">
      <c r="A547" s="24" t="s">
        <v>1204</v>
      </c>
      <c r="B547" s="23">
        <v>36549.429260000004</v>
      </c>
      <c r="C547" s="23">
        <v>0.3158357243535091</v>
      </c>
      <c r="D547" t="str">
        <f t="shared" si="9"/>
        <v>A</v>
      </c>
    </row>
    <row r="548" spans="1:4" x14ac:dyDescent="0.35">
      <c r="A548" s="24" t="s">
        <v>872</v>
      </c>
      <c r="B548" s="23">
        <v>35567.737920000007</v>
      </c>
      <c r="C548" s="23">
        <v>0.33783307347620617</v>
      </c>
      <c r="D548" t="str">
        <f t="shared" si="9"/>
        <v>A</v>
      </c>
    </row>
    <row r="549" spans="1:4" x14ac:dyDescent="0.35">
      <c r="A549" s="24" t="s">
        <v>783</v>
      </c>
      <c r="B549" s="23">
        <v>34444.462359999998</v>
      </c>
      <c r="C549" s="23">
        <v>0.35913571761907326</v>
      </c>
      <c r="D549" t="str">
        <f t="shared" si="9"/>
        <v>A</v>
      </c>
    </row>
    <row r="550" spans="1:4" x14ac:dyDescent="0.35">
      <c r="A550" s="24" t="s">
        <v>1262</v>
      </c>
      <c r="B550" s="23">
        <v>33421.1</v>
      </c>
      <c r="C550" s="23">
        <v>0.37980544945352807</v>
      </c>
      <c r="D550" t="str">
        <f t="shared" si="9"/>
        <v>A</v>
      </c>
    </row>
    <row r="551" spans="1:4" x14ac:dyDescent="0.35">
      <c r="A551" s="24" t="s">
        <v>1280</v>
      </c>
      <c r="B551" s="23">
        <v>31822.023930000003</v>
      </c>
      <c r="C551" s="23">
        <v>0.3994862110401517</v>
      </c>
      <c r="D551" t="str">
        <f t="shared" si="9"/>
        <v>A</v>
      </c>
    </row>
    <row r="552" spans="1:4" x14ac:dyDescent="0.35">
      <c r="A552" s="24" t="s">
        <v>776</v>
      </c>
      <c r="B552" s="23">
        <v>31404.1</v>
      </c>
      <c r="C552" s="23">
        <v>0.41890850191335466</v>
      </c>
      <c r="D552" t="str">
        <f t="shared" si="9"/>
        <v>A</v>
      </c>
    </row>
    <row r="553" spans="1:4" x14ac:dyDescent="0.35">
      <c r="A553" s="24" t="s">
        <v>887</v>
      </c>
      <c r="B553" s="23">
        <v>29654.83008</v>
      </c>
      <c r="C553" s="23">
        <v>0.43724893311848928</v>
      </c>
      <c r="D553" t="str">
        <f t="shared" si="9"/>
        <v>A</v>
      </c>
    </row>
    <row r="554" spans="1:4" x14ac:dyDescent="0.35">
      <c r="A554" s="24" t="s">
        <v>1220</v>
      </c>
      <c r="B554" s="23">
        <v>28856.475000000002</v>
      </c>
      <c r="C554" s="23">
        <v>0.45509561081424588</v>
      </c>
      <c r="D554" t="str">
        <f t="shared" si="9"/>
        <v>A</v>
      </c>
    </row>
    <row r="555" spans="1:4" x14ac:dyDescent="0.35">
      <c r="A555" s="24" t="s">
        <v>953</v>
      </c>
      <c r="B555" s="23">
        <v>28211.92124</v>
      </c>
      <c r="C555" s="23">
        <v>0.47254365550953004</v>
      </c>
      <c r="D555" t="str">
        <f t="shared" si="9"/>
        <v>A</v>
      </c>
    </row>
    <row r="556" spans="1:4" x14ac:dyDescent="0.35">
      <c r="A556" s="24" t="s">
        <v>1208</v>
      </c>
      <c r="B556" s="23">
        <v>27194.152039999997</v>
      </c>
      <c r="C556" s="23">
        <v>0.48936224706193832</v>
      </c>
      <c r="D556" t="str">
        <f t="shared" si="9"/>
        <v>A</v>
      </c>
    </row>
    <row r="557" spans="1:4" x14ac:dyDescent="0.35">
      <c r="A557" s="24" t="s">
        <v>750</v>
      </c>
      <c r="B557" s="23">
        <v>25948.414799999995</v>
      </c>
      <c r="C557" s="23">
        <v>0.50541039555032441</v>
      </c>
      <c r="D557" t="str">
        <f t="shared" si="9"/>
        <v>A</v>
      </c>
    </row>
    <row r="558" spans="1:4" x14ac:dyDescent="0.35">
      <c r="A558" s="24" t="s">
        <v>987</v>
      </c>
      <c r="B558" s="23">
        <v>25483.91488</v>
      </c>
      <c r="C558" s="23">
        <v>0.52117126777361078</v>
      </c>
      <c r="D558" t="str">
        <f t="shared" si="9"/>
        <v>A</v>
      </c>
    </row>
    <row r="559" spans="1:4" x14ac:dyDescent="0.35">
      <c r="A559" s="24" t="s">
        <v>1350</v>
      </c>
      <c r="B559" s="23">
        <v>25174.028880000002</v>
      </c>
      <c r="C559" s="23">
        <v>0.53674048680417596</v>
      </c>
      <c r="D559" t="str">
        <f t="shared" si="9"/>
        <v>A</v>
      </c>
    </row>
    <row r="560" spans="1:4" x14ac:dyDescent="0.35">
      <c r="A560" s="24" t="s">
        <v>1139</v>
      </c>
      <c r="B560" s="23">
        <v>22457.143800000002</v>
      </c>
      <c r="C560" s="23">
        <v>0.55062941146894728</v>
      </c>
      <c r="D560" t="str">
        <f t="shared" si="9"/>
        <v>A</v>
      </c>
    </row>
    <row r="561" spans="1:4" x14ac:dyDescent="0.35">
      <c r="A561" s="24" t="s">
        <v>1249</v>
      </c>
      <c r="B561" s="23">
        <v>22201.762229999997</v>
      </c>
      <c r="C561" s="23">
        <v>0.56436039194374998</v>
      </c>
      <c r="D561" t="str">
        <f t="shared" si="9"/>
        <v>A</v>
      </c>
    </row>
    <row r="562" spans="1:4" x14ac:dyDescent="0.35">
      <c r="A562" s="24" t="s">
        <v>1177</v>
      </c>
      <c r="B562" s="23">
        <v>21664.440000000002</v>
      </c>
      <c r="C562" s="23">
        <v>0.57775905820978057</v>
      </c>
      <c r="D562" t="str">
        <f t="shared" si="9"/>
        <v>A</v>
      </c>
    </row>
    <row r="563" spans="1:4" x14ac:dyDescent="0.35">
      <c r="A563" s="24" t="s">
        <v>747</v>
      </c>
      <c r="B563" s="23">
        <v>21585.15</v>
      </c>
      <c r="C563" s="23">
        <v>0.59110868650168258</v>
      </c>
      <c r="D563" t="str">
        <f t="shared" si="9"/>
        <v>A</v>
      </c>
    </row>
    <row r="564" spans="1:4" x14ac:dyDescent="0.35">
      <c r="A564" s="24" t="s">
        <v>1173</v>
      </c>
      <c r="B564" s="23">
        <v>20672.289000000001</v>
      </c>
      <c r="C564" s="23">
        <v>0.60389374354751135</v>
      </c>
      <c r="D564" t="str">
        <f t="shared" si="9"/>
        <v>A</v>
      </c>
    </row>
    <row r="565" spans="1:4" x14ac:dyDescent="0.35">
      <c r="A565" s="24" t="s">
        <v>1076</v>
      </c>
      <c r="B565" s="23">
        <v>20053.439999999999</v>
      </c>
      <c r="C565" s="23">
        <v>0.61629606504974588</v>
      </c>
      <c r="D565" t="str">
        <f t="shared" si="9"/>
        <v>A</v>
      </c>
    </row>
    <row r="566" spans="1:4" x14ac:dyDescent="0.35">
      <c r="A566" s="24" t="s">
        <v>1148</v>
      </c>
      <c r="B566" s="23">
        <v>18411.4084</v>
      </c>
      <c r="C566" s="23">
        <v>0.62768284987497991</v>
      </c>
      <c r="D566" t="str">
        <f t="shared" si="9"/>
        <v>A</v>
      </c>
    </row>
    <row r="567" spans="1:4" x14ac:dyDescent="0.35">
      <c r="A567" s="24" t="s">
        <v>815</v>
      </c>
      <c r="B567" s="23">
        <v>18258.868320000001</v>
      </c>
      <c r="C567" s="23">
        <v>0.63897529422226418</v>
      </c>
      <c r="D567" t="str">
        <f t="shared" si="9"/>
        <v>A</v>
      </c>
    </row>
    <row r="568" spans="1:4" x14ac:dyDescent="0.35">
      <c r="A568" s="24" t="s">
        <v>1343</v>
      </c>
      <c r="B568" s="23">
        <v>18003.847679999999</v>
      </c>
      <c r="C568" s="23">
        <v>0.65011001760162546</v>
      </c>
      <c r="D568" t="str">
        <f t="shared" si="9"/>
        <v>A</v>
      </c>
    </row>
    <row r="569" spans="1:4" x14ac:dyDescent="0.35">
      <c r="A569" s="24" t="s">
        <v>735</v>
      </c>
      <c r="B569" s="23">
        <v>17960.432489999999</v>
      </c>
      <c r="C569" s="23">
        <v>0.66121789026886657</v>
      </c>
      <c r="D569" t="str">
        <f t="shared" si="9"/>
        <v>A</v>
      </c>
    </row>
    <row r="570" spans="1:4" x14ac:dyDescent="0.35">
      <c r="A570" s="24" t="s">
        <v>1134</v>
      </c>
      <c r="B570" s="23">
        <v>17427.164800000002</v>
      </c>
      <c r="C570" s="23">
        <v>0.67199595631249909</v>
      </c>
      <c r="D570" t="str">
        <f t="shared" si="9"/>
        <v>A</v>
      </c>
    </row>
    <row r="571" spans="1:4" x14ac:dyDescent="0.35">
      <c r="A571" s="24" t="s">
        <v>969</v>
      </c>
      <c r="B571" s="23">
        <v>17359.804799999998</v>
      </c>
      <c r="C571" s="23">
        <v>0.68273236265204162</v>
      </c>
      <c r="D571" t="str">
        <f t="shared" si="9"/>
        <v>A</v>
      </c>
    </row>
    <row r="572" spans="1:4" x14ac:dyDescent="0.35">
      <c r="A572" s="24" t="s">
        <v>962</v>
      </c>
      <c r="B572" s="23">
        <v>16609.090809999998</v>
      </c>
      <c r="C572" s="23">
        <v>0.69300447975940216</v>
      </c>
      <c r="D572" t="str">
        <f t="shared" si="9"/>
        <v>A</v>
      </c>
    </row>
    <row r="573" spans="1:4" x14ac:dyDescent="0.35">
      <c r="A573" s="24" t="s">
        <v>1202</v>
      </c>
      <c r="B573" s="23">
        <v>16252.219979999998</v>
      </c>
      <c r="C573" s="23">
        <v>0.70305588526972862</v>
      </c>
      <c r="D573" t="str">
        <f t="shared" si="9"/>
        <v>A</v>
      </c>
    </row>
    <row r="574" spans="1:4" x14ac:dyDescent="0.35">
      <c r="A574" s="24" t="s">
        <v>1069</v>
      </c>
      <c r="B574" s="23">
        <v>16219.34496</v>
      </c>
      <c r="C574" s="23">
        <v>0.71308695877879069</v>
      </c>
      <c r="D574" t="str">
        <f t="shared" si="9"/>
        <v>A</v>
      </c>
    </row>
    <row r="575" spans="1:4" x14ac:dyDescent="0.35">
      <c r="A575" s="24" t="s">
        <v>942</v>
      </c>
      <c r="B575" s="23">
        <v>15825.399369999997</v>
      </c>
      <c r="C575" s="23">
        <v>0.72287439130348474</v>
      </c>
      <c r="D575" t="str">
        <f t="shared" si="9"/>
        <v>A</v>
      </c>
    </row>
    <row r="576" spans="1:4" x14ac:dyDescent="0.35">
      <c r="A576" s="24" t="s">
        <v>910</v>
      </c>
      <c r="B576" s="23">
        <v>15656.47056</v>
      </c>
      <c r="C576" s="23">
        <v>0.73255734751824841</v>
      </c>
      <c r="D576" t="str">
        <f t="shared" si="9"/>
        <v>A</v>
      </c>
    </row>
    <row r="577" spans="1:4" x14ac:dyDescent="0.35">
      <c r="A577" s="24" t="s">
        <v>772</v>
      </c>
      <c r="B577" s="23">
        <v>14968.239</v>
      </c>
      <c r="C577" s="23">
        <v>0.74181465760570897</v>
      </c>
      <c r="D577" t="str">
        <f t="shared" si="9"/>
        <v>A</v>
      </c>
    </row>
    <row r="578" spans="1:4" x14ac:dyDescent="0.35">
      <c r="A578" s="24" t="s">
        <v>882</v>
      </c>
      <c r="B578" s="23">
        <v>14877.464000000002</v>
      </c>
      <c r="C578" s="23">
        <v>0.75101582666527777</v>
      </c>
      <c r="D578" t="str">
        <f t="shared" si="9"/>
        <v>A</v>
      </c>
    </row>
    <row r="579" spans="1:4" x14ac:dyDescent="0.35">
      <c r="A579" s="24" t="s">
        <v>1093</v>
      </c>
      <c r="B579" s="23">
        <v>14813.731920000002</v>
      </c>
      <c r="C579" s="23">
        <v>0.76017757975700428</v>
      </c>
      <c r="D579" t="str">
        <f t="shared" si="9"/>
        <v>A</v>
      </c>
    </row>
    <row r="580" spans="1:4" x14ac:dyDescent="0.35">
      <c r="A580" s="24" t="s">
        <v>1292</v>
      </c>
      <c r="B580" s="23">
        <v>13251.48</v>
      </c>
      <c r="C580" s="23">
        <v>0.76837313699508569</v>
      </c>
      <c r="D580" t="str">
        <f t="shared" si="9"/>
        <v>A</v>
      </c>
    </row>
    <row r="581" spans="1:4" x14ac:dyDescent="0.35">
      <c r="A581" s="24" t="s">
        <v>1163</v>
      </c>
      <c r="B581" s="23">
        <v>12955.824749999998</v>
      </c>
      <c r="C581" s="23">
        <v>0.77638584224047535</v>
      </c>
      <c r="D581" t="str">
        <f t="shared" si="9"/>
        <v>A</v>
      </c>
    </row>
    <row r="582" spans="1:4" x14ac:dyDescent="0.35">
      <c r="A582" s="24" t="s">
        <v>1098</v>
      </c>
      <c r="B582" s="23">
        <v>12717.311040000001</v>
      </c>
      <c r="C582" s="23">
        <v>0.78425103545231323</v>
      </c>
      <c r="D582" t="str">
        <f t="shared" si="9"/>
        <v>A</v>
      </c>
    </row>
    <row r="583" spans="1:4" x14ac:dyDescent="0.35">
      <c r="A583" s="24" t="s">
        <v>999</v>
      </c>
      <c r="B583" s="23">
        <v>12597.52224</v>
      </c>
      <c r="C583" s="23">
        <v>0.792042143658787</v>
      </c>
      <c r="D583" t="str">
        <f t="shared" si="9"/>
        <v>A</v>
      </c>
    </row>
    <row r="584" spans="1:4" x14ac:dyDescent="0.35">
      <c r="A584" s="24" t="s">
        <v>1183</v>
      </c>
      <c r="B584" s="23">
        <v>12462.65055</v>
      </c>
      <c r="C584" s="23">
        <v>0.79974983864234583</v>
      </c>
      <c r="D584" t="str">
        <f t="shared" si="9"/>
        <v>A</v>
      </c>
    </row>
    <row r="585" spans="1:4" x14ac:dyDescent="0.35">
      <c r="A585" s="24" t="s">
        <v>868</v>
      </c>
      <c r="B585" s="23">
        <v>12031.491680000001</v>
      </c>
      <c r="C585" s="23">
        <v>0.80719087758463304</v>
      </c>
      <c r="D585" t="str">
        <f t="shared" si="9"/>
        <v>A</v>
      </c>
    </row>
    <row r="586" spans="1:4" x14ac:dyDescent="0.35">
      <c r="A586" s="24" t="s">
        <v>898</v>
      </c>
      <c r="B586" s="23">
        <v>11851.806399999999</v>
      </c>
      <c r="C586" s="23">
        <v>0.81452078773247005</v>
      </c>
      <c r="D586" t="str">
        <f t="shared" si="9"/>
        <v>A</v>
      </c>
    </row>
    <row r="587" spans="1:4" x14ac:dyDescent="0.35">
      <c r="A587" s="24" t="s">
        <v>1008</v>
      </c>
      <c r="B587" s="23">
        <v>11417.429099999999</v>
      </c>
      <c r="C587" s="23">
        <v>0.82158205135742257</v>
      </c>
      <c r="D587" t="str">
        <f t="shared" si="9"/>
        <v>A</v>
      </c>
    </row>
    <row r="588" spans="1:4" x14ac:dyDescent="0.35">
      <c r="A588" s="24" t="s">
        <v>1260</v>
      </c>
      <c r="B588" s="23">
        <v>11406.96</v>
      </c>
      <c r="C588" s="23">
        <v>0.82863684022572293</v>
      </c>
      <c r="D588" t="str">
        <f t="shared" si="9"/>
        <v>A</v>
      </c>
    </row>
    <row r="589" spans="1:4" x14ac:dyDescent="0.35">
      <c r="A589" s="24" t="s">
        <v>738</v>
      </c>
      <c r="B589" s="23">
        <v>10957.9797</v>
      </c>
      <c r="C589" s="23">
        <v>0.8354139511480565</v>
      </c>
      <c r="D589" t="str">
        <f t="shared" si="9"/>
        <v>A</v>
      </c>
    </row>
    <row r="590" spans="1:4" x14ac:dyDescent="0.35">
      <c r="A590" s="24" t="s">
        <v>1235</v>
      </c>
      <c r="B590" s="23">
        <v>10869.182940000001</v>
      </c>
      <c r="C590" s="23">
        <v>0.84213614451181262</v>
      </c>
      <c r="D590" t="str">
        <f t="shared" si="9"/>
        <v>A</v>
      </c>
    </row>
    <row r="591" spans="1:4" x14ac:dyDescent="0.35">
      <c r="A591" s="24" t="s">
        <v>777</v>
      </c>
      <c r="B591" s="23">
        <v>10666.229420000001</v>
      </c>
      <c r="C591" s="23">
        <v>0.84873281852302629</v>
      </c>
      <c r="D591" t="str">
        <f t="shared" si="9"/>
        <v>A</v>
      </c>
    </row>
    <row r="592" spans="1:4" x14ac:dyDescent="0.35">
      <c r="A592" s="24" t="s">
        <v>1347</v>
      </c>
      <c r="B592" s="23">
        <v>10464.138360000001</v>
      </c>
      <c r="C592" s="23">
        <v>0.85520450658176261</v>
      </c>
      <c r="D592" t="str">
        <f t="shared" si="9"/>
        <v>B</v>
      </c>
    </row>
    <row r="593" spans="1:4" x14ac:dyDescent="0.35">
      <c r="A593" s="24" t="s">
        <v>1203</v>
      </c>
      <c r="B593" s="23">
        <v>10428.057360000001</v>
      </c>
      <c r="C593" s="23">
        <v>0.86165387985749298</v>
      </c>
      <c r="D593" t="str">
        <f t="shared" si="9"/>
        <v>B</v>
      </c>
    </row>
    <row r="594" spans="1:4" x14ac:dyDescent="0.35">
      <c r="A594" s="24" t="s">
        <v>1342</v>
      </c>
      <c r="B594" s="23">
        <v>10260.060159999999</v>
      </c>
      <c r="C594" s="23">
        <v>0.86799935299011211</v>
      </c>
      <c r="D594" t="str">
        <f t="shared" si="9"/>
        <v>B</v>
      </c>
    </row>
    <row r="595" spans="1:4" x14ac:dyDescent="0.35">
      <c r="A595" s="24" t="s">
        <v>826</v>
      </c>
      <c r="B595" s="23">
        <v>10161.46624</v>
      </c>
      <c r="C595" s="23">
        <v>0.87428384937789305</v>
      </c>
      <c r="D595" t="str">
        <f t="shared" si="9"/>
        <v>B</v>
      </c>
    </row>
    <row r="596" spans="1:4" x14ac:dyDescent="0.35">
      <c r="A596" s="24" t="s">
        <v>877</v>
      </c>
      <c r="B596" s="23">
        <v>9969.4201499999999</v>
      </c>
      <c r="C596" s="23">
        <v>0.88044957226090725</v>
      </c>
      <c r="D596" t="str">
        <f t="shared" si="9"/>
        <v>B</v>
      </c>
    </row>
    <row r="597" spans="1:4" x14ac:dyDescent="0.35">
      <c r="A597" s="24" t="s">
        <v>1035</v>
      </c>
      <c r="B597" s="23">
        <v>9866.3104799999983</v>
      </c>
      <c r="C597" s="23">
        <v>0.8865515255723504</v>
      </c>
      <c r="D597" t="str">
        <f t="shared" si="9"/>
        <v>B</v>
      </c>
    </row>
    <row r="598" spans="1:4" x14ac:dyDescent="0.35">
      <c r="A598" s="24" t="s">
        <v>1119</v>
      </c>
      <c r="B598" s="23">
        <v>9586.8057599999993</v>
      </c>
      <c r="C598" s="23">
        <v>0.89248061540506707</v>
      </c>
      <c r="D598" t="str">
        <f t="shared" si="9"/>
        <v>B</v>
      </c>
    </row>
    <row r="599" spans="1:4" x14ac:dyDescent="0.35">
      <c r="A599" s="24" t="s">
        <v>1258</v>
      </c>
      <c r="B599" s="23">
        <v>8326.6852500000005</v>
      </c>
      <c r="C599" s="23">
        <v>0.89763036664567286</v>
      </c>
      <c r="D599" t="str">
        <f t="shared" si="9"/>
        <v>B</v>
      </c>
    </row>
    <row r="600" spans="1:4" x14ac:dyDescent="0.35">
      <c r="A600" s="24" t="s">
        <v>884</v>
      </c>
      <c r="B600" s="23">
        <v>7901.5041599999995</v>
      </c>
      <c r="C600" s="23">
        <v>0.90251715888399031</v>
      </c>
      <c r="D600" t="str">
        <f t="shared" si="9"/>
        <v>B</v>
      </c>
    </row>
    <row r="601" spans="1:4" x14ac:dyDescent="0.35">
      <c r="A601" s="24" t="s">
        <v>1003</v>
      </c>
      <c r="B601" s="23">
        <v>7678.2113999999992</v>
      </c>
      <c r="C601" s="23">
        <v>0.90726585269138305</v>
      </c>
      <c r="D601" t="str">
        <f t="shared" si="9"/>
        <v>B</v>
      </c>
    </row>
    <row r="602" spans="1:4" x14ac:dyDescent="0.35">
      <c r="A602" s="24" t="s">
        <v>1333</v>
      </c>
      <c r="B602" s="23">
        <v>7466.3063999999986</v>
      </c>
      <c r="C602" s="23">
        <v>0.91188349098221932</v>
      </c>
      <c r="D602" t="str">
        <f t="shared" si="9"/>
        <v>B</v>
      </c>
    </row>
    <row r="603" spans="1:4" x14ac:dyDescent="0.35">
      <c r="A603" s="24" t="s">
        <v>963</v>
      </c>
      <c r="B603" s="23">
        <v>7446.5209000000004</v>
      </c>
      <c r="C603" s="23">
        <v>0.91648889266267453</v>
      </c>
      <c r="D603" t="str">
        <f t="shared" si="9"/>
        <v>B</v>
      </c>
    </row>
    <row r="604" spans="1:4" x14ac:dyDescent="0.35">
      <c r="A604" s="24" t="s">
        <v>780</v>
      </c>
      <c r="B604" s="23">
        <v>7135.57</v>
      </c>
      <c r="C604" s="23">
        <v>0.92090198254858446</v>
      </c>
      <c r="D604" t="str">
        <f t="shared" si="9"/>
        <v>B</v>
      </c>
    </row>
    <row r="605" spans="1:4" x14ac:dyDescent="0.35">
      <c r="A605" s="24" t="s">
        <v>946</v>
      </c>
      <c r="B605" s="23">
        <v>6984.8246399999998</v>
      </c>
      <c r="C605" s="23">
        <v>0.92522184192543</v>
      </c>
      <c r="D605" t="str">
        <f t="shared" ref="D605:D639" si="10">IF(C605&lt;=0.85,"A",IF(C605&lt;=0.95,"B","C"))</f>
        <v>B</v>
      </c>
    </row>
    <row r="606" spans="1:4" x14ac:dyDescent="0.35">
      <c r="A606" s="24" t="s">
        <v>1144</v>
      </c>
      <c r="B606" s="23">
        <v>6899.8804600000003</v>
      </c>
      <c r="C606" s="23">
        <v>0.92948916642396517</v>
      </c>
      <c r="D606" t="str">
        <f t="shared" si="10"/>
        <v>B</v>
      </c>
    </row>
    <row r="607" spans="1:4" x14ac:dyDescent="0.35">
      <c r="A607" s="24" t="s">
        <v>769</v>
      </c>
      <c r="B607" s="23">
        <v>6631.6443100000006</v>
      </c>
      <c r="C607" s="23">
        <v>0.93359059664347277</v>
      </c>
      <c r="D607" t="str">
        <f t="shared" si="10"/>
        <v>B</v>
      </c>
    </row>
    <row r="608" spans="1:4" x14ac:dyDescent="0.35">
      <c r="A608" s="24" t="s">
        <v>952</v>
      </c>
      <c r="B608" s="23">
        <v>6535.6324800000002</v>
      </c>
      <c r="C608" s="23">
        <v>0.93763264704666571</v>
      </c>
      <c r="D608" t="str">
        <f t="shared" si="10"/>
        <v>B</v>
      </c>
    </row>
    <row r="609" spans="1:4" x14ac:dyDescent="0.35">
      <c r="A609" s="24" t="s">
        <v>1176</v>
      </c>
      <c r="B609" s="23">
        <v>5960.04288</v>
      </c>
      <c r="C609" s="23">
        <v>0.94131871626794972</v>
      </c>
      <c r="D609" t="str">
        <f t="shared" si="10"/>
        <v>B</v>
      </c>
    </row>
    <row r="610" spans="1:4" x14ac:dyDescent="0.35">
      <c r="A610" s="24" t="s">
        <v>1336</v>
      </c>
      <c r="B610" s="23">
        <v>5457.4317000000001</v>
      </c>
      <c r="C610" s="23">
        <v>0.94469393879934016</v>
      </c>
      <c r="D610" t="str">
        <f t="shared" si="10"/>
        <v>B</v>
      </c>
    </row>
    <row r="611" spans="1:4" x14ac:dyDescent="0.35">
      <c r="A611" s="24" t="s">
        <v>1042</v>
      </c>
      <c r="B611" s="23">
        <v>5334.9141999999993</v>
      </c>
      <c r="C611" s="23">
        <v>0.94799338872390349</v>
      </c>
      <c r="D611" t="str">
        <f t="shared" si="10"/>
        <v>B</v>
      </c>
    </row>
    <row r="612" spans="1:4" x14ac:dyDescent="0.35">
      <c r="A612" s="24" t="s">
        <v>1214</v>
      </c>
      <c r="B612" s="23">
        <v>4738.5261</v>
      </c>
      <c r="C612" s="23">
        <v>0.95092399435260999</v>
      </c>
      <c r="D612" t="str">
        <f t="shared" si="10"/>
        <v>C</v>
      </c>
    </row>
    <row r="613" spans="1:4" x14ac:dyDescent="0.35">
      <c r="A613" s="24" t="s">
        <v>935</v>
      </c>
      <c r="B613" s="23">
        <v>4637.7968000000001</v>
      </c>
      <c r="C613" s="23">
        <v>0.95379230258180325</v>
      </c>
      <c r="D613" t="str">
        <f t="shared" si="10"/>
        <v>C</v>
      </c>
    </row>
    <row r="614" spans="1:4" x14ac:dyDescent="0.35">
      <c r="A614" s="24" t="s">
        <v>1103</v>
      </c>
      <c r="B614" s="23">
        <v>4569.5735999999997</v>
      </c>
      <c r="C614" s="23">
        <v>0.95661841724917829</v>
      </c>
      <c r="D614" t="str">
        <f t="shared" si="10"/>
        <v>C</v>
      </c>
    </row>
    <row r="615" spans="1:4" x14ac:dyDescent="0.35">
      <c r="A615" s="24" t="s">
        <v>974</v>
      </c>
      <c r="B615" s="23">
        <v>4436.6291200000005</v>
      </c>
      <c r="C615" s="23">
        <v>0.95936231060275823</v>
      </c>
      <c r="D615" t="str">
        <f t="shared" si="10"/>
        <v>C</v>
      </c>
    </row>
    <row r="616" spans="1:4" x14ac:dyDescent="0.35">
      <c r="A616" s="24" t="s">
        <v>913</v>
      </c>
      <c r="B616" s="23">
        <v>4420.5961799999995</v>
      </c>
      <c r="C616" s="23">
        <v>0.96209628816750081</v>
      </c>
      <c r="D616" t="str">
        <f t="shared" si="10"/>
        <v>C</v>
      </c>
    </row>
    <row r="617" spans="1:4" x14ac:dyDescent="0.35">
      <c r="A617" s="24" t="s">
        <v>1330</v>
      </c>
      <c r="B617" s="23">
        <v>4409.5168800000001</v>
      </c>
      <c r="C617" s="23">
        <v>0.9648234135891387</v>
      </c>
      <c r="D617" t="str">
        <f t="shared" si="10"/>
        <v>C</v>
      </c>
    </row>
    <row r="618" spans="1:4" x14ac:dyDescent="0.35">
      <c r="A618" s="24" t="s">
        <v>927</v>
      </c>
      <c r="B618" s="23">
        <v>4402.1164799999997</v>
      </c>
      <c r="C618" s="23">
        <v>0.96754596213319133</v>
      </c>
      <c r="D618" t="str">
        <f t="shared" si="10"/>
        <v>C</v>
      </c>
    </row>
    <row r="619" spans="1:4" x14ac:dyDescent="0.35">
      <c r="A619" s="24" t="s">
        <v>1030</v>
      </c>
      <c r="B619" s="23">
        <v>4241.88105</v>
      </c>
      <c r="C619" s="23">
        <v>0.97016941090588749</v>
      </c>
      <c r="D619" t="str">
        <f t="shared" si="10"/>
        <v>C</v>
      </c>
    </row>
    <row r="620" spans="1:4" x14ac:dyDescent="0.35">
      <c r="A620" s="24" t="s">
        <v>886</v>
      </c>
      <c r="B620" s="23">
        <v>4139.8127999999997</v>
      </c>
      <c r="C620" s="23">
        <v>0.97272973418731268</v>
      </c>
      <c r="D620" t="str">
        <f t="shared" si="10"/>
        <v>C</v>
      </c>
    </row>
    <row r="621" spans="1:4" x14ac:dyDescent="0.35">
      <c r="A621" s="24" t="s">
        <v>1084</v>
      </c>
      <c r="B621" s="23">
        <v>4132.0325200000007</v>
      </c>
      <c r="C621" s="23">
        <v>0.97528524564922281</v>
      </c>
      <c r="D621" t="str">
        <f t="shared" si="10"/>
        <v>C</v>
      </c>
    </row>
    <row r="622" spans="1:4" x14ac:dyDescent="0.35">
      <c r="A622" s="24" t="s">
        <v>1107</v>
      </c>
      <c r="B622" s="23">
        <v>4117.4880599999997</v>
      </c>
      <c r="C622" s="23">
        <v>0.97783176189290621</v>
      </c>
      <c r="D622" t="str">
        <f t="shared" si="10"/>
        <v>C</v>
      </c>
    </row>
    <row r="623" spans="1:4" x14ac:dyDescent="0.35">
      <c r="A623" s="24" t="s">
        <v>1195</v>
      </c>
      <c r="B623" s="23">
        <v>4055.5175999999997</v>
      </c>
      <c r="C623" s="23">
        <v>0.98033995166648968</v>
      </c>
      <c r="D623" t="str">
        <f t="shared" si="10"/>
        <v>C</v>
      </c>
    </row>
    <row r="624" spans="1:4" x14ac:dyDescent="0.35">
      <c r="A624" s="24" t="s">
        <v>1221</v>
      </c>
      <c r="B624" s="23">
        <v>4025.8565599999993</v>
      </c>
      <c r="C624" s="23">
        <v>0.98282979716825902</v>
      </c>
      <c r="D624" t="str">
        <f t="shared" si="10"/>
        <v>C</v>
      </c>
    </row>
    <row r="625" spans="1:4" x14ac:dyDescent="0.35">
      <c r="A625" s="24" t="s">
        <v>773</v>
      </c>
      <c r="B625" s="23">
        <v>3562.1983800000003</v>
      </c>
      <c r="C625" s="23">
        <v>0.98503288699042901</v>
      </c>
      <c r="D625" t="str">
        <f t="shared" si="10"/>
        <v>C</v>
      </c>
    </row>
    <row r="626" spans="1:4" x14ac:dyDescent="0.35">
      <c r="A626" s="24" t="s">
        <v>1329</v>
      </c>
      <c r="B626" s="23">
        <v>3116.21</v>
      </c>
      <c r="C626" s="23">
        <v>0.98696014926006848</v>
      </c>
      <c r="D626" t="str">
        <f t="shared" si="10"/>
        <v>C</v>
      </c>
    </row>
    <row r="627" spans="1:4" x14ac:dyDescent="0.35">
      <c r="A627" s="24" t="s">
        <v>966</v>
      </c>
      <c r="B627" s="23">
        <v>2879.9836</v>
      </c>
      <c r="C627" s="23">
        <v>0.98874131411399691</v>
      </c>
      <c r="D627" t="str">
        <f t="shared" si="10"/>
        <v>C</v>
      </c>
    </row>
    <row r="628" spans="1:4" x14ac:dyDescent="0.35">
      <c r="A628" s="24" t="s">
        <v>1340</v>
      </c>
      <c r="B628" s="23">
        <v>2736.27018</v>
      </c>
      <c r="C628" s="23">
        <v>0.99043359745737025</v>
      </c>
      <c r="D628" t="str">
        <f t="shared" si="10"/>
        <v>C</v>
      </c>
    </row>
    <row r="629" spans="1:4" x14ac:dyDescent="0.35">
      <c r="A629" s="24" t="s">
        <v>1124</v>
      </c>
      <c r="B629" s="23">
        <v>2525.0635000000002</v>
      </c>
      <c r="C629" s="23">
        <v>0.99199525716964687</v>
      </c>
      <c r="D629" t="str">
        <f t="shared" si="10"/>
        <v>C</v>
      </c>
    </row>
    <row r="630" spans="1:4" x14ac:dyDescent="0.35">
      <c r="A630" s="24" t="s">
        <v>1259</v>
      </c>
      <c r="B630" s="23">
        <v>2146.5580500000001</v>
      </c>
      <c r="C630" s="23">
        <v>0.99332282506120617</v>
      </c>
      <c r="D630" t="str">
        <f t="shared" si="10"/>
        <v>C</v>
      </c>
    </row>
    <row r="631" spans="1:4" x14ac:dyDescent="0.35">
      <c r="A631" s="24" t="s">
        <v>908</v>
      </c>
      <c r="B631" s="23">
        <v>1952.6356799999999</v>
      </c>
      <c r="C631" s="23">
        <v>0.99453045903722703</v>
      </c>
      <c r="D631" t="str">
        <f t="shared" si="10"/>
        <v>C</v>
      </c>
    </row>
    <row r="632" spans="1:4" x14ac:dyDescent="0.35">
      <c r="A632" s="24" t="s">
        <v>1178</v>
      </c>
      <c r="B632" s="23">
        <v>1925.29872</v>
      </c>
      <c r="C632" s="23">
        <v>0.9957211861001789</v>
      </c>
      <c r="D632" t="str">
        <f t="shared" si="10"/>
        <v>C</v>
      </c>
    </row>
    <row r="633" spans="1:4" x14ac:dyDescent="0.35">
      <c r="A633" s="24" t="s">
        <v>760</v>
      </c>
      <c r="B633" s="23">
        <v>1756.6999999999998</v>
      </c>
      <c r="C633" s="23">
        <v>0.99680764100183039</v>
      </c>
      <c r="D633" t="str">
        <f t="shared" si="10"/>
        <v>C</v>
      </c>
    </row>
    <row r="634" spans="1:4" x14ac:dyDescent="0.35">
      <c r="A634" s="24" t="s">
        <v>1088</v>
      </c>
      <c r="B634" s="23">
        <v>1122.0896000000002</v>
      </c>
      <c r="C634" s="23">
        <v>0.99750161250863989</v>
      </c>
      <c r="D634" t="str">
        <f t="shared" si="10"/>
        <v>C</v>
      </c>
    </row>
    <row r="635" spans="1:4" x14ac:dyDescent="0.35">
      <c r="A635" s="24" t="s">
        <v>1025</v>
      </c>
      <c r="B635" s="23">
        <v>1098.9470800000001</v>
      </c>
      <c r="C635" s="23">
        <v>0.99818127121059341</v>
      </c>
      <c r="D635" t="str">
        <f t="shared" si="10"/>
        <v>C</v>
      </c>
    </row>
    <row r="636" spans="1:4" x14ac:dyDescent="0.35">
      <c r="A636" s="24" t="s">
        <v>850</v>
      </c>
      <c r="B636" s="23">
        <v>765.99195000000009</v>
      </c>
      <c r="C636" s="23">
        <v>0.99865500930400897</v>
      </c>
      <c r="D636" t="str">
        <f t="shared" si="10"/>
        <v>C</v>
      </c>
    </row>
    <row r="637" spans="1:4" x14ac:dyDescent="0.35">
      <c r="A637" s="24" t="s">
        <v>977</v>
      </c>
      <c r="B637" s="23">
        <v>748.22303999999997</v>
      </c>
      <c r="C637" s="23">
        <v>0.99911775797443458</v>
      </c>
      <c r="D637" t="str">
        <f t="shared" si="10"/>
        <v>C</v>
      </c>
    </row>
    <row r="638" spans="1:4" x14ac:dyDescent="0.35">
      <c r="A638" s="24" t="s">
        <v>1151</v>
      </c>
      <c r="B638" s="23">
        <v>741.43835999999999</v>
      </c>
      <c r="C638" s="23">
        <v>0.99957631056764606</v>
      </c>
      <c r="D638" t="str">
        <f t="shared" si="10"/>
        <v>C</v>
      </c>
    </row>
    <row r="639" spans="1:4" x14ac:dyDescent="0.35">
      <c r="A639" s="24" t="s">
        <v>741</v>
      </c>
      <c r="B639" s="23">
        <v>685.06776000000002</v>
      </c>
      <c r="C639" s="23">
        <v>0.99999999999999956</v>
      </c>
      <c r="D639" t="str">
        <f t="shared" si="10"/>
        <v>C</v>
      </c>
    </row>
    <row r="640" spans="1:4" x14ac:dyDescent="0.35">
      <c r="A640" s="19" t="s">
        <v>1447</v>
      </c>
      <c r="B640" s="23">
        <v>11033837.027951999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6E35F-FA5C-47F8-B0C6-67BA7D1B3EC8}">
  <dimension ref="A3:B635"/>
  <sheetViews>
    <sheetView workbookViewId="0">
      <selection activeCell="B5" sqref="B5"/>
    </sheetView>
  </sheetViews>
  <sheetFormatPr defaultRowHeight="14.5" x14ac:dyDescent="0.35"/>
  <cols>
    <col min="1" max="1" width="15.90625" bestFit="1" customWidth="1"/>
    <col min="2" max="2" width="19.1796875" bestFit="1" customWidth="1"/>
  </cols>
  <sheetData>
    <row r="3" spans="1:2" x14ac:dyDescent="0.35">
      <c r="A3" s="18" t="s">
        <v>1446</v>
      </c>
      <c r="B3" t="s">
        <v>1461</v>
      </c>
    </row>
    <row r="4" spans="1:2" x14ac:dyDescent="0.35">
      <c r="A4" s="19" t="s">
        <v>620</v>
      </c>
      <c r="B4" s="23">
        <v>13856.52411</v>
      </c>
    </row>
    <row r="5" spans="1:2" x14ac:dyDescent="0.35">
      <c r="A5" s="19" t="s">
        <v>464</v>
      </c>
      <c r="B5" s="23">
        <v>12462.65055</v>
      </c>
    </row>
    <row r="6" spans="1:2" x14ac:dyDescent="0.35">
      <c r="A6" s="19" t="s">
        <v>22</v>
      </c>
      <c r="B6" s="23">
        <v>685.06776000000002</v>
      </c>
    </row>
    <row r="7" spans="1:2" x14ac:dyDescent="0.35">
      <c r="A7" s="19" t="s">
        <v>533</v>
      </c>
      <c r="B7" s="23">
        <v>855.72881999999993</v>
      </c>
    </row>
    <row r="8" spans="1:2" x14ac:dyDescent="0.35">
      <c r="A8" s="19" t="s">
        <v>588</v>
      </c>
      <c r="B8" s="23">
        <v>14466.95104</v>
      </c>
    </row>
    <row r="9" spans="1:2" x14ac:dyDescent="0.35">
      <c r="A9" s="19" t="s">
        <v>61</v>
      </c>
      <c r="B9" s="23">
        <v>7135.57</v>
      </c>
    </row>
    <row r="10" spans="1:2" x14ac:dyDescent="0.35">
      <c r="A10" s="19" t="s">
        <v>382</v>
      </c>
      <c r="B10" s="23">
        <v>13784.586000000001</v>
      </c>
    </row>
    <row r="11" spans="1:2" x14ac:dyDescent="0.35">
      <c r="A11" s="19" t="s">
        <v>216</v>
      </c>
      <c r="B11" s="23">
        <v>25299.040000000001</v>
      </c>
    </row>
    <row r="12" spans="1:2" x14ac:dyDescent="0.35">
      <c r="A12" s="19" t="s">
        <v>566</v>
      </c>
      <c r="B12" s="23">
        <v>18830.12472</v>
      </c>
    </row>
    <row r="13" spans="1:2" x14ac:dyDescent="0.35">
      <c r="A13" s="19" t="s">
        <v>339</v>
      </c>
      <c r="B13" s="23">
        <v>9829.0483199999999</v>
      </c>
    </row>
    <row r="14" spans="1:2" x14ac:dyDescent="0.35">
      <c r="A14" s="19" t="s">
        <v>453</v>
      </c>
      <c r="B14" s="23">
        <v>2795.6384399999997</v>
      </c>
    </row>
    <row r="15" spans="1:2" x14ac:dyDescent="0.35">
      <c r="A15" s="19" t="s">
        <v>181</v>
      </c>
      <c r="B15" s="23">
        <v>14448.298699999998</v>
      </c>
    </row>
    <row r="16" spans="1:2" x14ac:dyDescent="0.35">
      <c r="A16" s="19" t="s">
        <v>95</v>
      </c>
      <c r="B16" s="23">
        <v>60292.805299999993</v>
      </c>
    </row>
    <row r="17" spans="1:2" x14ac:dyDescent="0.35">
      <c r="A17" s="19" t="s">
        <v>376</v>
      </c>
      <c r="B17" s="23">
        <v>82514.711519999997</v>
      </c>
    </row>
    <row r="18" spans="1:2" x14ac:dyDescent="0.35">
      <c r="A18" s="19" t="s">
        <v>343</v>
      </c>
      <c r="B18" s="23">
        <v>27756.432000000001</v>
      </c>
    </row>
    <row r="19" spans="1:2" x14ac:dyDescent="0.35">
      <c r="A19" s="19" t="s">
        <v>315</v>
      </c>
      <c r="B19" s="23">
        <v>9866.3104799999983</v>
      </c>
    </row>
    <row r="20" spans="1:2" x14ac:dyDescent="0.35">
      <c r="A20" s="19" t="s">
        <v>468</v>
      </c>
      <c r="B20" s="23">
        <v>23132.398349999996</v>
      </c>
    </row>
    <row r="21" spans="1:2" x14ac:dyDescent="0.35">
      <c r="A21" s="19" t="s">
        <v>592</v>
      </c>
      <c r="B21" s="23">
        <v>6732.4334000000008</v>
      </c>
    </row>
    <row r="22" spans="1:2" x14ac:dyDescent="0.35">
      <c r="A22" s="19" t="s">
        <v>208</v>
      </c>
      <c r="B22" s="23">
        <v>3928.3797600000003</v>
      </c>
    </row>
    <row r="23" spans="1:2" x14ac:dyDescent="0.35">
      <c r="A23" s="19" t="s">
        <v>137</v>
      </c>
      <c r="B23" s="23">
        <v>16061.972879999999</v>
      </c>
    </row>
    <row r="24" spans="1:2" x14ac:dyDescent="0.35">
      <c r="A24" s="19" t="s">
        <v>347</v>
      </c>
      <c r="B24" s="23">
        <v>5610.0923999999995</v>
      </c>
    </row>
    <row r="25" spans="1:2" x14ac:dyDescent="0.35">
      <c r="A25" s="19" t="s">
        <v>454</v>
      </c>
      <c r="B25" s="23">
        <v>20672.289000000001</v>
      </c>
    </row>
    <row r="26" spans="1:2" x14ac:dyDescent="0.35">
      <c r="A26" s="19" t="s">
        <v>472</v>
      </c>
      <c r="B26" s="23">
        <v>7643.2649999999994</v>
      </c>
    </row>
    <row r="27" spans="1:2" x14ac:dyDescent="0.35">
      <c r="A27" s="19" t="s">
        <v>163</v>
      </c>
      <c r="B27" s="23">
        <v>14877.464000000002</v>
      </c>
    </row>
    <row r="28" spans="1:2" x14ac:dyDescent="0.35">
      <c r="A28" s="19" t="s">
        <v>239</v>
      </c>
      <c r="B28" s="23">
        <v>21573.6495</v>
      </c>
    </row>
    <row r="29" spans="1:2" x14ac:dyDescent="0.35">
      <c r="A29" s="19" t="s">
        <v>205</v>
      </c>
      <c r="B29" s="23">
        <v>8763.2849999999999</v>
      </c>
    </row>
    <row r="30" spans="1:2" x14ac:dyDescent="0.35">
      <c r="A30" s="19" t="s">
        <v>362</v>
      </c>
      <c r="B30" s="23">
        <v>27158.894079999998</v>
      </c>
    </row>
    <row r="31" spans="1:2" x14ac:dyDescent="0.35">
      <c r="A31" s="19" t="s">
        <v>293</v>
      </c>
      <c r="B31" s="23">
        <v>8907.6924999999992</v>
      </c>
    </row>
    <row r="32" spans="1:2" x14ac:dyDescent="0.35">
      <c r="A32" s="19" t="s">
        <v>365</v>
      </c>
      <c r="B32" s="23">
        <v>16487.22781</v>
      </c>
    </row>
    <row r="33" spans="1:2" x14ac:dyDescent="0.35">
      <c r="A33" s="19" t="s">
        <v>550</v>
      </c>
      <c r="B33" s="23">
        <v>7823.4472399999995</v>
      </c>
    </row>
    <row r="34" spans="1:2" x14ac:dyDescent="0.35">
      <c r="A34" s="19" t="s">
        <v>69</v>
      </c>
      <c r="B34" s="23">
        <v>215.19839999999996</v>
      </c>
    </row>
    <row r="35" spans="1:2" x14ac:dyDescent="0.35">
      <c r="A35" s="19" t="s">
        <v>80</v>
      </c>
      <c r="B35" s="23">
        <v>12153.267360000002</v>
      </c>
    </row>
    <row r="36" spans="1:2" x14ac:dyDescent="0.35">
      <c r="A36" s="19" t="s">
        <v>178</v>
      </c>
      <c r="B36" s="23">
        <v>12194.714</v>
      </c>
    </row>
    <row r="37" spans="1:2" x14ac:dyDescent="0.35">
      <c r="A37" s="19" t="s">
        <v>485</v>
      </c>
      <c r="B37" s="23">
        <v>36549.429260000004</v>
      </c>
    </row>
    <row r="38" spans="1:2" x14ac:dyDescent="0.35">
      <c r="A38" s="19" t="s">
        <v>595</v>
      </c>
      <c r="B38" s="23">
        <v>6137.8019999999988</v>
      </c>
    </row>
    <row r="39" spans="1:2" x14ac:dyDescent="0.35">
      <c r="A39" s="19" t="s">
        <v>640</v>
      </c>
      <c r="B39" s="23">
        <v>13983.752729999998</v>
      </c>
    </row>
    <row r="40" spans="1:2" x14ac:dyDescent="0.35">
      <c r="A40" s="19" t="s">
        <v>121</v>
      </c>
      <c r="B40" s="23">
        <v>518.65436999999997</v>
      </c>
    </row>
    <row r="41" spans="1:2" x14ac:dyDescent="0.35">
      <c r="A41" s="19" t="s">
        <v>284</v>
      </c>
      <c r="B41" s="23">
        <v>7235.2134999999998</v>
      </c>
    </row>
    <row r="42" spans="1:2" x14ac:dyDescent="0.35">
      <c r="A42" s="19" t="s">
        <v>271</v>
      </c>
      <c r="B42" s="23">
        <v>2394.1605599999998</v>
      </c>
    </row>
    <row r="43" spans="1:2" x14ac:dyDescent="0.35">
      <c r="A43" s="19" t="s">
        <v>104</v>
      </c>
      <c r="B43" s="23">
        <v>624.43503999999996</v>
      </c>
    </row>
    <row r="44" spans="1:2" x14ac:dyDescent="0.35">
      <c r="A44" s="19" t="s">
        <v>354</v>
      </c>
      <c r="B44" s="23">
        <v>27465.647999999997</v>
      </c>
    </row>
    <row r="45" spans="1:2" x14ac:dyDescent="0.35">
      <c r="A45" s="19" t="s">
        <v>39</v>
      </c>
      <c r="B45" s="23">
        <v>24894.430559999997</v>
      </c>
    </row>
    <row r="46" spans="1:2" x14ac:dyDescent="0.35">
      <c r="A46" s="19" t="s">
        <v>235</v>
      </c>
      <c r="B46" s="23">
        <v>908.03700000000003</v>
      </c>
    </row>
    <row r="47" spans="1:2" x14ac:dyDescent="0.35">
      <c r="A47" s="19" t="s">
        <v>296</v>
      </c>
      <c r="B47" s="23">
        <v>667.74</v>
      </c>
    </row>
    <row r="48" spans="1:2" x14ac:dyDescent="0.35">
      <c r="A48" s="19" t="s">
        <v>265</v>
      </c>
      <c r="B48" s="23">
        <v>17453.3436</v>
      </c>
    </row>
    <row r="49" spans="1:2" x14ac:dyDescent="0.35">
      <c r="A49" s="19" t="s">
        <v>391</v>
      </c>
      <c r="B49" s="23">
        <v>15348.702599999999</v>
      </c>
    </row>
    <row r="50" spans="1:2" x14ac:dyDescent="0.35">
      <c r="A50" s="19" t="s">
        <v>555</v>
      </c>
      <c r="B50" s="23">
        <v>19581.87</v>
      </c>
    </row>
    <row r="51" spans="1:2" x14ac:dyDescent="0.35">
      <c r="A51" s="19" t="s">
        <v>187</v>
      </c>
      <c r="B51" s="23">
        <v>97.0154</v>
      </c>
    </row>
    <row r="52" spans="1:2" x14ac:dyDescent="0.35">
      <c r="A52" s="19" t="s">
        <v>240</v>
      </c>
      <c r="B52" s="23">
        <v>30479.418970000002</v>
      </c>
    </row>
    <row r="53" spans="1:2" x14ac:dyDescent="0.35">
      <c r="A53" s="19" t="s">
        <v>93</v>
      </c>
      <c r="B53" s="23">
        <v>10455.7932</v>
      </c>
    </row>
    <row r="54" spans="1:2" x14ac:dyDescent="0.35">
      <c r="A54" s="19" t="s">
        <v>64</v>
      </c>
      <c r="B54" s="23">
        <v>34444.462359999998</v>
      </c>
    </row>
    <row r="55" spans="1:2" x14ac:dyDescent="0.35">
      <c r="A55" s="19" t="s">
        <v>618</v>
      </c>
      <c r="B55" s="23">
        <v>5457.4317000000001</v>
      </c>
    </row>
    <row r="56" spans="1:2" x14ac:dyDescent="0.35">
      <c r="A56" s="19" t="s">
        <v>241</v>
      </c>
      <c r="B56" s="23">
        <v>5533.6230000000005</v>
      </c>
    </row>
    <row r="57" spans="1:2" x14ac:dyDescent="0.35">
      <c r="A57" s="19" t="s">
        <v>183</v>
      </c>
      <c r="B57" s="23">
        <v>6824.2884000000004</v>
      </c>
    </row>
    <row r="58" spans="1:2" x14ac:dyDescent="0.35">
      <c r="A58" s="19" t="s">
        <v>60</v>
      </c>
      <c r="B58" s="23">
        <v>32506.559399999998</v>
      </c>
    </row>
    <row r="59" spans="1:2" x14ac:dyDescent="0.35">
      <c r="A59" s="19" t="s">
        <v>159</v>
      </c>
      <c r="B59" s="23">
        <v>25672.127039999999</v>
      </c>
    </row>
    <row r="60" spans="1:2" x14ac:dyDescent="0.35">
      <c r="A60" s="19" t="s">
        <v>198</v>
      </c>
      <c r="B60" s="23">
        <v>8698.8768300000011</v>
      </c>
    </row>
    <row r="61" spans="1:2" x14ac:dyDescent="0.35">
      <c r="A61" s="19" t="s">
        <v>589</v>
      </c>
      <c r="B61" s="23">
        <v>496.98660000000001</v>
      </c>
    </row>
    <row r="62" spans="1:2" x14ac:dyDescent="0.35">
      <c r="A62" s="19" t="s">
        <v>96</v>
      </c>
      <c r="B62" s="23">
        <v>18258.868320000001</v>
      </c>
    </row>
    <row r="63" spans="1:2" x14ac:dyDescent="0.35">
      <c r="A63" s="19" t="s">
        <v>527</v>
      </c>
      <c r="B63" s="23">
        <v>5189.8836000000001</v>
      </c>
    </row>
    <row r="64" spans="1:2" x14ac:dyDescent="0.35">
      <c r="A64" s="19" t="s">
        <v>577</v>
      </c>
      <c r="B64" s="23">
        <v>8520.2954399999999</v>
      </c>
    </row>
    <row r="65" spans="1:2" x14ac:dyDescent="0.35">
      <c r="A65" s="19" t="s">
        <v>330</v>
      </c>
      <c r="B65" s="23">
        <v>9062.34692</v>
      </c>
    </row>
    <row r="66" spans="1:2" x14ac:dyDescent="0.35">
      <c r="A66" s="19" t="s">
        <v>406</v>
      </c>
      <c r="B66" s="23">
        <v>52361.645000000004</v>
      </c>
    </row>
    <row r="67" spans="1:2" x14ac:dyDescent="0.35">
      <c r="A67" s="19" t="s">
        <v>303</v>
      </c>
      <c r="B67" s="23">
        <v>10456.416880000001</v>
      </c>
    </row>
    <row r="68" spans="1:2" x14ac:dyDescent="0.35">
      <c r="A68" s="19" t="s">
        <v>287</v>
      </c>
      <c r="B68" s="23">
        <v>29536.716</v>
      </c>
    </row>
    <row r="69" spans="1:2" x14ac:dyDescent="0.35">
      <c r="A69" s="19" t="s">
        <v>17</v>
      </c>
      <c r="B69" s="23">
        <v>18279.366335999999</v>
      </c>
    </row>
    <row r="70" spans="1:2" x14ac:dyDescent="0.35">
      <c r="A70" s="19" t="s">
        <v>107</v>
      </c>
      <c r="B70" s="23">
        <v>10161.46624</v>
      </c>
    </row>
    <row r="71" spans="1:2" x14ac:dyDescent="0.35">
      <c r="A71" s="19" t="s">
        <v>307</v>
      </c>
      <c r="B71" s="23">
        <v>7382.1450000000004</v>
      </c>
    </row>
    <row r="72" spans="1:2" x14ac:dyDescent="0.35">
      <c r="A72" s="19" t="s">
        <v>449</v>
      </c>
      <c r="B72" s="23">
        <v>27249</v>
      </c>
    </row>
    <row r="73" spans="1:2" x14ac:dyDescent="0.35">
      <c r="A73" s="19" t="s">
        <v>600</v>
      </c>
      <c r="B73" s="23">
        <v>370.86</v>
      </c>
    </row>
    <row r="74" spans="1:2" x14ac:dyDescent="0.35">
      <c r="A74" s="19" t="s">
        <v>214</v>
      </c>
      <c r="B74" s="23">
        <v>14963.769179999999</v>
      </c>
    </row>
    <row r="75" spans="1:2" x14ac:dyDescent="0.35">
      <c r="A75" s="19" t="s">
        <v>89</v>
      </c>
      <c r="B75" s="23">
        <v>4717.72</v>
      </c>
    </row>
    <row r="76" spans="1:2" x14ac:dyDescent="0.35">
      <c r="A76" s="19" t="s">
        <v>378</v>
      </c>
      <c r="B76" s="23">
        <v>12717.311040000001</v>
      </c>
    </row>
    <row r="77" spans="1:2" x14ac:dyDescent="0.35">
      <c r="A77" s="19" t="s">
        <v>219</v>
      </c>
      <c r="B77" s="23">
        <v>26131.70736</v>
      </c>
    </row>
    <row r="78" spans="1:2" x14ac:dyDescent="0.35">
      <c r="A78" s="19" t="s">
        <v>200</v>
      </c>
      <c r="B78" s="23">
        <v>10388.429999999998</v>
      </c>
    </row>
    <row r="79" spans="1:2" x14ac:dyDescent="0.35">
      <c r="A79" s="19" t="s">
        <v>512</v>
      </c>
      <c r="B79" s="23">
        <v>8644.6696000000011</v>
      </c>
    </row>
    <row r="80" spans="1:2" x14ac:dyDescent="0.35">
      <c r="A80" s="19" t="s">
        <v>67</v>
      </c>
      <c r="B80" s="23">
        <v>5785.8</v>
      </c>
    </row>
    <row r="81" spans="1:2" x14ac:dyDescent="0.35">
      <c r="A81" s="19" t="s">
        <v>114</v>
      </c>
      <c r="B81" s="23">
        <v>25502.910479999999</v>
      </c>
    </row>
    <row r="82" spans="1:2" x14ac:dyDescent="0.35">
      <c r="A82" s="19" t="s">
        <v>133</v>
      </c>
      <c r="B82" s="23">
        <v>5769.2758000000003</v>
      </c>
    </row>
    <row r="83" spans="1:2" x14ac:dyDescent="0.35">
      <c r="A83" s="19" t="s">
        <v>147</v>
      </c>
      <c r="B83" s="23">
        <v>8336.8896000000004</v>
      </c>
    </row>
    <row r="84" spans="1:2" x14ac:dyDescent="0.35">
      <c r="A84" s="19" t="s">
        <v>230</v>
      </c>
      <c r="B84" s="23">
        <v>7738.9596900000006</v>
      </c>
    </row>
    <row r="85" spans="1:2" x14ac:dyDescent="0.35">
      <c r="A85" s="19" t="s">
        <v>510</v>
      </c>
      <c r="B85" s="23">
        <v>30692.47896</v>
      </c>
    </row>
    <row r="86" spans="1:2" x14ac:dyDescent="0.35">
      <c r="A86" s="19" t="s">
        <v>186</v>
      </c>
      <c r="B86" s="23">
        <v>8928.9795999999988</v>
      </c>
    </row>
    <row r="87" spans="1:2" x14ac:dyDescent="0.35">
      <c r="A87" s="19" t="s">
        <v>628</v>
      </c>
      <c r="B87" s="23">
        <v>18500.693520000001</v>
      </c>
    </row>
    <row r="88" spans="1:2" x14ac:dyDescent="0.35">
      <c r="A88" s="19" t="s">
        <v>558</v>
      </c>
      <c r="B88" s="23">
        <v>14114.068500000001</v>
      </c>
    </row>
    <row r="89" spans="1:2" x14ac:dyDescent="0.35">
      <c r="A89" s="19" t="s">
        <v>644</v>
      </c>
      <c r="B89" s="23">
        <v>12769.38768</v>
      </c>
    </row>
    <row r="90" spans="1:2" x14ac:dyDescent="0.35">
      <c r="A90" s="19" t="s">
        <v>535</v>
      </c>
      <c r="B90" s="23">
        <v>64192.976999999999</v>
      </c>
    </row>
    <row r="91" spans="1:2" x14ac:dyDescent="0.35">
      <c r="A91" s="19" t="s">
        <v>562</v>
      </c>
      <c r="B91" s="23">
        <v>31822.023930000003</v>
      </c>
    </row>
    <row r="92" spans="1:2" x14ac:dyDescent="0.35">
      <c r="A92" s="19" t="s">
        <v>270</v>
      </c>
      <c r="B92" s="23">
        <v>19073.059649999999</v>
      </c>
    </row>
    <row r="93" spans="1:2" x14ac:dyDescent="0.35">
      <c r="A93" s="19" t="s">
        <v>366</v>
      </c>
      <c r="B93" s="23">
        <v>26552.60298</v>
      </c>
    </row>
    <row r="94" spans="1:2" x14ac:dyDescent="0.35">
      <c r="A94" s="19" t="s">
        <v>79</v>
      </c>
      <c r="B94" s="23">
        <v>26304.275999999998</v>
      </c>
    </row>
    <row r="95" spans="1:2" x14ac:dyDescent="0.35">
      <c r="A95" s="19" t="s">
        <v>561</v>
      </c>
      <c r="B95" s="23">
        <v>15530.929919999999</v>
      </c>
    </row>
    <row r="96" spans="1:2" x14ac:dyDescent="0.35">
      <c r="A96" s="19" t="s">
        <v>166</v>
      </c>
      <c r="B96" s="23">
        <v>21572.590500000002</v>
      </c>
    </row>
    <row r="97" spans="1:2" x14ac:dyDescent="0.35">
      <c r="A97" s="19" t="s">
        <v>238</v>
      </c>
      <c r="B97" s="23">
        <v>15490.527</v>
      </c>
    </row>
    <row r="98" spans="1:2" x14ac:dyDescent="0.35">
      <c r="A98" s="19" t="s">
        <v>630</v>
      </c>
      <c r="B98" s="23">
        <v>10786.32144</v>
      </c>
    </row>
    <row r="99" spans="1:2" x14ac:dyDescent="0.35">
      <c r="A99" s="19" t="s">
        <v>254</v>
      </c>
      <c r="B99" s="23">
        <v>4436.6291200000005</v>
      </c>
    </row>
    <row r="100" spans="1:2" x14ac:dyDescent="0.35">
      <c r="A100" s="19" t="s">
        <v>275</v>
      </c>
      <c r="B100" s="23">
        <v>17964.4038</v>
      </c>
    </row>
    <row r="101" spans="1:2" x14ac:dyDescent="0.35">
      <c r="A101" s="19" t="s">
        <v>144</v>
      </c>
      <c r="B101" s="23">
        <v>16071.44868</v>
      </c>
    </row>
    <row r="102" spans="1:2" x14ac:dyDescent="0.35">
      <c r="A102" s="19" t="s">
        <v>547</v>
      </c>
      <c r="B102" s="23">
        <v>11924.0978</v>
      </c>
    </row>
    <row r="103" spans="1:2" x14ac:dyDescent="0.35">
      <c r="A103" s="19" t="s">
        <v>341</v>
      </c>
      <c r="B103" s="23">
        <v>3799.8031499999997</v>
      </c>
    </row>
    <row r="104" spans="1:2" x14ac:dyDescent="0.35">
      <c r="A104" s="19" t="s">
        <v>474</v>
      </c>
      <c r="B104" s="23">
        <v>1662.6945600000001</v>
      </c>
    </row>
    <row r="105" spans="1:2" x14ac:dyDescent="0.35">
      <c r="A105" s="19" t="s">
        <v>386</v>
      </c>
      <c r="B105" s="23">
        <v>32280.32474</v>
      </c>
    </row>
    <row r="106" spans="1:2" x14ac:dyDescent="0.35">
      <c r="A106" s="19" t="s">
        <v>81</v>
      </c>
      <c r="B106" s="23">
        <v>16013.681599999998</v>
      </c>
    </row>
    <row r="107" spans="1:2" x14ac:dyDescent="0.35">
      <c r="A107" s="19" t="s">
        <v>641</v>
      </c>
      <c r="B107" s="23">
        <v>5096.4790800000001</v>
      </c>
    </row>
    <row r="108" spans="1:2" x14ac:dyDescent="0.35">
      <c r="A108" s="19" t="s">
        <v>619</v>
      </c>
      <c r="B108" s="23">
        <v>7071.6331400000008</v>
      </c>
    </row>
    <row r="109" spans="1:2" x14ac:dyDescent="0.35">
      <c r="A109" s="19" t="s">
        <v>639</v>
      </c>
      <c r="B109" s="23">
        <v>32704.386400000003</v>
      </c>
    </row>
    <row r="110" spans="1:2" x14ac:dyDescent="0.35">
      <c r="A110" s="19" t="s">
        <v>46</v>
      </c>
      <c r="B110" s="23">
        <v>26150.364320000001</v>
      </c>
    </row>
    <row r="111" spans="1:2" x14ac:dyDescent="0.35">
      <c r="A111" s="19" t="s">
        <v>530</v>
      </c>
      <c r="B111" s="23">
        <v>22201.762229999997</v>
      </c>
    </row>
    <row r="112" spans="1:2" x14ac:dyDescent="0.35">
      <c r="A112" s="19" t="s">
        <v>492</v>
      </c>
      <c r="B112" s="23">
        <v>41914.215840000004</v>
      </c>
    </row>
    <row r="113" spans="1:2" x14ac:dyDescent="0.35">
      <c r="A113" s="19" t="s">
        <v>359</v>
      </c>
      <c r="B113" s="23">
        <v>13637.287999999999</v>
      </c>
    </row>
    <row r="114" spans="1:2" x14ac:dyDescent="0.35">
      <c r="A114" s="19" t="s">
        <v>514</v>
      </c>
      <c r="B114" s="23">
        <v>20332.775539999999</v>
      </c>
    </row>
    <row r="115" spans="1:2" x14ac:dyDescent="0.35">
      <c r="A115" s="19" t="s">
        <v>212</v>
      </c>
      <c r="B115" s="23">
        <v>8349.2224200000001</v>
      </c>
    </row>
    <row r="116" spans="1:2" x14ac:dyDescent="0.35">
      <c r="A116" s="19" t="s">
        <v>136</v>
      </c>
      <c r="B116" s="23">
        <v>22983.34563</v>
      </c>
    </row>
    <row r="117" spans="1:2" x14ac:dyDescent="0.35">
      <c r="A117" s="19" t="s">
        <v>460</v>
      </c>
      <c r="B117" s="23">
        <v>9771.4483199999995</v>
      </c>
    </row>
    <row r="118" spans="1:2" x14ac:dyDescent="0.35">
      <c r="A118" s="19" t="s">
        <v>470</v>
      </c>
      <c r="B118" s="23">
        <v>20797.98</v>
      </c>
    </row>
    <row r="119" spans="1:2" x14ac:dyDescent="0.35">
      <c r="A119" s="19" t="s">
        <v>217</v>
      </c>
      <c r="B119" s="23">
        <v>47962.717579999997</v>
      </c>
    </row>
    <row r="120" spans="1:2" x14ac:dyDescent="0.35">
      <c r="A120" s="19" t="s">
        <v>489</v>
      </c>
      <c r="B120" s="23">
        <v>27194.152039999997</v>
      </c>
    </row>
    <row r="121" spans="1:2" x14ac:dyDescent="0.35">
      <c r="A121" s="19" t="s">
        <v>316</v>
      </c>
      <c r="B121" s="23">
        <v>39686.4182</v>
      </c>
    </row>
    <row r="122" spans="1:2" x14ac:dyDescent="0.35">
      <c r="A122" s="19" t="s">
        <v>397</v>
      </c>
      <c r="B122" s="23">
        <v>47693.373</v>
      </c>
    </row>
    <row r="123" spans="1:2" x14ac:dyDescent="0.35">
      <c r="A123" s="19" t="s">
        <v>167</v>
      </c>
      <c r="B123" s="23">
        <v>4139.8127999999997</v>
      </c>
    </row>
    <row r="124" spans="1:2" x14ac:dyDescent="0.35">
      <c r="A124" s="19" t="s">
        <v>500</v>
      </c>
      <c r="B124" s="23">
        <v>5159.7893599999998</v>
      </c>
    </row>
    <row r="125" spans="1:2" x14ac:dyDescent="0.35">
      <c r="A125" s="19" t="s">
        <v>311</v>
      </c>
      <c r="B125" s="23">
        <v>3190.8713200000002</v>
      </c>
    </row>
    <row r="126" spans="1:2" x14ac:dyDescent="0.35">
      <c r="A126" s="19" t="s">
        <v>139</v>
      </c>
      <c r="B126" s="23">
        <v>2072.9258400000003</v>
      </c>
    </row>
    <row r="127" spans="1:2" x14ac:dyDescent="0.35">
      <c r="A127" s="19" t="s">
        <v>244</v>
      </c>
      <c r="B127" s="23">
        <v>667.15008</v>
      </c>
    </row>
    <row r="128" spans="1:2" x14ac:dyDescent="0.35">
      <c r="A128" s="19" t="s">
        <v>493</v>
      </c>
      <c r="B128" s="23">
        <v>22620.859800000002</v>
      </c>
    </row>
    <row r="129" spans="1:2" x14ac:dyDescent="0.35">
      <c r="A129" s="19" t="s">
        <v>299</v>
      </c>
      <c r="B129" s="23">
        <v>3978.6474000000003</v>
      </c>
    </row>
    <row r="130" spans="1:2" x14ac:dyDescent="0.35">
      <c r="A130" s="19" t="s">
        <v>152</v>
      </c>
      <c r="B130" s="23">
        <v>4336.2427499999994</v>
      </c>
    </row>
    <row r="131" spans="1:2" x14ac:dyDescent="0.35">
      <c r="A131" s="19" t="s">
        <v>231</v>
      </c>
      <c r="B131" s="23">
        <v>2231.6467200000002</v>
      </c>
    </row>
    <row r="132" spans="1:2" x14ac:dyDescent="0.35">
      <c r="A132" s="19" t="s">
        <v>402</v>
      </c>
      <c r="B132" s="23">
        <v>14108.16791</v>
      </c>
    </row>
    <row r="133" spans="1:2" x14ac:dyDescent="0.35">
      <c r="A133" s="19" t="s">
        <v>606</v>
      </c>
      <c r="B133" s="23">
        <v>51768.181920000003</v>
      </c>
    </row>
    <row r="134" spans="1:2" x14ac:dyDescent="0.35">
      <c r="A134" s="19" t="s">
        <v>331</v>
      </c>
      <c r="B134" s="23">
        <v>16306.59375</v>
      </c>
    </row>
    <row r="135" spans="1:2" x14ac:dyDescent="0.35">
      <c r="A135" s="19" t="s">
        <v>552</v>
      </c>
      <c r="B135" s="23">
        <v>20430.771599999996</v>
      </c>
    </row>
    <row r="136" spans="1:2" x14ac:dyDescent="0.35">
      <c r="A136" s="19" t="s">
        <v>434</v>
      </c>
      <c r="B136" s="23">
        <v>14527.748400000002</v>
      </c>
    </row>
    <row r="137" spans="1:2" x14ac:dyDescent="0.35">
      <c r="A137" s="19" t="s">
        <v>276</v>
      </c>
      <c r="B137" s="23">
        <v>8186.057600000001</v>
      </c>
    </row>
    <row r="138" spans="1:2" x14ac:dyDescent="0.35">
      <c r="A138" s="19" t="s">
        <v>281</v>
      </c>
      <c r="B138" s="23">
        <v>17594.028880000002</v>
      </c>
    </row>
    <row r="139" spans="1:2" x14ac:dyDescent="0.35">
      <c r="A139" s="19" t="s">
        <v>274</v>
      </c>
      <c r="B139" s="23">
        <v>22882.675440000003</v>
      </c>
    </row>
    <row r="140" spans="1:2" x14ac:dyDescent="0.35">
      <c r="A140" s="19" t="s">
        <v>543</v>
      </c>
      <c r="B140" s="23">
        <v>33421.1</v>
      </c>
    </row>
    <row r="141" spans="1:2" x14ac:dyDescent="0.35">
      <c r="A141" s="19" t="s">
        <v>54</v>
      </c>
      <c r="B141" s="23">
        <v>3562.1983800000003</v>
      </c>
    </row>
    <row r="142" spans="1:2" x14ac:dyDescent="0.35">
      <c r="A142" s="19" t="s">
        <v>228</v>
      </c>
      <c r="B142" s="23">
        <v>7854.6693599999999</v>
      </c>
    </row>
    <row r="143" spans="1:2" x14ac:dyDescent="0.35">
      <c r="A143" s="19" t="s">
        <v>446</v>
      </c>
      <c r="B143" s="23">
        <v>2627.6239999999998</v>
      </c>
    </row>
    <row r="144" spans="1:2" x14ac:dyDescent="0.35">
      <c r="A144" s="19" t="s">
        <v>352</v>
      </c>
      <c r="B144" s="23">
        <v>3021.5016000000001</v>
      </c>
    </row>
    <row r="145" spans="1:2" x14ac:dyDescent="0.35">
      <c r="A145" s="19" t="s">
        <v>191</v>
      </c>
      <c r="B145" s="23">
        <v>15656.47056</v>
      </c>
    </row>
    <row r="146" spans="1:2" x14ac:dyDescent="0.35">
      <c r="A146" s="19" t="s">
        <v>624</v>
      </c>
      <c r="B146" s="23">
        <v>10260.060159999999</v>
      </c>
    </row>
    <row r="147" spans="1:2" x14ac:dyDescent="0.35">
      <c r="A147" s="19" t="s">
        <v>306</v>
      </c>
      <c r="B147" s="23">
        <v>23375.594060000003</v>
      </c>
    </row>
    <row r="148" spans="1:2" x14ac:dyDescent="0.35">
      <c r="A148" s="19" t="s">
        <v>423</v>
      </c>
      <c r="B148" s="23">
        <v>23668.560000000001</v>
      </c>
    </row>
    <row r="149" spans="1:2" x14ac:dyDescent="0.35">
      <c r="A149" s="19" t="s">
        <v>399</v>
      </c>
      <c r="B149" s="23">
        <v>22064.910300000003</v>
      </c>
    </row>
    <row r="150" spans="1:2" x14ac:dyDescent="0.35">
      <c r="A150" s="19" t="s">
        <v>611</v>
      </c>
      <c r="B150" s="23">
        <v>3116.21</v>
      </c>
    </row>
    <row r="151" spans="1:2" x14ac:dyDescent="0.35">
      <c r="A151" s="19" t="s">
        <v>541</v>
      </c>
      <c r="B151" s="23">
        <v>11406.96</v>
      </c>
    </row>
    <row r="152" spans="1:2" x14ac:dyDescent="0.35">
      <c r="A152" s="19" t="s">
        <v>213</v>
      </c>
      <c r="B152" s="23">
        <v>55880.483749999999</v>
      </c>
    </row>
    <row r="153" spans="1:2" x14ac:dyDescent="0.35">
      <c r="A153" s="19" t="s">
        <v>475</v>
      </c>
      <c r="B153" s="23">
        <v>930.17574000000002</v>
      </c>
    </row>
    <row r="154" spans="1:2" x14ac:dyDescent="0.35">
      <c r="A154" s="19" t="s">
        <v>236</v>
      </c>
      <c r="B154" s="23">
        <v>4503.4363999999996</v>
      </c>
    </row>
    <row r="155" spans="1:2" x14ac:dyDescent="0.35">
      <c r="A155" s="19" t="s">
        <v>591</v>
      </c>
      <c r="B155" s="23">
        <v>13882.6016</v>
      </c>
    </row>
    <row r="156" spans="1:2" x14ac:dyDescent="0.35">
      <c r="A156" s="19" t="s">
        <v>294</v>
      </c>
      <c r="B156" s="23">
        <v>17441.021520000002</v>
      </c>
    </row>
    <row r="157" spans="1:2" x14ac:dyDescent="0.35">
      <c r="A157" s="19" t="s">
        <v>90</v>
      </c>
      <c r="B157" s="23">
        <v>6874.4828600000001</v>
      </c>
    </row>
    <row r="158" spans="1:2" x14ac:dyDescent="0.35">
      <c r="A158" s="19" t="s">
        <v>20</v>
      </c>
      <c r="B158" s="23">
        <v>4141.7599999999993</v>
      </c>
    </row>
    <row r="159" spans="1:2" x14ac:dyDescent="0.35">
      <c r="A159" s="19" t="s">
        <v>604</v>
      </c>
      <c r="B159" s="23">
        <v>9022.35</v>
      </c>
    </row>
    <row r="160" spans="1:2" x14ac:dyDescent="0.35">
      <c r="A160" s="19" t="s">
        <v>481</v>
      </c>
      <c r="B160" s="23">
        <v>14261.92439</v>
      </c>
    </row>
    <row r="161" spans="1:2" x14ac:dyDescent="0.35">
      <c r="A161" s="19" t="s">
        <v>427</v>
      </c>
      <c r="B161" s="23">
        <v>16134.22069</v>
      </c>
    </row>
    <row r="162" spans="1:2" x14ac:dyDescent="0.35">
      <c r="A162" s="19" t="s">
        <v>364</v>
      </c>
      <c r="B162" s="23">
        <v>4132.0325200000007</v>
      </c>
    </row>
    <row r="163" spans="1:2" x14ac:dyDescent="0.35">
      <c r="A163" s="19" t="s">
        <v>516</v>
      </c>
      <c r="B163" s="23">
        <v>10869.182940000001</v>
      </c>
    </row>
    <row r="164" spans="1:2" x14ac:dyDescent="0.35">
      <c r="A164" s="19" t="s">
        <v>258</v>
      </c>
      <c r="B164" s="23">
        <v>12248.675999999999</v>
      </c>
    </row>
    <row r="165" spans="1:2" x14ac:dyDescent="0.35">
      <c r="A165" s="19" t="s">
        <v>83</v>
      </c>
      <c r="B165" s="23">
        <v>8671.7354400000004</v>
      </c>
    </row>
    <row r="166" spans="1:2" x14ac:dyDescent="0.35">
      <c r="A166" s="19" t="s">
        <v>451</v>
      </c>
      <c r="B166" s="23">
        <v>7340.3891399999993</v>
      </c>
    </row>
    <row r="167" spans="1:2" x14ac:dyDescent="0.35">
      <c r="A167" s="19" t="s">
        <v>634</v>
      </c>
      <c r="B167" s="23">
        <v>1030.7574</v>
      </c>
    </row>
    <row r="168" spans="1:2" x14ac:dyDescent="0.35">
      <c r="A168" s="19" t="s">
        <v>355</v>
      </c>
      <c r="B168" s="23">
        <v>1115.1975999999997</v>
      </c>
    </row>
    <row r="169" spans="1:2" x14ac:dyDescent="0.35">
      <c r="A169" s="19" t="s">
        <v>459</v>
      </c>
      <c r="B169" s="23">
        <v>1925.29872</v>
      </c>
    </row>
    <row r="170" spans="1:2" x14ac:dyDescent="0.35">
      <c r="A170" s="19" t="s">
        <v>465</v>
      </c>
      <c r="B170" s="23">
        <v>19628.476999999999</v>
      </c>
    </row>
    <row r="171" spans="1:2" x14ac:dyDescent="0.35">
      <c r="A171" s="19" t="s">
        <v>491</v>
      </c>
      <c r="B171" s="23">
        <v>4212.3745999999992</v>
      </c>
    </row>
    <row r="172" spans="1:2" x14ac:dyDescent="0.35">
      <c r="A172" s="19" t="s">
        <v>452</v>
      </c>
      <c r="B172" s="23">
        <v>24278.849280000002</v>
      </c>
    </row>
    <row r="173" spans="1:2" x14ac:dyDescent="0.35">
      <c r="A173" s="19" t="s">
        <v>84</v>
      </c>
      <c r="B173" s="23">
        <v>8930.7124999999996</v>
      </c>
    </row>
    <row r="174" spans="1:2" x14ac:dyDescent="0.35">
      <c r="A174" s="19" t="s">
        <v>554</v>
      </c>
      <c r="B174" s="23">
        <v>3340.6370000000002</v>
      </c>
    </row>
    <row r="175" spans="1:2" x14ac:dyDescent="0.35">
      <c r="A175" s="19" t="s">
        <v>384</v>
      </c>
      <c r="B175" s="23">
        <v>4133.25108</v>
      </c>
    </row>
    <row r="176" spans="1:2" x14ac:dyDescent="0.35">
      <c r="A176" s="19" t="s">
        <v>19</v>
      </c>
      <c r="B176" s="23">
        <v>10957.9797</v>
      </c>
    </row>
    <row r="177" spans="1:2" x14ac:dyDescent="0.35">
      <c r="A177" s="19" t="s">
        <v>353</v>
      </c>
      <c r="B177" s="23">
        <v>26106.613960000002</v>
      </c>
    </row>
    <row r="178" spans="1:2" x14ac:dyDescent="0.35">
      <c r="A178" s="19" t="s">
        <v>160</v>
      </c>
      <c r="B178" s="23">
        <v>12954.358080000002</v>
      </c>
    </row>
    <row r="179" spans="1:2" x14ac:dyDescent="0.35">
      <c r="A179" s="19" t="s">
        <v>202</v>
      </c>
      <c r="B179" s="23">
        <v>28072.190160000002</v>
      </c>
    </row>
    <row r="180" spans="1:2" x14ac:dyDescent="0.35">
      <c r="A180" s="19" t="s">
        <v>333</v>
      </c>
      <c r="B180" s="23">
        <v>53034.364139999991</v>
      </c>
    </row>
    <row r="181" spans="1:2" x14ac:dyDescent="0.35">
      <c r="A181" s="19" t="s">
        <v>403</v>
      </c>
      <c r="B181" s="23">
        <v>434.45248000000004</v>
      </c>
    </row>
    <row r="182" spans="1:2" x14ac:dyDescent="0.35">
      <c r="A182" s="19" t="s">
        <v>100</v>
      </c>
      <c r="B182" s="23">
        <v>13146.470699999998</v>
      </c>
    </row>
    <row r="183" spans="1:2" x14ac:dyDescent="0.35">
      <c r="A183" s="19" t="s">
        <v>169</v>
      </c>
      <c r="B183" s="23">
        <v>11015.510400000003</v>
      </c>
    </row>
    <row r="184" spans="1:2" x14ac:dyDescent="0.35">
      <c r="A184" s="19" t="s">
        <v>456</v>
      </c>
      <c r="B184" s="23">
        <v>31513.085009999999</v>
      </c>
    </row>
    <row r="185" spans="1:2" x14ac:dyDescent="0.35">
      <c r="A185" s="19" t="s">
        <v>175</v>
      </c>
      <c r="B185" s="23">
        <v>22044.871499999997</v>
      </c>
    </row>
    <row r="186" spans="1:2" x14ac:dyDescent="0.35">
      <c r="A186" s="19" t="s">
        <v>419</v>
      </c>
      <c r="B186" s="23">
        <v>13437.300239999999</v>
      </c>
    </row>
    <row r="187" spans="1:2" x14ac:dyDescent="0.35">
      <c r="A187" s="19" t="s">
        <v>385</v>
      </c>
      <c r="B187" s="23">
        <v>16873.45</v>
      </c>
    </row>
    <row r="188" spans="1:2" x14ac:dyDescent="0.35">
      <c r="A188" s="19" t="s">
        <v>596</v>
      </c>
      <c r="B188" s="23">
        <v>1801.4076000000002</v>
      </c>
    </row>
    <row r="189" spans="1:2" x14ac:dyDescent="0.35">
      <c r="A189" s="19" t="s">
        <v>50</v>
      </c>
      <c r="B189" s="23">
        <v>6631.6443100000006</v>
      </c>
    </row>
    <row r="190" spans="1:2" x14ac:dyDescent="0.35">
      <c r="A190" s="19" t="s">
        <v>522</v>
      </c>
      <c r="B190" s="23">
        <v>3921.1744000000008</v>
      </c>
    </row>
    <row r="191" spans="1:2" x14ac:dyDescent="0.35">
      <c r="A191" s="19" t="s">
        <v>498</v>
      </c>
      <c r="B191" s="23">
        <v>21908.731650000002</v>
      </c>
    </row>
    <row r="192" spans="1:2" x14ac:dyDescent="0.35">
      <c r="A192" s="19" t="s">
        <v>150</v>
      </c>
      <c r="B192" s="23">
        <v>27370.540859999997</v>
      </c>
    </row>
    <row r="193" spans="1:2" x14ac:dyDescent="0.35">
      <c r="A193" s="19" t="s">
        <v>36</v>
      </c>
      <c r="B193" s="23">
        <v>19903.585040000002</v>
      </c>
    </row>
    <row r="194" spans="1:2" x14ac:dyDescent="0.35">
      <c r="A194" s="19" t="s">
        <v>585</v>
      </c>
      <c r="B194" s="23">
        <v>4577.1480000000001</v>
      </c>
    </row>
    <row r="195" spans="1:2" x14ac:dyDescent="0.35">
      <c r="A195" s="19" t="s">
        <v>110</v>
      </c>
      <c r="B195" s="23">
        <v>43209.006119999991</v>
      </c>
    </row>
    <row r="196" spans="1:2" x14ac:dyDescent="0.35">
      <c r="A196" s="19" t="s">
        <v>130</v>
      </c>
      <c r="B196" s="23">
        <v>24523.006720000001</v>
      </c>
    </row>
    <row r="197" spans="1:2" x14ac:dyDescent="0.35">
      <c r="A197" s="19" t="s">
        <v>471</v>
      </c>
      <c r="B197" s="23">
        <v>7854.6931199999999</v>
      </c>
    </row>
    <row r="198" spans="1:2" x14ac:dyDescent="0.35">
      <c r="A198" s="19" t="s">
        <v>140</v>
      </c>
      <c r="B198" s="23">
        <v>8909.8587200000002</v>
      </c>
    </row>
    <row r="199" spans="1:2" x14ac:dyDescent="0.35">
      <c r="A199" s="19" t="s">
        <v>323</v>
      </c>
      <c r="B199" s="23">
        <v>9847.2358600000007</v>
      </c>
    </row>
    <row r="200" spans="1:2" x14ac:dyDescent="0.35">
      <c r="A200" s="19" t="s">
        <v>180</v>
      </c>
      <c r="B200" s="23">
        <v>85637.740319999997</v>
      </c>
    </row>
    <row r="201" spans="1:2" x14ac:dyDescent="0.35">
      <c r="A201" s="19" t="s">
        <v>638</v>
      </c>
      <c r="B201" s="23">
        <v>50090.397499999999</v>
      </c>
    </row>
    <row r="202" spans="1:2" x14ac:dyDescent="0.35">
      <c r="A202" s="19" t="s">
        <v>273</v>
      </c>
      <c r="B202" s="23">
        <v>7568.9632000000001</v>
      </c>
    </row>
    <row r="203" spans="1:2" x14ac:dyDescent="0.35">
      <c r="A203" s="19" t="s">
        <v>336</v>
      </c>
      <c r="B203" s="23">
        <v>39546.774539999999</v>
      </c>
    </row>
    <row r="204" spans="1:2" x14ac:dyDescent="0.35">
      <c r="A204" s="19" t="s">
        <v>326</v>
      </c>
      <c r="B204" s="23">
        <v>11283.400799999999</v>
      </c>
    </row>
    <row r="205" spans="1:2" x14ac:dyDescent="0.35">
      <c r="A205" s="19" t="s">
        <v>43</v>
      </c>
      <c r="B205" s="23">
        <v>3913.2000000000003</v>
      </c>
    </row>
    <row r="206" spans="1:2" x14ac:dyDescent="0.35">
      <c r="A206" s="19" t="s">
        <v>361</v>
      </c>
      <c r="B206" s="23">
        <v>2206.8000000000002</v>
      </c>
    </row>
    <row r="207" spans="1:2" x14ac:dyDescent="0.35">
      <c r="A207" s="19" t="s">
        <v>155</v>
      </c>
      <c r="B207" s="23">
        <v>87404.929919999995</v>
      </c>
    </row>
    <row r="208" spans="1:2" x14ac:dyDescent="0.35">
      <c r="A208" s="19" t="s">
        <v>157</v>
      </c>
      <c r="B208" s="23">
        <v>32086.37586</v>
      </c>
    </row>
    <row r="209" spans="1:2" x14ac:dyDescent="0.35">
      <c r="A209" s="19" t="s">
        <v>524</v>
      </c>
      <c r="B209" s="23">
        <v>9232.2830599999998</v>
      </c>
    </row>
    <row r="210" spans="1:2" x14ac:dyDescent="0.35">
      <c r="A210" s="19" t="s">
        <v>220</v>
      </c>
      <c r="B210" s="23">
        <v>6702.3501999999999</v>
      </c>
    </row>
    <row r="211" spans="1:2" x14ac:dyDescent="0.35">
      <c r="A211" s="19" t="s">
        <v>642</v>
      </c>
      <c r="B211" s="23">
        <v>33017.42</v>
      </c>
    </row>
    <row r="212" spans="1:2" x14ac:dyDescent="0.35">
      <c r="A212" s="19" t="s">
        <v>207</v>
      </c>
      <c r="B212" s="23">
        <v>4402.1164799999997</v>
      </c>
    </row>
    <row r="213" spans="1:2" x14ac:dyDescent="0.35">
      <c r="A213" s="19" t="s">
        <v>408</v>
      </c>
      <c r="B213" s="23">
        <v>19800.88896</v>
      </c>
    </row>
    <row r="214" spans="1:2" x14ac:dyDescent="0.35">
      <c r="A214" s="19" t="s">
        <v>484</v>
      </c>
      <c r="B214" s="23">
        <v>10428.057360000001</v>
      </c>
    </row>
    <row r="215" spans="1:2" x14ac:dyDescent="0.35">
      <c r="A215" s="19" t="s">
        <v>426</v>
      </c>
      <c r="B215" s="23">
        <v>2059.0056</v>
      </c>
    </row>
    <row r="216" spans="1:2" x14ac:dyDescent="0.35">
      <c r="A216" s="19" t="s">
        <v>30</v>
      </c>
      <c r="B216" s="23">
        <v>7090.5672000000004</v>
      </c>
    </row>
    <row r="217" spans="1:2" x14ac:dyDescent="0.35">
      <c r="A217" s="19" t="s">
        <v>346</v>
      </c>
      <c r="B217" s="23">
        <v>7105.3528000000006</v>
      </c>
    </row>
    <row r="218" spans="1:2" x14ac:dyDescent="0.35">
      <c r="A218" s="19" t="s">
        <v>248</v>
      </c>
      <c r="B218" s="23">
        <v>14269.848599999999</v>
      </c>
    </row>
    <row r="219" spans="1:2" x14ac:dyDescent="0.35">
      <c r="A219" s="19" t="s">
        <v>243</v>
      </c>
      <c r="B219" s="23">
        <v>7446.5209000000004</v>
      </c>
    </row>
    <row r="220" spans="1:2" x14ac:dyDescent="0.35">
      <c r="A220" s="19" t="s">
        <v>570</v>
      </c>
      <c r="B220" s="23">
        <v>46450.26</v>
      </c>
    </row>
    <row r="221" spans="1:2" x14ac:dyDescent="0.35">
      <c r="A221" s="19" t="s">
        <v>557</v>
      </c>
      <c r="B221" s="23">
        <v>4737.2198399999997</v>
      </c>
    </row>
    <row r="222" spans="1:2" x14ac:dyDescent="0.35">
      <c r="A222" s="19" t="s">
        <v>643</v>
      </c>
      <c r="B222" s="23">
        <v>40476.013200000001</v>
      </c>
    </row>
    <row r="223" spans="1:2" x14ac:dyDescent="0.35">
      <c r="A223" s="19" t="s">
        <v>252</v>
      </c>
      <c r="B223" s="23">
        <v>6684.1875</v>
      </c>
    </row>
    <row r="224" spans="1:2" x14ac:dyDescent="0.35">
      <c r="A224" s="19" t="s">
        <v>282</v>
      </c>
      <c r="B224" s="23">
        <v>6946.8</v>
      </c>
    </row>
    <row r="225" spans="1:2" x14ac:dyDescent="0.35">
      <c r="A225" s="19" t="s">
        <v>553</v>
      </c>
      <c r="B225" s="23">
        <v>66260.314239999992</v>
      </c>
    </row>
    <row r="226" spans="1:2" x14ac:dyDescent="0.35">
      <c r="A226" s="19" t="s">
        <v>129</v>
      </c>
      <c r="B226" s="23">
        <v>1499.22</v>
      </c>
    </row>
    <row r="227" spans="1:2" x14ac:dyDescent="0.35">
      <c r="A227" s="19" t="s">
        <v>429</v>
      </c>
      <c r="B227" s="23">
        <v>18411.4084</v>
      </c>
    </row>
    <row r="228" spans="1:2" x14ac:dyDescent="0.35">
      <c r="A228" s="19" t="s">
        <v>193</v>
      </c>
      <c r="B228" s="23">
        <v>7098.5495999999994</v>
      </c>
    </row>
    <row r="229" spans="1:2" x14ac:dyDescent="0.35">
      <c r="A229" s="19" t="s">
        <v>411</v>
      </c>
      <c r="B229" s="23">
        <v>18641.222160000001</v>
      </c>
    </row>
    <row r="230" spans="1:2" x14ac:dyDescent="0.35">
      <c r="A230" s="19" t="s">
        <v>494</v>
      </c>
      <c r="B230" s="23">
        <v>40488.792960000006</v>
      </c>
    </row>
    <row r="231" spans="1:2" x14ac:dyDescent="0.35">
      <c r="A231" s="19" t="s">
        <v>351</v>
      </c>
      <c r="B231" s="23">
        <v>38535.955099999999</v>
      </c>
    </row>
    <row r="232" spans="1:2" x14ac:dyDescent="0.35">
      <c r="A232" s="19" t="s">
        <v>179</v>
      </c>
      <c r="B232" s="23">
        <v>11851.806399999999</v>
      </c>
    </row>
    <row r="233" spans="1:2" x14ac:dyDescent="0.35">
      <c r="A233" s="19" t="s">
        <v>170</v>
      </c>
      <c r="B233" s="23">
        <v>8909.6646800000017</v>
      </c>
    </row>
    <row r="234" spans="1:2" x14ac:dyDescent="0.35">
      <c r="A234" s="19" t="s">
        <v>564</v>
      </c>
      <c r="B234" s="23">
        <v>29673.454499999993</v>
      </c>
    </row>
    <row r="235" spans="1:2" x14ac:dyDescent="0.35">
      <c r="A235" s="19" t="s">
        <v>340</v>
      </c>
      <c r="B235" s="23">
        <v>2373.9623200000001</v>
      </c>
    </row>
    <row r="236" spans="1:2" x14ac:dyDescent="0.35">
      <c r="A236" s="19" t="s">
        <v>120</v>
      </c>
      <c r="B236" s="23">
        <v>12080.215199999999</v>
      </c>
    </row>
    <row r="237" spans="1:2" x14ac:dyDescent="0.35">
      <c r="A237" s="19" t="s">
        <v>149</v>
      </c>
      <c r="B237" s="23">
        <v>12031.491680000001</v>
      </c>
    </row>
    <row r="238" spans="1:2" x14ac:dyDescent="0.35">
      <c r="A238" s="19" t="s">
        <v>324</v>
      </c>
      <c r="B238" s="23">
        <v>30799.273800000003</v>
      </c>
    </row>
    <row r="239" spans="1:2" x14ac:dyDescent="0.35">
      <c r="A239" s="19" t="s">
        <v>124</v>
      </c>
      <c r="B239" s="23">
        <v>549.80010000000004</v>
      </c>
    </row>
    <row r="240" spans="1:2" x14ac:dyDescent="0.35">
      <c r="A240" s="19" t="s">
        <v>49</v>
      </c>
      <c r="B240" s="23">
        <v>27331.829999999998</v>
      </c>
    </row>
    <row r="241" spans="1:2" x14ac:dyDescent="0.35">
      <c r="A241" s="19" t="s">
        <v>416</v>
      </c>
      <c r="B241" s="23">
        <v>16946.091840000001</v>
      </c>
    </row>
    <row r="242" spans="1:2" x14ac:dyDescent="0.35">
      <c r="A242" s="19" t="s">
        <v>45</v>
      </c>
      <c r="B242" s="23">
        <v>9805.8573800000013</v>
      </c>
    </row>
    <row r="243" spans="1:2" x14ac:dyDescent="0.35">
      <c r="A243" s="19" t="s">
        <v>94</v>
      </c>
      <c r="B243" s="23">
        <v>4877.1379800000004</v>
      </c>
    </row>
    <row r="244" spans="1:2" x14ac:dyDescent="0.35">
      <c r="A244" s="19" t="s">
        <v>229</v>
      </c>
      <c r="B244" s="23">
        <v>15253.069799999999</v>
      </c>
    </row>
    <row r="245" spans="1:2" x14ac:dyDescent="0.35">
      <c r="A245" s="19" t="s">
        <v>168</v>
      </c>
      <c r="B245" s="23">
        <v>29654.83008</v>
      </c>
    </row>
    <row r="246" spans="1:2" x14ac:dyDescent="0.35">
      <c r="A246" s="19" t="s">
        <v>473</v>
      </c>
      <c r="B246" s="23">
        <v>24321.57</v>
      </c>
    </row>
    <row r="247" spans="1:2" x14ac:dyDescent="0.35">
      <c r="A247" s="19" t="s">
        <v>563</v>
      </c>
      <c r="B247" s="23">
        <v>10937.519999999999</v>
      </c>
    </row>
    <row r="248" spans="1:2" x14ac:dyDescent="0.35">
      <c r="A248" s="19" t="s">
        <v>31</v>
      </c>
      <c r="B248" s="23">
        <v>25948.414799999995</v>
      </c>
    </row>
    <row r="249" spans="1:2" x14ac:dyDescent="0.35">
      <c r="A249" s="19" t="s">
        <v>337</v>
      </c>
      <c r="B249" s="23">
        <v>703.2428000000001</v>
      </c>
    </row>
    <row r="250" spans="1:2" x14ac:dyDescent="0.35">
      <c r="A250" s="19" t="s">
        <v>538</v>
      </c>
      <c r="B250" s="23">
        <v>6435.2555999999995</v>
      </c>
    </row>
    <row r="251" spans="1:2" x14ac:dyDescent="0.35">
      <c r="A251" s="19" t="s">
        <v>312</v>
      </c>
      <c r="B251" s="23">
        <v>66.920760000000001</v>
      </c>
    </row>
    <row r="252" spans="1:2" x14ac:dyDescent="0.35">
      <c r="A252" s="19" t="s">
        <v>579</v>
      </c>
      <c r="B252" s="23">
        <v>4229.4321199999995</v>
      </c>
    </row>
    <row r="253" spans="1:2" x14ac:dyDescent="0.35">
      <c r="A253" s="19" t="s">
        <v>495</v>
      </c>
      <c r="B253" s="23">
        <v>4738.5261</v>
      </c>
    </row>
    <row r="254" spans="1:2" x14ac:dyDescent="0.35">
      <c r="A254" s="19" t="s">
        <v>25</v>
      </c>
      <c r="B254" s="23">
        <v>16006.14344</v>
      </c>
    </row>
    <row r="255" spans="1:2" x14ac:dyDescent="0.35">
      <c r="A255" s="19" t="s">
        <v>162</v>
      </c>
      <c r="B255" s="23">
        <v>13321.14</v>
      </c>
    </row>
    <row r="256" spans="1:2" x14ac:dyDescent="0.35">
      <c r="A256" s="19" t="s">
        <v>206</v>
      </c>
      <c r="B256" s="23">
        <v>24374.594880000001</v>
      </c>
    </row>
    <row r="257" spans="1:2" x14ac:dyDescent="0.35">
      <c r="A257" s="19" t="s">
        <v>40</v>
      </c>
      <c r="B257" s="23">
        <v>8596.2905599999995</v>
      </c>
    </row>
    <row r="258" spans="1:2" x14ac:dyDescent="0.35">
      <c r="A258" s="19" t="s">
        <v>177</v>
      </c>
      <c r="B258" s="23">
        <v>8154.5511600000009</v>
      </c>
    </row>
    <row r="259" spans="1:2" x14ac:dyDescent="0.35">
      <c r="A259" s="19" t="s">
        <v>266</v>
      </c>
      <c r="B259" s="23">
        <v>17689.623</v>
      </c>
    </row>
    <row r="260" spans="1:2" x14ac:dyDescent="0.35">
      <c r="A260" s="19" t="s">
        <v>126</v>
      </c>
      <c r="B260" s="23">
        <v>30151.675319999998</v>
      </c>
    </row>
    <row r="261" spans="1:2" x14ac:dyDescent="0.35">
      <c r="A261" s="19" t="s">
        <v>368</v>
      </c>
      <c r="B261" s="23">
        <v>1122.0896000000002</v>
      </c>
    </row>
    <row r="262" spans="1:2" x14ac:dyDescent="0.35">
      <c r="A262" s="19" t="s">
        <v>154</v>
      </c>
      <c r="B262" s="23">
        <v>1446.9507000000001</v>
      </c>
    </row>
    <row r="263" spans="1:2" x14ac:dyDescent="0.35">
      <c r="A263" s="19" t="s">
        <v>196</v>
      </c>
      <c r="B263" s="23">
        <v>41352.246200000009</v>
      </c>
    </row>
    <row r="264" spans="1:2" x14ac:dyDescent="0.35">
      <c r="A264" s="19" t="s">
        <v>601</v>
      </c>
      <c r="B264" s="23">
        <v>25131.155999999999</v>
      </c>
    </row>
    <row r="265" spans="1:2" x14ac:dyDescent="0.35">
      <c r="A265" s="19" t="s">
        <v>504</v>
      </c>
      <c r="B265" s="23">
        <v>1547.3500000000001</v>
      </c>
    </row>
    <row r="266" spans="1:2" x14ac:dyDescent="0.35">
      <c r="A266" s="19" t="s">
        <v>78</v>
      </c>
      <c r="B266" s="23">
        <v>72665.817450000002</v>
      </c>
    </row>
    <row r="267" spans="1:2" x14ac:dyDescent="0.35">
      <c r="A267" s="19" t="s">
        <v>575</v>
      </c>
      <c r="B267" s="23">
        <v>6766.9829999999993</v>
      </c>
    </row>
    <row r="268" spans="1:2" x14ac:dyDescent="0.35">
      <c r="A268" s="19" t="s">
        <v>407</v>
      </c>
      <c r="B268" s="23">
        <v>11285.764020000001</v>
      </c>
    </row>
    <row r="269" spans="1:2" x14ac:dyDescent="0.35">
      <c r="A269" s="19" t="s">
        <v>469</v>
      </c>
      <c r="B269" s="23">
        <v>14752.706080000002</v>
      </c>
    </row>
    <row r="270" spans="1:2" x14ac:dyDescent="0.35">
      <c r="A270" s="19" t="s">
        <v>66</v>
      </c>
      <c r="B270" s="23">
        <v>599.53200000000004</v>
      </c>
    </row>
    <row r="271" spans="1:2" x14ac:dyDescent="0.35">
      <c r="A271" s="19" t="s">
        <v>622</v>
      </c>
      <c r="B271" s="23">
        <v>2736.27018</v>
      </c>
    </row>
    <row r="272" spans="1:2" x14ac:dyDescent="0.35">
      <c r="A272" s="19" t="s">
        <v>15</v>
      </c>
      <c r="B272" s="23">
        <v>4866.3287999999993</v>
      </c>
    </row>
    <row r="273" spans="1:2" x14ac:dyDescent="0.35">
      <c r="A273" s="19" t="s">
        <v>302</v>
      </c>
      <c r="B273" s="23">
        <v>26765.040239999998</v>
      </c>
    </row>
    <row r="274" spans="1:2" x14ac:dyDescent="0.35">
      <c r="A274" s="19" t="s">
        <v>249</v>
      </c>
      <c r="B274" s="23">
        <v>17359.804799999998</v>
      </c>
    </row>
    <row r="275" spans="1:2" x14ac:dyDescent="0.35">
      <c r="A275" s="19" t="s">
        <v>122</v>
      </c>
      <c r="B275" s="23">
        <v>23687.524440000001</v>
      </c>
    </row>
    <row r="276" spans="1:2" x14ac:dyDescent="0.35">
      <c r="A276" s="19" t="s">
        <v>85</v>
      </c>
      <c r="B276" s="23">
        <v>10647.727199999999</v>
      </c>
    </row>
    <row r="277" spans="1:2" x14ac:dyDescent="0.35">
      <c r="A277" s="19" t="s">
        <v>72</v>
      </c>
      <c r="B277" s="23">
        <v>4790.1068000000005</v>
      </c>
    </row>
    <row r="278" spans="1:2" x14ac:dyDescent="0.35">
      <c r="A278" s="19" t="s">
        <v>56</v>
      </c>
      <c r="B278" s="23">
        <v>10558.74</v>
      </c>
    </row>
    <row r="279" spans="1:2" x14ac:dyDescent="0.35">
      <c r="A279" s="19" t="s">
        <v>267</v>
      </c>
      <c r="B279" s="23">
        <v>25483.91488</v>
      </c>
    </row>
    <row r="280" spans="1:2" x14ac:dyDescent="0.35">
      <c r="A280" s="19" t="s">
        <v>405</v>
      </c>
      <c r="B280" s="23">
        <v>2525.0635000000002</v>
      </c>
    </row>
    <row r="281" spans="1:2" x14ac:dyDescent="0.35">
      <c r="A281" s="19" t="s">
        <v>519</v>
      </c>
      <c r="B281" s="23">
        <v>32335.21802</v>
      </c>
    </row>
    <row r="282" spans="1:2" x14ac:dyDescent="0.35">
      <c r="A282" s="19" t="s">
        <v>262</v>
      </c>
      <c r="B282" s="23">
        <v>3592.04</v>
      </c>
    </row>
    <row r="283" spans="1:2" x14ac:dyDescent="0.35">
      <c r="A283" s="19" t="s">
        <v>182</v>
      </c>
      <c r="B283" s="23">
        <v>12413.98458</v>
      </c>
    </row>
    <row r="284" spans="1:2" x14ac:dyDescent="0.35">
      <c r="A284" s="19" t="s">
        <v>576</v>
      </c>
      <c r="B284" s="23">
        <v>33071.3145</v>
      </c>
    </row>
    <row r="285" spans="1:2" x14ac:dyDescent="0.35">
      <c r="A285" s="19" t="s">
        <v>625</v>
      </c>
      <c r="B285" s="23">
        <v>18003.847679999999</v>
      </c>
    </row>
    <row r="286" spans="1:2" x14ac:dyDescent="0.35">
      <c r="A286" s="19" t="s">
        <v>349</v>
      </c>
      <c r="B286" s="23">
        <v>16219.34496</v>
      </c>
    </row>
    <row r="287" spans="1:2" x14ac:dyDescent="0.35">
      <c r="A287" s="19" t="s">
        <v>356</v>
      </c>
      <c r="B287" s="23">
        <v>20053.439999999999</v>
      </c>
    </row>
    <row r="288" spans="1:2" x14ac:dyDescent="0.35">
      <c r="A288" s="19" t="s">
        <v>21</v>
      </c>
      <c r="B288" s="23">
        <v>2886.4496399999998</v>
      </c>
    </row>
    <row r="289" spans="1:2" x14ac:dyDescent="0.35">
      <c r="A289" s="19" t="s">
        <v>627</v>
      </c>
      <c r="B289" s="23">
        <v>82141.339799999987</v>
      </c>
    </row>
    <row r="290" spans="1:2" x14ac:dyDescent="0.35">
      <c r="A290" s="19" t="s">
        <v>377</v>
      </c>
      <c r="B290" s="23">
        <v>7327.9533600000004</v>
      </c>
    </row>
    <row r="291" spans="1:2" x14ac:dyDescent="0.35">
      <c r="A291" s="19" t="s">
        <v>82</v>
      </c>
      <c r="B291" s="23">
        <v>14287.896349999999</v>
      </c>
    </row>
    <row r="292" spans="1:2" x14ac:dyDescent="0.35">
      <c r="A292" s="19" t="s">
        <v>268</v>
      </c>
      <c r="B292" s="23">
        <v>6468.2751599999992</v>
      </c>
    </row>
    <row r="293" spans="1:2" x14ac:dyDescent="0.35">
      <c r="A293" s="19" t="s">
        <v>551</v>
      </c>
      <c r="B293" s="23">
        <v>50958.766320000002</v>
      </c>
    </row>
    <row r="294" spans="1:2" x14ac:dyDescent="0.35">
      <c r="A294" s="19" t="s">
        <v>587</v>
      </c>
      <c r="B294" s="23">
        <v>19139.594240000002</v>
      </c>
    </row>
    <row r="295" spans="1:2" x14ac:dyDescent="0.35">
      <c r="A295" s="19" t="s">
        <v>476</v>
      </c>
      <c r="B295" s="23">
        <v>4055.5175999999997</v>
      </c>
    </row>
    <row r="296" spans="1:2" x14ac:dyDescent="0.35">
      <c r="A296" s="19" t="s">
        <v>176</v>
      </c>
      <c r="B296" s="23">
        <v>5650.1744000000008</v>
      </c>
    </row>
    <row r="297" spans="1:2" x14ac:dyDescent="0.35">
      <c r="A297" s="19" t="s">
        <v>16</v>
      </c>
      <c r="B297" s="23">
        <v>17960.432489999999</v>
      </c>
    </row>
    <row r="298" spans="1:2" x14ac:dyDescent="0.35">
      <c r="A298" s="19" t="s">
        <v>539</v>
      </c>
      <c r="B298" s="23">
        <v>8326.6852500000005</v>
      </c>
    </row>
    <row r="299" spans="1:2" x14ac:dyDescent="0.35">
      <c r="A299" s="19" t="s">
        <v>298</v>
      </c>
      <c r="B299" s="23">
        <v>15505.479600000001</v>
      </c>
    </row>
    <row r="300" spans="1:2" x14ac:dyDescent="0.35">
      <c r="A300" s="19" t="s">
        <v>501</v>
      </c>
      <c r="B300" s="23">
        <v>28856.475000000002</v>
      </c>
    </row>
    <row r="301" spans="1:2" x14ac:dyDescent="0.35">
      <c r="A301" s="19" t="s">
        <v>425</v>
      </c>
      <c r="B301" s="23">
        <v>6899.8804600000003</v>
      </c>
    </row>
    <row r="302" spans="1:2" x14ac:dyDescent="0.35">
      <c r="A302" s="19" t="s">
        <v>444</v>
      </c>
      <c r="B302" s="23">
        <v>12955.824749999998</v>
      </c>
    </row>
    <row r="303" spans="1:2" x14ac:dyDescent="0.35">
      <c r="A303" s="19" t="s">
        <v>499</v>
      </c>
      <c r="B303" s="23">
        <v>6063.2517199999993</v>
      </c>
    </row>
    <row r="304" spans="1:2" x14ac:dyDescent="0.35">
      <c r="A304" s="19" t="s">
        <v>158</v>
      </c>
      <c r="B304" s="23">
        <v>9969.4201499999999</v>
      </c>
    </row>
    <row r="305" spans="1:2" x14ac:dyDescent="0.35">
      <c r="A305" s="19" t="s">
        <v>59</v>
      </c>
      <c r="B305" s="23">
        <v>17930.494560000003</v>
      </c>
    </row>
    <row r="306" spans="1:2" x14ac:dyDescent="0.35">
      <c r="A306" s="19" t="s">
        <v>420</v>
      </c>
      <c r="B306" s="23">
        <v>22457.143800000002</v>
      </c>
    </row>
    <row r="307" spans="1:2" x14ac:dyDescent="0.35">
      <c r="A307" s="19" t="s">
        <v>398</v>
      </c>
      <c r="B307" s="23">
        <v>15257.51748</v>
      </c>
    </row>
    <row r="308" spans="1:2" x14ac:dyDescent="0.35">
      <c r="A308" s="19" t="s">
        <v>532</v>
      </c>
      <c r="B308" s="23">
        <v>9807.7842799999999</v>
      </c>
    </row>
    <row r="309" spans="1:2" x14ac:dyDescent="0.35">
      <c r="A309" s="19" t="s">
        <v>325</v>
      </c>
      <c r="B309" s="23">
        <v>879.05840000000001</v>
      </c>
    </row>
    <row r="310" spans="1:2" x14ac:dyDescent="0.35">
      <c r="A310" s="19" t="s">
        <v>560</v>
      </c>
      <c r="B310" s="23">
        <v>4826.5396199999996</v>
      </c>
    </row>
    <row r="311" spans="1:2" x14ac:dyDescent="0.35">
      <c r="A311" s="19" t="s">
        <v>246</v>
      </c>
      <c r="B311" s="23">
        <v>2879.9836</v>
      </c>
    </row>
    <row r="312" spans="1:2" x14ac:dyDescent="0.35">
      <c r="A312" s="19" t="s">
        <v>328</v>
      </c>
      <c r="B312" s="23">
        <v>5032.4433599999993</v>
      </c>
    </row>
    <row r="313" spans="1:2" x14ac:dyDescent="0.35">
      <c r="A313" s="19" t="s">
        <v>509</v>
      </c>
      <c r="B313" s="23">
        <v>4682.9519799999998</v>
      </c>
    </row>
    <row r="314" spans="1:2" x14ac:dyDescent="0.35">
      <c r="A314" s="19" t="s">
        <v>583</v>
      </c>
      <c r="B314" s="23">
        <v>34307.159999999996</v>
      </c>
    </row>
    <row r="315" spans="1:2" x14ac:dyDescent="0.35">
      <c r="A315" s="19" t="s">
        <v>164</v>
      </c>
      <c r="B315" s="23">
        <v>42495.805439999996</v>
      </c>
    </row>
    <row r="316" spans="1:2" x14ac:dyDescent="0.35">
      <c r="A316" s="19" t="s">
        <v>609</v>
      </c>
      <c r="B316" s="23">
        <v>14910.609600000002</v>
      </c>
    </row>
    <row r="317" spans="1:2" x14ac:dyDescent="0.35">
      <c r="A317" s="19" t="s">
        <v>209</v>
      </c>
      <c r="B317" s="23">
        <v>31191.64716</v>
      </c>
    </row>
    <row r="318" spans="1:2" x14ac:dyDescent="0.35">
      <c r="A318" s="19" t="s">
        <v>455</v>
      </c>
      <c r="B318" s="23">
        <v>12668.50728</v>
      </c>
    </row>
    <row r="319" spans="1:2" x14ac:dyDescent="0.35">
      <c r="A319" s="19" t="s">
        <v>91</v>
      </c>
      <c r="B319" s="23">
        <v>35396.277799999996</v>
      </c>
    </row>
    <row r="320" spans="1:2" x14ac:dyDescent="0.35">
      <c r="A320" s="19" t="s">
        <v>92</v>
      </c>
      <c r="B320" s="23">
        <v>33062.236480000007</v>
      </c>
    </row>
    <row r="321" spans="1:2" x14ac:dyDescent="0.35">
      <c r="A321" s="19" t="s">
        <v>428</v>
      </c>
      <c r="B321" s="23">
        <v>31513.423040000001</v>
      </c>
    </row>
    <row r="322" spans="1:2" x14ac:dyDescent="0.35">
      <c r="A322" s="19" t="s">
        <v>65</v>
      </c>
      <c r="B322" s="23">
        <v>14894.903999999999</v>
      </c>
    </row>
    <row r="323" spans="1:2" x14ac:dyDescent="0.35">
      <c r="A323" s="19" t="s">
        <v>536</v>
      </c>
      <c r="B323" s="23">
        <v>22526.66</v>
      </c>
    </row>
    <row r="324" spans="1:2" x14ac:dyDescent="0.35">
      <c r="A324" s="19" t="s">
        <v>438</v>
      </c>
      <c r="B324" s="23">
        <v>58091.634960000003</v>
      </c>
    </row>
    <row r="325" spans="1:2" x14ac:dyDescent="0.35">
      <c r="A325" s="19" t="s">
        <v>132</v>
      </c>
      <c r="B325" s="23">
        <v>65119.329599999997</v>
      </c>
    </row>
    <row r="326" spans="1:2" x14ac:dyDescent="0.35">
      <c r="A326" s="19" t="s">
        <v>118</v>
      </c>
      <c r="B326" s="23">
        <v>5960.3340000000007</v>
      </c>
    </row>
    <row r="327" spans="1:2" x14ac:dyDescent="0.35">
      <c r="A327" s="19" t="s">
        <v>593</v>
      </c>
      <c r="B327" s="23">
        <v>4280.6786400000001</v>
      </c>
    </row>
    <row r="328" spans="1:2" x14ac:dyDescent="0.35">
      <c r="A328" s="19" t="s">
        <v>289</v>
      </c>
      <c r="B328" s="23">
        <v>8567.3924999999999</v>
      </c>
    </row>
    <row r="329" spans="1:2" x14ac:dyDescent="0.35">
      <c r="A329" s="19" t="s">
        <v>38</v>
      </c>
      <c r="B329" s="23">
        <v>20225.2248</v>
      </c>
    </row>
    <row r="330" spans="1:2" x14ac:dyDescent="0.35">
      <c r="A330" s="19" t="s">
        <v>280</v>
      </c>
      <c r="B330" s="23">
        <v>38818.760160000005</v>
      </c>
    </row>
    <row r="331" spans="1:2" x14ac:dyDescent="0.35">
      <c r="A331" s="19" t="s">
        <v>338</v>
      </c>
      <c r="B331" s="23">
        <v>26015.449459999996</v>
      </c>
    </row>
    <row r="332" spans="1:2" x14ac:dyDescent="0.35">
      <c r="A332" s="19" t="s">
        <v>203</v>
      </c>
      <c r="B332" s="23">
        <v>8590.7094000000016</v>
      </c>
    </row>
    <row r="333" spans="1:2" x14ac:dyDescent="0.35">
      <c r="A333" s="19" t="s">
        <v>479</v>
      </c>
      <c r="B333" s="23">
        <v>84136.119600000005</v>
      </c>
    </row>
    <row r="334" spans="1:2" x14ac:dyDescent="0.35">
      <c r="A334" s="19" t="s">
        <v>458</v>
      </c>
      <c r="B334" s="23">
        <v>21664.440000000002</v>
      </c>
    </row>
    <row r="335" spans="1:2" x14ac:dyDescent="0.35">
      <c r="A335" s="19" t="s">
        <v>371</v>
      </c>
      <c r="B335" s="23">
        <v>49336.511399999996</v>
      </c>
    </row>
    <row r="336" spans="1:2" x14ac:dyDescent="0.35">
      <c r="A336" s="19" t="s">
        <v>439</v>
      </c>
      <c r="B336" s="23">
        <v>15366.983199999999</v>
      </c>
    </row>
    <row r="337" spans="1:2" x14ac:dyDescent="0.35">
      <c r="A337" s="19" t="s">
        <v>507</v>
      </c>
      <c r="B337" s="23">
        <v>110.14919999999999</v>
      </c>
    </row>
    <row r="338" spans="1:2" x14ac:dyDescent="0.35">
      <c r="A338" s="19" t="s">
        <v>401</v>
      </c>
      <c r="B338" s="23">
        <v>19773.362699999998</v>
      </c>
    </row>
    <row r="339" spans="1:2" x14ac:dyDescent="0.35">
      <c r="A339" s="19" t="s">
        <v>544</v>
      </c>
      <c r="B339" s="23">
        <v>9262.0686600000008</v>
      </c>
    </row>
    <row r="340" spans="1:2" x14ac:dyDescent="0.35">
      <c r="A340" s="19" t="s">
        <v>569</v>
      </c>
      <c r="B340" s="23">
        <v>33551.927499999998</v>
      </c>
    </row>
    <row r="341" spans="1:2" x14ac:dyDescent="0.35">
      <c r="A341" s="19" t="s">
        <v>424</v>
      </c>
      <c r="B341" s="23">
        <v>5323.9903199999999</v>
      </c>
    </row>
    <row r="342" spans="1:2" x14ac:dyDescent="0.35">
      <c r="A342" s="19" t="s">
        <v>260</v>
      </c>
      <c r="B342" s="23">
        <v>9774.3888000000006</v>
      </c>
    </row>
    <row r="343" spans="1:2" x14ac:dyDescent="0.35">
      <c r="A343" s="19" t="s">
        <v>62</v>
      </c>
      <c r="B343" s="23">
        <v>109244</v>
      </c>
    </row>
    <row r="344" spans="1:2" x14ac:dyDescent="0.35">
      <c r="A344" s="19" t="s">
        <v>615</v>
      </c>
      <c r="B344" s="23">
        <v>7466.3063999999986</v>
      </c>
    </row>
    <row r="345" spans="1:2" x14ac:dyDescent="0.35">
      <c r="A345" s="19" t="s">
        <v>172</v>
      </c>
      <c r="B345" s="23">
        <v>24147.922500000001</v>
      </c>
    </row>
    <row r="346" spans="1:2" x14ac:dyDescent="0.35">
      <c r="A346" s="19" t="s">
        <v>573</v>
      </c>
      <c r="B346" s="23">
        <v>13108.78584</v>
      </c>
    </row>
    <row r="347" spans="1:2" x14ac:dyDescent="0.35">
      <c r="A347" s="19" t="s">
        <v>463</v>
      </c>
      <c r="B347" s="23">
        <v>12289.2</v>
      </c>
    </row>
    <row r="348" spans="1:2" x14ac:dyDescent="0.35">
      <c r="A348" s="19" t="s">
        <v>515</v>
      </c>
      <c r="B348" s="23">
        <v>7428.1108999999988</v>
      </c>
    </row>
    <row r="349" spans="1:2" x14ac:dyDescent="0.35">
      <c r="A349" s="19" t="s">
        <v>247</v>
      </c>
      <c r="B349" s="23">
        <v>5280.8577599999999</v>
      </c>
    </row>
    <row r="350" spans="1:2" x14ac:dyDescent="0.35">
      <c r="A350" s="19" t="s">
        <v>350</v>
      </c>
      <c r="B350" s="23">
        <v>28247.74656</v>
      </c>
    </row>
    <row r="351" spans="1:2" x14ac:dyDescent="0.35">
      <c r="A351" s="19" t="s">
        <v>602</v>
      </c>
      <c r="B351" s="23">
        <v>68665.574250000005</v>
      </c>
    </row>
    <row r="352" spans="1:2" x14ac:dyDescent="0.35">
      <c r="A352" s="19" t="s">
        <v>508</v>
      </c>
      <c r="B352" s="23">
        <v>11859.695119999998</v>
      </c>
    </row>
    <row r="353" spans="1:2" x14ac:dyDescent="0.35">
      <c r="A353" s="19" t="s">
        <v>292</v>
      </c>
      <c r="B353" s="23">
        <v>34840.344000000005</v>
      </c>
    </row>
    <row r="354" spans="1:2" x14ac:dyDescent="0.35">
      <c r="A354" s="19" t="s">
        <v>448</v>
      </c>
      <c r="B354" s="23">
        <v>1950.0031200000001</v>
      </c>
    </row>
    <row r="355" spans="1:2" x14ac:dyDescent="0.35">
      <c r="A355" s="19" t="s">
        <v>141</v>
      </c>
      <c r="B355" s="23">
        <v>65111.38614000001</v>
      </c>
    </row>
    <row r="356" spans="1:2" x14ac:dyDescent="0.35">
      <c r="A356" s="19" t="s">
        <v>613</v>
      </c>
      <c r="B356" s="23">
        <v>5962.1422499999999</v>
      </c>
    </row>
    <row r="357" spans="1:2" x14ac:dyDescent="0.35">
      <c r="A357" s="19" t="s">
        <v>138</v>
      </c>
      <c r="B357" s="23">
        <v>10817.3416</v>
      </c>
    </row>
    <row r="358" spans="1:2" x14ac:dyDescent="0.35">
      <c r="A358" s="19" t="s">
        <v>23</v>
      </c>
      <c r="B358" s="23">
        <v>14714.12934</v>
      </c>
    </row>
    <row r="359" spans="1:2" x14ac:dyDescent="0.35">
      <c r="A359" s="19" t="s">
        <v>597</v>
      </c>
      <c r="B359" s="23">
        <v>40563.321749999996</v>
      </c>
    </row>
    <row r="360" spans="1:2" x14ac:dyDescent="0.35">
      <c r="A360" s="19" t="s">
        <v>101</v>
      </c>
      <c r="B360" s="23">
        <v>14197.064400000001</v>
      </c>
    </row>
    <row r="361" spans="1:2" x14ac:dyDescent="0.35">
      <c r="A361" s="19" t="s">
        <v>53</v>
      </c>
      <c r="B361" s="23">
        <v>14968.239</v>
      </c>
    </row>
    <row r="362" spans="1:2" x14ac:dyDescent="0.35">
      <c r="A362" s="19" t="s">
        <v>103</v>
      </c>
      <c r="B362" s="23">
        <v>11842.8464</v>
      </c>
    </row>
    <row r="363" spans="1:2" x14ac:dyDescent="0.35">
      <c r="A363" s="19" t="s">
        <v>143</v>
      </c>
      <c r="B363" s="23">
        <v>2642.1686999999997</v>
      </c>
    </row>
    <row r="364" spans="1:2" x14ac:dyDescent="0.35">
      <c r="A364" s="19" t="s">
        <v>185</v>
      </c>
      <c r="B364" s="23">
        <v>14549.029120000001</v>
      </c>
    </row>
    <row r="365" spans="1:2" x14ac:dyDescent="0.35">
      <c r="A365" s="19" t="s">
        <v>415</v>
      </c>
      <c r="B365" s="23">
        <v>17427.164800000002</v>
      </c>
    </row>
    <row r="366" spans="1:2" x14ac:dyDescent="0.35">
      <c r="A366" s="19" t="s">
        <v>556</v>
      </c>
      <c r="B366" s="23">
        <v>30652.403519999996</v>
      </c>
    </row>
    <row r="367" spans="1:2" x14ac:dyDescent="0.35">
      <c r="A367" s="19" t="s">
        <v>48</v>
      </c>
      <c r="B367" s="23">
        <v>13218.5</v>
      </c>
    </row>
    <row r="368" spans="1:2" x14ac:dyDescent="0.35">
      <c r="A368" s="19" t="s">
        <v>55</v>
      </c>
      <c r="B368" s="23">
        <v>41106.800970000004</v>
      </c>
    </row>
    <row r="369" spans="1:2" x14ac:dyDescent="0.35">
      <c r="A369" s="19" t="s">
        <v>112</v>
      </c>
      <c r="B369" s="23">
        <v>34139.159999999996</v>
      </c>
    </row>
    <row r="370" spans="1:2" x14ac:dyDescent="0.35">
      <c r="A370" s="19" t="s">
        <v>199</v>
      </c>
      <c r="B370" s="23">
        <v>26408.63841</v>
      </c>
    </row>
    <row r="371" spans="1:2" x14ac:dyDescent="0.35">
      <c r="A371" s="19" t="s">
        <v>490</v>
      </c>
      <c r="B371" s="23">
        <v>1009.2969000000002</v>
      </c>
    </row>
    <row r="372" spans="1:2" x14ac:dyDescent="0.35">
      <c r="A372" s="19" t="s">
        <v>357</v>
      </c>
      <c r="B372" s="23">
        <v>8938.8996600000009</v>
      </c>
    </row>
    <row r="373" spans="1:2" x14ac:dyDescent="0.35">
      <c r="A373" s="19" t="s">
        <v>487</v>
      </c>
      <c r="B373" s="23">
        <v>8330.2513199999994</v>
      </c>
    </row>
    <row r="374" spans="1:2" x14ac:dyDescent="0.35">
      <c r="A374" s="19" t="s">
        <v>445</v>
      </c>
      <c r="B374" s="23">
        <v>58057.65</v>
      </c>
    </row>
    <row r="375" spans="1:2" x14ac:dyDescent="0.35">
      <c r="A375" s="19" t="s">
        <v>430</v>
      </c>
      <c r="B375" s="23">
        <v>10893.6232</v>
      </c>
    </row>
    <row r="376" spans="1:2" x14ac:dyDescent="0.35">
      <c r="A376" s="19" t="s">
        <v>264</v>
      </c>
      <c r="B376" s="23">
        <v>12186.368600000002</v>
      </c>
    </row>
    <row r="377" spans="1:2" x14ac:dyDescent="0.35">
      <c r="A377" s="19" t="s">
        <v>210</v>
      </c>
      <c r="B377" s="23">
        <v>21679.749799999998</v>
      </c>
    </row>
    <row r="378" spans="1:2" x14ac:dyDescent="0.35">
      <c r="A378" s="19" t="s">
        <v>417</v>
      </c>
      <c r="B378" s="23">
        <v>5250.4239000000007</v>
      </c>
    </row>
    <row r="379" spans="1:2" x14ac:dyDescent="0.35">
      <c r="A379" s="19" t="s">
        <v>224</v>
      </c>
      <c r="B379" s="23">
        <v>18061.204320000004</v>
      </c>
    </row>
    <row r="380" spans="1:2" x14ac:dyDescent="0.35">
      <c r="A380" s="19" t="s">
        <v>572</v>
      </c>
      <c r="B380" s="23">
        <v>10519.776450000001</v>
      </c>
    </row>
    <row r="381" spans="1:2" x14ac:dyDescent="0.35">
      <c r="A381" s="19" t="s">
        <v>222</v>
      </c>
      <c r="B381" s="23">
        <v>15825.399369999997</v>
      </c>
    </row>
    <row r="382" spans="1:2" x14ac:dyDescent="0.35">
      <c r="A382" s="19" t="s">
        <v>598</v>
      </c>
      <c r="B382" s="23">
        <v>3823.6151599999998</v>
      </c>
    </row>
    <row r="383" spans="1:2" x14ac:dyDescent="0.35">
      <c r="A383" s="19" t="s">
        <v>388</v>
      </c>
      <c r="B383" s="23">
        <v>31005.24768</v>
      </c>
    </row>
    <row r="384" spans="1:2" x14ac:dyDescent="0.35">
      <c r="A384" s="19" t="s">
        <v>51</v>
      </c>
      <c r="B384" s="23">
        <v>18957.37689</v>
      </c>
    </row>
    <row r="385" spans="1:2" x14ac:dyDescent="0.35">
      <c r="A385" s="19" t="s">
        <v>374</v>
      </c>
      <c r="B385" s="23">
        <v>35167.7448</v>
      </c>
    </row>
    <row r="386" spans="1:2" x14ac:dyDescent="0.35">
      <c r="A386" s="19" t="s">
        <v>542</v>
      </c>
      <c r="B386" s="23">
        <v>58526.83122</v>
      </c>
    </row>
    <row r="387" spans="1:2" x14ac:dyDescent="0.35">
      <c r="A387" s="19" t="s">
        <v>335</v>
      </c>
      <c r="B387" s="23">
        <v>7493.1076000000012</v>
      </c>
    </row>
    <row r="388" spans="1:2" x14ac:dyDescent="0.35">
      <c r="A388" s="19" t="s">
        <v>232</v>
      </c>
      <c r="B388" s="23">
        <v>6535.6324800000002</v>
      </c>
    </row>
    <row r="389" spans="1:2" x14ac:dyDescent="0.35">
      <c r="A389" s="19" t="s">
        <v>511</v>
      </c>
      <c r="B389" s="23">
        <v>25249.613219999999</v>
      </c>
    </row>
    <row r="390" spans="1:2" x14ac:dyDescent="0.35">
      <c r="A390" s="19" t="s">
        <v>521</v>
      </c>
      <c r="B390" s="23">
        <v>15323.926799999999</v>
      </c>
    </row>
    <row r="391" spans="1:2" x14ac:dyDescent="0.35">
      <c r="A391" s="19" t="s">
        <v>626</v>
      </c>
      <c r="B391" s="23">
        <v>9256.14</v>
      </c>
    </row>
    <row r="392" spans="1:2" x14ac:dyDescent="0.35">
      <c r="A392" s="19" t="s">
        <v>457</v>
      </c>
      <c r="B392" s="23">
        <v>5960.04288</v>
      </c>
    </row>
    <row r="393" spans="1:2" x14ac:dyDescent="0.35">
      <c r="A393" s="19" t="s">
        <v>286</v>
      </c>
      <c r="B393" s="23">
        <v>34632.106319999999</v>
      </c>
    </row>
    <row r="394" spans="1:2" x14ac:dyDescent="0.35">
      <c r="A394" s="19" t="s">
        <v>433</v>
      </c>
      <c r="B394" s="23">
        <v>9509.2865999999995</v>
      </c>
    </row>
    <row r="395" spans="1:2" x14ac:dyDescent="0.35">
      <c r="A395" s="19" t="s">
        <v>633</v>
      </c>
      <c r="B395" s="23">
        <v>41419.524249999995</v>
      </c>
    </row>
    <row r="396" spans="1:2" x14ac:dyDescent="0.35">
      <c r="A396" s="19" t="s">
        <v>204</v>
      </c>
      <c r="B396" s="23">
        <v>19542.975350000001</v>
      </c>
    </row>
    <row r="397" spans="1:2" x14ac:dyDescent="0.35">
      <c r="A397" s="19" t="s">
        <v>171</v>
      </c>
      <c r="B397" s="23">
        <v>7203.8047000000006</v>
      </c>
    </row>
    <row r="398" spans="1:2" x14ac:dyDescent="0.35">
      <c r="A398" s="19" t="s">
        <v>582</v>
      </c>
      <c r="B398" s="23">
        <v>25079.480689999997</v>
      </c>
    </row>
    <row r="399" spans="1:2" x14ac:dyDescent="0.35">
      <c r="A399" s="19" t="s">
        <v>119</v>
      </c>
      <c r="B399" s="23">
        <v>12335.654849999999</v>
      </c>
    </row>
    <row r="400" spans="1:2" x14ac:dyDescent="0.35">
      <c r="A400" s="19" t="s">
        <v>523</v>
      </c>
      <c r="B400" s="23">
        <v>8297.4286000000011</v>
      </c>
    </row>
    <row r="401" spans="1:2" x14ac:dyDescent="0.35">
      <c r="A401" s="19" t="s">
        <v>233</v>
      </c>
      <c r="B401" s="23">
        <v>28211.92124</v>
      </c>
    </row>
    <row r="402" spans="1:2" x14ac:dyDescent="0.35">
      <c r="A402" s="19" t="s">
        <v>153</v>
      </c>
      <c r="B402" s="23">
        <v>35567.737920000007</v>
      </c>
    </row>
    <row r="403" spans="1:2" x14ac:dyDescent="0.35">
      <c r="A403" s="19" t="s">
        <v>480</v>
      </c>
      <c r="B403" s="23">
        <v>2719.8567000000003</v>
      </c>
    </row>
    <row r="404" spans="1:2" x14ac:dyDescent="0.35">
      <c r="A404" s="19" t="s">
        <v>41</v>
      </c>
      <c r="B404" s="23">
        <v>1756.6999999999998</v>
      </c>
    </row>
    <row r="405" spans="1:2" x14ac:dyDescent="0.35">
      <c r="A405" s="19" t="s">
        <v>310</v>
      </c>
      <c r="B405" s="23">
        <v>4241.88105</v>
      </c>
    </row>
    <row r="406" spans="1:2" x14ac:dyDescent="0.35">
      <c r="A406" s="19" t="s">
        <v>505</v>
      </c>
      <c r="B406" s="23">
        <v>6664.0999999999995</v>
      </c>
    </row>
    <row r="407" spans="1:2" x14ac:dyDescent="0.35">
      <c r="A407" s="19" t="s">
        <v>123</v>
      </c>
      <c r="B407" s="23">
        <v>1660.3999999999999</v>
      </c>
    </row>
    <row r="408" spans="1:2" x14ac:dyDescent="0.35">
      <c r="A408" s="19" t="s">
        <v>35</v>
      </c>
      <c r="B408" s="23">
        <v>23782.310720000001</v>
      </c>
    </row>
    <row r="409" spans="1:2" x14ac:dyDescent="0.35">
      <c r="A409" s="19" t="s">
        <v>88</v>
      </c>
      <c r="B409" s="23">
        <v>9373.460219999999</v>
      </c>
    </row>
    <row r="410" spans="1:2" x14ac:dyDescent="0.35">
      <c r="A410" s="19" t="s">
        <v>250</v>
      </c>
      <c r="B410" s="23">
        <v>37038.581760000001</v>
      </c>
    </row>
    <row r="411" spans="1:2" x14ac:dyDescent="0.35">
      <c r="A411" s="19" t="s">
        <v>442</v>
      </c>
      <c r="B411" s="23">
        <v>13450.74</v>
      </c>
    </row>
    <row r="412" spans="1:2" x14ac:dyDescent="0.35">
      <c r="A412" s="19" t="s">
        <v>636</v>
      </c>
      <c r="B412" s="23">
        <v>30229.994880000002</v>
      </c>
    </row>
    <row r="413" spans="1:2" x14ac:dyDescent="0.35">
      <c r="A413" s="19" t="s">
        <v>380</v>
      </c>
      <c r="B413" s="23">
        <v>19547.329920000004</v>
      </c>
    </row>
    <row r="414" spans="1:2" x14ac:dyDescent="0.35">
      <c r="A414" s="19" t="s">
        <v>334</v>
      </c>
      <c r="B414" s="23">
        <v>22380.204000000002</v>
      </c>
    </row>
    <row r="415" spans="1:2" x14ac:dyDescent="0.35">
      <c r="A415" s="19" t="s">
        <v>537</v>
      </c>
      <c r="B415" s="23">
        <v>16121.273400000002</v>
      </c>
    </row>
    <row r="416" spans="1:2" x14ac:dyDescent="0.35">
      <c r="A416" s="19" t="s">
        <v>288</v>
      </c>
      <c r="B416" s="23">
        <v>11417.429099999999</v>
      </c>
    </row>
    <row r="417" spans="1:2" x14ac:dyDescent="0.35">
      <c r="A417" s="19" t="s">
        <v>151</v>
      </c>
      <c r="B417" s="23">
        <v>9698.1638399999993</v>
      </c>
    </row>
    <row r="418" spans="1:2" x14ac:dyDescent="0.35">
      <c r="A418" s="19" t="s">
        <v>447</v>
      </c>
      <c r="B418" s="23">
        <v>12967.958640000001</v>
      </c>
    </row>
    <row r="419" spans="1:2" x14ac:dyDescent="0.35">
      <c r="A419" s="19" t="s">
        <v>623</v>
      </c>
      <c r="B419" s="23">
        <v>2077.46</v>
      </c>
    </row>
    <row r="420" spans="1:2" x14ac:dyDescent="0.35">
      <c r="A420" s="19" t="s">
        <v>116</v>
      </c>
      <c r="B420" s="23">
        <v>6324.5775999999996</v>
      </c>
    </row>
    <row r="421" spans="1:2" x14ac:dyDescent="0.35">
      <c r="A421" s="19" t="s">
        <v>466</v>
      </c>
      <c r="B421" s="23">
        <v>23694.405119999999</v>
      </c>
    </row>
    <row r="422" spans="1:2" x14ac:dyDescent="0.35">
      <c r="A422" s="19" t="s">
        <v>259</v>
      </c>
      <c r="B422" s="23">
        <v>2909.8689199999999</v>
      </c>
    </row>
    <row r="423" spans="1:2" x14ac:dyDescent="0.35">
      <c r="A423" s="19" t="s">
        <v>42</v>
      </c>
      <c r="B423" s="23">
        <v>3980.7075</v>
      </c>
    </row>
    <row r="424" spans="1:2" x14ac:dyDescent="0.35">
      <c r="A424" s="19" t="s">
        <v>269</v>
      </c>
      <c r="B424" s="23">
        <v>24161.205600000001</v>
      </c>
    </row>
    <row r="425" spans="1:2" x14ac:dyDescent="0.35">
      <c r="A425" s="19" t="s">
        <v>301</v>
      </c>
      <c r="B425" s="23">
        <v>20028.787380000002</v>
      </c>
    </row>
    <row r="426" spans="1:2" x14ac:dyDescent="0.35">
      <c r="A426" s="19" t="s">
        <v>257</v>
      </c>
      <c r="B426" s="23">
        <v>748.22303999999997</v>
      </c>
    </row>
    <row r="427" spans="1:2" x14ac:dyDescent="0.35">
      <c r="A427" s="19" t="s">
        <v>389</v>
      </c>
      <c r="B427" s="23">
        <v>38422.022320000004</v>
      </c>
    </row>
    <row r="428" spans="1:2" x14ac:dyDescent="0.35">
      <c r="A428" s="19" t="s">
        <v>574</v>
      </c>
      <c r="B428" s="23">
        <v>13251.48</v>
      </c>
    </row>
    <row r="429" spans="1:2" x14ac:dyDescent="0.35">
      <c r="A429" s="19" t="s">
        <v>318</v>
      </c>
      <c r="B429" s="23">
        <v>5932.7856000000002</v>
      </c>
    </row>
    <row r="430" spans="1:2" x14ac:dyDescent="0.35">
      <c r="A430" s="19" t="s">
        <v>283</v>
      </c>
      <c r="B430" s="23">
        <v>7678.2113999999992</v>
      </c>
    </row>
    <row r="431" spans="1:2" x14ac:dyDescent="0.35">
      <c r="A431" s="19" t="s">
        <v>462</v>
      </c>
      <c r="B431" s="23">
        <v>45547.183360000003</v>
      </c>
    </row>
    <row r="432" spans="1:2" x14ac:dyDescent="0.35">
      <c r="A432" s="19" t="s">
        <v>28</v>
      </c>
      <c r="B432" s="23">
        <v>21585.15</v>
      </c>
    </row>
    <row r="433" spans="1:2" x14ac:dyDescent="0.35">
      <c r="A433" s="19" t="s">
        <v>373</v>
      </c>
      <c r="B433" s="23">
        <v>14813.731920000002</v>
      </c>
    </row>
    <row r="434" spans="1:2" x14ac:dyDescent="0.35">
      <c r="A434" s="19" t="s">
        <v>534</v>
      </c>
      <c r="B434" s="23">
        <v>7399.4832000000006</v>
      </c>
    </row>
    <row r="435" spans="1:2" x14ac:dyDescent="0.35">
      <c r="A435" s="19" t="s">
        <v>358</v>
      </c>
      <c r="B435" s="23">
        <v>3175.1547799999998</v>
      </c>
    </row>
    <row r="436" spans="1:2" x14ac:dyDescent="0.35">
      <c r="A436" s="19" t="s">
        <v>253</v>
      </c>
      <c r="B436" s="23">
        <v>3823.5108</v>
      </c>
    </row>
    <row r="437" spans="1:2" x14ac:dyDescent="0.35">
      <c r="A437" s="19" t="s">
        <v>360</v>
      </c>
      <c r="B437" s="23">
        <v>79082.507010000001</v>
      </c>
    </row>
    <row r="438" spans="1:2" x14ac:dyDescent="0.35">
      <c r="A438" s="19" t="s">
        <v>156</v>
      </c>
      <c r="B438" s="23">
        <v>8211.6342000000004</v>
      </c>
    </row>
    <row r="439" spans="1:2" x14ac:dyDescent="0.35">
      <c r="A439" s="19" t="s">
        <v>75</v>
      </c>
      <c r="B439" s="23">
        <v>33687.501800000005</v>
      </c>
    </row>
    <row r="440" spans="1:2" x14ac:dyDescent="0.35">
      <c r="A440" s="19" t="s">
        <v>614</v>
      </c>
      <c r="B440" s="23">
        <v>33938.142760000002</v>
      </c>
    </row>
    <row r="441" spans="1:2" x14ac:dyDescent="0.35">
      <c r="A441" s="19" t="s">
        <v>125</v>
      </c>
      <c r="B441" s="23">
        <v>27676.35</v>
      </c>
    </row>
    <row r="442" spans="1:2" x14ac:dyDescent="0.35">
      <c r="A442" s="19" t="s">
        <v>367</v>
      </c>
      <c r="B442" s="23">
        <v>34816.968000000001</v>
      </c>
    </row>
    <row r="443" spans="1:2" x14ac:dyDescent="0.35">
      <c r="A443" s="19" t="s">
        <v>127</v>
      </c>
      <c r="B443" s="23">
        <v>34.689059999999998</v>
      </c>
    </row>
    <row r="444" spans="1:2" x14ac:dyDescent="0.35">
      <c r="A444" s="19" t="s">
        <v>369</v>
      </c>
      <c r="B444" s="23">
        <v>23195.01828</v>
      </c>
    </row>
    <row r="445" spans="1:2" x14ac:dyDescent="0.35">
      <c r="A445" s="19" t="s">
        <v>327</v>
      </c>
      <c r="B445" s="23">
        <v>40325.31</v>
      </c>
    </row>
    <row r="446" spans="1:2" x14ac:dyDescent="0.35">
      <c r="A446" s="19" t="s">
        <v>631</v>
      </c>
      <c r="B446" s="23">
        <v>21811.011936000003</v>
      </c>
    </row>
    <row r="447" spans="1:2" x14ac:dyDescent="0.35">
      <c r="A447" s="19" t="s">
        <v>87</v>
      </c>
      <c r="B447" s="23">
        <v>20171.63305</v>
      </c>
    </row>
    <row r="448" spans="1:2" x14ac:dyDescent="0.35">
      <c r="A448" s="19" t="s">
        <v>184</v>
      </c>
      <c r="B448" s="23">
        <v>2316.2621999999997</v>
      </c>
    </row>
    <row r="449" spans="1:2" x14ac:dyDescent="0.35">
      <c r="A449" s="19" t="s">
        <v>607</v>
      </c>
      <c r="B449" s="23">
        <v>5725.6496000000006</v>
      </c>
    </row>
    <row r="450" spans="1:2" x14ac:dyDescent="0.35">
      <c r="A450" s="19" t="s">
        <v>290</v>
      </c>
      <c r="B450" s="23">
        <v>79548.755999999994</v>
      </c>
    </row>
    <row r="451" spans="1:2" x14ac:dyDescent="0.35">
      <c r="A451" s="19" t="s">
        <v>192</v>
      </c>
      <c r="B451" s="23">
        <v>321.93290999999999</v>
      </c>
    </row>
    <row r="452" spans="1:2" x14ac:dyDescent="0.35">
      <c r="A452" s="19" t="s">
        <v>525</v>
      </c>
      <c r="B452" s="23">
        <v>3525.5505600000001</v>
      </c>
    </row>
    <row r="453" spans="1:2" x14ac:dyDescent="0.35">
      <c r="A453" s="19" t="s">
        <v>372</v>
      </c>
      <c r="B453" s="23">
        <v>4071.8</v>
      </c>
    </row>
    <row r="454" spans="1:2" x14ac:dyDescent="0.35">
      <c r="A454" s="19" t="s">
        <v>526</v>
      </c>
      <c r="B454" s="23">
        <v>50296.415399999998</v>
      </c>
    </row>
    <row r="455" spans="1:2" x14ac:dyDescent="0.35">
      <c r="A455" s="19" t="s">
        <v>63</v>
      </c>
      <c r="B455" s="23">
        <v>35621.302319999995</v>
      </c>
    </row>
    <row r="456" spans="1:2" x14ac:dyDescent="0.35">
      <c r="A456" s="19" t="s">
        <v>211</v>
      </c>
      <c r="B456" s="23">
        <v>11326.846439999999</v>
      </c>
    </row>
    <row r="457" spans="1:2" x14ac:dyDescent="0.35">
      <c r="A457" s="19" t="s">
        <v>189</v>
      </c>
      <c r="B457" s="23">
        <v>1952.6356799999999</v>
      </c>
    </row>
    <row r="458" spans="1:2" x14ac:dyDescent="0.35">
      <c r="A458" s="19" t="s">
        <v>450</v>
      </c>
      <c r="B458" s="23">
        <v>5546.4642200000008</v>
      </c>
    </row>
    <row r="459" spans="1:2" x14ac:dyDescent="0.35">
      <c r="A459" s="19" t="s">
        <v>413</v>
      </c>
      <c r="B459" s="23">
        <v>12972.00222</v>
      </c>
    </row>
    <row r="460" spans="1:2" x14ac:dyDescent="0.35">
      <c r="A460" s="19" t="s">
        <v>502</v>
      </c>
      <c r="B460" s="23">
        <v>4025.8565599999993</v>
      </c>
    </row>
    <row r="461" spans="1:2" x14ac:dyDescent="0.35">
      <c r="A461" s="19" t="s">
        <v>580</v>
      </c>
      <c r="B461" s="23">
        <v>17540.201120000002</v>
      </c>
    </row>
    <row r="462" spans="1:2" x14ac:dyDescent="0.35">
      <c r="A462" s="19" t="s">
        <v>226</v>
      </c>
      <c r="B462" s="23">
        <v>6984.8246399999998</v>
      </c>
    </row>
    <row r="463" spans="1:2" x14ac:dyDescent="0.35">
      <c r="A463" s="19" t="s">
        <v>441</v>
      </c>
      <c r="B463" s="23">
        <v>20038.536</v>
      </c>
    </row>
    <row r="464" spans="1:2" x14ac:dyDescent="0.35">
      <c r="A464" s="19" t="s">
        <v>108</v>
      </c>
      <c r="B464" s="23">
        <v>20079.343620000003</v>
      </c>
    </row>
    <row r="465" spans="1:2" x14ac:dyDescent="0.35">
      <c r="A465" s="19" t="s">
        <v>57</v>
      </c>
      <c r="B465" s="23">
        <v>31404.1</v>
      </c>
    </row>
    <row r="466" spans="1:2" x14ac:dyDescent="0.35">
      <c r="A466" s="19" t="s">
        <v>215</v>
      </c>
      <c r="B466" s="23">
        <v>4637.7968000000001</v>
      </c>
    </row>
    <row r="467" spans="1:2" x14ac:dyDescent="0.35">
      <c r="A467" s="19" t="s">
        <v>97</v>
      </c>
      <c r="B467" s="23">
        <v>5331.6696000000002</v>
      </c>
    </row>
    <row r="468" spans="1:2" x14ac:dyDescent="0.35">
      <c r="A468" s="19" t="s">
        <v>379</v>
      </c>
      <c r="B468" s="23">
        <v>21584.693520000001</v>
      </c>
    </row>
    <row r="469" spans="1:2" x14ac:dyDescent="0.35">
      <c r="A469" s="19" t="s">
        <v>251</v>
      </c>
      <c r="B469" s="23">
        <v>139277.83032000001</v>
      </c>
    </row>
    <row r="470" spans="1:2" x14ac:dyDescent="0.35">
      <c r="A470" s="19" t="s">
        <v>528</v>
      </c>
      <c r="B470" s="23">
        <v>33308.550000000003</v>
      </c>
    </row>
    <row r="471" spans="1:2" x14ac:dyDescent="0.35">
      <c r="A471" s="19" t="s">
        <v>319</v>
      </c>
      <c r="B471" s="23">
        <v>1641.7107199999998</v>
      </c>
    </row>
    <row r="472" spans="1:2" x14ac:dyDescent="0.35">
      <c r="A472" s="19" t="s">
        <v>221</v>
      </c>
      <c r="B472" s="23">
        <v>28386.015839999996</v>
      </c>
    </row>
    <row r="473" spans="1:2" x14ac:dyDescent="0.35">
      <c r="A473" s="19" t="s">
        <v>549</v>
      </c>
      <c r="B473" s="23">
        <v>15155.326800000001</v>
      </c>
    </row>
    <row r="474" spans="1:2" x14ac:dyDescent="0.35">
      <c r="A474" s="19" t="s">
        <v>632</v>
      </c>
      <c r="B474" s="23">
        <v>25174.028880000002</v>
      </c>
    </row>
    <row r="475" spans="1:2" x14ac:dyDescent="0.35">
      <c r="A475" s="19" t="s">
        <v>594</v>
      </c>
      <c r="B475" s="23">
        <v>7173.3342799999991</v>
      </c>
    </row>
    <row r="476" spans="1:2" x14ac:dyDescent="0.35">
      <c r="A476" s="19" t="s">
        <v>18</v>
      </c>
      <c r="B476" s="23">
        <v>5225.2710400000005</v>
      </c>
    </row>
    <row r="477" spans="1:2" x14ac:dyDescent="0.35">
      <c r="A477" s="19" t="s">
        <v>584</v>
      </c>
      <c r="B477" s="23">
        <v>3378.1478400000001</v>
      </c>
    </row>
    <row r="478" spans="1:2" x14ac:dyDescent="0.35">
      <c r="A478" s="19" t="s">
        <v>586</v>
      </c>
      <c r="B478" s="23">
        <v>841.00536</v>
      </c>
    </row>
    <row r="479" spans="1:2" x14ac:dyDescent="0.35">
      <c r="A479" s="19" t="s">
        <v>135</v>
      </c>
      <c r="B479" s="23">
        <v>39516.804389999998</v>
      </c>
    </row>
    <row r="480" spans="1:2" x14ac:dyDescent="0.35">
      <c r="A480" s="19" t="s">
        <v>272</v>
      </c>
      <c r="B480" s="23">
        <v>4375.3620000000001</v>
      </c>
    </row>
    <row r="481" spans="1:2" x14ac:dyDescent="0.35">
      <c r="A481" s="19" t="s">
        <v>390</v>
      </c>
      <c r="B481" s="23">
        <v>43553.493060000001</v>
      </c>
    </row>
    <row r="482" spans="1:2" x14ac:dyDescent="0.35">
      <c r="A482" s="19" t="s">
        <v>616</v>
      </c>
      <c r="B482" s="23">
        <v>1062.5902000000001</v>
      </c>
    </row>
    <row r="483" spans="1:2" x14ac:dyDescent="0.35">
      <c r="A483" s="19" t="s">
        <v>314</v>
      </c>
      <c r="B483" s="23">
        <v>25577.274079999999</v>
      </c>
    </row>
    <row r="484" spans="1:2" x14ac:dyDescent="0.35">
      <c r="A484" s="19" t="s">
        <v>394</v>
      </c>
      <c r="B484" s="23">
        <v>11332.142999999998</v>
      </c>
    </row>
    <row r="485" spans="1:2" x14ac:dyDescent="0.35">
      <c r="A485" s="19" t="s">
        <v>432</v>
      </c>
      <c r="B485" s="23">
        <v>741.43835999999999</v>
      </c>
    </row>
    <row r="486" spans="1:2" x14ac:dyDescent="0.35">
      <c r="A486" s="19" t="s">
        <v>329</v>
      </c>
      <c r="B486" s="23">
        <v>8780.5809000000008</v>
      </c>
    </row>
    <row r="487" spans="1:2" x14ac:dyDescent="0.35">
      <c r="A487" s="19" t="s">
        <v>32</v>
      </c>
      <c r="B487" s="23">
        <v>35367.211040000002</v>
      </c>
    </row>
    <row r="488" spans="1:2" x14ac:dyDescent="0.35">
      <c r="A488" s="19" t="s">
        <v>161</v>
      </c>
      <c r="B488" s="23">
        <v>3562.9028999999996</v>
      </c>
    </row>
    <row r="489" spans="1:2" x14ac:dyDescent="0.35">
      <c r="A489" s="19" t="s">
        <v>165</v>
      </c>
      <c r="B489" s="23">
        <v>7901.5041599999995</v>
      </c>
    </row>
    <row r="490" spans="1:2" x14ac:dyDescent="0.35">
      <c r="A490" s="19" t="s">
        <v>599</v>
      </c>
      <c r="B490" s="23">
        <v>22676.312610000001</v>
      </c>
    </row>
    <row r="491" spans="1:2" x14ac:dyDescent="0.35">
      <c r="A491" s="19" t="s">
        <v>263</v>
      </c>
      <c r="B491" s="23">
        <v>11813.604160000001</v>
      </c>
    </row>
    <row r="492" spans="1:2" x14ac:dyDescent="0.35">
      <c r="A492" s="19" t="s">
        <v>497</v>
      </c>
      <c r="B492" s="23">
        <v>5127.0390600000001</v>
      </c>
    </row>
    <row r="493" spans="1:2" x14ac:dyDescent="0.35">
      <c r="A493" s="19" t="s">
        <v>503</v>
      </c>
      <c r="B493" s="23">
        <v>9614.4403999999995</v>
      </c>
    </row>
    <row r="494" spans="1:2" x14ac:dyDescent="0.35">
      <c r="A494" s="19" t="s">
        <v>621</v>
      </c>
      <c r="B494" s="23">
        <v>29175.036029999999</v>
      </c>
    </row>
    <row r="495" spans="1:2" x14ac:dyDescent="0.35">
      <c r="A495" s="19" t="s">
        <v>111</v>
      </c>
      <c r="B495" s="23">
        <v>147.00756000000001</v>
      </c>
    </row>
    <row r="496" spans="1:2" x14ac:dyDescent="0.35">
      <c r="A496" s="19" t="s">
        <v>387</v>
      </c>
      <c r="B496" s="23">
        <v>4117.4880599999997</v>
      </c>
    </row>
    <row r="497" spans="1:2" x14ac:dyDescent="0.35">
      <c r="A497" s="19" t="s">
        <v>435</v>
      </c>
      <c r="B497" s="23">
        <v>9984.7160999999978</v>
      </c>
    </row>
    <row r="498" spans="1:2" x14ac:dyDescent="0.35">
      <c r="A498" s="19" t="s">
        <v>317</v>
      </c>
      <c r="B498" s="23">
        <v>8093.4784</v>
      </c>
    </row>
    <row r="499" spans="1:2" x14ac:dyDescent="0.35">
      <c r="A499" s="19" t="s">
        <v>603</v>
      </c>
      <c r="B499" s="23">
        <v>12040.64352</v>
      </c>
    </row>
    <row r="500" spans="1:2" x14ac:dyDescent="0.35">
      <c r="A500" s="19" t="s">
        <v>590</v>
      </c>
      <c r="B500" s="23">
        <v>12091.190399999999</v>
      </c>
    </row>
    <row r="501" spans="1:2" x14ac:dyDescent="0.35">
      <c r="A501" s="19" t="s">
        <v>242</v>
      </c>
      <c r="B501" s="23">
        <v>16609.090809999998</v>
      </c>
    </row>
    <row r="502" spans="1:2" x14ac:dyDescent="0.35">
      <c r="A502" s="19" t="s">
        <v>477</v>
      </c>
      <c r="B502" s="23">
        <v>1886.9915999999998</v>
      </c>
    </row>
    <row r="503" spans="1:2" x14ac:dyDescent="0.35">
      <c r="A503" s="19" t="s">
        <v>383</v>
      </c>
      <c r="B503" s="23">
        <v>4569.5735999999997</v>
      </c>
    </row>
    <row r="504" spans="1:2" x14ac:dyDescent="0.35">
      <c r="A504" s="19" t="s">
        <v>548</v>
      </c>
      <c r="B504" s="23">
        <v>42433.254400000005</v>
      </c>
    </row>
    <row r="505" spans="1:2" x14ac:dyDescent="0.35">
      <c r="A505" s="19" t="s">
        <v>348</v>
      </c>
      <c r="B505" s="23">
        <v>4856.35725</v>
      </c>
    </row>
    <row r="506" spans="1:2" x14ac:dyDescent="0.35">
      <c r="A506" s="19" t="s">
        <v>115</v>
      </c>
      <c r="B506" s="23">
        <v>52780.07</v>
      </c>
    </row>
    <row r="507" spans="1:2" x14ac:dyDescent="0.35">
      <c r="A507" s="19" t="s">
        <v>99</v>
      </c>
      <c r="B507" s="23">
        <v>21062.61248</v>
      </c>
    </row>
    <row r="508" spans="1:2" x14ac:dyDescent="0.35">
      <c r="A508" s="19" t="s">
        <v>517</v>
      </c>
      <c r="B508" s="23">
        <v>8637.1874499999994</v>
      </c>
    </row>
    <row r="509" spans="1:2" x14ac:dyDescent="0.35">
      <c r="A509" s="19" t="s">
        <v>568</v>
      </c>
      <c r="B509" s="23">
        <v>15860.782080000001</v>
      </c>
    </row>
    <row r="510" spans="1:2" x14ac:dyDescent="0.35">
      <c r="A510" s="19" t="s">
        <v>567</v>
      </c>
      <c r="B510" s="23">
        <v>20163.409200000002</v>
      </c>
    </row>
    <row r="511" spans="1:2" x14ac:dyDescent="0.35">
      <c r="A511" s="19" t="s">
        <v>148</v>
      </c>
      <c r="B511" s="23">
        <v>3494.4040799999998</v>
      </c>
    </row>
    <row r="512" spans="1:2" x14ac:dyDescent="0.35">
      <c r="A512" s="19" t="s">
        <v>321</v>
      </c>
      <c r="B512" s="23">
        <v>3644.3212800000006</v>
      </c>
    </row>
    <row r="513" spans="1:2" x14ac:dyDescent="0.35">
      <c r="A513" s="19" t="s">
        <v>309</v>
      </c>
      <c r="B513" s="23">
        <v>20455.985130000001</v>
      </c>
    </row>
    <row r="514" spans="1:2" x14ac:dyDescent="0.35">
      <c r="A514" s="19" t="s">
        <v>431</v>
      </c>
      <c r="B514" s="23">
        <v>7969.4615000000003</v>
      </c>
    </row>
    <row r="515" spans="1:2" x14ac:dyDescent="0.35">
      <c r="A515" s="19" t="s">
        <v>322</v>
      </c>
      <c r="B515" s="23">
        <v>5334.9141999999993</v>
      </c>
    </row>
    <row r="516" spans="1:2" x14ac:dyDescent="0.35">
      <c r="A516" s="19" t="s">
        <v>496</v>
      </c>
      <c r="B516" s="23">
        <v>36161.097000000002</v>
      </c>
    </row>
    <row r="517" spans="1:2" x14ac:dyDescent="0.35">
      <c r="A517" s="19" t="s">
        <v>467</v>
      </c>
      <c r="B517" s="23">
        <v>11984.891250000001</v>
      </c>
    </row>
    <row r="518" spans="1:2" x14ac:dyDescent="0.35">
      <c r="A518" s="19" t="s">
        <v>174</v>
      </c>
      <c r="B518" s="23">
        <v>29263.754519999995</v>
      </c>
    </row>
    <row r="519" spans="1:2" x14ac:dyDescent="0.35">
      <c r="A519" s="19" t="s">
        <v>565</v>
      </c>
      <c r="B519" s="23">
        <v>1846.8040799999999</v>
      </c>
    </row>
    <row r="520" spans="1:2" x14ac:dyDescent="0.35">
      <c r="A520" s="19" t="s">
        <v>278</v>
      </c>
      <c r="B520" s="23">
        <v>40139.874619999995</v>
      </c>
    </row>
    <row r="521" spans="1:2" x14ac:dyDescent="0.35">
      <c r="A521" s="19" t="s">
        <v>540</v>
      </c>
      <c r="B521" s="23">
        <v>2146.5580500000001</v>
      </c>
    </row>
    <row r="522" spans="1:2" x14ac:dyDescent="0.35">
      <c r="A522" s="19" t="s">
        <v>461</v>
      </c>
      <c r="B522" s="23">
        <v>5565.3272500000003</v>
      </c>
    </row>
    <row r="523" spans="1:2" x14ac:dyDescent="0.35">
      <c r="A523" s="19" t="s">
        <v>520</v>
      </c>
      <c r="B523" s="23">
        <v>34800.431400000001</v>
      </c>
    </row>
    <row r="524" spans="1:2" x14ac:dyDescent="0.35">
      <c r="A524" s="19" t="s">
        <v>47</v>
      </c>
      <c r="B524" s="23">
        <v>9647.3852800000004</v>
      </c>
    </row>
    <row r="525" spans="1:2" x14ac:dyDescent="0.35">
      <c r="A525" s="19" t="s">
        <v>363</v>
      </c>
      <c r="B525" s="23">
        <v>12236.874600000001</v>
      </c>
    </row>
    <row r="526" spans="1:2" x14ac:dyDescent="0.35">
      <c r="A526" s="19" t="s">
        <v>285</v>
      </c>
      <c r="B526" s="23">
        <v>7120.6486400000003</v>
      </c>
    </row>
    <row r="527" spans="1:2" x14ac:dyDescent="0.35">
      <c r="A527" s="19" t="s">
        <v>404</v>
      </c>
      <c r="B527" s="23">
        <v>16142.527829999999</v>
      </c>
    </row>
    <row r="528" spans="1:2" x14ac:dyDescent="0.35">
      <c r="A528" s="19" t="s">
        <v>409</v>
      </c>
      <c r="B528" s="23">
        <v>14431.738420000001</v>
      </c>
    </row>
    <row r="529" spans="1:2" x14ac:dyDescent="0.35">
      <c r="A529" s="19" t="s">
        <v>308</v>
      </c>
      <c r="B529" s="23">
        <v>8903.4839999999986</v>
      </c>
    </row>
    <row r="530" spans="1:2" x14ac:dyDescent="0.35">
      <c r="A530" s="19" t="s">
        <v>27</v>
      </c>
      <c r="B530" s="23">
        <v>4968.5039999999999</v>
      </c>
    </row>
    <row r="531" spans="1:2" x14ac:dyDescent="0.35">
      <c r="A531" s="19" t="s">
        <v>98</v>
      </c>
      <c r="B531" s="23">
        <v>524.81174999999996</v>
      </c>
    </row>
    <row r="532" spans="1:2" x14ac:dyDescent="0.35">
      <c r="A532" s="19" t="s">
        <v>478</v>
      </c>
      <c r="B532" s="23">
        <v>1808.04592</v>
      </c>
    </row>
    <row r="533" spans="1:2" x14ac:dyDescent="0.35">
      <c r="A533" s="19" t="s">
        <v>146</v>
      </c>
      <c r="B533" s="23">
        <v>4417.8334199999999</v>
      </c>
    </row>
    <row r="534" spans="1:2" x14ac:dyDescent="0.35">
      <c r="A534" s="19" t="s">
        <v>255</v>
      </c>
      <c r="B534" s="23">
        <v>9684.8756000000012</v>
      </c>
    </row>
    <row r="535" spans="1:2" x14ac:dyDescent="0.35">
      <c r="A535" s="19" t="s">
        <v>422</v>
      </c>
      <c r="B535" s="23">
        <v>4679.7141600000004</v>
      </c>
    </row>
    <row r="536" spans="1:2" x14ac:dyDescent="0.35">
      <c r="A536" s="19" t="s">
        <v>26</v>
      </c>
      <c r="B536" s="23">
        <v>10370.549999999999</v>
      </c>
    </row>
    <row r="537" spans="1:2" x14ac:dyDescent="0.35">
      <c r="A537" s="19" t="s">
        <v>77</v>
      </c>
      <c r="B537" s="23">
        <v>10947.904</v>
      </c>
    </row>
    <row r="538" spans="1:2" x14ac:dyDescent="0.35">
      <c r="A538" s="19" t="s">
        <v>106</v>
      </c>
      <c r="B538" s="23">
        <v>19510.808000000001</v>
      </c>
    </row>
    <row r="539" spans="1:2" x14ac:dyDescent="0.35">
      <c r="A539" s="19" t="s">
        <v>629</v>
      </c>
      <c r="B539" s="23">
        <v>10464.138360000001</v>
      </c>
    </row>
    <row r="540" spans="1:2" x14ac:dyDescent="0.35">
      <c r="A540" s="19" t="s">
        <v>142</v>
      </c>
      <c r="B540" s="23">
        <v>853.32276999999988</v>
      </c>
    </row>
    <row r="541" spans="1:2" x14ac:dyDescent="0.35">
      <c r="A541" s="19" t="s">
        <v>300</v>
      </c>
      <c r="B541" s="23">
        <v>76.138720000000006</v>
      </c>
    </row>
    <row r="542" spans="1:2" x14ac:dyDescent="0.35">
      <c r="A542" s="19" t="s">
        <v>113</v>
      </c>
      <c r="B542" s="23">
        <v>5328.4890400000004</v>
      </c>
    </row>
    <row r="543" spans="1:2" x14ac:dyDescent="0.35">
      <c r="A543" s="19" t="s">
        <v>201</v>
      </c>
      <c r="B543" s="23">
        <v>4831.9464600000001</v>
      </c>
    </row>
    <row r="544" spans="1:2" x14ac:dyDescent="0.35">
      <c r="A544" s="19" t="s">
        <v>44</v>
      </c>
      <c r="B544" s="23">
        <v>20084.133720000002</v>
      </c>
    </row>
    <row r="545" spans="1:2" x14ac:dyDescent="0.35">
      <c r="A545" s="19" t="s">
        <v>227</v>
      </c>
      <c r="B545" s="23">
        <v>24223.05</v>
      </c>
    </row>
    <row r="546" spans="1:2" x14ac:dyDescent="0.35">
      <c r="A546" s="19" t="s">
        <v>68</v>
      </c>
      <c r="B546" s="23">
        <v>2518.8755800000004</v>
      </c>
    </row>
    <row r="547" spans="1:2" x14ac:dyDescent="0.35">
      <c r="A547" s="19" t="s">
        <v>37</v>
      </c>
      <c r="B547" s="23">
        <v>10936.992</v>
      </c>
    </row>
    <row r="548" spans="1:2" x14ac:dyDescent="0.35">
      <c r="A548" s="19" t="s">
        <v>225</v>
      </c>
      <c r="B548" s="23">
        <v>1774.8072</v>
      </c>
    </row>
    <row r="549" spans="1:2" x14ac:dyDescent="0.35">
      <c r="A549" s="19" t="s">
        <v>412</v>
      </c>
      <c r="B549" s="23">
        <v>13185.543</v>
      </c>
    </row>
    <row r="550" spans="1:2" x14ac:dyDescent="0.35">
      <c r="A550" s="19" t="s">
        <v>375</v>
      </c>
      <c r="B550" s="23">
        <v>4804.4682400000002</v>
      </c>
    </row>
    <row r="551" spans="1:2" x14ac:dyDescent="0.35">
      <c r="A551" s="19" t="s">
        <v>414</v>
      </c>
      <c r="B551" s="23">
        <v>17731.623</v>
      </c>
    </row>
    <row r="552" spans="1:2" x14ac:dyDescent="0.35">
      <c r="A552" s="19" t="s">
        <v>381</v>
      </c>
      <c r="B552" s="23">
        <v>18554.370299999999</v>
      </c>
    </row>
    <row r="553" spans="1:2" x14ac:dyDescent="0.35">
      <c r="A553" s="19" t="s">
        <v>105</v>
      </c>
      <c r="B553" s="23">
        <v>8324.8326000000015</v>
      </c>
    </row>
    <row r="554" spans="1:2" x14ac:dyDescent="0.35">
      <c r="A554" s="19" t="s">
        <v>223</v>
      </c>
      <c r="B554" s="23">
        <v>17847.907199999998</v>
      </c>
    </row>
    <row r="555" spans="1:2" x14ac:dyDescent="0.35">
      <c r="A555" s="19" t="s">
        <v>529</v>
      </c>
      <c r="B555" s="23">
        <v>10859.64</v>
      </c>
    </row>
    <row r="556" spans="1:2" x14ac:dyDescent="0.35">
      <c r="A556" s="19" t="s">
        <v>392</v>
      </c>
      <c r="B556" s="23">
        <v>6576.298960000001</v>
      </c>
    </row>
    <row r="557" spans="1:2" x14ac:dyDescent="0.35">
      <c r="A557" s="19" t="s">
        <v>73</v>
      </c>
      <c r="B557" s="23">
        <v>76177.08</v>
      </c>
    </row>
    <row r="558" spans="1:2" x14ac:dyDescent="0.35">
      <c r="A558" s="19" t="s">
        <v>86</v>
      </c>
      <c r="B558" s="23">
        <v>6393.0952799999995</v>
      </c>
    </row>
    <row r="559" spans="1:2" x14ac:dyDescent="0.35">
      <c r="A559" s="19" t="s">
        <v>256</v>
      </c>
      <c r="B559" s="23">
        <v>34082.864639999993</v>
      </c>
    </row>
    <row r="560" spans="1:2" x14ac:dyDescent="0.35">
      <c r="A560" s="19" t="s">
        <v>128</v>
      </c>
      <c r="B560" s="23">
        <v>2117.4834999999998</v>
      </c>
    </row>
    <row r="561" spans="1:2" x14ac:dyDescent="0.35">
      <c r="A561" s="19" t="s">
        <v>637</v>
      </c>
      <c r="B561" s="23">
        <v>10693.88488</v>
      </c>
    </row>
    <row r="562" spans="1:2" x14ac:dyDescent="0.35">
      <c r="A562" s="19" t="s">
        <v>145</v>
      </c>
      <c r="B562" s="23">
        <v>7703.8640800000003</v>
      </c>
    </row>
    <row r="563" spans="1:2" x14ac:dyDescent="0.35">
      <c r="A563" s="19" t="s">
        <v>436</v>
      </c>
      <c r="B563" s="23">
        <v>102122.94203999999</v>
      </c>
    </row>
    <row r="564" spans="1:2" x14ac:dyDescent="0.35">
      <c r="A564" s="19" t="s">
        <v>194</v>
      </c>
      <c r="B564" s="23">
        <v>4420.5961799999995</v>
      </c>
    </row>
    <row r="565" spans="1:2" x14ac:dyDescent="0.35">
      <c r="A565" s="19" t="s">
        <v>344</v>
      </c>
      <c r="B565" s="23">
        <v>2537.2908000000002</v>
      </c>
    </row>
    <row r="566" spans="1:2" x14ac:dyDescent="0.35">
      <c r="A566" s="19" t="s">
        <v>578</v>
      </c>
      <c r="B566" s="23">
        <v>10166.535600000001</v>
      </c>
    </row>
    <row r="567" spans="1:2" x14ac:dyDescent="0.35">
      <c r="A567" s="19" t="s">
        <v>117</v>
      </c>
      <c r="B567" s="23">
        <v>13669.81</v>
      </c>
    </row>
    <row r="568" spans="1:2" x14ac:dyDescent="0.35">
      <c r="A568" s="19" t="s">
        <v>195</v>
      </c>
      <c r="B568" s="23">
        <v>18.659839999999999</v>
      </c>
    </row>
    <row r="569" spans="1:2" x14ac:dyDescent="0.35">
      <c r="A569" s="19" t="s">
        <v>443</v>
      </c>
      <c r="B569" s="23">
        <v>41138.261999999995</v>
      </c>
    </row>
    <row r="570" spans="1:2" x14ac:dyDescent="0.35">
      <c r="A570" s="19" t="s">
        <v>410</v>
      </c>
      <c r="B570" s="23">
        <v>56176.777799999996</v>
      </c>
    </row>
    <row r="571" spans="1:2" x14ac:dyDescent="0.35">
      <c r="A571" s="19" t="s">
        <v>291</v>
      </c>
      <c r="B571" s="23">
        <v>6066.54648</v>
      </c>
    </row>
    <row r="572" spans="1:2" x14ac:dyDescent="0.35">
      <c r="A572" s="19" t="s">
        <v>237</v>
      </c>
      <c r="B572" s="23">
        <v>66988.771199999988</v>
      </c>
    </row>
    <row r="573" spans="1:2" x14ac:dyDescent="0.35">
      <c r="A573" s="19" t="s">
        <v>518</v>
      </c>
      <c r="B573" s="23">
        <v>10189.8891</v>
      </c>
    </row>
    <row r="574" spans="1:2" x14ac:dyDescent="0.35">
      <c r="A574" s="19" t="s">
        <v>488</v>
      </c>
      <c r="B574" s="23">
        <v>19233.355499999998</v>
      </c>
    </row>
    <row r="575" spans="1:2" x14ac:dyDescent="0.35">
      <c r="A575" s="19" t="s">
        <v>612</v>
      </c>
      <c r="B575" s="23">
        <v>4409.5168800000001</v>
      </c>
    </row>
    <row r="576" spans="1:2" x14ac:dyDescent="0.35">
      <c r="A576" s="19" t="s">
        <v>295</v>
      </c>
      <c r="B576" s="23">
        <v>13360.438</v>
      </c>
    </row>
    <row r="577" spans="1:2" x14ac:dyDescent="0.35">
      <c r="A577" s="19" t="s">
        <v>131</v>
      </c>
      <c r="B577" s="23">
        <v>765.99195000000009</v>
      </c>
    </row>
    <row r="578" spans="1:2" x14ac:dyDescent="0.35">
      <c r="A578" s="19" t="s">
        <v>188</v>
      </c>
      <c r="B578" s="23">
        <v>31556.187599999997</v>
      </c>
    </row>
    <row r="579" spans="1:2" x14ac:dyDescent="0.35">
      <c r="A579" s="19" t="s">
        <v>506</v>
      </c>
      <c r="B579" s="23">
        <v>7507.4514899999995</v>
      </c>
    </row>
    <row r="580" spans="1:2" x14ac:dyDescent="0.35">
      <c r="A580" s="19" t="s">
        <v>610</v>
      </c>
      <c r="B580" s="23">
        <v>8128.5187499999993</v>
      </c>
    </row>
    <row r="581" spans="1:2" x14ac:dyDescent="0.35">
      <c r="A581" s="19" t="s">
        <v>52</v>
      </c>
      <c r="B581" s="23">
        <v>11995.153920000001</v>
      </c>
    </row>
    <row r="582" spans="1:2" x14ac:dyDescent="0.35">
      <c r="A582" s="19" t="s">
        <v>109</v>
      </c>
      <c r="B582" s="23">
        <v>5487.6023999999998</v>
      </c>
    </row>
    <row r="583" spans="1:2" x14ac:dyDescent="0.35">
      <c r="A583" s="19" t="s">
        <v>645</v>
      </c>
      <c r="B583" s="23">
        <v>266.17821999999995</v>
      </c>
    </row>
    <row r="584" spans="1:2" x14ac:dyDescent="0.35">
      <c r="A584" s="19" t="s">
        <v>345</v>
      </c>
      <c r="B584" s="23">
        <v>8764.4065599999994</v>
      </c>
    </row>
    <row r="585" spans="1:2" x14ac:dyDescent="0.35">
      <c r="A585" s="19" t="s">
        <v>34</v>
      </c>
      <c r="B585" s="23">
        <v>39263.702919999996</v>
      </c>
    </row>
    <row r="586" spans="1:2" x14ac:dyDescent="0.35">
      <c r="A586" s="19" t="s">
        <v>617</v>
      </c>
      <c r="B586" s="23">
        <v>39810.328000000001</v>
      </c>
    </row>
    <row r="587" spans="1:2" x14ac:dyDescent="0.35">
      <c r="A587" s="19" t="s">
        <v>305</v>
      </c>
      <c r="B587" s="23">
        <v>1098.9470800000001</v>
      </c>
    </row>
    <row r="588" spans="1:2" x14ac:dyDescent="0.35">
      <c r="A588" s="19" t="s">
        <v>245</v>
      </c>
      <c r="B588" s="23">
        <v>5814.6927299999998</v>
      </c>
    </row>
    <row r="589" spans="1:2" x14ac:dyDescent="0.35">
      <c r="A589" s="19" t="s">
        <v>234</v>
      </c>
      <c r="B589" s="23">
        <v>13519.529099999998</v>
      </c>
    </row>
    <row r="590" spans="1:2" x14ac:dyDescent="0.35">
      <c r="A590" s="19" t="s">
        <v>74</v>
      </c>
      <c r="B590" s="23">
        <v>4569.8508000000002</v>
      </c>
    </row>
    <row r="591" spans="1:2" x14ac:dyDescent="0.35">
      <c r="A591" s="19" t="s">
        <v>70</v>
      </c>
      <c r="B591" s="23">
        <v>31680.795320000001</v>
      </c>
    </row>
    <row r="592" spans="1:2" x14ac:dyDescent="0.35">
      <c r="A592" s="19" t="s">
        <v>173</v>
      </c>
      <c r="B592" s="23">
        <v>10382.65884</v>
      </c>
    </row>
    <row r="593" spans="1:2" x14ac:dyDescent="0.35">
      <c r="A593" s="19" t="s">
        <v>546</v>
      </c>
      <c r="B593" s="23">
        <v>534.57695999999999</v>
      </c>
    </row>
    <row r="594" spans="1:2" x14ac:dyDescent="0.35">
      <c r="A594" s="19" t="s">
        <v>342</v>
      </c>
      <c r="B594" s="23">
        <v>6667.9199999999983</v>
      </c>
    </row>
    <row r="595" spans="1:2" x14ac:dyDescent="0.35">
      <c r="A595" s="19" t="s">
        <v>76</v>
      </c>
      <c r="B595" s="23">
        <v>27701.570400000001</v>
      </c>
    </row>
    <row r="596" spans="1:2" x14ac:dyDescent="0.35">
      <c r="A596" s="19" t="s">
        <v>486</v>
      </c>
      <c r="B596" s="23">
        <v>15374.563199999999</v>
      </c>
    </row>
    <row r="597" spans="1:2" x14ac:dyDescent="0.35">
      <c r="A597" s="19" t="s">
        <v>396</v>
      </c>
      <c r="B597" s="23">
        <v>37562.28</v>
      </c>
    </row>
    <row r="598" spans="1:2" x14ac:dyDescent="0.35">
      <c r="A598" s="19" t="s">
        <v>482</v>
      </c>
      <c r="B598" s="23">
        <v>25269.09</v>
      </c>
    </row>
    <row r="599" spans="1:2" x14ac:dyDescent="0.35">
      <c r="A599" s="19" t="s">
        <v>440</v>
      </c>
      <c r="B599" s="23">
        <v>30435.614999999998</v>
      </c>
    </row>
    <row r="600" spans="1:2" x14ac:dyDescent="0.35">
      <c r="A600" s="19" t="s">
        <v>58</v>
      </c>
      <c r="B600" s="23">
        <v>10666.229420000001</v>
      </c>
    </row>
    <row r="601" spans="1:2" x14ac:dyDescent="0.35">
      <c r="A601" s="19" t="s">
        <v>395</v>
      </c>
      <c r="B601" s="23">
        <v>12881.097599999999</v>
      </c>
    </row>
    <row r="602" spans="1:2" x14ac:dyDescent="0.35">
      <c r="A602" s="19" t="s">
        <v>513</v>
      </c>
      <c r="B602" s="23">
        <v>16574.544740000001</v>
      </c>
    </row>
    <row r="603" spans="1:2" x14ac:dyDescent="0.35">
      <c r="A603" s="19" t="s">
        <v>531</v>
      </c>
      <c r="B603" s="23">
        <v>1010.3759200000001</v>
      </c>
    </row>
    <row r="604" spans="1:2" x14ac:dyDescent="0.35">
      <c r="A604" s="19" t="s">
        <v>437</v>
      </c>
      <c r="B604" s="23">
        <v>29627.320319999999</v>
      </c>
    </row>
    <row r="605" spans="1:2" x14ac:dyDescent="0.35">
      <c r="A605" s="19" t="s">
        <v>29</v>
      </c>
      <c r="B605" s="23">
        <v>7578.84</v>
      </c>
    </row>
    <row r="606" spans="1:2" x14ac:dyDescent="0.35">
      <c r="A606" s="19" t="s">
        <v>33</v>
      </c>
      <c r="B606" s="23">
        <v>38096.18406</v>
      </c>
    </row>
    <row r="607" spans="1:2" x14ac:dyDescent="0.35">
      <c r="A607" s="19" t="s">
        <v>190</v>
      </c>
      <c r="B607" s="23">
        <v>92715.25</v>
      </c>
    </row>
    <row r="608" spans="1:2" x14ac:dyDescent="0.35">
      <c r="A608" s="19" t="s">
        <v>608</v>
      </c>
      <c r="B608" s="23">
        <v>8366.02</v>
      </c>
    </row>
    <row r="609" spans="1:2" x14ac:dyDescent="0.35">
      <c r="A609" s="19" t="s">
        <v>332</v>
      </c>
      <c r="B609" s="23">
        <v>2915.4540999999999</v>
      </c>
    </row>
    <row r="610" spans="1:2" x14ac:dyDescent="0.35">
      <c r="A610" s="19" t="s">
        <v>102</v>
      </c>
      <c r="B610" s="23">
        <v>1654.8966000000003</v>
      </c>
    </row>
    <row r="611" spans="1:2" x14ac:dyDescent="0.35">
      <c r="A611" s="19" t="s">
        <v>400</v>
      </c>
      <c r="B611" s="23">
        <v>9586.8057599999993</v>
      </c>
    </row>
    <row r="612" spans="1:2" x14ac:dyDescent="0.35">
      <c r="A612" s="19" t="s">
        <v>571</v>
      </c>
      <c r="B612" s="23">
        <v>50545.319219999998</v>
      </c>
    </row>
    <row r="613" spans="1:2" x14ac:dyDescent="0.35">
      <c r="A613" s="19" t="s">
        <v>421</v>
      </c>
      <c r="B613" s="23">
        <v>21541.017959999997</v>
      </c>
    </row>
    <row r="614" spans="1:2" x14ac:dyDescent="0.35">
      <c r="A614" s="19" t="s">
        <v>279</v>
      </c>
      <c r="B614" s="23">
        <v>12597.52224</v>
      </c>
    </row>
    <row r="615" spans="1:2" x14ac:dyDescent="0.35">
      <c r="A615" s="19" t="s">
        <v>197</v>
      </c>
      <c r="B615" s="23">
        <v>7689.4560000000001</v>
      </c>
    </row>
    <row r="616" spans="1:2" x14ac:dyDescent="0.35">
      <c r="A616" s="19" t="s">
        <v>635</v>
      </c>
      <c r="B616" s="23">
        <v>2355.2113199999999</v>
      </c>
    </row>
    <row r="617" spans="1:2" x14ac:dyDescent="0.35">
      <c r="A617" s="19" t="s">
        <v>277</v>
      </c>
      <c r="B617" s="23">
        <v>560.36831999999993</v>
      </c>
    </row>
    <row r="618" spans="1:2" x14ac:dyDescent="0.35">
      <c r="A618" s="19" t="s">
        <v>418</v>
      </c>
      <c r="B618" s="23">
        <v>7832.0010999999995</v>
      </c>
    </row>
    <row r="619" spans="1:2" x14ac:dyDescent="0.35">
      <c r="A619" s="19" t="s">
        <v>393</v>
      </c>
      <c r="B619" s="23">
        <v>33200.038079999998</v>
      </c>
    </row>
    <row r="620" spans="1:2" x14ac:dyDescent="0.35">
      <c r="A620" s="19" t="s">
        <v>304</v>
      </c>
      <c r="B620" s="23">
        <v>19066.045319999997</v>
      </c>
    </row>
    <row r="621" spans="1:2" x14ac:dyDescent="0.35">
      <c r="A621" s="19" t="s">
        <v>545</v>
      </c>
      <c r="B621" s="23">
        <v>618.19979999999987</v>
      </c>
    </row>
    <row r="622" spans="1:2" x14ac:dyDescent="0.35">
      <c r="A622" s="19" t="s">
        <v>581</v>
      </c>
      <c r="B622" s="23">
        <v>44173.627960000005</v>
      </c>
    </row>
    <row r="623" spans="1:2" x14ac:dyDescent="0.35">
      <c r="A623" s="19" t="s">
        <v>71</v>
      </c>
      <c r="B623" s="23">
        <v>29659.68995</v>
      </c>
    </row>
    <row r="624" spans="1:2" x14ac:dyDescent="0.35">
      <c r="A624" s="19" t="s">
        <v>313</v>
      </c>
      <c r="B624" s="23">
        <v>12699.28</v>
      </c>
    </row>
    <row r="625" spans="1:2" x14ac:dyDescent="0.35">
      <c r="A625" s="19" t="s">
        <v>320</v>
      </c>
      <c r="B625" s="23">
        <v>43084.872000000003</v>
      </c>
    </row>
    <row r="626" spans="1:2" x14ac:dyDescent="0.35">
      <c r="A626" s="19" t="s">
        <v>261</v>
      </c>
      <c r="B626" s="23">
        <v>607.30668000000003</v>
      </c>
    </row>
    <row r="627" spans="1:2" x14ac:dyDescent="0.35">
      <c r="A627" s="19" t="s">
        <v>483</v>
      </c>
      <c r="B627" s="23">
        <v>16252.219979999998</v>
      </c>
    </row>
    <row r="628" spans="1:2" x14ac:dyDescent="0.35">
      <c r="A628" s="19" t="s">
        <v>370</v>
      </c>
      <c r="B628" s="23">
        <v>43907.94</v>
      </c>
    </row>
    <row r="629" spans="1:2" x14ac:dyDescent="0.35">
      <c r="A629" s="19" t="s">
        <v>134</v>
      </c>
      <c r="B629" s="23">
        <v>592.92849000000001</v>
      </c>
    </row>
    <row r="630" spans="1:2" x14ac:dyDescent="0.35">
      <c r="A630" s="19" t="s">
        <v>559</v>
      </c>
      <c r="B630" s="23">
        <v>10792.637119999999</v>
      </c>
    </row>
    <row r="631" spans="1:2" x14ac:dyDescent="0.35">
      <c r="A631" s="19" t="s">
        <v>218</v>
      </c>
      <c r="B631" s="23">
        <v>25553.782800000001</v>
      </c>
    </row>
    <row r="632" spans="1:2" x14ac:dyDescent="0.35">
      <c r="A632" s="19" t="s">
        <v>297</v>
      </c>
      <c r="B632" s="23">
        <v>11696.156879999999</v>
      </c>
    </row>
    <row r="633" spans="1:2" x14ac:dyDescent="0.35">
      <c r="A633" s="19" t="s">
        <v>605</v>
      </c>
      <c r="B633" s="23">
        <v>11742.8703</v>
      </c>
    </row>
    <row r="634" spans="1:2" x14ac:dyDescent="0.35">
      <c r="A634" s="19" t="s">
        <v>24</v>
      </c>
      <c r="B634" s="23">
        <v>60928.502359999999</v>
      </c>
    </row>
    <row r="635" spans="1:2" x14ac:dyDescent="0.35">
      <c r="A635" s="19" t="s">
        <v>1447</v>
      </c>
      <c r="B635" s="23">
        <v>11033837.027951995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35C27-BA67-4A5A-8E7F-FCE49A45FB93}">
  <dimension ref="A3:B16"/>
  <sheetViews>
    <sheetView workbookViewId="0">
      <selection activeCell="D6" sqref="D6"/>
    </sheetView>
  </sheetViews>
  <sheetFormatPr defaultRowHeight="14.5" x14ac:dyDescent="0.35"/>
  <cols>
    <col min="1" max="1" width="12.36328125" bestFit="1" customWidth="1"/>
    <col min="2" max="2" width="16.08984375" bestFit="1" customWidth="1"/>
  </cols>
  <sheetData>
    <row r="3" spans="1:2" x14ac:dyDescent="0.35">
      <c r="A3" s="18" t="s">
        <v>1446</v>
      </c>
      <c r="B3" t="s">
        <v>1467</v>
      </c>
    </row>
    <row r="4" spans="1:2" x14ac:dyDescent="0.35">
      <c r="A4" s="19" t="s">
        <v>1449</v>
      </c>
      <c r="B4" s="42">
        <v>53</v>
      </c>
    </row>
    <row r="5" spans="1:2" x14ac:dyDescent="0.35">
      <c r="A5" s="19" t="s">
        <v>1450</v>
      </c>
      <c r="B5" s="42">
        <v>51</v>
      </c>
    </row>
    <row r="6" spans="1:2" x14ac:dyDescent="0.35">
      <c r="A6" s="19" t="s">
        <v>1451</v>
      </c>
      <c r="B6" s="42">
        <v>58</v>
      </c>
    </row>
    <row r="7" spans="1:2" x14ac:dyDescent="0.35">
      <c r="A7" s="19" t="s">
        <v>1452</v>
      </c>
      <c r="B7" s="42">
        <v>63</v>
      </c>
    </row>
    <row r="8" spans="1:2" x14ac:dyDescent="0.35">
      <c r="A8" s="19" t="s">
        <v>1453</v>
      </c>
      <c r="B8" s="42">
        <v>67</v>
      </c>
    </row>
    <row r="9" spans="1:2" x14ac:dyDescent="0.35">
      <c r="A9" s="19" t="s">
        <v>1454</v>
      </c>
      <c r="B9" s="42">
        <v>68</v>
      </c>
    </row>
    <row r="10" spans="1:2" x14ac:dyDescent="0.35">
      <c r="A10" s="19" t="s">
        <v>1455</v>
      </c>
      <c r="B10" s="42">
        <v>53</v>
      </c>
    </row>
    <row r="11" spans="1:2" x14ac:dyDescent="0.35">
      <c r="A11" s="19" t="s">
        <v>1456</v>
      </c>
      <c r="B11" s="42">
        <v>65</v>
      </c>
    </row>
    <row r="12" spans="1:2" x14ac:dyDescent="0.35">
      <c r="A12" s="19" t="s">
        <v>1457</v>
      </c>
      <c r="B12" s="42">
        <v>42</v>
      </c>
    </row>
    <row r="13" spans="1:2" x14ac:dyDescent="0.35">
      <c r="A13" s="19" t="s">
        <v>1458</v>
      </c>
      <c r="B13" s="42">
        <v>39</v>
      </c>
    </row>
    <row r="14" spans="1:2" x14ac:dyDescent="0.35">
      <c r="A14" s="19" t="s">
        <v>1459</v>
      </c>
      <c r="B14" s="42">
        <v>30</v>
      </c>
    </row>
    <row r="15" spans="1:2" x14ac:dyDescent="0.35">
      <c r="A15" s="19" t="s">
        <v>1460</v>
      </c>
      <c r="B15" s="42">
        <v>42</v>
      </c>
    </row>
    <row r="16" spans="1:2" x14ac:dyDescent="0.35">
      <c r="A16" s="19" t="s">
        <v>1447</v>
      </c>
      <c r="B16" s="42">
        <v>631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5473E-1BBB-4DC4-83BF-DC5F1E80FB4A}">
  <dimension ref="A3:B651"/>
  <sheetViews>
    <sheetView topLeftCell="A56" workbookViewId="0">
      <selection activeCell="A3" sqref="A3"/>
    </sheetView>
  </sheetViews>
  <sheetFormatPr defaultRowHeight="14.5" x14ac:dyDescent="0.35"/>
  <cols>
    <col min="1" max="1" width="19.81640625" bestFit="1" customWidth="1"/>
    <col min="2" max="2" width="16.6328125" bestFit="1" customWidth="1"/>
    <col min="3" max="10" width="11.81640625" bestFit="1" customWidth="1"/>
    <col min="11" max="11" width="12.453125" bestFit="1" customWidth="1"/>
    <col min="12" max="17" width="11.81640625" bestFit="1" customWidth="1"/>
    <col min="18" max="18" width="12.453125" bestFit="1" customWidth="1"/>
  </cols>
  <sheetData>
    <row r="3" spans="1:2" x14ac:dyDescent="0.35">
      <c r="A3" s="18" t="s">
        <v>1446</v>
      </c>
      <c r="B3" t="s">
        <v>1466</v>
      </c>
    </row>
    <row r="4" spans="1:2" x14ac:dyDescent="0.35">
      <c r="A4" s="19" t="s">
        <v>720</v>
      </c>
      <c r="B4" s="42">
        <v>282234.27372999996</v>
      </c>
    </row>
    <row r="5" spans="1:2" x14ac:dyDescent="0.35">
      <c r="A5" s="24" t="s">
        <v>376</v>
      </c>
      <c r="B5" s="30">
        <v>43304.491519999996</v>
      </c>
    </row>
    <row r="6" spans="1:2" x14ac:dyDescent="0.35">
      <c r="A6" s="24" t="s">
        <v>553</v>
      </c>
      <c r="B6" s="30">
        <v>29722.714239999994</v>
      </c>
    </row>
    <row r="7" spans="1:2" x14ac:dyDescent="0.35">
      <c r="A7" s="24" t="s">
        <v>410</v>
      </c>
      <c r="B7" s="30">
        <v>28223.377799999995</v>
      </c>
    </row>
    <row r="8" spans="1:2" x14ac:dyDescent="0.35">
      <c r="A8" s="24" t="s">
        <v>24</v>
      </c>
      <c r="B8" s="30">
        <v>19655.722359999992</v>
      </c>
    </row>
    <row r="9" spans="1:2" x14ac:dyDescent="0.35">
      <c r="A9" s="24" t="s">
        <v>581</v>
      </c>
      <c r="B9" s="30">
        <v>17260.177960000005</v>
      </c>
    </row>
    <row r="10" spans="1:2" x14ac:dyDescent="0.35">
      <c r="A10" s="24" t="s">
        <v>351</v>
      </c>
      <c r="B10" s="30">
        <v>15439.445099999997</v>
      </c>
    </row>
    <row r="11" spans="1:2" x14ac:dyDescent="0.35">
      <c r="A11" s="24" t="s">
        <v>501</v>
      </c>
      <c r="B11" s="30">
        <v>13734.075000000003</v>
      </c>
    </row>
    <row r="12" spans="1:2" x14ac:dyDescent="0.35">
      <c r="A12" s="24" t="s">
        <v>240</v>
      </c>
      <c r="B12" s="30">
        <v>12897.698970000001</v>
      </c>
    </row>
    <row r="13" spans="1:2" x14ac:dyDescent="0.35">
      <c r="A13" s="24" t="s">
        <v>597</v>
      </c>
      <c r="B13" s="30">
        <v>11831.751749999996</v>
      </c>
    </row>
    <row r="14" spans="1:2" x14ac:dyDescent="0.35">
      <c r="A14" s="24" t="s">
        <v>304</v>
      </c>
      <c r="B14" s="30">
        <v>9686.9653199999993</v>
      </c>
    </row>
    <row r="15" spans="1:2" x14ac:dyDescent="0.35">
      <c r="A15" s="24" t="s">
        <v>60</v>
      </c>
      <c r="B15" s="30">
        <v>9363.1594000000005</v>
      </c>
    </row>
    <row r="16" spans="1:2" x14ac:dyDescent="0.35">
      <c r="A16" s="24" t="s">
        <v>144</v>
      </c>
      <c r="B16" s="30">
        <v>8628.0886800000007</v>
      </c>
    </row>
    <row r="17" spans="1:2" x14ac:dyDescent="0.35">
      <c r="A17" s="24" t="s">
        <v>224</v>
      </c>
      <c r="B17" s="30">
        <v>8200.7143200000046</v>
      </c>
    </row>
    <row r="18" spans="1:2" x14ac:dyDescent="0.35">
      <c r="A18" s="24" t="s">
        <v>473</v>
      </c>
      <c r="B18" s="30">
        <v>7889.0499999999993</v>
      </c>
    </row>
    <row r="19" spans="1:2" x14ac:dyDescent="0.35">
      <c r="A19" s="24" t="s">
        <v>281</v>
      </c>
      <c r="B19" s="30">
        <v>7436.8288800000009</v>
      </c>
    </row>
    <row r="20" spans="1:2" x14ac:dyDescent="0.35">
      <c r="A20" s="24" t="s">
        <v>306</v>
      </c>
      <c r="B20" s="30">
        <v>7380.8740600000019</v>
      </c>
    </row>
    <row r="21" spans="1:2" x14ac:dyDescent="0.35">
      <c r="A21" s="24" t="s">
        <v>423</v>
      </c>
      <c r="B21" s="30">
        <v>6687.9600000000028</v>
      </c>
    </row>
    <row r="22" spans="1:2" x14ac:dyDescent="0.35">
      <c r="A22" s="24" t="s">
        <v>58</v>
      </c>
      <c r="B22" s="30">
        <v>5348.0594200000014</v>
      </c>
    </row>
    <row r="23" spans="1:2" x14ac:dyDescent="0.35">
      <c r="A23" s="24" t="s">
        <v>547</v>
      </c>
      <c r="B23" s="30">
        <v>5160.3977999999997</v>
      </c>
    </row>
    <row r="24" spans="1:2" x14ac:dyDescent="0.35">
      <c r="A24" s="24" t="s">
        <v>561</v>
      </c>
      <c r="B24" s="30">
        <v>5138.6899199999989</v>
      </c>
    </row>
    <row r="25" spans="1:2" x14ac:dyDescent="0.35">
      <c r="A25" s="24" t="s">
        <v>587</v>
      </c>
      <c r="B25" s="30">
        <v>4918.4742400000014</v>
      </c>
    </row>
    <row r="26" spans="1:2" x14ac:dyDescent="0.35">
      <c r="A26" s="24" t="s">
        <v>84</v>
      </c>
      <c r="B26" s="30">
        <v>4519.0624999999991</v>
      </c>
    </row>
    <row r="27" spans="1:2" x14ac:dyDescent="0.35">
      <c r="A27" s="24" t="s">
        <v>171</v>
      </c>
      <c r="B27" s="30">
        <v>3922.8047000000006</v>
      </c>
    </row>
    <row r="28" spans="1:2" x14ac:dyDescent="0.35">
      <c r="A28" s="24" t="s">
        <v>53</v>
      </c>
      <c r="B28" s="30">
        <v>3718.9489999999987</v>
      </c>
    </row>
    <row r="29" spans="1:2" x14ac:dyDescent="0.35">
      <c r="A29" s="24" t="s">
        <v>595</v>
      </c>
      <c r="B29" s="30">
        <v>3556.601999999999</v>
      </c>
    </row>
    <row r="30" spans="1:2" x14ac:dyDescent="0.35">
      <c r="A30" s="24" t="s">
        <v>391</v>
      </c>
      <c r="B30" s="30">
        <v>3098.002599999998</v>
      </c>
    </row>
    <row r="31" spans="1:2" x14ac:dyDescent="0.35">
      <c r="A31" s="24" t="s">
        <v>522</v>
      </c>
      <c r="B31" s="30">
        <v>1650.9744000000005</v>
      </c>
    </row>
    <row r="32" spans="1:2" x14ac:dyDescent="0.35">
      <c r="A32" s="24" t="s">
        <v>611</v>
      </c>
      <c r="B32" s="30">
        <v>1621.1100000000001</v>
      </c>
    </row>
    <row r="33" spans="1:2" x14ac:dyDescent="0.35">
      <c r="A33" s="24" t="s">
        <v>527</v>
      </c>
      <c r="B33" s="30">
        <v>1169.0336000000002</v>
      </c>
    </row>
    <row r="34" spans="1:2" x14ac:dyDescent="0.35">
      <c r="A34" s="24" t="s">
        <v>431</v>
      </c>
      <c r="B34" s="30">
        <v>1163.8715000000002</v>
      </c>
    </row>
    <row r="35" spans="1:2" x14ac:dyDescent="0.35">
      <c r="A35" s="24" t="s">
        <v>565</v>
      </c>
      <c r="B35" s="30">
        <v>893.76407999999992</v>
      </c>
    </row>
    <row r="36" spans="1:2" x14ac:dyDescent="0.35">
      <c r="A36" s="24" t="s">
        <v>504</v>
      </c>
      <c r="B36" s="30">
        <v>611.25000000000011</v>
      </c>
    </row>
    <row r="37" spans="1:2" x14ac:dyDescent="0.35">
      <c r="A37" s="24" t="s">
        <v>620</v>
      </c>
      <c r="B37" s="30">
        <v>555.10411000000022</v>
      </c>
    </row>
    <row r="38" spans="1:2" x14ac:dyDescent="0.35">
      <c r="A38" s="24" t="s">
        <v>283</v>
      </c>
      <c r="B38" s="30">
        <v>478.21139999999923</v>
      </c>
    </row>
    <row r="39" spans="1:2" x14ac:dyDescent="0.35">
      <c r="A39" s="24" t="s">
        <v>74</v>
      </c>
      <c r="B39" s="30">
        <v>339.45080000000053</v>
      </c>
    </row>
    <row r="40" spans="1:2" x14ac:dyDescent="0.35">
      <c r="A40" s="24" t="s">
        <v>372</v>
      </c>
      <c r="B40" s="30">
        <v>222.30000000000018</v>
      </c>
    </row>
    <row r="41" spans="1:2" x14ac:dyDescent="0.35">
      <c r="A41" s="24" t="s">
        <v>89</v>
      </c>
      <c r="B41" s="30">
        <v>128.32000000000062</v>
      </c>
    </row>
    <row r="42" spans="1:2" x14ac:dyDescent="0.35">
      <c r="A42" s="24" t="s">
        <v>124</v>
      </c>
      <c r="B42" s="30">
        <v>-36.079899999999952</v>
      </c>
    </row>
    <row r="43" spans="1:2" x14ac:dyDescent="0.35">
      <c r="A43" s="24" t="s">
        <v>215</v>
      </c>
      <c r="B43" s="30">
        <v>-299.80320000000029</v>
      </c>
    </row>
    <row r="44" spans="1:2" x14ac:dyDescent="0.35">
      <c r="A44" s="24" t="s">
        <v>337</v>
      </c>
      <c r="B44" s="30">
        <v>-342.99719999999991</v>
      </c>
    </row>
    <row r="45" spans="1:2" x14ac:dyDescent="0.35">
      <c r="A45" s="24" t="s">
        <v>317</v>
      </c>
      <c r="B45" s="30">
        <v>-833.82159999999931</v>
      </c>
    </row>
    <row r="46" spans="1:2" x14ac:dyDescent="0.35">
      <c r="A46" s="24" t="s">
        <v>42</v>
      </c>
      <c r="B46" s="30">
        <v>-1162.7325000000005</v>
      </c>
    </row>
    <row r="47" spans="1:2" x14ac:dyDescent="0.35">
      <c r="A47" s="24" t="s">
        <v>491</v>
      </c>
      <c r="B47" s="30">
        <v>-2400.2454000000007</v>
      </c>
    </row>
    <row r="48" spans="1:2" x14ac:dyDescent="0.35">
      <c r="A48" s="24" t="s">
        <v>87</v>
      </c>
      <c r="B48" s="30">
        <v>-3229.0369499999979</v>
      </c>
    </row>
    <row r="49" spans="1:2" x14ac:dyDescent="0.35">
      <c r="A49" s="24" t="s">
        <v>437</v>
      </c>
      <c r="B49" s="30">
        <v>-6106.5196800000049</v>
      </c>
    </row>
    <row r="50" spans="1:2" x14ac:dyDescent="0.35">
      <c r="A50" s="24" t="s">
        <v>640</v>
      </c>
      <c r="B50" s="30">
        <v>-8912.0172700000021</v>
      </c>
    </row>
    <row r="51" spans="1:2" x14ac:dyDescent="0.35">
      <c r="A51" s="19" t="s">
        <v>717</v>
      </c>
      <c r="B51" s="30">
        <v>320763.18309999997</v>
      </c>
    </row>
    <row r="52" spans="1:2" x14ac:dyDescent="0.35">
      <c r="A52" s="24" t="s">
        <v>62</v>
      </c>
      <c r="B52" s="30">
        <v>65188.659999999996</v>
      </c>
    </row>
    <row r="53" spans="1:2" x14ac:dyDescent="0.35">
      <c r="A53" s="24" t="s">
        <v>237</v>
      </c>
      <c r="B53" s="30">
        <v>38215.171199999982</v>
      </c>
    </row>
    <row r="54" spans="1:2" x14ac:dyDescent="0.35">
      <c r="A54" s="24" t="s">
        <v>196</v>
      </c>
      <c r="B54" s="30">
        <v>18700.046200000012</v>
      </c>
    </row>
    <row r="55" spans="1:2" x14ac:dyDescent="0.35">
      <c r="A55" s="24" t="s">
        <v>485</v>
      </c>
      <c r="B55" s="30">
        <v>18506.849260000003</v>
      </c>
    </row>
    <row r="56" spans="1:2" x14ac:dyDescent="0.35">
      <c r="A56" s="24" t="s">
        <v>371</v>
      </c>
      <c r="B56" s="30">
        <v>17565.881399999995</v>
      </c>
    </row>
    <row r="57" spans="1:2" x14ac:dyDescent="0.35">
      <c r="A57" s="24" t="s">
        <v>71</v>
      </c>
      <c r="B57" s="30">
        <v>16958.649949999999</v>
      </c>
    </row>
    <row r="58" spans="1:2" x14ac:dyDescent="0.35">
      <c r="A58" s="24" t="s">
        <v>456</v>
      </c>
      <c r="B58" s="30">
        <v>16530.425009999999</v>
      </c>
    </row>
    <row r="59" spans="1:2" x14ac:dyDescent="0.35">
      <c r="A59" s="24" t="s">
        <v>324</v>
      </c>
      <c r="B59" s="30">
        <v>14002.633800000003</v>
      </c>
    </row>
    <row r="60" spans="1:2" x14ac:dyDescent="0.35">
      <c r="A60" s="24" t="s">
        <v>552</v>
      </c>
      <c r="B60" s="30">
        <v>11241.921599999996</v>
      </c>
    </row>
    <row r="61" spans="1:2" x14ac:dyDescent="0.35">
      <c r="A61" s="24" t="s">
        <v>227</v>
      </c>
      <c r="B61" s="30">
        <v>11215.619999999999</v>
      </c>
    </row>
    <row r="62" spans="1:2" x14ac:dyDescent="0.35">
      <c r="A62" s="24" t="s">
        <v>172</v>
      </c>
      <c r="B62" s="30">
        <v>10696.672500000001</v>
      </c>
    </row>
    <row r="63" spans="1:2" x14ac:dyDescent="0.35">
      <c r="A63" s="24" t="s">
        <v>301</v>
      </c>
      <c r="B63" s="30">
        <v>10428.937380000001</v>
      </c>
    </row>
    <row r="64" spans="1:2" x14ac:dyDescent="0.35">
      <c r="A64" s="24" t="s">
        <v>159</v>
      </c>
      <c r="B64" s="30">
        <v>9464.3270399999983</v>
      </c>
    </row>
    <row r="65" spans="1:2" x14ac:dyDescent="0.35">
      <c r="A65" s="24" t="s">
        <v>234</v>
      </c>
      <c r="B65" s="30">
        <v>7038.989099999998</v>
      </c>
    </row>
    <row r="66" spans="1:2" x14ac:dyDescent="0.35">
      <c r="A66" s="24" t="s">
        <v>549</v>
      </c>
      <c r="B66" s="30">
        <v>6447.8868000000002</v>
      </c>
    </row>
    <row r="67" spans="1:2" x14ac:dyDescent="0.35">
      <c r="A67" s="24" t="s">
        <v>444</v>
      </c>
      <c r="B67" s="30">
        <v>6357.5847499999973</v>
      </c>
    </row>
    <row r="68" spans="1:2" x14ac:dyDescent="0.35">
      <c r="A68" s="24" t="s">
        <v>64</v>
      </c>
      <c r="B68" s="30">
        <v>5766.142359999998</v>
      </c>
    </row>
    <row r="69" spans="1:2" x14ac:dyDescent="0.35">
      <c r="A69" s="24" t="s">
        <v>163</v>
      </c>
      <c r="B69" s="30">
        <v>5456.7140000000018</v>
      </c>
    </row>
    <row r="70" spans="1:2" x14ac:dyDescent="0.35">
      <c r="A70" s="24" t="s">
        <v>460</v>
      </c>
      <c r="B70" s="30">
        <v>4768.4883199999995</v>
      </c>
    </row>
    <row r="71" spans="1:2" x14ac:dyDescent="0.35">
      <c r="A71" s="24" t="s">
        <v>145</v>
      </c>
      <c r="B71" s="30">
        <v>4384.2640800000008</v>
      </c>
    </row>
    <row r="72" spans="1:2" x14ac:dyDescent="0.35">
      <c r="A72" s="24" t="s">
        <v>467</v>
      </c>
      <c r="B72" s="30">
        <v>4377.4812500000007</v>
      </c>
    </row>
    <row r="73" spans="1:2" x14ac:dyDescent="0.35">
      <c r="A73" s="24" t="s">
        <v>493</v>
      </c>
      <c r="B73" s="30">
        <v>4351.729800000001</v>
      </c>
    </row>
    <row r="74" spans="1:2" x14ac:dyDescent="0.35">
      <c r="A74" s="24" t="s">
        <v>297</v>
      </c>
      <c r="B74" s="30">
        <v>4215.3568799999994</v>
      </c>
    </row>
    <row r="75" spans="1:2" x14ac:dyDescent="0.35">
      <c r="A75" s="24" t="s">
        <v>211</v>
      </c>
      <c r="B75" s="30">
        <v>4090.8064399999994</v>
      </c>
    </row>
    <row r="76" spans="1:2" x14ac:dyDescent="0.35">
      <c r="A76" s="24" t="s">
        <v>532</v>
      </c>
      <c r="B76" s="30">
        <v>3292.8142799999996</v>
      </c>
    </row>
    <row r="77" spans="1:2" x14ac:dyDescent="0.35">
      <c r="A77" s="24" t="s">
        <v>298</v>
      </c>
      <c r="B77" s="30">
        <v>3290.3196000000007</v>
      </c>
    </row>
    <row r="78" spans="1:2" x14ac:dyDescent="0.35">
      <c r="A78" s="24" t="s">
        <v>330</v>
      </c>
      <c r="B78" s="30">
        <v>2656.3869199999999</v>
      </c>
    </row>
    <row r="79" spans="1:2" x14ac:dyDescent="0.35">
      <c r="A79" s="24" t="s">
        <v>629</v>
      </c>
      <c r="B79" s="30">
        <v>2558.6583600000013</v>
      </c>
    </row>
    <row r="80" spans="1:2" x14ac:dyDescent="0.35">
      <c r="A80" s="24" t="s">
        <v>579</v>
      </c>
      <c r="B80" s="30">
        <v>2128.0721199999994</v>
      </c>
    </row>
    <row r="81" spans="1:2" x14ac:dyDescent="0.35">
      <c r="A81" s="24" t="s">
        <v>20</v>
      </c>
      <c r="B81" s="30">
        <v>1930.6699999999992</v>
      </c>
    </row>
    <row r="82" spans="1:2" x14ac:dyDescent="0.35">
      <c r="A82" s="24" t="s">
        <v>220</v>
      </c>
      <c r="B82" s="30">
        <v>1616.3301999999994</v>
      </c>
    </row>
    <row r="83" spans="1:2" x14ac:dyDescent="0.35">
      <c r="A83" s="24" t="s">
        <v>497</v>
      </c>
      <c r="B83" s="30">
        <v>1268.6790600000004</v>
      </c>
    </row>
    <row r="84" spans="1:2" x14ac:dyDescent="0.35">
      <c r="A84" s="24" t="s">
        <v>340</v>
      </c>
      <c r="B84" s="30">
        <v>1133.8823200000002</v>
      </c>
    </row>
    <row r="85" spans="1:2" x14ac:dyDescent="0.35">
      <c r="A85" s="24" t="s">
        <v>90</v>
      </c>
      <c r="B85" s="30">
        <v>1095.0028600000005</v>
      </c>
    </row>
    <row r="86" spans="1:2" x14ac:dyDescent="0.35">
      <c r="A86" s="24" t="s">
        <v>622</v>
      </c>
      <c r="B86" s="30">
        <v>729.65017999999986</v>
      </c>
    </row>
    <row r="87" spans="1:2" x14ac:dyDescent="0.35">
      <c r="A87" s="24" t="s">
        <v>257</v>
      </c>
      <c r="B87" s="30">
        <v>171.74303999999995</v>
      </c>
    </row>
    <row r="88" spans="1:2" x14ac:dyDescent="0.35">
      <c r="A88" s="24" t="s">
        <v>127</v>
      </c>
      <c r="B88" s="30">
        <v>-13.550940000000004</v>
      </c>
    </row>
    <row r="89" spans="1:2" x14ac:dyDescent="0.35">
      <c r="A89" s="24" t="s">
        <v>194</v>
      </c>
      <c r="B89" s="30">
        <v>-163.98382000000038</v>
      </c>
    </row>
    <row r="90" spans="1:2" x14ac:dyDescent="0.35">
      <c r="A90" s="24" t="s">
        <v>51</v>
      </c>
      <c r="B90" s="30">
        <v>-289.30311000000074</v>
      </c>
    </row>
    <row r="91" spans="1:2" x14ac:dyDescent="0.35">
      <c r="A91" s="24" t="s">
        <v>313</v>
      </c>
      <c r="B91" s="30">
        <v>-318.55999999999949</v>
      </c>
    </row>
    <row r="92" spans="1:2" x14ac:dyDescent="0.35">
      <c r="A92" s="24" t="s">
        <v>335</v>
      </c>
      <c r="B92" s="30">
        <v>-1411.8323999999975</v>
      </c>
    </row>
    <row r="93" spans="1:2" x14ac:dyDescent="0.35">
      <c r="A93" s="24" t="s">
        <v>411</v>
      </c>
      <c r="B93" s="30">
        <v>-1800.7678400000004</v>
      </c>
    </row>
    <row r="94" spans="1:2" x14ac:dyDescent="0.35">
      <c r="A94" s="24" t="s">
        <v>619</v>
      </c>
      <c r="B94" s="30">
        <v>-1889.6568600000001</v>
      </c>
    </row>
    <row r="95" spans="1:2" x14ac:dyDescent="0.35">
      <c r="A95" s="24" t="s">
        <v>67</v>
      </c>
      <c r="B95" s="30">
        <v>-2213.0999999999995</v>
      </c>
    </row>
    <row r="96" spans="1:2" x14ac:dyDescent="0.35">
      <c r="A96" s="24" t="s">
        <v>210</v>
      </c>
      <c r="B96" s="30">
        <v>-2229.0502000000051</v>
      </c>
    </row>
    <row r="97" spans="1:2" x14ac:dyDescent="0.35">
      <c r="A97" s="24" t="s">
        <v>506</v>
      </c>
      <c r="B97" s="30">
        <v>-2349.5385100000003</v>
      </c>
    </row>
    <row r="98" spans="1:2" x14ac:dyDescent="0.35">
      <c r="A98" s="24" t="s">
        <v>140</v>
      </c>
      <c r="B98" s="30">
        <v>-4400.9212799999987</v>
      </c>
    </row>
    <row r="99" spans="1:2" x14ac:dyDescent="0.35">
      <c r="A99" s="19" t="s">
        <v>712</v>
      </c>
      <c r="B99" s="30">
        <v>230359.52458999996</v>
      </c>
    </row>
    <row r="100" spans="1:2" x14ac:dyDescent="0.35">
      <c r="A100" s="24" t="s">
        <v>479</v>
      </c>
      <c r="B100" s="30">
        <v>30705.719600000004</v>
      </c>
    </row>
    <row r="101" spans="1:2" x14ac:dyDescent="0.35">
      <c r="A101" s="24" t="s">
        <v>583</v>
      </c>
      <c r="B101" s="30">
        <v>17422.559999999998</v>
      </c>
    </row>
    <row r="102" spans="1:2" x14ac:dyDescent="0.35">
      <c r="A102" s="24" t="s">
        <v>32</v>
      </c>
      <c r="B102" s="30">
        <v>15758.091040000003</v>
      </c>
    </row>
    <row r="103" spans="1:2" x14ac:dyDescent="0.35">
      <c r="A103" s="24" t="s">
        <v>510</v>
      </c>
      <c r="B103" s="30">
        <v>15178.158960000001</v>
      </c>
    </row>
    <row r="104" spans="1:2" x14ac:dyDescent="0.35">
      <c r="A104" s="24" t="s">
        <v>269</v>
      </c>
      <c r="B104" s="30">
        <v>14126.6556</v>
      </c>
    </row>
    <row r="105" spans="1:2" x14ac:dyDescent="0.35">
      <c r="A105" s="24" t="s">
        <v>639</v>
      </c>
      <c r="B105" s="30">
        <v>13817.826400000005</v>
      </c>
    </row>
    <row r="106" spans="1:2" x14ac:dyDescent="0.35">
      <c r="A106" s="24" t="s">
        <v>388</v>
      </c>
      <c r="B106" s="30">
        <v>13194.487679999998</v>
      </c>
    </row>
    <row r="107" spans="1:2" x14ac:dyDescent="0.35">
      <c r="A107" s="24" t="s">
        <v>406</v>
      </c>
      <c r="B107" s="30">
        <v>12740.595000000008</v>
      </c>
    </row>
    <row r="108" spans="1:2" x14ac:dyDescent="0.35">
      <c r="A108" s="24" t="s">
        <v>381</v>
      </c>
      <c r="B108" s="30">
        <v>10131.900299999998</v>
      </c>
    </row>
    <row r="109" spans="1:2" x14ac:dyDescent="0.35">
      <c r="A109" s="24" t="s">
        <v>202</v>
      </c>
      <c r="B109" s="30">
        <v>9387.2301599999992</v>
      </c>
    </row>
    <row r="110" spans="1:2" x14ac:dyDescent="0.35">
      <c r="A110" s="24" t="s">
        <v>314</v>
      </c>
      <c r="B110" s="30">
        <v>9182.3640799999994</v>
      </c>
    </row>
    <row r="111" spans="1:2" x14ac:dyDescent="0.35">
      <c r="A111" s="24" t="s">
        <v>513</v>
      </c>
      <c r="B111" s="30">
        <v>7984.4047400000018</v>
      </c>
    </row>
    <row r="112" spans="1:2" x14ac:dyDescent="0.35">
      <c r="A112" s="24" t="s">
        <v>287</v>
      </c>
      <c r="B112" s="30">
        <v>7889.1159999999982</v>
      </c>
    </row>
    <row r="113" spans="1:2" x14ac:dyDescent="0.35">
      <c r="A113" s="24" t="s">
        <v>117</v>
      </c>
      <c r="B113" s="30">
        <v>7635.2499999999991</v>
      </c>
    </row>
    <row r="114" spans="1:2" x14ac:dyDescent="0.35">
      <c r="A114" s="24" t="s">
        <v>333</v>
      </c>
      <c r="B114" s="30">
        <v>6640.2841399999888</v>
      </c>
    </row>
    <row r="115" spans="1:2" x14ac:dyDescent="0.35">
      <c r="A115" s="24" t="s">
        <v>103</v>
      </c>
      <c r="B115" s="30">
        <v>6082.1463999999996</v>
      </c>
    </row>
    <row r="116" spans="1:2" x14ac:dyDescent="0.35">
      <c r="A116" s="24" t="s">
        <v>469</v>
      </c>
      <c r="B116" s="30">
        <v>5578.9460800000015</v>
      </c>
    </row>
    <row r="117" spans="1:2" x14ac:dyDescent="0.35">
      <c r="A117" s="24" t="s">
        <v>419</v>
      </c>
      <c r="B117" s="30">
        <v>5553.2702399999989</v>
      </c>
    </row>
    <row r="118" spans="1:2" x14ac:dyDescent="0.35">
      <c r="A118" s="24" t="s">
        <v>82</v>
      </c>
      <c r="B118" s="30">
        <v>5527.4563499999986</v>
      </c>
    </row>
    <row r="119" spans="1:2" x14ac:dyDescent="0.35">
      <c r="A119" s="24" t="s">
        <v>608</v>
      </c>
      <c r="B119" s="30">
        <v>4221.2300000000005</v>
      </c>
    </row>
    <row r="120" spans="1:2" x14ac:dyDescent="0.35">
      <c r="A120" s="24" t="s">
        <v>245</v>
      </c>
      <c r="B120" s="30">
        <v>3055.7827299999999</v>
      </c>
    </row>
    <row r="121" spans="1:2" x14ac:dyDescent="0.35">
      <c r="A121" s="24" t="s">
        <v>40</v>
      </c>
      <c r="B121" s="30">
        <v>2628.8905599999998</v>
      </c>
    </row>
    <row r="122" spans="1:2" x14ac:dyDescent="0.35">
      <c r="A122" s="24" t="s">
        <v>15</v>
      </c>
      <c r="B122" s="30">
        <v>2353.1687999999995</v>
      </c>
    </row>
    <row r="123" spans="1:2" x14ac:dyDescent="0.35">
      <c r="A123" s="24" t="s">
        <v>500</v>
      </c>
      <c r="B123" s="30">
        <v>1993.4393599999994</v>
      </c>
    </row>
    <row r="124" spans="1:2" x14ac:dyDescent="0.35">
      <c r="A124" s="24" t="s">
        <v>148</v>
      </c>
      <c r="B124" s="30">
        <v>1056.16408</v>
      </c>
    </row>
    <row r="125" spans="1:2" x14ac:dyDescent="0.35">
      <c r="A125" s="24" t="s">
        <v>459</v>
      </c>
      <c r="B125" s="30">
        <v>937.01872000000003</v>
      </c>
    </row>
    <row r="126" spans="1:2" x14ac:dyDescent="0.35">
      <c r="A126" s="24" t="s">
        <v>626</v>
      </c>
      <c r="B126" s="30">
        <v>777.95999999999913</v>
      </c>
    </row>
    <row r="127" spans="1:2" x14ac:dyDescent="0.35">
      <c r="A127" s="24" t="s">
        <v>364</v>
      </c>
      <c r="B127" s="30">
        <v>750.9625200000005</v>
      </c>
    </row>
    <row r="128" spans="1:2" x14ac:dyDescent="0.35">
      <c r="A128" s="24" t="s">
        <v>594</v>
      </c>
      <c r="B128" s="30">
        <v>544.52427999999873</v>
      </c>
    </row>
    <row r="129" spans="1:2" x14ac:dyDescent="0.35">
      <c r="A129" s="24" t="s">
        <v>524</v>
      </c>
      <c r="B129" s="30">
        <v>515.88306000000011</v>
      </c>
    </row>
    <row r="130" spans="1:2" x14ac:dyDescent="0.35">
      <c r="A130" s="24" t="s">
        <v>261</v>
      </c>
      <c r="B130" s="30">
        <v>244.60668000000004</v>
      </c>
    </row>
    <row r="131" spans="1:2" x14ac:dyDescent="0.35">
      <c r="A131" s="24" t="s">
        <v>540</v>
      </c>
      <c r="B131" s="30">
        <v>242.27804999999989</v>
      </c>
    </row>
    <row r="132" spans="1:2" x14ac:dyDescent="0.35">
      <c r="A132" s="24" t="s">
        <v>404</v>
      </c>
      <c r="B132" s="30">
        <v>-220.9621700000007</v>
      </c>
    </row>
    <row r="133" spans="1:2" x14ac:dyDescent="0.35">
      <c r="A133" s="24" t="s">
        <v>152</v>
      </c>
      <c r="B133" s="30">
        <v>-227.05725000000075</v>
      </c>
    </row>
    <row r="134" spans="1:2" x14ac:dyDescent="0.35">
      <c r="A134" s="24" t="s">
        <v>282</v>
      </c>
      <c r="B134" s="30">
        <v>-424.0600000000004</v>
      </c>
    </row>
    <row r="135" spans="1:2" x14ac:dyDescent="0.35">
      <c r="A135" s="24" t="s">
        <v>441</v>
      </c>
      <c r="B135" s="30">
        <v>-734.00400000000081</v>
      </c>
    </row>
    <row r="136" spans="1:2" x14ac:dyDescent="0.35">
      <c r="A136" s="24" t="s">
        <v>615</v>
      </c>
      <c r="B136" s="30">
        <v>-1892.7636000000011</v>
      </c>
    </row>
    <row r="137" spans="1:2" x14ac:dyDescent="0.35">
      <c r="A137" s="19" t="s">
        <v>726</v>
      </c>
      <c r="B137" s="30">
        <v>172041.59580600003</v>
      </c>
    </row>
    <row r="138" spans="1:2" x14ac:dyDescent="0.35">
      <c r="A138" s="24" t="s">
        <v>570</v>
      </c>
      <c r="B138" s="30">
        <v>20471.22</v>
      </c>
    </row>
    <row r="139" spans="1:2" x14ac:dyDescent="0.35">
      <c r="A139" s="24" t="s">
        <v>564</v>
      </c>
      <c r="B139" s="30">
        <v>14144.854499999992</v>
      </c>
    </row>
    <row r="140" spans="1:2" x14ac:dyDescent="0.35">
      <c r="A140" s="24" t="s">
        <v>55</v>
      </c>
      <c r="B140" s="30">
        <v>13458.530970000003</v>
      </c>
    </row>
    <row r="141" spans="1:2" x14ac:dyDescent="0.35">
      <c r="A141" s="24" t="s">
        <v>218</v>
      </c>
      <c r="B141" s="30">
        <v>13357.942800000001</v>
      </c>
    </row>
    <row r="142" spans="1:2" x14ac:dyDescent="0.35">
      <c r="A142" s="24" t="s">
        <v>542</v>
      </c>
      <c r="B142" s="30">
        <v>11385.971219999999</v>
      </c>
    </row>
    <row r="143" spans="1:2" x14ac:dyDescent="0.35">
      <c r="A143" s="24" t="s">
        <v>555</v>
      </c>
      <c r="B143" s="30">
        <v>10770.829999999998</v>
      </c>
    </row>
    <row r="144" spans="1:2" x14ac:dyDescent="0.35">
      <c r="A144" s="24" t="s">
        <v>369</v>
      </c>
      <c r="B144" s="30">
        <v>9388.5682799999995</v>
      </c>
    </row>
    <row r="145" spans="1:2" x14ac:dyDescent="0.35">
      <c r="A145" s="24" t="s">
        <v>48</v>
      </c>
      <c r="B145" s="30">
        <v>6765.2</v>
      </c>
    </row>
    <row r="146" spans="1:2" x14ac:dyDescent="0.35">
      <c r="A146" s="24" t="s">
        <v>412</v>
      </c>
      <c r="B146" s="30">
        <v>6634.0429999999997</v>
      </c>
    </row>
    <row r="147" spans="1:2" x14ac:dyDescent="0.35">
      <c r="A147" s="24" t="s">
        <v>562</v>
      </c>
      <c r="B147" s="30">
        <v>6301.4439300000049</v>
      </c>
    </row>
    <row r="148" spans="1:2" x14ac:dyDescent="0.35">
      <c r="A148" s="24" t="s">
        <v>46</v>
      </c>
      <c r="B148" s="30">
        <v>6267.8043199999993</v>
      </c>
    </row>
    <row r="149" spans="1:2" x14ac:dyDescent="0.35">
      <c r="A149" s="24" t="s">
        <v>566</v>
      </c>
      <c r="B149" s="30">
        <v>5947.254719999999</v>
      </c>
    </row>
    <row r="150" spans="1:2" x14ac:dyDescent="0.35">
      <c r="A150" s="24" t="s">
        <v>536</v>
      </c>
      <c r="B150" s="30">
        <v>5313.6899999999987</v>
      </c>
    </row>
    <row r="151" spans="1:2" x14ac:dyDescent="0.35">
      <c r="A151" s="24" t="s">
        <v>186</v>
      </c>
      <c r="B151" s="30">
        <v>4700.8295999999991</v>
      </c>
    </row>
    <row r="152" spans="1:2" x14ac:dyDescent="0.35">
      <c r="A152" s="24" t="s">
        <v>530</v>
      </c>
      <c r="B152" s="30">
        <v>4675.2522299999982</v>
      </c>
    </row>
    <row r="153" spans="1:2" x14ac:dyDescent="0.35">
      <c r="A153" s="24" t="s">
        <v>481</v>
      </c>
      <c r="B153" s="30">
        <v>4403.8243899999998</v>
      </c>
    </row>
    <row r="154" spans="1:2" x14ac:dyDescent="0.35">
      <c r="A154" s="24" t="s">
        <v>323</v>
      </c>
      <c r="B154" s="30">
        <v>4223.99586</v>
      </c>
    </row>
    <row r="155" spans="1:2" x14ac:dyDescent="0.35">
      <c r="A155" s="24" t="s">
        <v>47</v>
      </c>
      <c r="B155" s="30">
        <v>3791.7852800000001</v>
      </c>
    </row>
    <row r="156" spans="1:2" x14ac:dyDescent="0.35">
      <c r="A156" s="24" t="s">
        <v>65</v>
      </c>
      <c r="B156" s="30">
        <v>3262.0239999999994</v>
      </c>
    </row>
    <row r="157" spans="1:2" x14ac:dyDescent="0.35">
      <c r="A157" s="24" t="s">
        <v>539</v>
      </c>
      <c r="B157" s="30">
        <v>3109.7852499999999</v>
      </c>
    </row>
    <row r="158" spans="1:2" x14ac:dyDescent="0.35">
      <c r="A158" s="24" t="s">
        <v>450</v>
      </c>
      <c r="B158" s="30">
        <v>2771.1642200000006</v>
      </c>
    </row>
    <row r="159" spans="1:2" x14ac:dyDescent="0.35">
      <c r="A159" s="24" t="s">
        <v>618</v>
      </c>
      <c r="B159" s="30">
        <v>2617.8116999999997</v>
      </c>
    </row>
    <row r="160" spans="1:2" x14ac:dyDescent="0.35">
      <c r="A160" s="24" t="s">
        <v>610</v>
      </c>
      <c r="B160" s="30">
        <v>2461.1687499999989</v>
      </c>
    </row>
    <row r="161" spans="1:2" x14ac:dyDescent="0.35">
      <c r="A161" s="24" t="s">
        <v>413</v>
      </c>
      <c r="B161" s="30">
        <v>2404.4722199999997</v>
      </c>
    </row>
    <row r="162" spans="1:2" x14ac:dyDescent="0.35">
      <c r="A162" s="24" t="s">
        <v>509</v>
      </c>
      <c r="B162" s="30">
        <v>2213.4219799999996</v>
      </c>
    </row>
    <row r="163" spans="1:2" x14ac:dyDescent="0.35">
      <c r="A163" s="24" t="s">
        <v>247</v>
      </c>
      <c r="B163" s="30">
        <v>2152.21776</v>
      </c>
    </row>
    <row r="164" spans="1:2" x14ac:dyDescent="0.35">
      <c r="A164" s="24" t="s">
        <v>260</v>
      </c>
      <c r="B164" s="30">
        <v>1668.5088000000005</v>
      </c>
    </row>
    <row r="165" spans="1:2" x14ac:dyDescent="0.35">
      <c r="A165" s="24" t="s">
        <v>631</v>
      </c>
      <c r="B165" s="30">
        <v>1570.651936000002</v>
      </c>
    </row>
    <row r="166" spans="1:2" x14ac:dyDescent="0.35">
      <c r="A166" s="24" t="s">
        <v>415</v>
      </c>
      <c r="B166" s="30">
        <v>1263.8648000000012</v>
      </c>
    </row>
    <row r="167" spans="1:2" x14ac:dyDescent="0.35">
      <c r="A167" s="24" t="s">
        <v>596</v>
      </c>
      <c r="B167" s="30">
        <v>671.72760000000017</v>
      </c>
    </row>
    <row r="168" spans="1:2" x14ac:dyDescent="0.35">
      <c r="A168" s="24" t="s">
        <v>432</v>
      </c>
      <c r="B168" s="30">
        <v>257.89835999999997</v>
      </c>
    </row>
    <row r="169" spans="1:2" x14ac:dyDescent="0.35">
      <c r="A169" s="24" t="s">
        <v>98</v>
      </c>
      <c r="B169" s="30">
        <v>176.21174999999999</v>
      </c>
    </row>
    <row r="170" spans="1:2" x14ac:dyDescent="0.35">
      <c r="A170" s="24" t="s">
        <v>100</v>
      </c>
      <c r="B170" s="30">
        <v>98.49069999999665</v>
      </c>
    </row>
    <row r="171" spans="1:2" x14ac:dyDescent="0.35">
      <c r="A171" s="24" t="s">
        <v>83</v>
      </c>
      <c r="B171" s="30">
        <v>-231.24455999999918</v>
      </c>
    </row>
    <row r="172" spans="1:2" x14ac:dyDescent="0.35">
      <c r="A172" s="24" t="s">
        <v>425</v>
      </c>
      <c r="B172" s="30">
        <v>-400.379539999999</v>
      </c>
    </row>
    <row r="173" spans="1:2" x14ac:dyDescent="0.35">
      <c r="A173" s="24" t="s">
        <v>557</v>
      </c>
      <c r="B173" s="30">
        <v>-930.44016000000011</v>
      </c>
    </row>
    <row r="174" spans="1:2" x14ac:dyDescent="0.35">
      <c r="A174" s="24" t="s">
        <v>375</v>
      </c>
      <c r="B174" s="30">
        <v>-2304.3217600000007</v>
      </c>
    </row>
    <row r="175" spans="1:2" x14ac:dyDescent="0.35">
      <c r="A175" s="24" t="s">
        <v>243</v>
      </c>
      <c r="B175" s="30">
        <v>-2794.4790999999996</v>
      </c>
    </row>
    <row r="176" spans="1:2" x14ac:dyDescent="0.35">
      <c r="A176" s="19" t="s">
        <v>718</v>
      </c>
      <c r="B176" s="30">
        <v>204981.34053000004</v>
      </c>
    </row>
    <row r="177" spans="1:2" x14ac:dyDescent="0.35">
      <c r="A177" s="24" t="s">
        <v>643</v>
      </c>
      <c r="B177" s="30">
        <v>21180.193200000002</v>
      </c>
    </row>
    <row r="178" spans="1:2" x14ac:dyDescent="0.35">
      <c r="A178" s="24" t="s">
        <v>280</v>
      </c>
      <c r="B178" s="30">
        <v>17764.670160000009</v>
      </c>
    </row>
    <row r="179" spans="1:2" x14ac:dyDescent="0.35">
      <c r="A179" s="24" t="s">
        <v>614</v>
      </c>
      <c r="B179" s="30">
        <v>15214.592760000003</v>
      </c>
    </row>
    <row r="180" spans="1:2" x14ac:dyDescent="0.35">
      <c r="A180" s="24" t="s">
        <v>49</v>
      </c>
      <c r="B180" s="30">
        <v>14439.149999999998</v>
      </c>
    </row>
    <row r="181" spans="1:2" x14ac:dyDescent="0.35">
      <c r="A181" s="24" t="s">
        <v>150</v>
      </c>
      <c r="B181" s="30">
        <v>13229.010859999999</v>
      </c>
    </row>
    <row r="182" spans="1:2" x14ac:dyDescent="0.35">
      <c r="A182" s="24" t="s">
        <v>219</v>
      </c>
      <c r="B182" s="30">
        <v>13169.08736</v>
      </c>
    </row>
    <row r="183" spans="1:2" x14ac:dyDescent="0.35">
      <c r="A183" s="24" t="s">
        <v>334</v>
      </c>
      <c r="B183" s="30">
        <v>12511.704000000002</v>
      </c>
    </row>
    <row r="184" spans="1:2" x14ac:dyDescent="0.35">
      <c r="A184" s="24" t="s">
        <v>309</v>
      </c>
      <c r="B184" s="30">
        <v>10919.815130000001</v>
      </c>
    </row>
    <row r="185" spans="1:2" x14ac:dyDescent="0.35">
      <c r="A185" s="24" t="s">
        <v>458</v>
      </c>
      <c r="B185" s="30">
        <v>9942.4500000000007</v>
      </c>
    </row>
    <row r="186" spans="1:2" x14ac:dyDescent="0.35">
      <c r="A186" s="24" t="s">
        <v>44</v>
      </c>
      <c r="B186" s="30">
        <v>9517.3537200000028</v>
      </c>
    </row>
    <row r="187" spans="1:2" x14ac:dyDescent="0.35">
      <c r="A187" s="24" t="s">
        <v>274</v>
      </c>
      <c r="B187" s="30">
        <v>9441.9554400000034</v>
      </c>
    </row>
    <row r="188" spans="1:2" x14ac:dyDescent="0.35">
      <c r="A188" s="24" t="s">
        <v>36</v>
      </c>
      <c r="B188" s="30">
        <v>9254.0650400000013</v>
      </c>
    </row>
    <row r="189" spans="1:2" x14ac:dyDescent="0.35">
      <c r="A189" s="24" t="s">
        <v>349</v>
      </c>
      <c r="B189" s="30">
        <v>7197.3949600000014</v>
      </c>
    </row>
    <row r="190" spans="1:2" x14ac:dyDescent="0.35">
      <c r="A190" s="24" t="s">
        <v>160</v>
      </c>
      <c r="B190" s="30">
        <v>6616.4780800000017</v>
      </c>
    </row>
    <row r="191" spans="1:2" x14ac:dyDescent="0.35">
      <c r="A191" s="24" t="s">
        <v>464</v>
      </c>
      <c r="B191" s="30">
        <v>5833.72055</v>
      </c>
    </row>
    <row r="192" spans="1:2" x14ac:dyDescent="0.35">
      <c r="A192" s="24" t="s">
        <v>483</v>
      </c>
      <c r="B192" s="30">
        <v>4970.8499799999972</v>
      </c>
    </row>
    <row r="193" spans="1:2" x14ac:dyDescent="0.35">
      <c r="A193" s="24" t="s">
        <v>577</v>
      </c>
      <c r="B193" s="30">
        <v>4493.9954400000006</v>
      </c>
    </row>
    <row r="194" spans="1:2" x14ac:dyDescent="0.35">
      <c r="A194" s="24" t="s">
        <v>440</v>
      </c>
      <c r="B194" s="30">
        <v>3742.5149999999994</v>
      </c>
    </row>
    <row r="195" spans="1:2" x14ac:dyDescent="0.35">
      <c r="A195" s="24" t="s">
        <v>107</v>
      </c>
      <c r="B195" s="30">
        <v>3729.3862399999998</v>
      </c>
    </row>
    <row r="196" spans="1:2" x14ac:dyDescent="0.35">
      <c r="A196" s="24" t="s">
        <v>379</v>
      </c>
      <c r="B196" s="30">
        <v>2586.5935199999985</v>
      </c>
    </row>
    <row r="197" spans="1:2" x14ac:dyDescent="0.35">
      <c r="A197" s="24" t="s">
        <v>442</v>
      </c>
      <c r="B197" s="30">
        <v>2487.7800000000007</v>
      </c>
    </row>
    <row r="198" spans="1:2" x14ac:dyDescent="0.35">
      <c r="A198" s="24" t="s">
        <v>538</v>
      </c>
      <c r="B198" s="30">
        <v>2189.7755999999999</v>
      </c>
    </row>
    <row r="199" spans="1:2" x14ac:dyDescent="0.35">
      <c r="A199" s="24" t="s">
        <v>593</v>
      </c>
      <c r="B199" s="30">
        <v>1977.25864</v>
      </c>
    </row>
    <row r="200" spans="1:2" x14ac:dyDescent="0.35">
      <c r="A200" s="24" t="s">
        <v>433</v>
      </c>
      <c r="B200" s="30">
        <v>1935.3365999999996</v>
      </c>
    </row>
    <row r="201" spans="1:2" x14ac:dyDescent="0.35">
      <c r="A201" s="24" t="s">
        <v>605</v>
      </c>
      <c r="B201" s="30">
        <v>1784.3703000000005</v>
      </c>
    </row>
    <row r="202" spans="1:2" x14ac:dyDescent="0.35">
      <c r="A202" s="24" t="s">
        <v>176</v>
      </c>
      <c r="B202" s="30">
        <v>1594.9244000000008</v>
      </c>
    </row>
    <row r="203" spans="1:2" x14ac:dyDescent="0.35">
      <c r="A203" s="24" t="s">
        <v>201</v>
      </c>
      <c r="B203" s="30">
        <v>1263.5064600000001</v>
      </c>
    </row>
    <row r="204" spans="1:2" x14ac:dyDescent="0.35">
      <c r="A204" s="24" t="s">
        <v>585</v>
      </c>
      <c r="B204" s="30">
        <v>1230.2980000000002</v>
      </c>
    </row>
    <row r="205" spans="1:2" x14ac:dyDescent="0.35">
      <c r="A205" s="24" t="s">
        <v>203</v>
      </c>
      <c r="B205" s="30">
        <v>1059.4094000000005</v>
      </c>
    </row>
    <row r="206" spans="1:2" x14ac:dyDescent="0.35">
      <c r="A206" s="24" t="s">
        <v>21</v>
      </c>
      <c r="B206" s="30">
        <v>542.16963999999962</v>
      </c>
    </row>
    <row r="207" spans="1:2" x14ac:dyDescent="0.35">
      <c r="A207" s="24" t="s">
        <v>30</v>
      </c>
      <c r="B207" s="30">
        <v>281.97720000000027</v>
      </c>
    </row>
    <row r="208" spans="1:2" x14ac:dyDescent="0.35">
      <c r="A208" s="24" t="s">
        <v>142</v>
      </c>
      <c r="B208" s="30">
        <v>-107.15723000000003</v>
      </c>
    </row>
    <row r="209" spans="1:2" x14ac:dyDescent="0.35">
      <c r="A209" s="24" t="s">
        <v>244</v>
      </c>
      <c r="B209" s="30">
        <v>-206.76991999999996</v>
      </c>
    </row>
    <row r="210" spans="1:2" x14ac:dyDescent="0.35">
      <c r="A210" s="24" t="s">
        <v>574</v>
      </c>
      <c r="B210" s="30">
        <v>-6806.52</v>
      </c>
    </row>
    <row r="211" spans="1:2" x14ac:dyDescent="0.35">
      <c r="A211" s="19" t="s">
        <v>721</v>
      </c>
      <c r="B211" s="30">
        <v>251733.01231999998</v>
      </c>
    </row>
    <row r="212" spans="1:2" x14ac:dyDescent="0.35">
      <c r="A212" s="24" t="s">
        <v>602</v>
      </c>
      <c r="B212" s="30">
        <v>34487.324250000005</v>
      </c>
    </row>
    <row r="213" spans="1:2" x14ac:dyDescent="0.35">
      <c r="A213" s="24" t="s">
        <v>132</v>
      </c>
      <c r="B213" s="30">
        <v>33103.559599999993</v>
      </c>
    </row>
    <row r="214" spans="1:2" x14ac:dyDescent="0.35">
      <c r="A214" s="24" t="s">
        <v>571</v>
      </c>
      <c r="B214" s="30">
        <v>26690.819219999998</v>
      </c>
    </row>
    <row r="215" spans="1:2" x14ac:dyDescent="0.35">
      <c r="A215" s="24" t="s">
        <v>370</v>
      </c>
      <c r="B215" s="30">
        <v>22253.58</v>
      </c>
    </row>
    <row r="216" spans="1:2" x14ac:dyDescent="0.35">
      <c r="A216" s="24" t="s">
        <v>393</v>
      </c>
      <c r="B216" s="30">
        <v>18127.018079999998</v>
      </c>
    </row>
    <row r="217" spans="1:2" x14ac:dyDescent="0.35">
      <c r="A217" s="24" t="s">
        <v>292</v>
      </c>
      <c r="B217" s="30">
        <v>14885.234000000004</v>
      </c>
    </row>
    <row r="218" spans="1:2" x14ac:dyDescent="0.35">
      <c r="A218" s="24" t="s">
        <v>302</v>
      </c>
      <c r="B218" s="30">
        <v>12392.940239999998</v>
      </c>
    </row>
    <row r="219" spans="1:2" x14ac:dyDescent="0.35">
      <c r="A219" s="24" t="s">
        <v>112</v>
      </c>
      <c r="B219" s="30">
        <v>12051.719999999998</v>
      </c>
    </row>
    <row r="220" spans="1:2" x14ac:dyDescent="0.35">
      <c r="A220" s="24" t="s">
        <v>316</v>
      </c>
      <c r="B220" s="30">
        <v>11756.318200000002</v>
      </c>
    </row>
    <row r="221" spans="1:2" x14ac:dyDescent="0.35">
      <c r="A221" s="24" t="s">
        <v>108</v>
      </c>
      <c r="B221" s="30">
        <v>10601.273620000004</v>
      </c>
    </row>
    <row r="222" spans="1:2" x14ac:dyDescent="0.35">
      <c r="A222" s="24" t="s">
        <v>470</v>
      </c>
      <c r="B222" s="30">
        <v>7885.92</v>
      </c>
    </row>
    <row r="223" spans="1:2" x14ac:dyDescent="0.35">
      <c r="A223" s="24" t="s">
        <v>278</v>
      </c>
      <c r="B223" s="30">
        <v>6618.7546199999924</v>
      </c>
    </row>
    <row r="224" spans="1:2" x14ac:dyDescent="0.35">
      <c r="A224" s="24" t="s">
        <v>591</v>
      </c>
      <c r="B224" s="30">
        <v>6341.2615999999998</v>
      </c>
    </row>
    <row r="225" spans="1:2" x14ac:dyDescent="0.35">
      <c r="A225" s="24" t="s">
        <v>633</v>
      </c>
      <c r="B225" s="30">
        <v>6301.4242499999964</v>
      </c>
    </row>
    <row r="226" spans="1:2" x14ac:dyDescent="0.35">
      <c r="A226" s="24" t="s">
        <v>484</v>
      </c>
      <c r="B226" s="30">
        <v>5243.9373600000008</v>
      </c>
    </row>
    <row r="227" spans="1:2" x14ac:dyDescent="0.35">
      <c r="A227" s="24" t="s">
        <v>293</v>
      </c>
      <c r="B227" s="30">
        <v>4140.392499999999</v>
      </c>
    </row>
    <row r="228" spans="1:2" x14ac:dyDescent="0.35">
      <c r="A228" s="24" t="s">
        <v>472</v>
      </c>
      <c r="B228" s="30">
        <v>3973.7249999999995</v>
      </c>
    </row>
    <row r="229" spans="1:2" x14ac:dyDescent="0.35">
      <c r="A229" s="24" t="s">
        <v>166</v>
      </c>
      <c r="B229" s="30">
        <v>3537.3105000000032</v>
      </c>
    </row>
    <row r="230" spans="1:2" x14ac:dyDescent="0.35">
      <c r="A230" s="24" t="s">
        <v>86</v>
      </c>
      <c r="B230" s="30">
        <v>3222.8152799999998</v>
      </c>
    </row>
    <row r="231" spans="1:2" x14ac:dyDescent="0.35">
      <c r="A231" s="24" t="s">
        <v>118</v>
      </c>
      <c r="B231" s="30">
        <v>2749.4340000000007</v>
      </c>
    </row>
    <row r="232" spans="1:2" x14ac:dyDescent="0.35">
      <c r="A232" s="24" t="s">
        <v>133</v>
      </c>
      <c r="B232" s="30">
        <v>2373.1758</v>
      </c>
    </row>
    <row r="233" spans="1:2" x14ac:dyDescent="0.35">
      <c r="A233" s="24" t="s">
        <v>255</v>
      </c>
      <c r="B233" s="30">
        <v>2339.9156000000012</v>
      </c>
    </row>
    <row r="234" spans="1:2" x14ac:dyDescent="0.35">
      <c r="A234" s="24" t="s">
        <v>263</v>
      </c>
      <c r="B234" s="30">
        <v>2109.6841600000007</v>
      </c>
    </row>
    <row r="235" spans="1:2" x14ac:dyDescent="0.35">
      <c r="A235" s="24" t="s">
        <v>414</v>
      </c>
      <c r="B235" s="30">
        <v>2065.0630000000001</v>
      </c>
    </row>
    <row r="236" spans="1:2" x14ac:dyDescent="0.35">
      <c r="A236" s="24" t="s">
        <v>358</v>
      </c>
      <c r="B236" s="30">
        <v>1703.3347799999999</v>
      </c>
    </row>
    <row r="237" spans="1:2" x14ac:dyDescent="0.35">
      <c r="A237" s="24" t="s">
        <v>357</v>
      </c>
      <c r="B237" s="30">
        <v>1548.0996600000017</v>
      </c>
    </row>
    <row r="238" spans="1:2" x14ac:dyDescent="0.35">
      <c r="A238" s="24" t="s">
        <v>580</v>
      </c>
      <c r="B238" s="30">
        <v>1504.4411200000013</v>
      </c>
    </row>
    <row r="239" spans="1:2" x14ac:dyDescent="0.35">
      <c r="A239" s="24" t="s">
        <v>232</v>
      </c>
      <c r="B239" s="30">
        <v>1444.3124800000005</v>
      </c>
    </row>
    <row r="240" spans="1:2" x14ac:dyDescent="0.35">
      <c r="A240" s="24" t="s">
        <v>405</v>
      </c>
      <c r="B240" s="30">
        <v>1375.2635000000002</v>
      </c>
    </row>
    <row r="241" spans="1:2" x14ac:dyDescent="0.35">
      <c r="A241" s="24" t="s">
        <v>143</v>
      </c>
      <c r="B241" s="30">
        <v>1222.1486999999997</v>
      </c>
    </row>
    <row r="242" spans="1:2" x14ac:dyDescent="0.35">
      <c r="A242" s="24" t="s">
        <v>518</v>
      </c>
      <c r="B242" s="30">
        <v>1219.3191000000006</v>
      </c>
    </row>
    <row r="243" spans="1:2" x14ac:dyDescent="0.35">
      <c r="A243" s="24" t="s">
        <v>550</v>
      </c>
      <c r="B243" s="30">
        <v>1110.4472399999995</v>
      </c>
    </row>
    <row r="244" spans="1:2" x14ac:dyDescent="0.35">
      <c r="A244" s="24" t="s">
        <v>231</v>
      </c>
      <c r="B244" s="30">
        <v>1024.7667200000001</v>
      </c>
    </row>
    <row r="245" spans="1:2" x14ac:dyDescent="0.35">
      <c r="A245" s="24" t="s">
        <v>311</v>
      </c>
      <c r="B245" s="30">
        <v>831.8713200000002</v>
      </c>
    </row>
    <row r="246" spans="1:2" x14ac:dyDescent="0.35">
      <c r="A246" s="24" t="s">
        <v>525</v>
      </c>
      <c r="B246" s="30">
        <v>825.43056000000024</v>
      </c>
    </row>
    <row r="247" spans="1:2" x14ac:dyDescent="0.35">
      <c r="A247" s="24" t="s">
        <v>453</v>
      </c>
      <c r="B247" s="30">
        <v>679.73844000000008</v>
      </c>
    </row>
    <row r="248" spans="1:2" x14ac:dyDescent="0.35">
      <c r="A248" s="24" t="s">
        <v>139</v>
      </c>
      <c r="B248" s="30">
        <v>647.40584000000035</v>
      </c>
    </row>
    <row r="249" spans="1:2" x14ac:dyDescent="0.35">
      <c r="A249" s="24" t="s">
        <v>41</v>
      </c>
      <c r="B249" s="30">
        <v>580.29999999999973</v>
      </c>
    </row>
    <row r="250" spans="1:2" x14ac:dyDescent="0.35">
      <c r="A250" s="24" t="s">
        <v>189</v>
      </c>
      <c r="B250" s="30">
        <v>505.51567999999997</v>
      </c>
    </row>
    <row r="251" spans="1:2" x14ac:dyDescent="0.35">
      <c r="A251" s="24" t="s">
        <v>531</v>
      </c>
      <c r="B251" s="30">
        <v>479.17592000000002</v>
      </c>
    </row>
    <row r="252" spans="1:2" x14ac:dyDescent="0.35">
      <c r="A252" s="24" t="s">
        <v>616</v>
      </c>
      <c r="B252" s="30">
        <v>230.27020000000005</v>
      </c>
    </row>
    <row r="253" spans="1:2" x14ac:dyDescent="0.35">
      <c r="A253" s="24" t="s">
        <v>104</v>
      </c>
      <c r="B253" s="30">
        <v>179.23503999999997</v>
      </c>
    </row>
    <row r="254" spans="1:2" x14ac:dyDescent="0.35">
      <c r="A254" s="24" t="s">
        <v>300</v>
      </c>
      <c r="B254" s="30">
        <v>-22.141279999999995</v>
      </c>
    </row>
    <row r="255" spans="1:2" x14ac:dyDescent="0.35">
      <c r="A255" s="24" t="s">
        <v>533</v>
      </c>
      <c r="B255" s="30">
        <v>-128.18118000000015</v>
      </c>
    </row>
    <row r="256" spans="1:2" x14ac:dyDescent="0.35">
      <c r="A256" s="24" t="s">
        <v>266</v>
      </c>
      <c r="B256" s="30">
        <v>-472.29699999999866</v>
      </c>
    </row>
    <row r="257" spans="1:2" x14ac:dyDescent="0.35">
      <c r="A257" s="24" t="s">
        <v>607</v>
      </c>
      <c r="B257" s="30">
        <v>-536.95039999999972</v>
      </c>
    </row>
    <row r="258" spans="1:2" x14ac:dyDescent="0.35">
      <c r="A258" s="24" t="s">
        <v>398</v>
      </c>
      <c r="B258" s="30">
        <v>-1686.7825199999988</v>
      </c>
    </row>
    <row r="259" spans="1:2" x14ac:dyDescent="0.35">
      <c r="A259" s="24" t="s">
        <v>418</v>
      </c>
      <c r="B259" s="30">
        <v>-1909.0989000000009</v>
      </c>
    </row>
    <row r="260" spans="1:2" x14ac:dyDescent="0.35">
      <c r="A260" s="24" t="s">
        <v>430</v>
      </c>
      <c r="B260" s="30">
        <v>-2730.2168000000001</v>
      </c>
    </row>
    <row r="261" spans="1:2" x14ac:dyDescent="0.35">
      <c r="A261" s="24" t="s">
        <v>511</v>
      </c>
      <c r="B261" s="30">
        <v>-5343.5467799999969</v>
      </c>
    </row>
    <row r="262" spans="1:2" x14ac:dyDescent="0.35">
      <c r="A262" s="24" t="s">
        <v>26</v>
      </c>
      <c r="B262" s="30">
        <v>-7801.4500000000007</v>
      </c>
    </row>
    <row r="263" spans="1:2" x14ac:dyDescent="0.35">
      <c r="A263" s="19" t="s">
        <v>715</v>
      </c>
      <c r="B263" s="30">
        <v>172441.87305000002</v>
      </c>
    </row>
    <row r="264" spans="1:2" x14ac:dyDescent="0.35">
      <c r="A264" s="24" t="s">
        <v>494</v>
      </c>
      <c r="B264" s="30">
        <v>20983.832960000007</v>
      </c>
    </row>
    <row r="265" spans="1:2" x14ac:dyDescent="0.35">
      <c r="A265" s="24" t="s">
        <v>33</v>
      </c>
      <c r="B265" s="30">
        <v>18869.124059999998</v>
      </c>
    </row>
    <row r="266" spans="1:2" x14ac:dyDescent="0.35">
      <c r="A266" s="24" t="s">
        <v>462</v>
      </c>
      <c r="B266" s="30">
        <v>17820.683360000003</v>
      </c>
    </row>
    <row r="267" spans="1:2" x14ac:dyDescent="0.35">
      <c r="A267" s="24" t="s">
        <v>350</v>
      </c>
      <c r="B267" s="30">
        <v>14008.02656</v>
      </c>
    </row>
    <row r="268" spans="1:2" x14ac:dyDescent="0.35">
      <c r="A268" s="24" t="s">
        <v>130</v>
      </c>
      <c r="B268" s="30">
        <v>12734.366720000002</v>
      </c>
    </row>
    <row r="269" spans="1:2" x14ac:dyDescent="0.35">
      <c r="A269" s="24" t="s">
        <v>468</v>
      </c>
      <c r="B269" s="30">
        <v>10922.848349999995</v>
      </c>
    </row>
    <row r="270" spans="1:2" x14ac:dyDescent="0.35">
      <c r="A270" s="24" t="s">
        <v>465</v>
      </c>
      <c r="B270" s="30">
        <v>10897.877</v>
      </c>
    </row>
    <row r="271" spans="1:2" x14ac:dyDescent="0.35">
      <c r="A271" s="24" t="s">
        <v>153</v>
      </c>
      <c r="B271" s="30">
        <v>9088.9779200000085</v>
      </c>
    </row>
    <row r="272" spans="1:2" x14ac:dyDescent="0.35">
      <c r="A272" s="24" t="s">
        <v>320</v>
      </c>
      <c r="B272" s="30">
        <v>8274.5520000000033</v>
      </c>
    </row>
    <row r="273" spans="1:2" x14ac:dyDescent="0.35">
      <c r="A273" s="24" t="s">
        <v>628</v>
      </c>
      <c r="B273" s="30">
        <v>7152.6135200000008</v>
      </c>
    </row>
    <row r="274" spans="1:2" x14ac:dyDescent="0.35">
      <c r="A274" s="24" t="s">
        <v>439</v>
      </c>
      <c r="B274" s="30">
        <v>7085.4631999999983</v>
      </c>
    </row>
    <row r="275" spans="1:2" x14ac:dyDescent="0.35">
      <c r="A275" s="24" t="s">
        <v>498</v>
      </c>
      <c r="B275" s="30">
        <v>4910.9716500000031</v>
      </c>
    </row>
    <row r="276" spans="1:2" x14ac:dyDescent="0.35">
      <c r="A276" s="24" t="s">
        <v>389</v>
      </c>
      <c r="B276" s="30">
        <v>4801.8023200000025</v>
      </c>
    </row>
    <row r="277" spans="1:2" x14ac:dyDescent="0.35">
      <c r="A277" s="24" t="s">
        <v>329</v>
      </c>
      <c r="B277" s="30">
        <v>3847.7309000000014</v>
      </c>
    </row>
    <row r="278" spans="1:2" x14ac:dyDescent="0.35">
      <c r="A278" s="24" t="s">
        <v>400</v>
      </c>
      <c r="B278" s="30">
        <v>3824.6457599999994</v>
      </c>
    </row>
    <row r="279" spans="1:2" x14ac:dyDescent="0.35">
      <c r="A279" s="24" t="s">
        <v>517</v>
      </c>
      <c r="B279" s="30">
        <v>2972.0374499999998</v>
      </c>
    </row>
    <row r="280" spans="1:2" x14ac:dyDescent="0.35">
      <c r="A280" s="24" t="s">
        <v>455</v>
      </c>
      <c r="B280" s="30">
        <v>2731.0472800000007</v>
      </c>
    </row>
    <row r="281" spans="1:2" x14ac:dyDescent="0.35">
      <c r="A281" s="24" t="s">
        <v>272</v>
      </c>
      <c r="B281" s="30">
        <v>1855.922</v>
      </c>
    </row>
    <row r="282" spans="1:2" x14ac:dyDescent="0.35">
      <c r="A282" s="24" t="s">
        <v>185</v>
      </c>
      <c r="B282" s="30">
        <v>1720.7091200000013</v>
      </c>
    </row>
    <row r="283" spans="1:2" x14ac:dyDescent="0.35">
      <c r="A283" s="24" t="s">
        <v>584</v>
      </c>
      <c r="B283" s="30">
        <v>1711.3478399999999</v>
      </c>
    </row>
    <row r="284" spans="1:2" x14ac:dyDescent="0.35">
      <c r="A284" s="24" t="s">
        <v>183</v>
      </c>
      <c r="B284" s="30">
        <v>1383.4284000000007</v>
      </c>
    </row>
    <row r="285" spans="1:2" x14ac:dyDescent="0.35">
      <c r="A285" s="24" t="s">
        <v>45</v>
      </c>
      <c r="B285" s="30">
        <v>1380.8273800000024</v>
      </c>
    </row>
    <row r="286" spans="1:2" x14ac:dyDescent="0.35">
      <c r="A286" s="24" t="s">
        <v>25</v>
      </c>
      <c r="B286" s="30">
        <v>1190.23344</v>
      </c>
    </row>
    <row r="287" spans="1:2" x14ac:dyDescent="0.35">
      <c r="A287" s="24" t="s">
        <v>253</v>
      </c>
      <c r="B287" s="30">
        <v>1089.5708</v>
      </c>
    </row>
    <row r="288" spans="1:2" x14ac:dyDescent="0.35">
      <c r="A288" s="24" t="s">
        <v>128</v>
      </c>
      <c r="B288" s="30">
        <v>554.49349999999981</v>
      </c>
    </row>
    <row r="289" spans="1:2" x14ac:dyDescent="0.35">
      <c r="A289" s="24" t="s">
        <v>355</v>
      </c>
      <c r="B289" s="30">
        <v>408.99759999999969</v>
      </c>
    </row>
    <row r="290" spans="1:2" x14ac:dyDescent="0.35">
      <c r="A290" s="24" t="s">
        <v>477</v>
      </c>
      <c r="B290" s="30">
        <v>408.37159999999994</v>
      </c>
    </row>
    <row r="291" spans="1:2" x14ac:dyDescent="0.35">
      <c r="A291" s="24" t="s">
        <v>212</v>
      </c>
      <c r="B291" s="30">
        <v>349.06241999999929</v>
      </c>
    </row>
    <row r="292" spans="1:2" x14ac:dyDescent="0.35">
      <c r="A292" s="24" t="s">
        <v>490</v>
      </c>
      <c r="B292" s="30">
        <v>-44.50309999999979</v>
      </c>
    </row>
    <row r="293" spans="1:2" x14ac:dyDescent="0.35">
      <c r="A293" s="24" t="s">
        <v>18</v>
      </c>
      <c r="B293" s="30">
        <v>-493.1889599999995</v>
      </c>
    </row>
    <row r="294" spans="1:2" x14ac:dyDescent="0.35">
      <c r="A294" s="19" t="s">
        <v>722</v>
      </c>
      <c r="B294" s="30">
        <v>214056.90431000001</v>
      </c>
    </row>
    <row r="295" spans="1:2" x14ac:dyDescent="0.35">
      <c r="A295" s="24" t="s">
        <v>251</v>
      </c>
      <c r="B295" s="30">
        <v>56019.54032</v>
      </c>
    </row>
    <row r="296" spans="1:2" x14ac:dyDescent="0.35">
      <c r="A296" s="24" t="s">
        <v>428</v>
      </c>
      <c r="B296" s="30">
        <v>17727.673040000001</v>
      </c>
    </row>
    <row r="297" spans="1:2" x14ac:dyDescent="0.35">
      <c r="A297" s="24" t="s">
        <v>621</v>
      </c>
      <c r="B297" s="30">
        <v>15978.606029999999</v>
      </c>
    </row>
    <row r="298" spans="1:2" x14ac:dyDescent="0.35">
      <c r="A298" s="24" t="s">
        <v>28</v>
      </c>
      <c r="B298" s="30">
        <v>11932.200000000003</v>
      </c>
    </row>
    <row r="299" spans="1:2" x14ac:dyDescent="0.35">
      <c r="A299" s="24" t="s">
        <v>57</v>
      </c>
      <c r="B299" s="30">
        <v>11853.379999999997</v>
      </c>
    </row>
    <row r="300" spans="1:2" x14ac:dyDescent="0.35">
      <c r="A300" s="24" t="s">
        <v>136</v>
      </c>
      <c r="B300" s="30">
        <v>11306.565629999999</v>
      </c>
    </row>
    <row r="301" spans="1:2" x14ac:dyDescent="0.35">
      <c r="A301" s="24" t="s">
        <v>367</v>
      </c>
      <c r="B301" s="30">
        <v>10149.768000000004</v>
      </c>
    </row>
    <row r="302" spans="1:2" x14ac:dyDescent="0.35">
      <c r="A302" s="24" t="s">
        <v>38</v>
      </c>
      <c r="B302" s="30">
        <v>10028.504800000001</v>
      </c>
    </row>
    <row r="303" spans="1:2" x14ac:dyDescent="0.35">
      <c r="A303" s="24" t="s">
        <v>625</v>
      </c>
      <c r="B303" s="30">
        <v>8001.8276800000003</v>
      </c>
    </row>
    <row r="304" spans="1:2" x14ac:dyDescent="0.35">
      <c r="A304" s="24" t="s">
        <v>73</v>
      </c>
      <c r="B304" s="30">
        <v>7549.0800000000017</v>
      </c>
    </row>
    <row r="305" spans="1:2" x14ac:dyDescent="0.35">
      <c r="A305" s="24" t="s">
        <v>286</v>
      </c>
      <c r="B305" s="30">
        <v>5917.8263200000001</v>
      </c>
    </row>
    <row r="306" spans="1:2" x14ac:dyDescent="0.35">
      <c r="A306" s="24" t="s">
        <v>264</v>
      </c>
      <c r="B306" s="30">
        <v>5705.2086000000018</v>
      </c>
    </row>
    <row r="307" spans="1:2" x14ac:dyDescent="0.35">
      <c r="A307" s="24" t="s">
        <v>295</v>
      </c>
      <c r="B307" s="30">
        <v>5611.7179999999998</v>
      </c>
    </row>
    <row r="308" spans="1:2" x14ac:dyDescent="0.35">
      <c r="A308" s="24" t="s">
        <v>573</v>
      </c>
      <c r="B308" s="30">
        <v>5392.0058400000007</v>
      </c>
    </row>
    <row r="309" spans="1:2" x14ac:dyDescent="0.35">
      <c r="A309" s="24" t="s">
        <v>119</v>
      </c>
      <c r="B309" s="30">
        <v>5307.8548499999997</v>
      </c>
    </row>
    <row r="310" spans="1:2" x14ac:dyDescent="0.35">
      <c r="A310" s="24" t="s">
        <v>114</v>
      </c>
      <c r="B310" s="30">
        <v>3888.8704799999978</v>
      </c>
    </row>
    <row r="311" spans="1:2" x14ac:dyDescent="0.35">
      <c r="A311" s="24" t="s">
        <v>523</v>
      </c>
      <c r="B311" s="30">
        <v>3780.3786000000009</v>
      </c>
    </row>
    <row r="312" spans="1:2" x14ac:dyDescent="0.35">
      <c r="A312" s="24" t="s">
        <v>503</v>
      </c>
      <c r="B312" s="30">
        <v>3748.4403999999995</v>
      </c>
    </row>
    <row r="313" spans="1:2" x14ac:dyDescent="0.35">
      <c r="A313" s="24" t="s">
        <v>268</v>
      </c>
      <c r="B313" s="30">
        <v>3613.0251599999992</v>
      </c>
    </row>
    <row r="314" spans="1:2" x14ac:dyDescent="0.35">
      <c r="A314" s="24" t="s">
        <v>434</v>
      </c>
      <c r="B314" s="30">
        <v>3505.8484000000008</v>
      </c>
    </row>
    <row r="315" spans="1:2" x14ac:dyDescent="0.35">
      <c r="A315" s="24" t="s">
        <v>508</v>
      </c>
      <c r="B315" s="30">
        <v>3024.3151199999993</v>
      </c>
    </row>
    <row r="316" spans="1:2" x14ac:dyDescent="0.35">
      <c r="A316" s="24" t="s">
        <v>435</v>
      </c>
      <c r="B316" s="30">
        <v>2753.1560999999983</v>
      </c>
    </row>
    <row r="317" spans="1:2" x14ac:dyDescent="0.35">
      <c r="A317" s="24" t="s">
        <v>417</v>
      </c>
      <c r="B317" s="30">
        <v>2742.9239000000007</v>
      </c>
    </row>
    <row r="318" spans="1:2" x14ac:dyDescent="0.35">
      <c r="A318" s="24" t="s">
        <v>99</v>
      </c>
      <c r="B318" s="30">
        <v>2587.1424799999986</v>
      </c>
    </row>
    <row r="319" spans="1:2" x14ac:dyDescent="0.35">
      <c r="A319" s="24" t="s">
        <v>348</v>
      </c>
      <c r="B319" s="30">
        <v>2449.7572500000001</v>
      </c>
    </row>
    <row r="320" spans="1:2" x14ac:dyDescent="0.35">
      <c r="A320" s="24" t="s">
        <v>409</v>
      </c>
      <c r="B320" s="30">
        <v>2013.3384200000019</v>
      </c>
    </row>
    <row r="321" spans="1:2" x14ac:dyDescent="0.35">
      <c r="A321" s="24" t="s">
        <v>394</v>
      </c>
      <c r="B321" s="30">
        <v>1875.6429999999982</v>
      </c>
    </row>
    <row r="322" spans="1:2" x14ac:dyDescent="0.35">
      <c r="A322" s="24" t="s">
        <v>344</v>
      </c>
      <c r="B322" s="30">
        <v>1329.0108000000002</v>
      </c>
    </row>
    <row r="323" spans="1:2" x14ac:dyDescent="0.35">
      <c r="A323" s="24" t="s">
        <v>612</v>
      </c>
      <c r="B323" s="30">
        <v>1274.63688</v>
      </c>
    </row>
    <row r="324" spans="1:2" x14ac:dyDescent="0.35">
      <c r="A324" s="24" t="s">
        <v>598</v>
      </c>
      <c r="B324" s="30">
        <v>1250.7751599999997</v>
      </c>
    </row>
    <row r="325" spans="1:2" x14ac:dyDescent="0.35">
      <c r="A325" s="24" t="s">
        <v>341</v>
      </c>
      <c r="B325" s="30">
        <v>1117.1131499999997</v>
      </c>
    </row>
    <row r="326" spans="1:2" x14ac:dyDescent="0.35">
      <c r="A326" s="24" t="s">
        <v>319</v>
      </c>
      <c r="B326" s="30">
        <v>948.27071999999976</v>
      </c>
    </row>
    <row r="327" spans="1:2" x14ac:dyDescent="0.35">
      <c r="A327" s="24" t="s">
        <v>328</v>
      </c>
      <c r="B327" s="30">
        <v>847.49335999999948</v>
      </c>
    </row>
    <row r="328" spans="1:2" x14ac:dyDescent="0.35">
      <c r="A328" s="24" t="s">
        <v>204</v>
      </c>
      <c r="B328" s="30">
        <v>661.72535000000062</v>
      </c>
    </row>
    <row r="329" spans="1:2" x14ac:dyDescent="0.35">
      <c r="A329" s="24" t="s">
        <v>321</v>
      </c>
      <c r="B329" s="30">
        <v>580.64128000000073</v>
      </c>
    </row>
    <row r="330" spans="1:2" x14ac:dyDescent="0.35">
      <c r="A330" s="24" t="s">
        <v>225</v>
      </c>
      <c r="B330" s="30">
        <v>420.30719999999997</v>
      </c>
    </row>
    <row r="331" spans="1:2" x14ac:dyDescent="0.35">
      <c r="A331" s="24" t="s">
        <v>271</v>
      </c>
      <c r="B331" s="30">
        <v>326.32055999999966</v>
      </c>
    </row>
    <row r="332" spans="1:2" x14ac:dyDescent="0.35">
      <c r="A332" s="24" t="s">
        <v>499</v>
      </c>
      <c r="B332" s="30">
        <v>142.1317199999994</v>
      </c>
    </row>
    <row r="333" spans="1:2" x14ac:dyDescent="0.35">
      <c r="A333" s="24" t="s">
        <v>214</v>
      </c>
      <c r="B333" s="30">
        <v>-40.490820000000895</v>
      </c>
    </row>
    <row r="334" spans="1:2" x14ac:dyDescent="0.35">
      <c r="A334" s="24" t="s">
        <v>192</v>
      </c>
      <c r="B334" s="30">
        <v>-188.05708999999996</v>
      </c>
    </row>
    <row r="335" spans="1:2" x14ac:dyDescent="0.35">
      <c r="A335" s="24" t="s">
        <v>347</v>
      </c>
      <c r="B335" s="30">
        <v>-314.85760000000028</v>
      </c>
    </row>
    <row r="336" spans="1:2" x14ac:dyDescent="0.35">
      <c r="A336" s="24" t="s">
        <v>181</v>
      </c>
      <c r="B336" s="30">
        <v>-687.08130000000165</v>
      </c>
    </row>
    <row r="337" spans="1:2" x14ac:dyDescent="0.35">
      <c r="A337" s="24" t="s">
        <v>146</v>
      </c>
      <c r="B337" s="30">
        <v>-1697.6165800000008</v>
      </c>
    </row>
    <row r="338" spans="1:2" x14ac:dyDescent="0.35">
      <c r="A338" s="24" t="s">
        <v>167</v>
      </c>
      <c r="B338" s="30">
        <v>-2445.7271999999994</v>
      </c>
    </row>
    <row r="339" spans="1:2" x14ac:dyDescent="0.35">
      <c r="A339" s="24" t="s">
        <v>399</v>
      </c>
      <c r="B339" s="30">
        <v>-13932.289700000001</v>
      </c>
    </row>
    <row r="340" spans="1:2" x14ac:dyDescent="0.35">
      <c r="A340" s="19" t="s">
        <v>714</v>
      </c>
      <c r="B340" s="30">
        <v>157981.33567599999</v>
      </c>
    </row>
    <row r="341" spans="1:2" x14ac:dyDescent="0.35">
      <c r="A341" s="24" t="s">
        <v>110</v>
      </c>
      <c r="B341" s="30">
        <v>23682.78611999999</v>
      </c>
    </row>
    <row r="342" spans="1:2" x14ac:dyDescent="0.35">
      <c r="A342" s="24" t="s">
        <v>569</v>
      </c>
      <c r="B342" s="30">
        <v>18094.537499999999</v>
      </c>
    </row>
    <row r="343" spans="1:2" x14ac:dyDescent="0.35">
      <c r="A343" s="24" t="s">
        <v>528</v>
      </c>
      <c r="B343" s="30">
        <v>17596.920000000006</v>
      </c>
    </row>
    <row r="344" spans="1:2" x14ac:dyDescent="0.35">
      <c r="A344" s="24" t="s">
        <v>267</v>
      </c>
      <c r="B344" s="30">
        <v>12700.39488</v>
      </c>
    </row>
    <row r="345" spans="1:2" x14ac:dyDescent="0.35">
      <c r="A345" s="24" t="s">
        <v>343</v>
      </c>
      <c r="B345" s="30">
        <v>12650.022000000001</v>
      </c>
    </row>
    <row r="346" spans="1:2" x14ac:dyDescent="0.35">
      <c r="A346" s="24" t="s">
        <v>174</v>
      </c>
      <c r="B346" s="30">
        <v>12178.014519999993</v>
      </c>
    </row>
    <row r="347" spans="1:2" x14ac:dyDescent="0.35">
      <c r="A347" s="24" t="s">
        <v>75</v>
      </c>
      <c r="B347" s="30">
        <v>10156.301800000008</v>
      </c>
    </row>
    <row r="348" spans="1:2" x14ac:dyDescent="0.35">
      <c r="A348" s="24" t="s">
        <v>366</v>
      </c>
      <c r="B348" s="30">
        <v>8381.3829799999985</v>
      </c>
    </row>
    <row r="349" spans="1:2" x14ac:dyDescent="0.35">
      <c r="A349" s="24" t="s">
        <v>488</v>
      </c>
      <c r="B349" s="30">
        <v>8370.8954999999969</v>
      </c>
    </row>
    <row r="350" spans="1:2" x14ac:dyDescent="0.35">
      <c r="A350" s="24" t="s">
        <v>521</v>
      </c>
      <c r="B350" s="30">
        <v>7333.3067999999994</v>
      </c>
    </row>
    <row r="351" spans="1:2" x14ac:dyDescent="0.35">
      <c r="A351" s="24" t="s">
        <v>265</v>
      </c>
      <c r="B351" s="30">
        <v>5892.3036000000011</v>
      </c>
    </row>
    <row r="352" spans="1:2" x14ac:dyDescent="0.35">
      <c r="A352" s="24" t="s">
        <v>178</v>
      </c>
      <c r="B352" s="30">
        <v>5844.0739999999996</v>
      </c>
    </row>
    <row r="353" spans="1:2" x14ac:dyDescent="0.35">
      <c r="A353" s="24" t="s">
        <v>270</v>
      </c>
      <c r="B353" s="30">
        <v>5840.7196499999991</v>
      </c>
    </row>
    <row r="354" spans="1:2" x14ac:dyDescent="0.35">
      <c r="A354" s="24" t="s">
        <v>396</v>
      </c>
      <c r="B354" s="30">
        <v>5584.5999999999985</v>
      </c>
    </row>
    <row r="355" spans="1:2" x14ac:dyDescent="0.35">
      <c r="A355" s="24" t="s">
        <v>77</v>
      </c>
      <c r="B355" s="30">
        <v>4309.9539999999997</v>
      </c>
    </row>
    <row r="356" spans="1:2" x14ac:dyDescent="0.35">
      <c r="A356" s="24" t="s">
        <v>94</v>
      </c>
      <c r="B356" s="30">
        <v>1509.0979800000005</v>
      </c>
    </row>
    <row r="357" spans="1:2" x14ac:dyDescent="0.35">
      <c r="A357" s="24" t="s">
        <v>592</v>
      </c>
      <c r="B357" s="30">
        <v>1473.4734000000008</v>
      </c>
    </row>
    <row r="358" spans="1:2" x14ac:dyDescent="0.35">
      <c r="A358" s="24" t="s">
        <v>259</v>
      </c>
      <c r="B358" s="30">
        <v>1400.1489199999999</v>
      </c>
    </row>
    <row r="359" spans="1:2" x14ac:dyDescent="0.35">
      <c r="A359" s="24" t="s">
        <v>229</v>
      </c>
      <c r="B359" s="30">
        <v>1386.4697999999989</v>
      </c>
    </row>
    <row r="360" spans="1:2" x14ac:dyDescent="0.35">
      <c r="A360" s="24" t="s">
        <v>407</v>
      </c>
      <c r="B360" s="30">
        <v>1049.07402</v>
      </c>
    </row>
    <row r="361" spans="1:2" x14ac:dyDescent="0.35">
      <c r="A361" s="24" t="s">
        <v>332</v>
      </c>
      <c r="B361" s="30">
        <v>880.30409999999983</v>
      </c>
    </row>
    <row r="362" spans="1:2" x14ac:dyDescent="0.35">
      <c r="A362" s="24" t="s">
        <v>544</v>
      </c>
      <c r="B362" s="30">
        <v>827.62866000000031</v>
      </c>
    </row>
    <row r="363" spans="1:2" x14ac:dyDescent="0.35">
      <c r="A363" s="24" t="s">
        <v>17</v>
      </c>
      <c r="B363" s="30">
        <v>750.24633600000016</v>
      </c>
    </row>
    <row r="364" spans="1:2" x14ac:dyDescent="0.35">
      <c r="A364" s="24" t="s">
        <v>54</v>
      </c>
      <c r="B364" s="30">
        <v>736.28838000000042</v>
      </c>
    </row>
    <row r="365" spans="1:2" x14ac:dyDescent="0.35">
      <c r="A365" s="24" t="s">
        <v>383</v>
      </c>
      <c r="B365" s="30">
        <v>483.17359999999962</v>
      </c>
    </row>
    <row r="366" spans="1:2" x14ac:dyDescent="0.35">
      <c r="A366" s="24" t="s">
        <v>634</v>
      </c>
      <c r="B366" s="30">
        <v>277.66739999999993</v>
      </c>
    </row>
    <row r="367" spans="1:2" x14ac:dyDescent="0.35">
      <c r="A367" s="24" t="s">
        <v>403</v>
      </c>
      <c r="B367" s="30">
        <v>210.27248000000006</v>
      </c>
    </row>
    <row r="368" spans="1:2" x14ac:dyDescent="0.35">
      <c r="A368" s="24" t="s">
        <v>134</v>
      </c>
      <c r="B368" s="30">
        <v>187.20848999999998</v>
      </c>
    </row>
    <row r="369" spans="1:2" x14ac:dyDescent="0.35">
      <c r="A369" s="24" t="s">
        <v>235</v>
      </c>
      <c r="B369" s="30">
        <v>180.13699999999994</v>
      </c>
    </row>
    <row r="370" spans="1:2" x14ac:dyDescent="0.35">
      <c r="A370" s="24" t="s">
        <v>325</v>
      </c>
      <c r="B370" s="30">
        <v>60.978399999999965</v>
      </c>
    </row>
    <row r="371" spans="1:2" x14ac:dyDescent="0.35">
      <c r="A371" s="24" t="s">
        <v>507</v>
      </c>
      <c r="B371" s="30">
        <v>56.749199999999995</v>
      </c>
    </row>
    <row r="372" spans="1:2" x14ac:dyDescent="0.35">
      <c r="A372" s="24" t="s">
        <v>545</v>
      </c>
      <c r="B372" s="30">
        <v>33.349799999999846</v>
      </c>
    </row>
    <row r="373" spans="1:2" x14ac:dyDescent="0.35">
      <c r="A373" s="24" t="s">
        <v>138</v>
      </c>
      <c r="B373" s="30">
        <v>-90.738400000000183</v>
      </c>
    </row>
    <row r="374" spans="1:2" x14ac:dyDescent="0.35">
      <c r="A374" s="24" t="s">
        <v>96</v>
      </c>
      <c r="B374" s="30">
        <v>-684.33167999999932</v>
      </c>
    </row>
    <row r="375" spans="1:2" x14ac:dyDescent="0.35">
      <c r="A375" s="24" t="s">
        <v>463</v>
      </c>
      <c r="B375" s="30">
        <v>-1143.8999999999978</v>
      </c>
    </row>
    <row r="376" spans="1:2" x14ac:dyDescent="0.35">
      <c r="A376" s="24" t="s">
        <v>352</v>
      </c>
      <c r="B376" s="30">
        <v>-1539.9684000000002</v>
      </c>
    </row>
    <row r="377" spans="1:2" x14ac:dyDescent="0.35">
      <c r="A377" s="24" t="s">
        <v>421</v>
      </c>
      <c r="B377" s="30">
        <v>-4332.002040000003</v>
      </c>
    </row>
    <row r="378" spans="1:2" x14ac:dyDescent="0.35">
      <c r="A378" s="24" t="s">
        <v>206</v>
      </c>
      <c r="B378" s="30">
        <v>-4346.2051199999987</v>
      </c>
    </row>
    <row r="379" spans="1:2" x14ac:dyDescent="0.35">
      <c r="A379" s="19" t="s">
        <v>713</v>
      </c>
      <c r="B379" s="30">
        <v>273113.11228000006</v>
      </c>
    </row>
    <row r="380" spans="1:2" x14ac:dyDescent="0.35">
      <c r="A380" s="24" t="s">
        <v>360</v>
      </c>
      <c r="B380" s="30">
        <v>36649.677010000007</v>
      </c>
    </row>
    <row r="381" spans="1:2" x14ac:dyDescent="0.35">
      <c r="A381" s="24" t="s">
        <v>638</v>
      </c>
      <c r="B381" s="30">
        <v>23519.177499999998</v>
      </c>
    </row>
    <row r="382" spans="1:2" x14ac:dyDescent="0.35">
      <c r="A382" s="24" t="s">
        <v>213</v>
      </c>
      <c r="B382" s="30">
        <v>22872.233749999999</v>
      </c>
    </row>
    <row r="383" spans="1:2" x14ac:dyDescent="0.35">
      <c r="A383" s="24" t="s">
        <v>617</v>
      </c>
      <c r="B383" s="30">
        <v>20355.867999999999</v>
      </c>
    </row>
    <row r="384" spans="1:2" x14ac:dyDescent="0.35">
      <c r="A384" s="24" t="s">
        <v>492</v>
      </c>
      <c r="B384" s="30">
        <v>20094.585840000003</v>
      </c>
    </row>
    <row r="385" spans="1:2" x14ac:dyDescent="0.35">
      <c r="A385" s="24" t="s">
        <v>548</v>
      </c>
      <c r="B385" s="30">
        <v>19412.054400000008</v>
      </c>
    </row>
    <row r="386" spans="1:2" x14ac:dyDescent="0.35">
      <c r="A386" s="24" t="s">
        <v>443</v>
      </c>
      <c r="B386" s="30">
        <v>18674.741999999995</v>
      </c>
    </row>
    <row r="387" spans="1:2" x14ac:dyDescent="0.35">
      <c r="A387" s="24" t="s">
        <v>496</v>
      </c>
      <c r="B387" s="30">
        <v>16862.697000000004</v>
      </c>
    </row>
    <row r="388" spans="1:2" x14ac:dyDescent="0.35">
      <c r="A388" s="24" t="s">
        <v>221</v>
      </c>
      <c r="B388" s="30">
        <v>14990.295839999995</v>
      </c>
    </row>
    <row r="389" spans="1:2" x14ac:dyDescent="0.35">
      <c r="A389" s="24" t="s">
        <v>338</v>
      </c>
      <c r="B389" s="30">
        <v>14901.819459999995</v>
      </c>
    </row>
    <row r="390" spans="1:2" x14ac:dyDescent="0.35">
      <c r="A390" s="24" t="s">
        <v>35</v>
      </c>
      <c r="B390" s="30">
        <v>13321.51072</v>
      </c>
    </row>
    <row r="391" spans="1:2" x14ac:dyDescent="0.35">
      <c r="A391" s="24" t="s">
        <v>125</v>
      </c>
      <c r="B391" s="30">
        <v>12820.409999999998</v>
      </c>
    </row>
    <row r="392" spans="1:2" x14ac:dyDescent="0.35">
      <c r="A392" s="24" t="s">
        <v>239</v>
      </c>
      <c r="B392" s="30">
        <v>10769.349499999998</v>
      </c>
    </row>
    <row r="393" spans="1:2" x14ac:dyDescent="0.35">
      <c r="A393" s="24" t="s">
        <v>122</v>
      </c>
      <c r="B393" s="30">
        <v>10021.924440000003</v>
      </c>
    </row>
    <row r="394" spans="1:2" x14ac:dyDescent="0.35">
      <c r="A394" s="24" t="s">
        <v>382</v>
      </c>
      <c r="B394" s="30">
        <v>7386.7860000000019</v>
      </c>
    </row>
    <row r="395" spans="1:2" x14ac:dyDescent="0.35">
      <c r="A395" s="24" t="s">
        <v>179</v>
      </c>
      <c r="B395" s="30">
        <v>4504.4463999999998</v>
      </c>
    </row>
    <row r="396" spans="1:2" x14ac:dyDescent="0.35">
      <c r="A396" s="24" t="s">
        <v>449</v>
      </c>
      <c r="B396" s="30">
        <v>4025.4000000000015</v>
      </c>
    </row>
    <row r="397" spans="1:2" x14ac:dyDescent="0.35">
      <c r="A397" s="24" t="s">
        <v>315</v>
      </c>
      <c r="B397" s="30">
        <v>4017.1204799999987</v>
      </c>
    </row>
    <row r="398" spans="1:2" x14ac:dyDescent="0.35">
      <c r="A398" s="24" t="s">
        <v>505</v>
      </c>
      <c r="B398" s="30">
        <v>3688.2</v>
      </c>
    </row>
    <row r="399" spans="1:2" x14ac:dyDescent="0.35">
      <c r="A399" s="24" t="s">
        <v>198</v>
      </c>
      <c r="B399" s="30">
        <v>3164.4668300000012</v>
      </c>
    </row>
    <row r="400" spans="1:2" x14ac:dyDescent="0.35">
      <c r="A400" s="24" t="s">
        <v>318</v>
      </c>
      <c r="B400" s="30">
        <v>3153.2256000000002</v>
      </c>
    </row>
    <row r="401" spans="1:2" x14ac:dyDescent="0.35">
      <c r="A401" s="24" t="s">
        <v>61</v>
      </c>
      <c r="B401" s="30">
        <v>2744.8199999999997</v>
      </c>
    </row>
    <row r="402" spans="1:2" x14ac:dyDescent="0.35">
      <c r="A402" s="24" t="s">
        <v>27</v>
      </c>
      <c r="B402" s="30">
        <v>1652.8040000000001</v>
      </c>
    </row>
    <row r="403" spans="1:2" x14ac:dyDescent="0.35">
      <c r="A403" s="24" t="s">
        <v>200</v>
      </c>
      <c r="B403" s="30">
        <v>1576.3499999999985</v>
      </c>
    </row>
    <row r="404" spans="1:2" x14ac:dyDescent="0.35">
      <c r="A404" s="24" t="s">
        <v>284</v>
      </c>
      <c r="B404" s="30">
        <v>1416.9634999999998</v>
      </c>
    </row>
    <row r="405" spans="1:2" x14ac:dyDescent="0.35">
      <c r="A405" s="24" t="s">
        <v>254</v>
      </c>
      <c r="B405" s="30">
        <v>1354.0691200000006</v>
      </c>
    </row>
    <row r="406" spans="1:2" x14ac:dyDescent="0.35">
      <c r="A406" s="24" t="s">
        <v>151</v>
      </c>
      <c r="B406" s="30">
        <v>1225.2638399999978</v>
      </c>
    </row>
    <row r="407" spans="1:2" x14ac:dyDescent="0.35">
      <c r="A407" s="24" t="s">
        <v>635</v>
      </c>
      <c r="B407" s="30">
        <v>1174.4513199999999</v>
      </c>
    </row>
    <row r="408" spans="1:2" x14ac:dyDescent="0.35">
      <c r="A408" s="24" t="s">
        <v>361</v>
      </c>
      <c r="B408" s="30">
        <v>1040.7000000000003</v>
      </c>
    </row>
    <row r="409" spans="1:2" x14ac:dyDescent="0.35">
      <c r="A409" s="24" t="s">
        <v>534</v>
      </c>
      <c r="B409" s="30">
        <v>1025.2031999999999</v>
      </c>
    </row>
    <row r="410" spans="1:2" x14ac:dyDescent="0.35">
      <c r="A410" s="24" t="s">
        <v>208</v>
      </c>
      <c r="B410" s="30">
        <v>931.85976000000028</v>
      </c>
    </row>
    <row r="411" spans="1:2" x14ac:dyDescent="0.35">
      <c r="A411" s="24" t="s">
        <v>123</v>
      </c>
      <c r="B411" s="30">
        <v>838.99999999999989</v>
      </c>
    </row>
    <row r="412" spans="1:2" x14ac:dyDescent="0.35">
      <c r="A412" s="24" t="s">
        <v>478</v>
      </c>
      <c r="B412" s="30">
        <v>706.32592</v>
      </c>
    </row>
    <row r="413" spans="1:2" x14ac:dyDescent="0.35">
      <c r="A413" s="24" t="s">
        <v>461</v>
      </c>
      <c r="B413" s="30">
        <v>700.32725000000028</v>
      </c>
    </row>
    <row r="414" spans="1:2" x14ac:dyDescent="0.35">
      <c r="A414" s="24" t="s">
        <v>184</v>
      </c>
      <c r="B414" s="30">
        <v>597.01219999999967</v>
      </c>
    </row>
    <row r="415" spans="1:2" x14ac:dyDescent="0.35">
      <c r="A415" s="24" t="s">
        <v>368</v>
      </c>
      <c r="B415" s="30">
        <v>568.58960000000025</v>
      </c>
    </row>
    <row r="416" spans="1:2" x14ac:dyDescent="0.35">
      <c r="A416" s="24" t="s">
        <v>586</v>
      </c>
      <c r="B416" s="30">
        <v>388.23536000000001</v>
      </c>
    </row>
    <row r="417" spans="1:2" x14ac:dyDescent="0.35">
      <c r="A417" s="24" t="s">
        <v>299</v>
      </c>
      <c r="B417" s="30">
        <v>95.32740000000058</v>
      </c>
    </row>
    <row r="418" spans="1:2" x14ac:dyDescent="0.35">
      <c r="A418" s="24" t="s">
        <v>50</v>
      </c>
      <c r="B418" s="30">
        <v>26.034310000000914</v>
      </c>
    </row>
    <row r="419" spans="1:2" x14ac:dyDescent="0.35">
      <c r="A419" s="24" t="s">
        <v>121</v>
      </c>
      <c r="B419" s="30">
        <v>17.504369999999994</v>
      </c>
    </row>
    <row r="420" spans="1:2" x14ac:dyDescent="0.35">
      <c r="A420" s="24" t="s">
        <v>312</v>
      </c>
      <c r="B420" s="30">
        <v>-34.959239999999994</v>
      </c>
    </row>
    <row r="421" spans="1:2" x14ac:dyDescent="0.35">
      <c r="A421" s="24" t="s">
        <v>116</v>
      </c>
      <c r="B421" s="30">
        <v>-574.62240000000111</v>
      </c>
    </row>
    <row r="422" spans="1:2" x14ac:dyDescent="0.35">
      <c r="A422" s="24" t="s">
        <v>471</v>
      </c>
      <c r="B422" s="30">
        <v>-716.66688000000067</v>
      </c>
    </row>
    <row r="423" spans="1:2" x14ac:dyDescent="0.35">
      <c r="A423" s="24" t="s">
        <v>446</v>
      </c>
      <c r="B423" s="30">
        <v>-1214.2760000000003</v>
      </c>
    </row>
    <row r="424" spans="1:2" x14ac:dyDescent="0.35">
      <c r="A424" s="24" t="s">
        <v>207</v>
      </c>
      <c r="B424" s="30">
        <v>-1516.5235200000006</v>
      </c>
    </row>
    <row r="425" spans="1:2" x14ac:dyDescent="0.35">
      <c r="A425" s="24" t="s">
        <v>161</v>
      </c>
      <c r="B425" s="30">
        <v>-1785.8571000000006</v>
      </c>
    </row>
    <row r="426" spans="1:2" x14ac:dyDescent="0.35">
      <c r="A426" s="24" t="s">
        <v>636</v>
      </c>
      <c r="B426" s="30">
        <v>-1911.76512</v>
      </c>
    </row>
    <row r="427" spans="1:2" x14ac:dyDescent="0.35">
      <c r="A427" s="24" t="s">
        <v>402</v>
      </c>
      <c r="B427" s="30">
        <v>-3220.9520899999989</v>
      </c>
    </row>
    <row r="428" spans="1:2" x14ac:dyDescent="0.35">
      <c r="A428" s="24" t="s">
        <v>88</v>
      </c>
      <c r="B428" s="30">
        <v>-3542.4397800000006</v>
      </c>
    </row>
    <row r="429" spans="1:2" x14ac:dyDescent="0.35">
      <c r="A429" s="24" t="s">
        <v>16</v>
      </c>
      <c r="B429" s="30">
        <v>-15655.657510000005</v>
      </c>
    </row>
    <row r="430" spans="1:2" x14ac:dyDescent="0.35">
      <c r="A430" s="19" t="s">
        <v>723</v>
      </c>
      <c r="B430" s="30">
        <v>278762.26936000003</v>
      </c>
    </row>
    <row r="431" spans="1:2" x14ac:dyDescent="0.35">
      <c r="A431" s="24" t="s">
        <v>190</v>
      </c>
      <c r="B431" s="30">
        <v>38988.19</v>
      </c>
    </row>
    <row r="432" spans="1:2" x14ac:dyDescent="0.35">
      <c r="A432" s="24" t="s">
        <v>445</v>
      </c>
      <c r="B432" s="30">
        <v>32830.14</v>
      </c>
    </row>
    <row r="433" spans="1:2" x14ac:dyDescent="0.35">
      <c r="A433" s="24" t="s">
        <v>155</v>
      </c>
      <c r="B433" s="30">
        <v>22992.449919999992</v>
      </c>
    </row>
    <row r="434" spans="1:2" x14ac:dyDescent="0.35">
      <c r="A434" s="24" t="s">
        <v>336</v>
      </c>
      <c r="B434" s="30">
        <v>21349.434539999998</v>
      </c>
    </row>
    <row r="435" spans="1:2" x14ac:dyDescent="0.35">
      <c r="A435" s="24" t="s">
        <v>519</v>
      </c>
      <c r="B435" s="30">
        <v>17322.55802</v>
      </c>
    </row>
    <row r="436" spans="1:2" x14ac:dyDescent="0.35">
      <c r="A436" s="24" t="s">
        <v>386</v>
      </c>
      <c r="B436" s="30">
        <v>15712.274740000001</v>
      </c>
    </row>
    <row r="437" spans="1:2" x14ac:dyDescent="0.35">
      <c r="A437" s="24" t="s">
        <v>168</v>
      </c>
      <c r="B437" s="30">
        <v>14795.950080000001</v>
      </c>
    </row>
    <row r="438" spans="1:2" x14ac:dyDescent="0.35">
      <c r="A438" s="24" t="s">
        <v>233</v>
      </c>
      <c r="B438" s="30">
        <v>12346.561240000001</v>
      </c>
    </row>
    <row r="439" spans="1:2" x14ac:dyDescent="0.35">
      <c r="A439" s="24" t="s">
        <v>362</v>
      </c>
      <c r="B439" s="30">
        <v>12237.134079999998</v>
      </c>
    </row>
    <row r="440" spans="1:2" x14ac:dyDescent="0.35">
      <c r="A440" s="24" t="s">
        <v>216</v>
      </c>
      <c r="B440" s="30">
        <v>9950.4599999999991</v>
      </c>
    </row>
    <row r="441" spans="1:2" x14ac:dyDescent="0.35">
      <c r="A441" s="24" t="s">
        <v>408</v>
      </c>
      <c r="B441" s="30">
        <v>9437.7689599999994</v>
      </c>
    </row>
    <row r="442" spans="1:2" x14ac:dyDescent="0.35">
      <c r="A442" s="24" t="s">
        <v>609</v>
      </c>
      <c r="B442" s="30">
        <v>8129.7396000000017</v>
      </c>
    </row>
    <row r="443" spans="1:2" x14ac:dyDescent="0.35">
      <c r="A443" s="24" t="s">
        <v>79</v>
      </c>
      <c r="B443" s="30">
        <v>6364.275999999998</v>
      </c>
    </row>
    <row r="444" spans="1:2" x14ac:dyDescent="0.35">
      <c r="A444" s="24" t="s">
        <v>630</v>
      </c>
      <c r="B444" s="30">
        <v>6092.4014399999996</v>
      </c>
    </row>
    <row r="445" spans="1:2" x14ac:dyDescent="0.35">
      <c r="A445" s="24" t="s">
        <v>603</v>
      </c>
      <c r="B445" s="30">
        <v>5877.0835200000001</v>
      </c>
    </row>
    <row r="446" spans="1:2" x14ac:dyDescent="0.35">
      <c r="A446" s="24" t="s">
        <v>516</v>
      </c>
      <c r="B446" s="30">
        <v>5478.4129400000002</v>
      </c>
    </row>
    <row r="447" spans="1:2" x14ac:dyDescent="0.35">
      <c r="A447" s="24" t="s">
        <v>288</v>
      </c>
      <c r="B447" s="30">
        <v>5377.619099999999</v>
      </c>
    </row>
    <row r="448" spans="1:2" x14ac:dyDescent="0.35">
      <c r="A448" s="24" t="s">
        <v>209</v>
      </c>
      <c r="B448" s="30">
        <v>4994.4471599999997</v>
      </c>
    </row>
    <row r="449" spans="1:2" x14ac:dyDescent="0.35">
      <c r="A449" s="24" t="s">
        <v>242</v>
      </c>
      <c r="B449" s="30">
        <v>4476.3208099999974</v>
      </c>
    </row>
    <row r="450" spans="1:2" x14ac:dyDescent="0.35">
      <c r="A450" s="24" t="s">
        <v>156</v>
      </c>
      <c r="B450" s="30">
        <v>3695.3442000000005</v>
      </c>
    </row>
    <row r="451" spans="1:2" x14ac:dyDescent="0.35">
      <c r="A451" s="24" t="s">
        <v>392</v>
      </c>
      <c r="B451" s="30">
        <v>3551.3889600000011</v>
      </c>
    </row>
    <row r="452" spans="1:2" x14ac:dyDescent="0.35">
      <c r="A452" s="24" t="s">
        <v>56</v>
      </c>
      <c r="B452" s="30">
        <v>3321.5399999999991</v>
      </c>
    </row>
    <row r="453" spans="1:2" x14ac:dyDescent="0.35">
      <c r="A453" s="24" t="s">
        <v>487</v>
      </c>
      <c r="B453" s="30">
        <v>3320.6713199999995</v>
      </c>
    </row>
    <row r="454" spans="1:2" x14ac:dyDescent="0.35">
      <c r="A454" s="24" t="s">
        <v>93</v>
      </c>
      <c r="B454" s="30">
        <v>3308.5931999999993</v>
      </c>
    </row>
    <row r="455" spans="1:2" x14ac:dyDescent="0.35">
      <c r="A455" s="24" t="s">
        <v>59</v>
      </c>
      <c r="B455" s="30">
        <v>3071.0345600000037</v>
      </c>
    </row>
    <row r="456" spans="1:2" x14ac:dyDescent="0.35">
      <c r="A456" s="24" t="s">
        <v>97</v>
      </c>
      <c r="B456" s="30">
        <v>2775.8196000000003</v>
      </c>
    </row>
    <row r="457" spans="1:2" x14ac:dyDescent="0.35">
      <c r="A457" s="24" t="s">
        <v>339</v>
      </c>
      <c r="B457" s="30">
        <v>1982.7283200000002</v>
      </c>
    </row>
    <row r="458" spans="1:2" x14ac:dyDescent="0.35">
      <c r="A458" s="24" t="s">
        <v>378</v>
      </c>
      <c r="B458" s="30">
        <v>1206.7310399999988</v>
      </c>
    </row>
    <row r="459" spans="1:2" x14ac:dyDescent="0.35">
      <c r="A459" s="24" t="s">
        <v>248</v>
      </c>
      <c r="B459" s="30">
        <v>1172.1485999999986</v>
      </c>
    </row>
    <row r="460" spans="1:2" x14ac:dyDescent="0.35">
      <c r="A460" s="24" t="s">
        <v>331</v>
      </c>
      <c r="B460" s="30">
        <v>1037.7937500000007</v>
      </c>
    </row>
    <row r="461" spans="1:2" x14ac:dyDescent="0.35">
      <c r="A461" s="24" t="s">
        <v>31</v>
      </c>
      <c r="B461" s="30">
        <v>998.17479999999341</v>
      </c>
    </row>
    <row r="462" spans="1:2" x14ac:dyDescent="0.35">
      <c r="A462" s="24" t="s">
        <v>632</v>
      </c>
      <c r="B462" s="30">
        <v>993.24888000000283</v>
      </c>
    </row>
    <row r="463" spans="1:2" x14ac:dyDescent="0.35">
      <c r="A463" s="24" t="s">
        <v>246</v>
      </c>
      <c r="B463" s="30">
        <v>903.68360000000007</v>
      </c>
    </row>
    <row r="464" spans="1:2" x14ac:dyDescent="0.35">
      <c r="A464" s="24" t="s">
        <v>502</v>
      </c>
      <c r="B464" s="30">
        <v>806.27655999999934</v>
      </c>
    </row>
    <row r="465" spans="1:2" x14ac:dyDescent="0.35">
      <c r="A465" s="24" t="s">
        <v>170</v>
      </c>
      <c r="B465" s="30">
        <v>614.64468000000124</v>
      </c>
    </row>
    <row r="466" spans="1:2" x14ac:dyDescent="0.35">
      <c r="A466" s="24" t="s">
        <v>101</v>
      </c>
      <c r="B466" s="30">
        <v>532.26440000000184</v>
      </c>
    </row>
    <row r="467" spans="1:2" x14ac:dyDescent="0.35">
      <c r="A467" s="24" t="s">
        <v>475</v>
      </c>
      <c r="B467" s="30">
        <v>235.04574000000002</v>
      </c>
    </row>
    <row r="468" spans="1:2" x14ac:dyDescent="0.35">
      <c r="A468" s="24" t="s">
        <v>546</v>
      </c>
      <c r="B468" s="30">
        <v>-1.0130400000000463</v>
      </c>
    </row>
    <row r="469" spans="1:2" x14ac:dyDescent="0.35">
      <c r="A469" s="24" t="s">
        <v>588</v>
      </c>
      <c r="B469" s="30">
        <v>-86.748960000000807</v>
      </c>
    </row>
    <row r="470" spans="1:2" x14ac:dyDescent="0.35">
      <c r="A470" s="24" t="s">
        <v>422</v>
      </c>
      <c r="B470" s="30">
        <v>-552.54583999999977</v>
      </c>
    </row>
    <row r="471" spans="1:2" x14ac:dyDescent="0.35">
      <c r="A471" s="24" t="s">
        <v>70</v>
      </c>
      <c r="B471" s="30">
        <v>-838.84467999999833</v>
      </c>
    </row>
    <row r="472" spans="1:2" x14ac:dyDescent="0.35">
      <c r="A472" s="24" t="s">
        <v>29</v>
      </c>
      <c r="B472" s="30">
        <v>-1788.2399999999998</v>
      </c>
    </row>
    <row r="473" spans="1:2" x14ac:dyDescent="0.35">
      <c r="A473" s="24" t="s">
        <v>377</v>
      </c>
      <c r="B473" s="30">
        <v>-1939.0766400000002</v>
      </c>
    </row>
    <row r="474" spans="1:2" x14ac:dyDescent="0.35">
      <c r="A474" s="24" t="s">
        <v>165</v>
      </c>
      <c r="B474" s="30">
        <v>-4311.6158400000013</v>
      </c>
    </row>
    <row r="475" spans="1:2" x14ac:dyDescent="0.35">
      <c r="A475" s="19" t="s">
        <v>716</v>
      </c>
      <c r="B475" s="30">
        <v>270154.73104999994</v>
      </c>
    </row>
    <row r="476" spans="1:2" x14ac:dyDescent="0.35">
      <c r="A476" s="24" t="s">
        <v>115</v>
      </c>
      <c r="B476" s="30">
        <v>31475.329999999998</v>
      </c>
    </row>
    <row r="477" spans="1:2" x14ac:dyDescent="0.35">
      <c r="A477" s="24" t="s">
        <v>180</v>
      </c>
      <c r="B477" s="30">
        <v>31306.100319999998</v>
      </c>
    </row>
    <row r="478" spans="1:2" x14ac:dyDescent="0.35">
      <c r="A478" s="24" t="s">
        <v>606</v>
      </c>
      <c r="B478" s="30">
        <v>25354.521920000003</v>
      </c>
    </row>
    <row r="479" spans="1:2" x14ac:dyDescent="0.35">
      <c r="A479" s="24" t="s">
        <v>551</v>
      </c>
      <c r="B479" s="30">
        <v>23833.066320000002</v>
      </c>
    </row>
    <row r="480" spans="1:2" x14ac:dyDescent="0.35">
      <c r="A480" s="24" t="s">
        <v>390</v>
      </c>
      <c r="B480" s="30">
        <v>16544.093059999999</v>
      </c>
    </row>
    <row r="481" spans="1:2" x14ac:dyDescent="0.35">
      <c r="A481" s="24" t="s">
        <v>92</v>
      </c>
      <c r="B481" s="30">
        <v>14141.576480000007</v>
      </c>
    </row>
    <row r="482" spans="1:2" x14ac:dyDescent="0.35">
      <c r="A482" s="24" t="s">
        <v>466</v>
      </c>
      <c r="B482" s="30">
        <v>12880.125119999999</v>
      </c>
    </row>
    <row r="483" spans="1:2" x14ac:dyDescent="0.35">
      <c r="A483" s="24" t="s">
        <v>374</v>
      </c>
      <c r="B483" s="30">
        <v>12333.184799999999</v>
      </c>
    </row>
    <row r="484" spans="1:2" x14ac:dyDescent="0.35">
      <c r="A484" s="24" t="s">
        <v>576</v>
      </c>
      <c r="B484" s="30">
        <v>10347.694500000001</v>
      </c>
    </row>
    <row r="485" spans="1:2" x14ac:dyDescent="0.35">
      <c r="A485" s="24" t="s">
        <v>514</v>
      </c>
      <c r="B485" s="30">
        <v>9874.6355399999993</v>
      </c>
    </row>
    <row r="486" spans="1:2" x14ac:dyDescent="0.35">
      <c r="A486" s="24" t="s">
        <v>427</v>
      </c>
      <c r="B486" s="30">
        <v>7756.4106900000006</v>
      </c>
    </row>
    <row r="487" spans="1:2" x14ac:dyDescent="0.35">
      <c r="A487" s="24" t="s">
        <v>599</v>
      </c>
      <c r="B487" s="30">
        <v>7568.7026100000021</v>
      </c>
    </row>
    <row r="488" spans="1:2" x14ac:dyDescent="0.35">
      <c r="A488" s="24" t="s">
        <v>363</v>
      </c>
      <c r="B488" s="30">
        <v>6339.2946000000011</v>
      </c>
    </row>
    <row r="489" spans="1:2" x14ac:dyDescent="0.35">
      <c r="A489" s="24" t="s">
        <v>373</v>
      </c>
      <c r="B489" s="30">
        <v>6152.7419200000022</v>
      </c>
    </row>
    <row r="490" spans="1:2" x14ac:dyDescent="0.35">
      <c r="A490" s="24" t="s">
        <v>173</v>
      </c>
      <c r="B490" s="30">
        <v>5487.6788399999996</v>
      </c>
    </row>
    <row r="491" spans="1:2" x14ac:dyDescent="0.35">
      <c r="A491" s="24" t="s">
        <v>601</v>
      </c>
      <c r="B491" s="30">
        <v>5406.6759999999995</v>
      </c>
    </row>
    <row r="492" spans="1:2" x14ac:dyDescent="0.35">
      <c r="A492" s="24" t="s">
        <v>512</v>
      </c>
      <c r="B492" s="30">
        <v>4570.1896000000015</v>
      </c>
    </row>
    <row r="493" spans="1:2" x14ac:dyDescent="0.35">
      <c r="A493" s="24" t="s">
        <v>526</v>
      </c>
      <c r="B493" s="30">
        <v>4444.2353999999978</v>
      </c>
    </row>
    <row r="494" spans="1:2" x14ac:dyDescent="0.35">
      <c r="A494" s="24" t="s">
        <v>567</v>
      </c>
      <c r="B494" s="30">
        <v>4094.1692000000021</v>
      </c>
    </row>
    <row r="495" spans="1:2" x14ac:dyDescent="0.35">
      <c r="A495" s="24" t="s">
        <v>197</v>
      </c>
      <c r="B495" s="30">
        <v>3856.5059999999999</v>
      </c>
    </row>
    <row r="496" spans="1:2" x14ac:dyDescent="0.35">
      <c r="A496" s="24" t="s">
        <v>452</v>
      </c>
      <c r="B496" s="30">
        <v>3612.4492800000007</v>
      </c>
    </row>
    <row r="497" spans="1:2" x14ac:dyDescent="0.35">
      <c r="A497" s="24" t="s">
        <v>385</v>
      </c>
      <c r="B497" s="30">
        <v>3514.0600000000013</v>
      </c>
    </row>
    <row r="498" spans="1:2" x14ac:dyDescent="0.35">
      <c r="A498" s="24" t="s">
        <v>401</v>
      </c>
      <c r="B498" s="30">
        <v>3477.5026999999973</v>
      </c>
    </row>
    <row r="499" spans="1:2" x14ac:dyDescent="0.35">
      <c r="A499" s="24" t="s">
        <v>228</v>
      </c>
      <c r="B499" s="30">
        <v>3192.54936</v>
      </c>
    </row>
    <row r="500" spans="1:2" x14ac:dyDescent="0.35">
      <c r="A500" s="24" t="s">
        <v>457</v>
      </c>
      <c r="B500" s="30">
        <v>3078.7628799999998</v>
      </c>
    </row>
    <row r="501" spans="1:2" x14ac:dyDescent="0.35">
      <c r="A501" s="24" t="s">
        <v>342</v>
      </c>
      <c r="B501" s="30">
        <v>2830.2199999999984</v>
      </c>
    </row>
    <row r="502" spans="1:2" x14ac:dyDescent="0.35">
      <c r="A502" s="24" t="s">
        <v>346</v>
      </c>
      <c r="B502" s="30">
        <v>2776.3528000000006</v>
      </c>
    </row>
    <row r="503" spans="1:2" x14ac:dyDescent="0.35">
      <c r="A503" s="24" t="s">
        <v>158</v>
      </c>
      <c r="B503" s="30">
        <v>2614.3501500000002</v>
      </c>
    </row>
    <row r="504" spans="1:2" x14ac:dyDescent="0.35">
      <c r="A504" s="24" t="s">
        <v>222</v>
      </c>
      <c r="B504" s="30">
        <v>2093.1093699999965</v>
      </c>
    </row>
    <row r="505" spans="1:2" x14ac:dyDescent="0.35">
      <c r="A505" s="24" t="s">
        <v>72</v>
      </c>
      <c r="B505" s="30">
        <v>2015.5468000000005</v>
      </c>
    </row>
    <row r="506" spans="1:2" x14ac:dyDescent="0.35">
      <c r="A506" s="24" t="s">
        <v>322</v>
      </c>
      <c r="B506" s="30">
        <v>1910.7941999999989</v>
      </c>
    </row>
    <row r="507" spans="1:2" x14ac:dyDescent="0.35">
      <c r="A507" s="24" t="s">
        <v>568</v>
      </c>
      <c r="B507" s="30">
        <v>1906.4620800000012</v>
      </c>
    </row>
    <row r="508" spans="1:2" x14ac:dyDescent="0.35">
      <c r="A508" s="24" t="s">
        <v>578</v>
      </c>
      <c r="B508" s="30">
        <v>1373.3855999999996</v>
      </c>
    </row>
    <row r="509" spans="1:2" x14ac:dyDescent="0.35">
      <c r="A509" s="24" t="s">
        <v>19</v>
      </c>
      <c r="B509" s="30">
        <v>1012.529700000001</v>
      </c>
    </row>
    <row r="510" spans="1:2" x14ac:dyDescent="0.35">
      <c r="A510" s="24" t="s">
        <v>305</v>
      </c>
      <c r="B510" s="30">
        <v>311.12708000000009</v>
      </c>
    </row>
    <row r="511" spans="1:2" x14ac:dyDescent="0.35">
      <c r="A511" s="24" t="s">
        <v>600</v>
      </c>
      <c r="B511" s="30">
        <v>177.36</v>
      </c>
    </row>
    <row r="512" spans="1:2" x14ac:dyDescent="0.35">
      <c r="A512" s="24" t="s">
        <v>230</v>
      </c>
      <c r="B512" s="30">
        <v>139.68969000000106</v>
      </c>
    </row>
    <row r="513" spans="1:2" x14ac:dyDescent="0.35">
      <c r="A513" s="24" t="s">
        <v>195</v>
      </c>
      <c r="B513" s="30">
        <v>-3.3401600000000009</v>
      </c>
    </row>
    <row r="514" spans="1:2" x14ac:dyDescent="0.35">
      <c r="A514" s="24" t="s">
        <v>226</v>
      </c>
      <c r="B514" s="30">
        <v>-12.25536000000011</v>
      </c>
    </row>
    <row r="515" spans="1:2" x14ac:dyDescent="0.35">
      <c r="A515" s="24" t="s">
        <v>154</v>
      </c>
      <c r="B515" s="30">
        <v>-69.439300000000003</v>
      </c>
    </row>
    <row r="516" spans="1:2" x14ac:dyDescent="0.35">
      <c r="A516" s="24" t="s">
        <v>252</v>
      </c>
      <c r="B516" s="30">
        <v>-309.11250000000018</v>
      </c>
    </row>
    <row r="517" spans="1:2" x14ac:dyDescent="0.35">
      <c r="A517" s="24" t="s">
        <v>109</v>
      </c>
      <c r="B517" s="30">
        <v>-569.27760000000035</v>
      </c>
    </row>
    <row r="518" spans="1:2" x14ac:dyDescent="0.35">
      <c r="A518" s="24" t="s">
        <v>129</v>
      </c>
      <c r="B518" s="30">
        <v>-626.22</v>
      </c>
    </row>
    <row r="519" spans="1:2" x14ac:dyDescent="0.35">
      <c r="A519" s="24" t="s">
        <v>137</v>
      </c>
      <c r="B519" s="30">
        <v>-683.90712000000167</v>
      </c>
    </row>
    <row r="520" spans="1:2" x14ac:dyDescent="0.35">
      <c r="A520" s="24" t="s">
        <v>81</v>
      </c>
      <c r="B520" s="30">
        <v>-1301.0384000000031</v>
      </c>
    </row>
    <row r="521" spans="1:2" x14ac:dyDescent="0.35">
      <c r="A521" s="24" t="s">
        <v>303</v>
      </c>
      <c r="B521" s="30">
        <v>-6073.8631199999982</v>
      </c>
    </row>
    <row r="522" spans="1:2" x14ac:dyDescent="0.35">
      <c r="A522" s="19" t="s">
        <v>724</v>
      </c>
      <c r="B522" s="30">
        <v>313054.76715000003</v>
      </c>
    </row>
    <row r="523" spans="1:2" x14ac:dyDescent="0.35">
      <c r="A523" s="24" t="s">
        <v>627</v>
      </c>
      <c r="B523" s="30">
        <v>47729.039799999991</v>
      </c>
    </row>
    <row r="524" spans="1:2" x14ac:dyDescent="0.35">
      <c r="A524" s="24" t="s">
        <v>535</v>
      </c>
      <c r="B524" s="30">
        <v>34611.296999999999</v>
      </c>
    </row>
    <row r="525" spans="1:2" x14ac:dyDescent="0.35">
      <c r="A525" s="24" t="s">
        <v>141</v>
      </c>
      <c r="B525" s="30">
        <v>24667.226140000013</v>
      </c>
    </row>
    <row r="526" spans="1:2" x14ac:dyDescent="0.35">
      <c r="A526" s="24" t="s">
        <v>95</v>
      </c>
      <c r="B526" s="30">
        <v>23631.505299999997</v>
      </c>
    </row>
    <row r="527" spans="1:2" x14ac:dyDescent="0.35">
      <c r="A527" s="24" t="s">
        <v>34</v>
      </c>
      <c r="B527" s="30">
        <v>19975.662919999995</v>
      </c>
    </row>
    <row r="528" spans="1:2" x14ac:dyDescent="0.35">
      <c r="A528" s="24" t="s">
        <v>543</v>
      </c>
      <c r="B528" s="30">
        <v>19424.699999999997</v>
      </c>
    </row>
    <row r="529" spans="1:2" x14ac:dyDescent="0.35">
      <c r="A529" s="24" t="s">
        <v>327</v>
      </c>
      <c r="B529" s="30">
        <v>17626.95</v>
      </c>
    </row>
    <row r="530" spans="1:2" x14ac:dyDescent="0.35">
      <c r="A530" s="24" t="s">
        <v>489</v>
      </c>
      <c r="B530" s="30">
        <v>12003.372039999997</v>
      </c>
    </row>
    <row r="531" spans="1:2" x14ac:dyDescent="0.35">
      <c r="A531" s="24" t="s">
        <v>217</v>
      </c>
      <c r="B531" s="30">
        <v>11703.957579999995</v>
      </c>
    </row>
    <row r="532" spans="1:2" x14ac:dyDescent="0.35">
      <c r="A532" s="24" t="s">
        <v>354</v>
      </c>
      <c r="B532" s="30">
        <v>11590.847999999996</v>
      </c>
    </row>
    <row r="533" spans="1:2" x14ac:dyDescent="0.35">
      <c r="A533" s="24" t="s">
        <v>356</v>
      </c>
      <c r="B533" s="30">
        <v>11189.529999999999</v>
      </c>
    </row>
    <row r="534" spans="1:2" x14ac:dyDescent="0.35">
      <c r="A534" s="24" t="s">
        <v>126</v>
      </c>
      <c r="B534" s="30">
        <v>9970.4653199999957</v>
      </c>
    </row>
    <row r="535" spans="1:2" x14ac:dyDescent="0.35">
      <c r="A535" s="24" t="s">
        <v>454</v>
      </c>
      <c r="B535" s="30">
        <v>9896.7990000000009</v>
      </c>
    </row>
    <row r="536" spans="1:2" x14ac:dyDescent="0.35">
      <c r="A536" s="24" t="s">
        <v>482</v>
      </c>
      <c r="B536" s="30">
        <v>7697.7899999999972</v>
      </c>
    </row>
    <row r="537" spans="1:2" x14ac:dyDescent="0.35">
      <c r="A537" s="24" t="s">
        <v>486</v>
      </c>
      <c r="B537" s="30">
        <v>7606.243199999999</v>
      </c>
    </row>
    <row r="538" spans="1:2" x14ac:dyDescent="0.35">
      <c r="A538" s="24" t="s">
        <v>175</v>
      </c>
      <c r="B538" s="30">
        <v>7057.3714999999975</v>
      </c>
    </row>
    <row r="539" spans="1:2" x14ac:dyDescent="0.35">
      <c r="A539" s="24" t="s">
        <v>106</v>
      </c>
      <c r="B539" s="30">
        <v>6327.5579999999991</v>
      </c>
    </row>
    <row r="540" spans="1:2" x14ac:dyDescent="0.35">
      <c r="A540" s="24" t="s">
        <v>223</v>
      </c>
      <c r="B540" s="30">
        <v>5798.4071999999978</v>
      </c>
    </row>
    <row r="541" spans="1:2" x14ac:dyDescent="0.35">
      <c r="A541" s="24" t="s">
        <v>250</v>
      </c>
      <c r="B541" s="30">
        <v>4902.8217599999989</v>
      </c>
    </row>
    <row r="542" spans="1:2" x14ac:dyDescent="0.35">
      <c r="A542" s="24" t="s">
        <v>326</v>
      </c>
      <c r="B542" s="30">
        <v>4212.1007999999993</v>
      </c>
    </row>
    <row r="543" spans="1:2" x14ac:dyDescent="0.35">
      <c r="A543" s="24" t="s">
        <v>572</v>
      </c>
      <c r="B543" s="30">
        <v>4120.9564500000015</v>
      </c>
    </row>
    <row r="544" spans="1:2" x14ac:dyDescent="0.35">
      <c r="A544" s="24" t="s">
        <v>37</v>
      </c>
      <c r="B544" s="30">
        <v>3627.0920000000006</v>
      </c>
    </row>
    <row r="545" spans="1:2" x14ac:dyDescent="0.35">
      <c r="A545" s="24" t="s">
        <v>420</v>
      </c>
      <c r="B545" s="30">
        <v>3398.3838000000032</v>
      </c>
    </row>
    <row r="546" spans="1:2" x14ac:dyDescent="0.35">
      <c r="A546" s="24" t="s">
        <v>451</v>
      </c>
      <c r="B546" s="30">
        <v>3091.1091399999996</v>
      </c>
    </row>
    <row r="547" spans="1:2" x14ac:dyDescent="0.35">
      <c r="A547" s="24" t="s">
        <v>157</v>
      </c>
      <c r="B547" s="30">
        <v>3072.3358599999992</v>
      </c>
    </row>
    <row r="548" spans="1:2" x14ac:dyDescent="0.35">
      <c r="A548" s="24" t="s">
        <v>199</v>
      </c>
      <c r="B548" s="30">
        <v>2878.2584100000022</v>
      </c>
    </row>
    <row r="549" spans="1:2" x14ac:dyDescent="0.35">
      <c r="A549" s="24" t="s">
        <v>541</v>
      </c>
      <c r="B549" s="30">
        <v>2742.24</v>
      </c>
    </row>
    <row r="550" spans="1:2" x14ac:dyDescent="0.35">
      <c r="A550" s="24" t="s">
        <v>563</v>
      </c>
      <c r="B550" s="30">
        <v>2501.7599999999984</v>
      </c>
    </row>
    <row r="551" spans="1:2" x14ac:dyDescent="0.35">
      <c r="A551" s="24" t="s">
        <v>85</v>
      </c>
      <c r="B551" s="30">
        <v>2452.0571999999993</v>
      </c>
    </row>
    <row r="552" spans="1:2" x14ac:dyDescent="0.35">
      <c r="A552" s="24" t="s">
        <v>560</v>
      </c>
      <c r="B552" s="30">
        <v>2180.0596199999995</v>
      </c>
    </row>
    <row r="553" spans="1:2" x14ac:dyDescent="0.35">
      <c r="A553" s="24" t="s">
        <v>43</v>
      </c>
      <c r="B553" s="30">
        <v>2029.9500000000003</v>
      </c>
    </row>
    <row r="554" spans="1:2" x14ac:dyDescent="0.35">
      <c r="A554" s="24" t="s">
        <v>613</v>
      </c>
      <c r="B554" s="30">
        <v>1829.6422499999999</v>
      </c>
    </row>
    <row r="555" spans="1:2" x14ac:dyDescent="0.35">
      <c r="A555" s="24" t="s">
        <v>308</v>
      </c>
      <c r="B555" s="30">
        <v>1827.6839999999984</v>
      </c>
    </row>
    <row r="556" spans="1:2" x14ac:dyDescent="0.35">
      <c r="A556" s="24" t="s">
        <v>480</v>
      </c>
      <c r="B556" s="30">
        <v>1265.9967000000001</v>
      </c>
    </row>
    <row r="557" spans="1:2" x14ac:dyDescent="0.35">
      <c r="A557" s="24" t="s">
        <v>395</v>
      </c>
      <c r="B557" s="30">
        <v>1208.877599999998</v>
      </c>
    </row>
    <row r="558" spans="1:2" x14ac:dyDescent="0.35">
      <c r="A558" s="24" t="s">
        <v>384</v>
      </c>
      <c r="B558" s="30">
        <v>1176.75108</v>
      </c>
    </row>
    <row r="559" spans="1:2" x14ac:dyDescent="0.35">
      <c r="A559" s="24" t="s">
        <v>262</v>
      </c>
      <c r="B559" s="30">
        <v>378.92000000000007</v>
      </c>
    </row>
    <row r="560" spans="1:2" x14ac:dyDescent="0.35">
      <c r="A560" s="24" t="s">
        <v>476</v>
      </c>
      <c r="B560" s="30">
        <v>364.71759999999995</v>
      </c>
    </row>
    <row r="561" spans="1:2" x14ac:dyDescent="0.35">
      <c r="A561" s="24" t="s">
        <v>559</v>
      </c>
      <c r="B561" s="30">
        <v>353.03711999999905</v>
      </c>
    </row>
    <row r="562" spans="1:2" x14ac:dyDescent="0.35">
      <c r="A562" s="24" t="s">
        <v>589</v>
      </c>
      <c r="B562" s="30">
        <v>89.536600000000021</v>
      </c>
    </row>
    <row r="563" spans="1:2" x14ac:dyDescent="0.35">
      <c r="A563" s="24" t="s">
        <v>187</v>
      </c>
      <c r="B563" s="30">
        <v>28.5154</v>
      </c>
    </row>
    <row r="564" spans="1:2" x14ac:dyDescent="0.35">
      <c r="A564" s="24" t="s">
        <v>102</v>
      </c>
      <c r="B564" s="30">
        <v>-149.63339999999971</v>
      </c>
    </row>
    <row r="565" spans="1:2" x14ac:dyDescent="0.35">
      <c r="A565" s="24" t="s">
        <v>120</v>
      </c>
      <c r="B565" s="30">
        <v>-1809.9048000000003</v>
      </c>
    </row>
    <row r="566" spans="1:2" x14ac:dyDescent="0.35">
      <c r="A566" s="24" t="s">
        <v>113</v>
      </c>
      <c r="B566" s="30">
        <v>-2333.9909600000001</v>
      </c>
    </row>
    <row r="567" spans="1:2" x14ac:dyDescent="0.35">
      <c r="A567" s="24" t="s">
        <v>604</v>
      </c>
      <c r="B567" s="30">
        <v>-2835.7499999999982</v>
      </c>
    </row>
    <row r="568" spans="1:2" x14ac:dyDescent="0.35">
      <c r="A568" s="24" t="s">
        <v>258</v>
      </c>
      <c r="B568" s="30">
        <v>-3967.9639999999999</v>
      </c>
    </row>
    <row r="569" spans="1:2" x14ac:dyDescent="0.35">
      <c r="A569" s="24" t="s">
        <v>149</v>
      </c>
      <c r="B569" s="30">
        <v>-6157.3283199999987</v>
      </c>
    </row>
    <row r="570" spans="1:2" x14ac:dyDescent="0.35">
      <c r="A570" s="24" t="s">
        <v>279</v>
      </c>
      <c r="B570" s="30">
        <v>-7932.1877600000025</v>
      </c>
    </row>
    <row r="571" spans="1:2" x14ac:dyDescent="0.35">
      <c r="A571" s="19" t="s">
        <v>725</v>
      </c>
      <c r="B571" s="30">
        <v>110646.45659</v>
      </c>
    </row>
    <row r="572" spans="1:2" x14ac:dyDescent="0.35">
      <c r="A572" s="24" t="s">
        <v>164</v>
      </c>
      <c r="B572" s="30">
        <v>19149.805439999996</v>
      </c>
    </row>
    <row r="573" spans="1:2" x14ac:dyDescent="0.35">
      <c r="A573" s="24" t="s">
        <v>642</v>
      </c>
      <c r="B573" s="30">
        <v>14455.96</v>
      </c>
    </row>
    <row r="574" spans="1:2" x14ac:dyDescent="0.35">
      <c r="A574" s="24" t="s">
        <v>39</v>
      </c>
      <c r="B574" s="30">
        <v>13511.830559999999</v>
      </c>
    </row>
    <row r="575" spans="1:2" x14ac:dyDescent="0.35">
      <c r="A575" s="24" t="s">
        <v>520</v>
      </c>
      <c r="B575" s="30">
        <v>8697.1514000000025</v>
      </c>
    </row>
    <row r="576" spans="1:2" x14ac:dyDescent="0.35">
      <c r="A576" s="24" t="s">
        <v>537</v>
      </c>
      <c r="B576" s="30">
        <v>8421.6234000000022</v>
      </c>
    </row>
    <row r="577" spans="1:2" x14ac:dyDescent="0.35">
      <c r="A577" s="24" t="s">
        <v>558</v>
      </c>
      <c r="B577" s="30">
        <v>7671.1285000000016</v>
      </c>
    </row>
    <row r="578" spans="1:2" x14ac:dyDescent="0.35">
      <c r="A578" s="24" t="s">
        <v>191</v>
      </c>
      <c r="B578" s="30">
        <v>7162.3605599999992</v>
      </c>
    </row>
    <row r="579" spans="1:2" x14ac:dyDescent="0.35">
      <c r="A579" s="24" t="s">
        <v>256</v>
      </c>
      <c r="B579" s="30">
        <v>7112.1846399999922</v>
      </c>
    </row>
    <row r="580" spans="1:2" x14ac:dyDescent="0.35">
      <c r="A580" s="24" t="s">
        <v>359</v>
      </c>
      <c r="B580" s="30">
        <v>6158.3379999999988</v>
      </c>
    </row>
    <row r="581" spans="1:2" x14ac:dyDescent="0.35">
      <c r="A581" s="24" t="s">
        <v>52</v>
      </c>
      <c r="B581" s="30">
        <v>5937.6339200000002</v>
      </c>
    </row>
    <row r="582" spans="1:2" x14ac:dyDescent="0.35">
      <c r="A582" s="24" t="s">
        <v>205</v>
      </c>
      <c r="B582" s="30">
        <v>4296.3850000000002</v>
      </c>
    </row>
    <row r="583" spans="1:2" x14ac:dyDescent="0.35">
      <c r="A583" s="24" t="s">
        <v>529</v>
      </c>
      <c r="B583" s="30">
        <v>3835.7</v>
      </c>
    </row>
    <row r="584" spans="1:2" x14ac:dyDescent="0.35">
      <c r="A584" s="24" t="s">
        <v>105</v>
      </c>
      <c r="B584" s="30">
        <v>3486.5026000000016</v>
      </c>
    </row>
    <row r="585" spans="1:2" x14ac:dyDescent="0.35">
      <c r="A585" s="24" t="s">
        <v>345</v>
      </c>
      <c r="B585" s="30">
        <v>3237.4565599999996</v>
      </c>
    </row>
    <row r="586" spans="1:2" x14ac:dyDescent="0.35">
      <c r="A586" s="24" t="s">
        <v>641</v>
      </c>
      <c r="B586" s="30">
        <v>2610.03908</v>
      </c>
    </row>
    <row r="587" spans="1:2" x14ac:dyDescent="0.35">
      <c r="A587" s="24" t="s">
        <v>495</v>
      </c>
      <c r="B587" s="30">
        <v>2360.8761000000004</v>
      </c>
    </row>
    <row r="588" spans="1:2" x14ac:dyDescent="0.35">
      <c r="A588" s="24" t="s">
        <v>236</v>
      </c>
      <c r="B588" s="30">
        <v>2092.0364</v>
      </c>
    </row>
    <row r="589" spans="1:2" x14ac:dyDescent="0.35">
      <c r="A589" s="24" t="s">
        <v>424</v>
      </c>
      <c r="B589" s="30">
        <v>1594.7103199999997</v>
      </c>
    </row>
    <row r="590" spans="1:2" x14ac:dyDescent="0.35">
      <c r="A590" s="24" t="s">
        <v>365</v>
      </c>
      <c r="B590" s="30">
        <v>1542.8678099999997</v>
      </c>
    </row>
    <row r="591" spans="1:2" x14ac:dyDescent="0.35">
      <c r="A591" s="24" t="s">
        <v>177</v>
      </c>
      <c r="B591" s="30">
        <v>991.66116000000147</v>
      </c>
    </row>
    <row r="592" spans="1:2" x14ac:dyDescent="0.35">
      <c r="A592" s="24" t="s">
        <v>474</v>
      </c>
      <c r="B592" s="30">
        <v>391.35456000000022</v>
      </c>
    </row>
    <row r="593" spans="1:2" x14ac:dyDescent="0.35">
      <c r="A593" s="24" t="s">
        <v>296</v>
      </c>
      <c r="B593" s="30">
        <v>116.6400000000001</v>
      </c>
    </row>
    <row r="594" spans="1:2" x14ac:dyDescent="0.35">
      <c r="A594" s="24" t="s">
        <v>289</v>
      </c>
      <c r="B594" s="30">
        <v>101.57250000000022</v>
      </c>
    </row>
    <row r="595" spans="1:2" x14ac:dyDescent="0.35">
      <c r="A595" s="24" t="s">
        <v>575</v>
      </c>
      <c r="B595" s="30">
        <v>67.082999999998719</v>
      </c>
    </row>
    <row r="596" spans="1:2" x14ac:dyDescent="0.35">
      <c r="A596" s="24" t="s">
        <v>277</v>
      </c>
      <c r="B596" s="30">
        <v>-3.0916800000001103</v>
      </c>
    </row>
    <row r="597" spans="1:2" x14ac:dyDescent="0.35">
      <c r="A597" s="24" t="s">
        <v>69</v>
      </c>
      <c r="B597" s="30">
        <v>-51.321600000000018</v>
      </c>
    </row>
    <row r="598" spans="1:2" x14ac:dyDescent="0.35">
      <c r="A598" s="24" t="s">
        <v>645</v>
      </c>
      <c r="B598" s="30">
        <v>-96.841780000000028</v>
      </c>
    </row>
    <row r="599" spans="1:2" x14ac:dyDescent="0.35">
      <c r="A599" s="24" t="s">
        <v>387</v>
      </c>
      <c r="B599" s="30">
        <v>-814.89194000000043</v>
      </c>
    </row>
    <row r="600" spans="1:2" x14ac:dyDescent="0.35">
      <c r="A600" s="24" t="s">
        <v>238</v>
      </c>
      <c r="B600" s="30">
        <v>-846.72300000000178</v>
      </c>
    </row>
    <row r="601" spans="1:2" x14ac:dyDescent="0.35">
      <c r="A601" s="24" t="s">
        <v>182</v>
      </c>
      <c r="B601" s="30">
        <v>-921.67541999999958</v>
      </c>
    </row>
    <row r="602" spans="1:2" x14ac:dyDescent="0.35">
      <c r="A602" s="24" t="s">
        <v>515</v>
      </c>
      <c r="B602" s="30">
        <v>-4899.589100000002</v>
      </c>
    </row>
    <row r="603" spans="1:2" x14ac:dyDescent="0.35">
      <c r="A603" s="24" t="s">
        <v>147</v>
      </c>
      <c r="B603" s="30">
        <v>-6722.3104000000003</v>
      </c>
    </row>
    <row r="604" spans="1:2" x14ac:dyDescent="0.35">
      <c r="A604" s="19" t="s">
        <v>719</v>
      </c>
      <c r="B604" s="30">
        <v>185219.43694000001</v>
      </c>
    </row>
    <row r="605" spans="1:2" x14ac:dyDescent="0.35">
      <c r="A605" s="24" t="s">
        <v>290</v>
      </c>
      <c r="B605" s="30">
        <v>26014.755999999994</v>
      </c>
    </row>
    <row r="606" spans="1:2" x14ac:dyDescent="0.35">
      <c r="A606" s="24" t="s">
        <v>438</v>
      </c>
      <c r="B606" s="30">
        <v>22623.474960000007</v>
      </c>
    </row>
    <row r="607" spans="1:2" x14ac:dyDescent="0.35">
      <c r="A607" s="24" t="s">
        <v>63</v>
      </c>
      <c r="B607" s="30">
        <v>14996.902319999994</v>
      </c>
    </row>
    <row r="608" spans="1:2" x14ac:dyDescent="0.35">
      <c r="A608" s="24" t="s">
        <v>188</v>
      </c>
      <c r="B608" s="30">
        <v>12598.587599999999</v>
      </c>
    </row>
    <row r="609" spans="1:2" x14ac:dyDescent="0.35">
      <c r="A609" s="24" t="s">
        <v>582</v>
      </c>
      <c r="B609" s="30">
        <v>12487.920689999997</v>
      </c>
    </row>
    <row r="610" spans="1:2" x14ac:dyDescent="0.35">
      <c r="A610" s="24" t="s">
        <v>76</v>
      </c>
      <c r="B610" s="30">
        <v>10059.770399999998</v>
      </c>
    </row>
    <row r="611" spans="1:2" x14ac:dyDescent="0.35">
      <c r="A611" s="24" t="s">
        <v>78</v>
      </c>
      <c r="B611" s="30">
        <v>9753.2374500000078</v>
      </c>
    </row>
    <row r="612" spans="1:2" x14ac:dyDescent="0.35">
      <c r="A612" s="24" t="s">
        <v>429</v>
      </c>
      <c r="B612" s="30">
        <v>9397.9283999999989</v>
      </c>
    </row>
    <row r="613" spans="1:2" x14ac:dyDescent="0.35">
      <c r="A613" s="24" t="s">
        <v>380</v>
      </c>
      <c r="B613" s="30">
        <v>9185.8899200000033</v>
      </c>
    </row>
    <row r="614" spans="1:2" x14ac:dyDescent="0.35">
      <c r="A614" s="24" t="s">
        <v>556</v>
      </c>
      <c r="B614" s="30">
        <v>8727.9235199999966</v>
      </c>
    </row>
    <row r="615" spans="1:2" x14ac:dyDescent="0.35">
      <c r="A615" s="24" t="s">
        <v>275</v>
      </c>
      <c r="B615" s="30">
        <v>7663.3438000000006</v>
      </c>
    </row>
    <row r="616" spans="1:2" x14ac:dyDescent="0.35">
      <c r="A616" s="24" t="s">
        <v>294</v>
      </c>
      <c r="B616" s="30">
        <v>7567.2115200000026</v>
      </c>
    </row>
    <row r="617" spans="1:2" x14ac:dyDescent="0.35">
      <c r="A617" s="24" t="s">
        <v>23</v>
      </c>
      <c r="B617" s="30">
        <v>6942.0893400000004</v>
      </c>
    </row>
    <row r="618" spans="1:2" x14ac:dyDescent="0.35">
      <c r="A618" s="24" t="s">
        <v>447</v>
      </c>
      <c r="B618" s="30">
        <v>6126.4386400000003</v>
      </c>
    </row>
    <row r="619" spans="1:2" x14ac:dyDescent="0.35">
      <c r="A619" s="24" t="s">
        <v>307</v>
      </c>
      <c r="B619" s="30">
        <v>4234.9950000000008</v>
      </c>
    </row>
    <row r="620" spans="1:2" x14ac:dyDescent="0.35">
      <c r="A620" s="24" t="s">
        <v>193</v>
      </c>
      <c r="B620" s="30">
        <v>3902.0495999999994</v>
      </c>
    </row>
    <row r="621" spans="1:2" x14ac:dyDescent="0.35">
      <c r="A621" s="24" t="s">
        <v>162</v>
      </c>
      <c r="B621" s="30">
        <v>3753.26</v>
      </c>
    </row>
    <row r="622" spans="1:2" x14ac:dyDescent="0.35">
      <c r="A622" s="24" t="s">
        <v>291</v>
      </c>
      <c r="B622" s="30">
        <v>2985.9064800000001</v>
      </c>
    </row>
    <row r="623" spans="1:2" x14ac:dyDescent="0.35">
      <c r="A623" s="24" t="s">
        <v>169</v>
      </c>
      <c r="B623" s="30">
        <v>2336.6104000000032</v>
      </c>
    </row>
    <row r="624" spans="1:2" x14ac:dyDescent="0.35">
      <c r="A624" s="24" t="s">
        <v>637</v>
      </c>
      <c r="B624" s="30">
        <v>2018.9248800000005</v>
      </c>
    </row>
    <row r="625" spans="1:2" x14ac:dyDescent="0.35">
      <c r="A625" s="24" t="s">
        <v>285</v>
      </c>
      <c r="B625" s="30">
        <v>1906.7286400000003</v>
      </c>
    </row>
    <row r="626" spans="1:2" x14ac:dyDescent="0.35">
      <c r="A626" s="24" t="s">
        <v>590</v>
      </c>
      <c r="B626" s="30">
        <v>1611.2903999999999</v>
      </c>
    </row>
    <row r="627" spans="1:2" x14ac:dyDescent="0.35">
      <c r="A627" s="24" t="s">
        <v>310</v>
      </c>
      <c r="B627" s="30">
        <v>1511.2410499999996</v>
      </c>
    </row>
    <row r="628" spans="1:2" x14ac:dyDescent="0.35">
      <c r="A628" s="24" t="s">
        <v>624</v>
      </c>
      <c r="B628" s="30">
        <v>1466.8601599999984</v>
      </c>
    </row>
    <row r="629" spans="1:2" x14ac:dyDescent="0.35">
      <c r="A629" s="24" t="s">
        <v>397</v>
      </c>
      <c r="B629" s="30">
        <v>726.64300000000367</v>
      </c>
    </row>
    <row r="630" spans="1:2" x14ac:dyDescent="0.35">
      <c r="A630" s="24" t="s">
        <v>426</v>
      </c>
      <c r="B630" s="30">
        <v>674.64560000000006</v>
      </c>
    </row>
    <row r="631" spans="1:2" x14ac:dyDescent="0.35">
      <c r="A631" s="24" t="s">
        <v>416</v>
      </c>
      <c r="B631" s="30">
        <v>619.69184000000132</v>
      </c>
    </row>
    <row r="632" spans="1:2" x14ac:dyDescent="0.35">
      <c r="A632" s="24" t="s">
        <v>241</v>
      </c>
      <c r="B632" s="30">
        <v>574.26300000000083</v>
      </c>
    </row>
    <row r="633" spans="1:2" x14ac:dyDescent="0.35">
      <c r="A633" s="24" t="s">
        <v>22</v>
      </c>
      <c r="B633" s="30">
        <v>174.22776000000005</v>
      </c>
    </row>
    <row r="634" spans="1:2" x14ac:dyDescent="0.35">
      <c r="A634" s="24" t="s">
        <v>66</v>
      </c>
      <c r="B634" s="30">
        <v>16.012000000000057</v>
      </c>
    </row>
    <row r="635" spans="1:2" x14ac:dyDescent="0.35">
      <c r="A635" s="24" t="s">
        <v>111</v>
      </c>
      <c r="B635" s="30">
        <v>0.36755999999999744</v>
      </c>
    </row>
    <row r="636" spans="1:2" x14ac:dyDescent="0.35">
      <c r="A636" s="24" t="s">
        <v>623</v>
      </c>
      <c r="B636" s="30">
        <v>-7.7899999999999636</v>
      </c>
    </row>
    <row r="637" spans="1:2" x14ac:dyDescent="0.35">
      <c r="A637" s="24" t="s">
        <v>68</v>
      </c>
      <c r="B637" s="30">
        <v>-134.55441999999994</v>
      </c>
    </row>
    <row r="638" spans="1:2" x14ac:dyDescent="0.35">
      <c r="A638" s="24" t="s">
        <v>448</v>
      </c>
      <c r="B638" s="30">
        <v>-412.61687999999981</v>
      </c>
    </row>
    <row r="639" spans="1:2" x14ac:dyDescent="0.35">
      <c r="A639" s="24" t="s">
        <v>131</v>
      </c>
      <c r="B639" s="30">
        <v>-512.06805000000008</v>
      </c>
    </row>
    <row r="640" spans="1:2" x14ac:dyDescent="0.35">
      <c r="A640" s="24" t="s">
        <v>554</v>
      </c>
      <c r="B640" s="30">
        <v>-1585.5629999999996</v>
      </c>
    </row>
    <row r="641" spans="1:2" x14ac:dyDescent="0.35">
      <c r="A641" s="24" t="s">
        <v>80</v>
      </c>
      <c r="B641" s="30">
        <v>-4787.1626399999986</v>
      </c>
    </row>
    <row r="642" spans="1:2" x14ac:dyDescent="0.35">
      <c r="A642" s="19" t="s">
        <v>1432</v>
      </c>
      <c r="B642" s="30">
        <v>100098.00146999999</v>
      </c>
    </row>
    <row r="643" spans="1:2" x14ac:dyDescent="0.35">
      <c r="A643" s="24" t="s">
        <v>436</v>
      </c>
      <c r="B643" s="30">
        <v>46964.342039999996</v>
      </c>
    </row>
    <row r="644" spans="1:2" x14ac:dyDescent="0.35">
      <c r="A644" s="24" t="s">
        <v>135</v>
      </c>
      <c r="B644" s="30">
        <v>21088.284389999997</v>
      </c>
    </row>
    <row r="645" spans="1:2" x14ac:dyDescent="0.35">
      <c r="A645" s="24" t="s">
        <v>91</v>
      </c>
      <c r="B645" s="30">
        <v>17265.827799999995</v>
      </c>
    </row>
    <row r="646" spans="1:2" x14ac:dyDescent="0.35">
      <c r="A646" s="24" t="s">
        <v>353</v>
      </c>
      <c r="B646" s="30">
        <v>8725.8939600000012</v>
      </c>
    </row>
    <row r="647" spans="1:2" x14ac:dyDescent="0.35">
      <c r="A647" s="24" t="s">
        <v>644</v>
      </c>
      <c r="B647" s="30">
        <v>6312.5076799999997</v>
      </c>
    </row>
    <row r="648" spans="1:2" x14ac:dyDescent="0.35">
      <c r="A648" s="24" t="s">
        <v>276</v>
      </c>
      <c r="B648" s="30">
        <v>2357.2576000000008</v>
      </c>
    </row>
    <row r="649" spans="1:2" x14ac:dyDescent="0.35">
      <c r="A649" s="24" t="s">
        <v>249</v>
      </c>
      <c r="B649" s="30">
        <v>1269.9647999999979</v>
      </c>
    </row>
    <row r="650" spans="1:2" x14ac:dyDescent="0.35">
      <c r="A650" s="24" t="s">
        <v>273</v>
      </c>
      <c r="B650" s="30">
        <v>-3886.0768000000007</v>
      </c>
    </row>
    <row r="651" spans="1:2" x14ac:dyDescent="0.35">
      <c r="A651" s="19" t="s">
        <v>1447</v>
      </c>
      <c r="B651" s="30">
        <v>3537641.8179519991</v>
      </c>
    </row>
  </sheetData>
  <conditionalFormatting sqref="B1:B3 B652:B1048576">
    <cfRule type="top10" dxfId="316" priority="3" rank="3"/>
  </conditionalFormatting>
  <conditionalFormatting pivot="1" sqref="B4">
    <cfRule type="top10" dxfId="315" priority="2" bottom="1" rank="3"/>
  </conditionalFormatting>
  <conditionalFormatting pivot="1" sqref="B4">
    <cfRule type="top10" dxfId="314" priority="1" bottom="1" rank="3"/>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DCCE7-8249-4EAA-B925-35F68410274A}">
  <dimension ref="A3:H9"/>
  <sheetViews>
    <sheetView workbookViewId="0">
      <selection activeCell="C19" sqref="C19"/>
    </sheetView>
  </sheetViews>
  <sheetFormatPr defaultRowHeight="14.5" x14ac:dyDescent="0.35"/>
  <cols>
    <col min="1" max="1" width="19.1796875" bestFit="1" customWidth="1"/>
    <col min="2" max="2" width="15.26953125" bestFit="1" customWidth="1"/>
    <col min="3" max="3" width="10.36328125" bestFit="1" customWidth="1"/>
    <col min="4" max="4" width="11.36328125" bestFit="1" customWidth="1"/>
    <col min="5" max="6" width="10.36328125" bestFit="1" customWidth="1"/>
    <col min="7" max="7" width="9.36328125" bestFit="1" customWidth="1"/>
    <col min="8" max="8" width="11.36328125" bestFit="1" customWidth="1"/>
    <col min="9" max="10" width="9.36328125" bestFit="1" customWidth="1"/>
    <col min="11" max="11" width="14.81640625" bestFit="1" customWidth="1"/>
    <col min="12" max="12" width="13.1796875" bestFit="1" customWidth="1"/>
    <col min="13" max="15" width="9.36328125" bestFit="1" customWidth="1"/>
    <col min="16" max="16" width="16.1796875" bestFit="1" customWidth="1"/>
    <col min="17" max="20" width="9.36328125" bestFit="1" customWidth="1"/>
    <col min="21" max="21" width="11" bestFit="1" customWidth="1"/>
    <col min="22" max="25" width="9.36328125" bestFit="1" customWidth="1"/>
    <col min="26" max="26" width="10.36328125" bestFit="1" customWidth="1"/>
    <col min="27" max="27" width="10.7265625" bestFit="1" customWidth="1"/>
    <col min="28" max="28" width="8.453125" bestFit="1" customWidth="1"/>
    <col min="29" max="30" width="8.36328125" bestFit="1" customWidth="1"/>
    <col min="31" max="31" width="13.7265625" bestFit="1" customWidth="1"/>
    <col min="32" max="32" width="11.36328125" bestFit="1" customWidth="1"/>
  </cols>
  <sheetData>
    <row r="3" spans="1:8" x14ac:dyDescent="0.35">
      <c r="A3" s="18" t="s">
        <v>1461</v>
      </c>
      <c r="B3" s="18" t="s">
        <v>1448</v>
      </c>
    </row>
    <row r="4" spans="1:8" x14ac:dyDescent="0.35">
      <c r="A4" s="18" t="s">
        <v>1446</v>
      </c>
      <c r="B4" t="s">
        <v>711</v>
      </c>
      <c r="C4" t="s">
        <v>710</v>
      </c>
      <c r="D4" t="s">
        <v>709</v>
      </c>
      <c r="E4" t="s">
        <v>708</v>
      </c>
      <c r="F4" t="s">
        <v>707</v>
      </c>
      <c r="G4" t="s">
        <v>1431</v>
      </c>
      <c r="H4" t="s">
        <v>1447</v>
      </c>
    </row>
    <row r="5" spans="1:8" x14ac:dyDescent="0.35">
      <c r="A5" s="19" t="s">
        <v>648</v>
      </c>
      <c r="B5" s="23">
        <v>751887.68591000012</v>
      </c>
      <c r="C5" s="23">
        <v>568863.41191999998</v>
      </c>
      <c r="D5" s="23">
        <v>366375.92751999997</v>
      </c>
      <c r="E5" s="41">
        <v>689951.45437000017</v>
      </c>
      <c r="F5" s="23">
        <v>302853.57922000001</v>
      </c>
      <c r="G5" s="23">
        <v>9256.14</v>
      </c>
      <c r="H5" s="23">
        <v>2689188.1989400005</v>
      </c>
    </row>
    <row r="6" spans="1:8" x14ac:dyDescent="0.35">
      <c r="A6" s="19" t="s">
        <v>649</v>
      </c>
      <c r="B6" s="23">
        <v>842614.45203999989</v>
      </c>
      <c r="C6" s="23">
        <v>318736.67219999991</v>
      </c>
      <c r="D6" s="23">
        <v>645580.62424999976</v>
      </c>
      <c r="E6" s="23">
        <v>585406.72276999999</v>
      </c>
      <c r="F6" s="23">
        <v>487467.77718599996</v>
      </c>
      <c r="G6" s="23">
        <v>18050.446459999999</v>
      </c>
      <c r="H6" s="23">
        <v>2897856.6949059991</v>
      </c>
    </row>
    <row r="7" spans="1:8" x14ac:dyDescent="0.35">
      <c r="A7" s="19" t="s">
        <v>646</v>
      </c>
      <c r="B7" s="23">
        <v>462236.49369999988</v>
      </c>
      <c r="C7" s="23">
        <v>634581.62446999992</v>
      </c>
      <c r="D7" s="23">
        <v>527467.87456000014</v>
      </c>
      <c r="E7" s="23">
        <v>433406.33627000003</v>
      </c>
      <c r="F7" s="23">
        <v>536681.2785260001</v>
      </c>
      <c r="G7" s="23">
        <v>32716.924230000001</v>
      </c>
      <c r="H7" s="23">
        <v>2627090.5317560001</v>
      </c>
    </row>
    <row r="8" spans="1:8" x14ac:dyDescent="0.35">
      <c r="A8" s="19" t="s">
        <v>647</v>
      </c>
      <c r="B8" s="23">
        <v>642753.25636000012</v>
      </c>
      <c r="C8" s="23">
        <v>509418.80599000002</v>
      </c>
      <c r="D8" s="23">
        <v>546106.24273000006</v>
      </c>
      <c r="E8" s="23">
        <v>413661.50969000009</v>
      </c>
      <c r="F8" s="23">
        <v>666382.39208999998</v>
      </c>
      <c r="G8" s="23">
        <v>41379.395489999995</v>
      </c>
      <c r="H8" s="23">
        <v>2819701.6023500003</v>
      </c>
    </row>
    <row r="9" spans="1:8" x14ac:dyDescent="0.35">
      <c r="A9" s="19" t="s">
        <v>1447</v>
      </c>
      <c r="B9" s="23">
        <v>2699491.8880099999</v>
      </c>
      <c r="C9" s="23">
        <v>2031600.51458</v>
      </c>
      <c r="D9" s="23">
        <v>2085530.6690599998</v>
      </c>
      <c r="E9" s="23">
        <v>2122426.0231000003</v>
      </c>
      <c r="F9" s="23">
        <v>1993385.0270220002</v>
      </c>
      <c r="G9" s="23">
        <v>101402.90617999999</v>
      </c>
      <c r="H9" s="23">
        <v>11033837.027952</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B2B1C-DC64-49BD-B0F6-18E952CDE95E}">
  <dimension ref="A3:H9"/>
  <sheetViews>
    <sheetView workbookViewId="0">
      <selection activeCell="I12" sqref="I12"/>
    </sheetView>
  </sheetViews>
  <sheetFormatPr defaultRowHeight="14.5" x14ac:dyDescent="0.35"/>
  <cols>
    <col min="1" max="1" width="16.6328125" bestFit="1" customWidth="1"/>
    <col min="2" max="2" width="15.26953125" bestFit="1" customWidth="1"/>
    <col min="3" max="8" width="11.81640625" bestFit="1" customWidth="1"/>
  </cols>
  <sheetData>
    <row r="3" spans="1:8" x14ac:dyDescent="0.35">
      <c r="A3" s="18" t="s">
        <v>1466</v>
      </c>
      <c r="B3" s="18" t="s">
        <v>1448</v>
      </c>
    </row>
    <row r="4" spans="1:8" x14ac:dyDescent="0.35">
      <c r="A4" s="18" t="s">
        <v>1446</v>
      </c>
      <c r="B4" t="s">
        <v>711</v>
      </c>
      <c r="C4" t="s">
        <v>710</v>
      </c>
      <c r="D4" t="s">
        <v>709</v>
      </c>
      <c r="E4" t="s">
        <v>708</v>
      </c>
      <c r="F4" t="s">
        <v>707</v>
      </c>
      <c r="G4" t="s">
        <v>1431</v>
      </c>
      <c r="H4" t="s">
        <v>1447</v>
      </c>
    </row>
    <row r="5" spans="1:8" x14ac:dyDescent="0.35">
      <c r="A5" s="19" t="s">
        <v>646</v>
      </c>
      <c r="B5" s="42">
        <v>178727.35369999998</v>
      </c>
      <c r="C5" s="42">
        <v>202729.86446999997</v>
      </c>
      <c r="D5" s="42">
        <v>164839.30456000008</v>
      </c>
      <c r="E5" s="42">
        <v>145453.94627000001</v>
      </c>
      <c r="F5" s="42">
        <v>159130.72852599996</v>
      </c>
      <c r="G5" s="42">
        <v>16237.344229999999</v>
      </c>
      <c r="H5" s="42">
        <v>867118.54175600002</v>
      </c>
    </row>
    <row r="6" spans="1:8" x14ac:dyDescent="0.35">
      <c r="A6" s="19" t="s">
        <v>648</v>
      </c>
      <c r="B6" s="42">
        <v>258674.92591000008</v>
      </c>
      <c r="C6" s="42">
        <v>175736.86191999997</v>
      </c>
      <c r="D6" s="42">
        <v>96609.64751999994</v>
      </c>
      <c r="E6" s="42">
        <v>261943.84437000001</v>
      </c>
      <c r="F6" s="42">
        <v>69035.709219999975</v>
      </c>
      <c r="G6" s="42">
        <v>777.95999999999913</v>
      </c>
      <c r="H6" s="42">
        <v>862778.94893999991</v>
      </c>
    </row>
    <row r="7" spans="1:8" x14ac:dyDescent="0.35">
      <c r="A7" s="19" t="s">
        <v>647</v>
      </c>
      <c r="B7" s="42">
        <v>229541.94636</v>
      </c>
      <c r="C7" s="42">
        <v>151146.74599000002</v>
      </c>
      <c r="D7" s="42">
        <v>132709.51272999999</v>
      </c>
      <c r="E7" s="42">
        <v>149042.38968999998</v>
      </c>
      <c r="F7" s="42">
        <v>158051.77209000004</v>
      </c>
      <c r="G7" s="42">
        <v>20547.545489999997</v>
      </c>
      <c r="H7" s="42">
        <v>841039.91235</v>
      </c>
    </row>
    <row r="8" spans="1:8" x14ac:dyDescent="0.35">
      <c r="A8" s="19" t="s">
        <v>649</v>
      </c>
      <c r="B8" s="42">
        <v>292716.95204</v>
      </c>
      <c r="C8" s="42">
        <v>105550.85219999998</v>
      </c>
      <c r="D8" s="42">
        <v>187596.90425000002</v>
      </c>
      <c r="E8" s="42">
        <v>200067.16277</v>
      </c>
      <c r="F8" s="42">
        <v>172743.83718599999</v>
      </c>
      <c r="G8" s="42">
        <v>8028.7064599999994</v>
      </c>
      <c r="H8" s="42">
        <v>966704.4149059999</v>
      </c>
    </row>
    <row r="9" spans="1:8" x14ac:dyDescent="0.35">
      <c r="A9" s="19" t="s">
        <v>1447</v>
      </c>
      <c r="B9" s="42">
        <v>959661.17801000003</v>
      </c>
      <c r="C9" s="42">
        <v>635164.3245799999</v>
      </c>
      <c r="D9" s="42">
        <v>581755.36906000006</v>
      </c>
      <c r="E9" s="42">
        <v>756507.34309999994</v>
      </c>
      <c r="F9" s="42">
        <v>558962.04702199996</v>
      </c>
      <c r="G9" s="42">
        <v>45591.55618</v>
      </c>
      <c r="H9" s="42">
        <v>3537641.8179519996</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0DA5B-BF34-48CB-962F-9E94FDCAF7B2}">
  <dimension ref="A3:B16"/>
  <sheetViews>
    <sheetView topLeftCell="C1" workbookViewId="0">
      <selection activeCell="A3" sqref="A3"/>
    </sheetView>
  </sheetViews>
  <sheetFormatPr defaultRowHeight="14.5" x14ac:dyDescent="0.35"/>
  <cols>
    <col min="1" max="1" width="12.36328125" bestFit="1" customWidth="1"/>
    <col min="2" max="2" width="19.1796875" bestFit="1" customWidth="1"/>
  </cols>
  <sheetData>
    <row r="3" spans="1:2" x14ac:dyDescent="0.35">
      <c r="A3" s="18" t="s">
        <v>1446</v>
      </c>
      <c r="B3" t="s">
        <v>1461</v>
      </c>
    </row>
    <row r="4" spans="1:2" x14ac:dyDescent="0.35">
      <c r="A4" s="19" t="s">
        <v>1449</v>
      </c>
      <c r="B4" s="42">
        <v>674482.02280000004</v>
      </c>
    </row>
    <row r="5" spans="1:2" x14ac:dyDescent="0.35">
      <c r="A5" s="19" t="s">
        <v>1450</v>
      </c>
      <c r="B5" s="42">
        <v>981150.49683600024</v>
      </c>
    </row>
    <row r="6" spans="1:2" x14ac:dyDescent="0.35">
      <c r="A6" s="19" t="s">
        <v>1451</v>
      </c>
      <c r="B6" s="42">
        <v>799302.77273000008</v>
      </c>
    </row>
    <row r="7" spans="1:2" x14ac:dyDescent="0.35">
      <c r="A7" s="19" t="s">
        <v>1452</v>
      </c>
      <c r="B7" s="42">
        <v>947246.5773799998</v>
      </c>
    </row>
    <row r="8" spans="1:2" x14ac:dyDescent="0.35">
      <c r="A8" s="19" t="s">
        <v>1453</v>
      </c>
      <c r="B8" s="42">
        <v>1262901.8977500002</v>
      </c>
    </row>
    <row r="9" spans="1:2" x14ac:dyDescent="0.35">
      <c r="A9" s="19" t="s">
        <v>1454</v>
      </c>
      <c r="B9" s="42">
        <v>1328878.2549099999</v>
      </c>
    </row>
    <row r="10" spans="1:2" x14ac:dyDescent="0.35">
      <c r="A10" s="19" t="s">
        <v>1455</v>
      </c>
      <c r="B10" s="42">
        <v>1323460.0091499998</v>
      </c>
    </row>
    <row r="11" spans="1:2" x14ac:dyDescent="0.35">
      <c r="A11" s="19" t="s">
        <v>1456</v>
      </c>
      <c r="B11" s="42">
        <v>1090009.5832699998</v>
      </c>
    </row>
    <row r="12" spans="1:2" x14ac:dyDescent="0.35">
      <c r="A12" s="19" t="s">
        <v>1457</v>
      </c>
      <c r="B12" s="42">
        <v>661159.42946000001</v>
      </c>
    </row>
    <row r="13" spans="1:2" x14ac:dyDescent="0.35">
      <c r="A13" s="19" t="s">
        <v>1458</v>
      </c>
      <c r="B13" s="42">
        <v>663847.32345999999</v>
      </c>
    </row>
    <row r="14" spans="1:2" x14ac:dyDescent="0.35">
      <c r="A14" s="19" t="s">
        <v>1459</v>
      </c>
      <c r="B14" s="42">
        <v>543953.69134999998</v>
      </c>
    </row>
    <row r="15" spans="1:2" x14ac:dyDescent="0.35">
      <c r="A15" s="19" t="s">
        <v>1460</v>
      </c>
      <c r="B15" s="42">
        <v>757444.96885599999</v>
      </c>
    </row>
    <row r="16" spans="1:2" x14ac:dyDescent="0.35">
      <c r="A16" s="19" t="s">
        <v>1447</v>
      </c>
      <c r="B16" s="42">
        <v>11033837.027951999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49949-4CDD-4370-A25B-EB8469ABE984}">
  <dimension ref="A3:B14"/>
  <sheetViews>
    <sheetView workbookViewId="0">
      <selection activeCell="F20" sqref="F20"/>
    </sheetView>
  </sheetViews>
  <sheetFormatPr defaultRowHeight="14.5" x14ac:dyDescent="0.35"/>
  <cols>
    <col min="1" max="1" width="12.36328125" bestFit="1" customWidth="1"/>
    <col min="2" max="2" width="19.1796875" bestFit="1" customWidth="1"/>
  </cols>
  <sheetData>
    <row r="3" spans="1:2" x14ac:dyDescent="0.35">
      <c r="A3" s="18" t="s">
        <v>1446</v>
      </c>
      <c r="B3" t="s">
        <v>1461</v>
      </c>
    </row>
    <row r="4" spans="1:2" x14ac:dyDescent="0.35">
      <c r="A4" s="19" t="s">
        <v>971</v>
      </c>
      <c r="B4" s="23">
        <v>139277.83032000001</v>
      </c>
    </row>
    <row r="5" spans="1:2" x14ac:dyDescent="0.35">
      <c r="A5" s="19" t="s">
        <v>781</v>
      </c>
      <c r="B5" s="23">
        <v>109244</v>
      </c>
    </row>
    <row r="6" spans="1:2" x14ac:dyDescent="0.35">
      <c r="A6" s="19" t="s">
        <v>1155</v>
      </c>
      <c r="B6" s="23">
        <v>102122.94203999999</v>
      </c>
    </row>
    <row r="7" spans="1:2" x14ac:dyDescent="0.35">
      <c r="A7" s="19" t="s">
        <v>909</v>
      </c>
      <c r="B7" s="23">
        <v>92715.25</v>
      </c>
    </row>
    <row r="8" spans="1:2" x14ac:dyDescent="0.35">
      <c r="A8" s="19" t="s">
        <v>874</v>
      </c>
      <c r="B8" s="23">
        <v>87404.929919999995</v>
      </c>
    </row>
    <row r="9" spans="1:2" x14ac:dyDescent="0.35">
      <c r="A9" s="19" t="s">
        <v>899</v>
      </c>
      <c r="B9" s="23">
        <v>85637.740319999997</v>
      </c>
    </row>
    <row r="10" spans="1:2" x14ac:dyDescent="0.35">
      <c r="A10" s="19" t="s">
        <v>1198</v>
      </c>
      <c r="B10" s="23">
        <v>84136.119600000005</v>
      </c>
    </row>
    <row r="11" spans="1:2" x14ac:dyDescent="0.35">
      <c r="A11" s="19" t="s">
        <v>1096</v>
      </c>
      <c r="B11" s="23">
        <v>82514.711519999997</v>
      </c>
    </row>
    <row r="12" spans="1:2" x14ac:dyDescent="0.35">
      <c r="A12" s="19" t="s">
        <v>1345</v>
      </c>
      <c r="B12" s="23">
        <v>82141.339799999987</v>
      </c>
    </row>
    <row r="13" spans="1:2" x14ac:dyDescent="0.35">
      <c r="A13" s="19" t="s">
        <v>1010</v>
      </c>
      <c r="B13" s="23">
        <v>79548.755999999994</v>
      </c>
    </row>
    <row r="14" spans="1:2" x14ac:dyDescent="0.35">
      <c r="A14" s="19" t="s">
        <v>1447</v>
      </c>
      <c r="B14" s="23">
        <v>944743.61951999995</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Dashboard</vt:lpstr>
      <vt:lpstr>Data</vt:lpstr>
      <vt:lpstr>Brief</vt:lpstr>
      <vt:lpstr>Staging_Table(Part A(1))</vt:lpstr>
      <vt:lpstr>Part A (2&amp;3)</vt:lpstr>
      <vt:lpstr>What if Analysis</vt:lpstr>
      <vt:lpstr>PART B(4)</vt:lpstr>
      <vt:lpstr>PART B(5)</vt:lpstr>
      <vt:lpstr>Revenue per Order</vt:lpstr>
      <vt:lpstr>Orders per Month</vt:lpstr>
      <vt:lpstr>Order_Gross Profit_by_SP</vt:lpstr>
      <vt:lpstr>Part B(7)</vt:lpstr>
      <vt:lpstr>Profit By Region</vt:lpstr>
      <vt:lpstr>Monthly Revenue</vt:lpstr>
      <vt:lpstr>Top 10 SKUs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Brigid Chepkemoi</dc:creator>
  <cp:lastModifiedBy>Robert Njuguna</cp:lastModifiedBy>
  <dcterms:created xsi:type="dcterms:W3CDTF">2025-09-28T10:49:35Z</dcterms:created>
  <dcterms:modified xsi:type="dcterms:W3CDTF">2026-01-31T12:48:41Z</dcterms:modified>
</cp:coreProperties>
</file>